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ncua2-my.sharepoint.com/personal/alli_ncua_gov/Documents/Documents/Items to Remediate/TASK0084812/"/>
    </mc:Choice>
  </mc:AlternateContent>
  <xr:revisionPtr revIDLastSave="0" documentId="8_{7193FF83-90ED-49E7-A1C3-2F8D4C245C32}" xr6:coauthVersionLast="47" xr6:coauthVersionMax="47" xr10:uidLastSave="{00000000-0000-0000-0000-000000000000}"/>
  <bookViews>
    <workbookView xWindow="345" yWindow="3480" windowWidth="28800" windowHeight="15345" tabRatio="793" firstSheet="29" activeTab="34" xr2:uid="{00000000-000D-0000-FFFF-FFFF00000000}"/>
  </bookViews>
  <sheets>
    <sheet name="Cover Page" sheetId="30" r:id="rId1"/>
    <sheet name="1. Summary Financial" sheetId="29" r:id="rId2"/>
    <sheet name="2. Key Ratios" sheetId="65" r:id="rId3"/>
    <sheet name="3. Supplemental Ratios" sheetId="66" r:id="rId4"/>
    <sheet name="4. Historical Ratios" sheetId="67" r:id="rId5"/>
    <sheet name="5. Assets" sheetId="26" r:id="rId6"/>
    <sheet name="6. LiabShEquity" sheetId="25" r:id="rId7"/>
    <sheet name="7. IncExp" sheetId="24" r:id="rId8"/>
    <sheet name="8. Loans" sheetId="60" r:id="rId9"/>
    <sheet name="9. Delinquent Loans " sheetId="34" r:id="rId10"/>
    <sheet name="10. Delinquent Loans (con't)" sheetId="61" r:id="rId11"/>
    <sheet name="11. Delinquent RE Loans " sheetId="57" r:id="rId12"/>
    <sheet name="12. Del Comm Loans" sheetId="36" r:id="rId13"/>
    <sheet name="13. Del Comm Loans (con't)" sheetId="38" r:id="rId14"/>
    <sheet name="14. Loan Losses" sheetId="62" r:id="rId15"/>
    <sheet name="15. Indirect Loans" sheetId="63" r:id="rId16"/>
    <sheet name="16. Loans Purch or Sold 701.23" sheetId="77" r:id="rId17"/>
    <sheet name="17. Participations 701.22" sheetId="70" r:id="rId18"/>
    <sheet name="18. RE Loans " sheetId="22" r:id="rId19"/>
    <sheet name="19. RE Loan Losses" sheetId="71" r:id="rId20"/>
    <sheet name="20. Commercial Loans" sheetId="21" r:id="rId21"/>
    <sheet name="21. Comm Loan Net COs" sheetId="74" r:id="rId22"/>
    <sheet name="22. Comm Loan Losses" sheetId="75" r:id="rId23"/>
    <sheet name="23. Investments" sheetId="59" r:id="rId24"/>
    <sheet name="24. Investments (con't)" sheetId="20" r:id="rId25"/>
    <sheet name="25. Investment Maturity" sheetId="73" r:id="rId26"/>
    <sheet name="26. Investments-Memoranda" sheetId="19" r:id="rId27"/>
    <sheet name="27. Derivatives" sheetId="76" r:id="rId28"/>
    <sheet name="28. LIQ - Comm and OBS" sheetId="18" r:id="rId29"/>
    <sheet name="29. LIQ-Borrowing Arrangements" sheetId="43" r:id="rId30"/>
    <sheet name="30. Shares and Membership" sheetId="41" r:id="rId31"/>
    <sheet name="31. Share &amp; Deposit Maturity" sheetId="78" r:id="rId32"/>
    <sheet name="32. Supplemental Info" sheetId="64" r:id="rId33"/>
    <sheet name="33. Graphs 1" sheetId="17" r:id="rId34"/>
    <sheet name="34. Graphs 2" sheetId="16" r:id="rId35"/>
    <sheet name="Master" sheetId="31" state="hidden" r:id="rId36"/>
  </sheets>
  <definedNames>
    <definedName name="A001_C1">Master!$C$11</definedName>
    <definedName name="A001_C2">Master!$D$11</definedName>
    <definedName name="A001_C3">Master!$E$11</definedName>
    <definedName name="A001_C4">Master!$F$11</definedName>
    <definedName name="A001_C5">Master!$G$11</definedName>
    <definedName name="A002_C1">Master!$C$12</definedName>
    <definedName name="A002_C2">Master!$D$12</definedName>
    <definedName name="A002_C3">Master!$E$12</definedName>
    <definedName name="A002_C4">Master!$F$12</definedName>
    <definedName name="A002_C5">Master!$G$12</definedName>
    <definedName name="A003_C1">Master!$C$13</definedName>
    <definedName name="A003_C2">Master!$D$13</definedName>
    <definedName name="A003_C3">Master!$E$13</definedName>
    <definedName name="A003_C4">Master!$F$13</definedName>
    <definedName name="A003_C5">Master!$G$13</definedName>
    <definedName name="A007_C1">Master!$C$14</definedName>
    <definedName name="A007_C2">Master!$D$14</definedName>
    <definedName name="A007_C3">Master!$E$14</definedName>
    <definedName name="A007_C4">Master!$F$14</definedName>
    <definedName name="A007_C5">Master!$G$14</definedName>
    <definedName name="A008_C1">Master!$C$15</definedName>
    <definedName name="A008_C2">Master!$D$15</definedName>
    <definedName name="A008_C3">Master!$E$15</definedName>
    <definedName name="A008_C4">Master!$F$15</definedName>
    <definedName name="A008_C5">Master!$G$15</definedName>
    <definedName name="A009_C1">Master!$C$16</definedName>
    <definedName name="A009_C2">Master!$D$16</definedName>
    <definedName name="A009_C3">Master!$E$16</definedName>
    <definedName name="A009_C4">Master!$F$16</definedName>
    <definedName name="A009_C5">Master!$G$16</definedName>
    <definedName name="A009A_C1">Master!$C$17</definedName>
    <definedName name="A009A_C2">Master!$D$17</definedName>
    <definedName name="A009A_C3">Master!$E$17</definedName>
    <definedName name="A009A_C4">Master!$F$17</definedName>
    <definedName name="A009A_C5">Master!$G$17</definedName>
    <definedName name="A009B_C1">Master!$C$18</definedName>
    <definedName name="A009B_C2">Master!$D$18</definedName>
    <definedName name="A009B_C3">Master!$E$18</definedName>
    <definedName name="A009B_C4">Master!$F$18</definedName>
    <definedName name="A009B_C5">Master!$G$18</definedName>
    <definedName name="A009C_C1">Master!$C$19</definedName>
    <definedName name="A009C_C2">Master!$D$19</definedName>
    <definedName name="A009C_C3">Master!$E$19</definedName>
    <definedName name="A009C_C4">Master!$F$19</definedName>
    <definedName name="A009C_C5">Master!$G$19</definedName>
    <definedName name="A009D_C1">Master!$C$20</definedName>
    <definedName name="A009D_C2">Master!$D$20</definedName>
    <definedName name="A009D_C3">Master!$E$20</definedName>
    <definedName name="A009D_C4">Master!$F$20</definedName>
    <definedName name="A009D_C5">Master!$G$20</definedName>
    <definedName name="A009D1_C1">Master!$C$21</definedName>
    <definedName name="A009D1_C2">Master!$D$21</definedName>
    <definedName name="A009D1_C3">Master!$E$21</definedName>
    <definedName name="A009D1_C4">Master!$F$21</definedName>
    <definedName name="A009D1_C5">Master!$G$21</definedName>
    <definedName name="A009D2_C1">Master!$C$22</definedName>
    <definedName name="A009D2_C2">Master!$D$22</definedName>
    <definedName name="A009D2_C3">Master!$E$22</definedName>
    <definedName name="A009D2_C4">Master!$F$22</definedName>
    <definedName name="A009D2_C5">Master!$G$22</definedName>
    <definedName name="A009E_C1">Master!$C$23</definedName>
    <definedName name="A009E_C2">Master!$D$23</definedName>
    <definedName name="A009E_C3">Master!$E$23</definedName>
    <definedName name="A009E_C4">Master!$F$23</definedName>
    <definedName name="A009E_C5">Master!$G$23</definedName>
    <definedName name="A010_C1">Master!$C$24</definedName>
    <definedName name="A010_C2">Master!$D$24</definedName>
    <definedName name="A010_C3">Master!$E$24</definedName>
    <definedName name="A010_C4">Master!$F$24</definedName>
    <definedName name="A010_C5">Master!$G$24</definedName>
    <definedName name="A010A_C1">Master!$C$25</definedName>
    <definedName name="A010A_C2">Master!$D$25</definedName>
    <definedName name="A010A_C3">Master!$E$25</definedName>
    <definedName name="A010A_C4">Master!$F$25</definedName>
    <definedName name="A010A_C5">Master!$G$25</definedName>
    <definedName name="A010B_C1">Master!$C$26</definedName>
    <definedName name="A010B_C2">Master!$D$26</definedName>
    <definedName name="A010B_C3">Master!$E$26</definedName>
    <definedName name="A010B_C4">Master!$F$26</definedName>
    <definedName name="A010B_C5">Master!$G$26</definedName>
    <definedName name="A010C_C1">Master!$C$27</definedName>
    <definedName name="A010C_C2">Master!$D$27</definedName>
    <definedName name="A010C_C3">Master!$E$27</definedName>
    <definedName name="A010C_C4">Master!$F$27</definedName>
    <definedName name="A010C_C5">Master!$G$27</definedName>
    <definedName name="A010X_C1">Master!$C$28</definedName>
    <definedName name="A010X_C2">Master!$D$28</definedName>
    <definedName name="A010X_C3">Master!$E$28</definedName>
    <definedName name="A010X_C4">Master!$F$28</definedName>
    <definedName name="A010X_C5">Master!$G$28</definedName>
    <definedName name="A011A_C1">Master!$C$29</definedName>
    <definedName name="A011A_C2">Master!$D$29</definedName>
    <definedName name="A011A_C3">Master!$E$29</definedName>
    <definedName name="A011A_C4">Master!$F$29</definedName>
    <definedName name="A011A_C5">Master!$G$29</definedName>
    <definedName name="A011C_C1">Master!$C$30</definedName>
    <definedName name="A011C_C2">Master!$D$30</definedName>
    <definedName name="A011C_C3">Master!$E$30</definedName>
    <definedName name="A011C_C4">Master!$F$30</definedName>
    <definedName name="A011C_C5">Master!$G$30</definedName>
    <definedName name="A013_C1">Master!$C$31</definedName>
    <definedName name="A013_C2">Master!$D$31</definedName>
    <definedName name="A013_C3">Master!$E$31</definedName>
    <definedName name="A013_C4">Master!$F$31</definedName>
    <definedName name="A013_C5">Master!$G$31</definedName>
    <definedName name="A013A_C1">Master!$C$32</definedName>
    <definedName name="A013A_C2">Master!$D$32</definedName>
    <definedName name="A013A_C3">Master!$E$32</definedName>
    <definedName name="A013A_C4">Master!$F$32</definedName>
    <definedName name="A013A_C5">Master!$G$32</definedName>
    <definedName name="A013B1_C1">Master!$C$33</definedName>
    <definedName name="A013B1_C2">Master!$D$33</definedName>
    <definedName name="A013B1_C3">Master!$E$33</definedName>
    <definedName name="A013B1_C4">Master!$F$33</definedName>
    <definedName name="A013B1_C5">Master!$G$33</definedName>
    <definedName name="A013B2_C1">Master!$C$34</definedName>
    <definedName name="A013B2_C2">Master!$D$34</definedName>
    <definedName name="A013B2_C3">Master!$E$34</definedName>
    <definedName name="A013B2_C4">Master!$F$34</definedName>
    <definedName name="A013B2_C5">Master!$G$34</definedName>
    <definedName name="A014_C1">Master!$C$35</definedName>
    <definedName name="A014_C2">Master!$D$35</definedName>
    <definedName name="A014_C3">Master!$E$35</definedName>
    <definedName name="A014_C4">Master!$F$35</definedName>
    <definedName name="A014_C5">Master!$G$35</definedName>
    <definedName name="A018_C1">Master!$C$36</definedName>
    <definedName name="A018_C2">Master!$D$36</definedName>
    <definedName name="A018_C3">Master!$E$36</definedName>
    <definedName name="A018_C4">Master!$F$36</definedName>
    <definedName name="A018_C5">Master!$G$36</definedName>
    <definedName name="A018A_C1">Master!$C$37</definedName>
    <definedName name="A018A_C2">Master!$D$37</definedName>
    <definedName name="A018A_C3">Master!$E$37</definedName>
    <definedName name="A018A_C4">Master!$F$37</definedName>
    <definedName name="A018A_C5">Master!$G$37</definedName>
    <definedName name="A018B1_C1">Master!$C$38</definedName>
    <definedName name="A018B1_C2">Master!$D$38</definedName>
    <definedName name="A018B1_C3">Master!$E$38</definedName>
    <definedName name="A018B1_C4">Master!$F$38</definedName>
    <definedName name="A018B1_C5">Master!$G$38</definedName>
    <definedName name="A018B2_C1">Master!$C$39</definedName>
    <definedName name="A018B2_C2">Master!$D$39</definedName>
    <definedName name="A018B2_C3">Master!$E$39</definedName>
    <definedName name="A018B2_C4">Master!$F$39</definedName>
    <definedName name="A018B2_C5">Master!$G$39</definedName>
    <definedName name="A020B_C1">Master!$C$40</definedName>
    <definedName name="A020B_C2">Master!$D$40</definedName>
    <definedName name="A020B_C3">Master!$E$40</definedName>
    <definedName name="A020B_C4">Master!$F$40</definedName>
    <definedName name="A020B_C5">Master!$G$40</definedName>
    <definedName name="A020C_C1">Master!$C$41</definedName>
    <definedName name="A020C_C2">Master!$D$41</definedName>
    <definedName name="A020C_C3">Master!$E$41</definedName>
    <definedName name="A020C_C4">Master!$F$41</definedName>
    <definedName name="A020C_C5">Master!$G$41</definedName>
    <definedName name="A020C1_C1">Master!$C$42</definedName>
    <definedName name="A020C1_C2">Master!$D$42</definedName>
    <definedName name="A020C1_C3">Master!$E$42</definedName>
    <definedName name="A020C1_C4">Master!$F$42</definedName>
    <definedName name="A020C1_C5">Master!$G$42</definedName>
    <definedName name="A020C2_C1">Master!$C$43</definedName>
    <definedName name="A020C2_C2">Master!$D$43</definedName>
    <definedName name="A020C2_C3">Master!$E$43</definedName>
    <definedName name="A020C2_C4">Master!$F$43</definedName>
    <definedName name="A020C2_C5">Master!$G$43</definedName>
    <definedName name="A020D_C1">Master!$C$44</definedName>
    <definedName name="A020D_C2">Master!$D$44</definedName>
    <definedName name="A020D_C3">Master!$E$44</definedName>
    <definedName name="A020D_C4">Master!$F$44</definedName>
    <definedName name="A020D_C5">Master!$G$44</definedName>
    <definedName name="A020E_C1">Master!$C$45</definedName>
    <definedName name="A020E_C2">Master!$D$45</definedName>
    <definedName name="A020E_C3">Master!$E$45</definedName>
    <definedName name="A020E_C4">Master!$F$45</definedName>
    <definedName name="A020E_C5">Master!$G$45</definedName>
    <definedName name="A020F_C1">Master!$C$46</definedName>
    <definedName name="A020F_C2">Master!$D$46</definedName>
    <definedName name="A020F_C3">Master!$E$46</definedName>
    <definedName name="A020F_C4">Master!$F$46</definedName>
    <definedName name="A020F_C5">Master!$G$46</definedName>
    <definedName name="A020G_C1">Master!$C$47</definedName>
    <definedName name="A020G_C2">Master!$D$47</definedName>
    <definedName name="A020G_C3">Master!$E$47</definedName>
    <definedName name="A020G_C4">Master!$F$47</definedName>
    <definedName name="A020G_C5">Master!$G$47</definedName>
    <definedName name="A020G1_C1">Master!$C$48</definedName>
    <definedName name="A020G1_C2">Master!$D$48</definedName>
    <definedName name="A020G1_C3">Master!$E$48</definedName>
    <definedName name="A020G1_C4">Master!$F$48</definedName>
    <definedName name="A020G1_C5">Master!$G$48</definedName>
    <definedName name="A020G2_C1">Master!$C$49</definedName>
    <definedName name="A020G2_C2">Master!$D$49</definedName>
    <definedName name="A020G2_C3">Master!$E$49</definedName>
    <definedName name="A020G2_C4">Master!$F$49</definedName>
    <definedName name="A020G2_C5">Master!$G$49</definedName>
    <definedName name="A020G3_C1">Master!$C$50</definedName>
    <definedName name="A020G3_C2">Master!$D$50</definedName>
    <definedName name="A020G3_C3">Master!$E$50</definedName>
    <definedName name="A020G3_C4">Master!$F$50</definedName>
    <definedName name="A020G3_C5">Master!$G$50</definedName>
    <definedName name="A020G4_C1">Master!$C$51</definedName>
    <definedName name="A020G4_C2">Master!$D$51</definedName>
    <definedName name="A020G4_C3">Master!$E$51</definedName>
    <definedName name="A020G4_C4">Master!$F$51</definedName>
    <definedName name="A020G4_C5">Master!$G$51</definedName>
    <definedName name="A020H_C1">Master!$C$52</definedName>
    <definedName name="A020H_C2">Master!$D$52</definedName>
    <definedName name="A020H_C3">Master!$E$52</definedName>
    <definedName name="A020H_C4">Master!$F$52</definedName>
    <definedName name="A020H_C5">Master!$G$52</definedName>
    <definedName name="A020P_C1">Master!$C$53</definedName>
    <definedName name="A020P_C2">Master!$D$53</definedName>
    <definedName name="A020P_C3">Master!$E$53</definedName>
    <definedName name="A020P_C4">Master!$F$53</definedName>
    <definedName name="A020P_C5">Master!$G$53</definedName>
    <definedName name="A020P1_C1">Master!$C$54</definedName>
    <definedName name="A020P1_C2">Master!$D$54</definedName>
    <definedName name="A020P1_C3">Master!$E$54</definedName>
    <definedName name="A020P1_C4">Master!$F$54</definedName>
    <definedName name="A020P1_C5">Master!$G$54</definedName>
    <definedName name="A020P2_C1">Master!$C$55</definedName>
    <definedName name="A020P2_C2">Master!$D$55</definedName>
    <definedName name="A020P2_C3">Master!$E$55</definedName>
    <definedName name="A020P2_C4">Master!$F$55</definedName>
    <definedName name="A020P2_C5">Master!$G$55</definedName>
    <definedName name="A020P3_C1">Master!$C$56</definedName>
    <definedName name="A020P3_C2">Master!$D$56</definedName>
    <definedName name="A020P3_C3">Master!$E$56</definedName>
    <definedName name="A020P3_C4">Master!$F$56</definedName>
    <definedName name="A020P3_C5">Master!$G$56</definedName>
    <definedName name="A020P4_C1">Master!$C$57</definedName>
    <definedName name="A020P4_C2">Master!$D$57</definedName>
    <definedName name="A020P4_C3">Master!$E$57</definedName>
    <definedName name="A020P4_C4">Master!$F$57</definedName>
    <definedName name="A020P4_C5">Master!$G$57</definedName>
    <definedName name="A020Q_C1">Master!$C$58</definedName>
    <definedName name="A020Q_C2">Master!$D$58</definedName>
    <definedName name="A020Q_C3">Master!$E$58</definedName>
    <definedName name="A020Q_C4">Master!$F$58</definedName>
    <definedName name="A020Q_C5">Master!$G$58</definedName>
    <definedName name="A020T_C1">Master!$C$59</definedName>
    <definedName name="A020T_C2">Master!$D$59</definedName>
    <definedName name="A020T_C3">Master!$E$59</definedName>
    <definedName name="A020T_C4">Master!$F$59</definedName>
    <definedName name="A020T_C5">Master!$G$59</definedName>
    <definedName name="A020U_C1">Master!$C$60</definedName>
    <definedName name="A020U_C2">Master!$D$60</definedName>
    <definedName name="A020U_C3">Master!$E$60</definedName>
    <definedName name="A020U_C4">Master!$F$60</definedName>
    <definedName name="A020U_C5">Master!$G$60</definedName>
    <definedName name="A020V_C1">Master!$C$61</definedName>
    <definedName name="A020V_C2">Master!$D$61</definedName>
    <definedName name="A020V_C3">Master!$E$61</definedName>
    <definedName name="A020V_C4">Master!$F$61</definedName>
    <definedName name="A020V_C5">Master!$G$61</definedName>
    <definedName name="A020X_C1">Master!$C$62</definedName>
    <definedName name="A020X_C2">Master!$D$62</definedName>
    <definedName name="A020X_C3">Master!$E$62</definedName>
    <definedName name="A020X_C4">Master!$F$62</definedName>
    <definedName name="A020X_C5">Master!$G$62</definedName>
    <definedName name="A020Y_C1">Master!$C$63</definedName>
    <definedName name="A020Y_C2">Master!$D$63</definedName>
    <definedName name="A020Y_C3">Master!$E$63</definedName>
    <definedName name="A020Y_C4">Master!$F$63</definedName>
    <definedName name="A020Y_C5">Master!$G$63</definedName>
    <definedName name="A020Y1_C1">Master!$C$64</definedName>
    <definedName name="A020Y1_C2">Master!$D$64</definedName>
    <definedName name="A020Y1_C3">Master!$E$64</definedName>
    <definedName name="A020Y1_C4">Master!$F$64</definedName>
    <definedName name="A020Y1_C5">Master!$G$64</definedName>
    <definedName name="A021B_C1">Master!$C$65</definedName>
    <definedName name="A021B_C2">Master!$D$65</definedName>
    <definedName name="A021B_C3">Master!$E$65</definedName>
    <definedName name="A021B_C4">Master!$F$65</definedName>
    <definedName name="A021B_C5">Master!$G$65</definedName>
    <definedName name="A021C_C1">Master!$C$66</definedName>
    <definedName name="A021C_C2">Master!$D$66</definedName>
    <definedName name="A021C_C3">Master!$E$66</definedName>
    <definedName name="A021C_C4">Master!$F$66</definedName>
    <definedName name="A021C_C5">Master!$G$66</definedName>
    <definedName name="A021C1_C1">Master!$C$67</definedName>
    <definedName name="A021C1_C2">Master!$D$67</definedName>
    <definedName name="A021C1_C3">Master!$E$67</definedName>
    <definedName name="A021C1_C4">Master!$F$67</definedName>
    <definedName name="A021C1_C5">Master!$G$67</definedName>
    <definedName name="A021C2_C1">Master!$C$68</definedName>
    <definedName name="A021C2_C2">Master!$D$68</definedName>
    <definedName name="A021C2_C3">Master!$E$68</definedName>
    <definedName name="A021C2_C4">Master!$F$68</definedName>
    <definedName name="A021C2_C5">Master!$G$68</definedName>
    <definedName name="A021D_C1">Master!$C$69</definedName>
    <definedName name="A021D_C2">Master!$D$69</definedName>
    <definedName name="A021D_C3">Master!$E$69</definedName>
    <definedName name="A021D_C4">Master!$F$69</definedName>
    <definedName name="A021D_C5">Master!$G$69</definedName>
    <definedName name="A021E_C1">Master!$C$70</definedName>
    <definedName name="A021E_C2">Master!$D$70</definedName>
    <definedName name="A021E_C3">Master!$E$70</definedName>
    <definedName name="A021E_C4">Master!$F$70</definedName>
    <definedName name="A021E_C5">Master!$G$70</definedName>
    <definedName name="A021F_C1">Master!$C$71</definedName>
    <definedName name="A021F_C2">Master!$D$71</definedName>
    <definedName name="A021F_C3">Master!$E$71</definedName>
    <definedName name="A021F_C4">Master!$F$71</definedName>
    <definedName name="A021F_C5">Master!$G$71</definedName>
    <definedName name="A021G_C1">Master!$C$72</definedName>
    <definedName name="A021G_C2">Master!$D$72</definedName>
    <definedName name="A021G_C3">Master!$E$72</definedName>
    <definedName name="A021G_C4">Master!$F$72</definedName>
    <definedName name="A021G_C5">Master!$G$72</definedName>
    <definedName name="A021G1_C1">Master!$C$73</definedName>
    <definedName name="A021G1_C2">Master!$D$73</definedName>
    <definedName name="A021G1_C3">Master!$E$73</definedName>
    <definedName name="A021G1_C4">Master!$F$73</definedName>
    <definedName name="A021G1_C5">Master!$G$73</definedName>
    <definedName name="A021G2_C1">Master!$C$74</definedName>
    <definedName name="A021G2_C2">Master!$D$74</definedName>
    <definedName name="A021G2_C3">Master!$E$74</definedName>
    <definedName name="A021G2_C4">Master!$F$74</definedName>
    <definedName name="A021G2_C5">Master!$G$74</definedName>
    <definedName name="A021G3_C1">Master!$C$75</definedName>
    <definedName name="A021G3_C2">Master!$D$75</definedName>
    <definedName name="A021G3_C3">Master!$E$75</definedName>
    <definedName name="A021G3_C4">Master!$F$75</definedName>
    <definedName name="A021G3_C5">Master!$G$75</definedName>
    <definedName name="A021G4_C1">Master!$C$76</definedName>
    <definedName name="A021G4_C2">Master!$D$76</definedName>
    <definedName name="A021G4_C3">Master!$E$76</definedName>
    <definedName name="A021G4_C4">Master!$F$76</definedName>
    <definedName name="A021G4_C5">Master!$G$76</definedName>
    <definedName name="A021H_C1">Master!$C$77</definedName>
    <definedName name="A021H_C2">Master!$D$77</definedName>
    <definedName name="A021H_C3">Master!$E$77</definedName>
    <definedName name="A021H_C4">Master!$F$77</definedName>
    <definedName name="A021H_C5">Master!$G$77</definedName>
    <definedName name="A021P_C1">Master!$C$78</definedName>
    <definedName name="A021P_C2">Master!$D$78</definedName>
    <definedName name="A021P_C3">Master!$E$78</definedName>
    <definedName name="A021P_C4">Master!$F$78</definedName>
    <definedName name="A021P_C5">Master!$G$78</definedName>
    <definedName name="A021P1_C1">Master!$C$79</definedName>
    <definedName name="A021P1_C2">Master!$D$79</definedName>
    <definedName name="A021P1_C3">Master!$E$79</definedName>
    <definedName name="A021P1_C4">Master!$F$79</definedName>
    <definedName name="A021P1_C5">Master!$G$79</definedName>
    <definedName name="A021P2_C1">Master!$C$80</definedName>
    <definedName name="A021P2_C2">Master!$D$80</definedName>
    <definedName name="A021P2_C3">Master!$E$80</definedName>
    <definedName name="A021P2_C4">Master!$F$80</definedName>
    <definedName name="A021P2_C5">Master!$G$80</definedName>
    <definedName name="A021P3_C1">Master!$C$81</definedName>
    <definedName name="A021P3_C2">Master!$D$81</definedName>
    <definedName name="A021P3_C3">Master!$E$81</definedName>
    <definedName name="A021P3_C4">Master!$F$81</definedName>
    <definedName name="A021P3_C5">Master!$G$81</definedName>
    <definedName name="A021P4_C1">Master!$C$82</definedName>
    <definedName name="A021P4_C2">Master!$D$82</definedName>
    <definedName name="A021P4_C3">Master!$E$82</definedName>
    <definedName name="A021P4_C4">Master!$F$82</definedName>
    <definedName name="A021P4_C5">Master!$G$82</definedName>
    <definedName name="A021Q_C1">Master!$C$83</definedName>
    <definedName name="A021Q_C2">Master!$D$83</definedName>
    <definedName name="A021Q_C3">Master!$E$83</definedName>
    <definedName name="A021Q_C4">Master!$F$83</definedName>
    <definedName name="A021Q_C5">Master!$G$83</definedName>
    <definedName name="A021T_C1">Master!$C$84</definedName>
    <definedName name="A021T_C2">Master!$D$84</definedName>
    <definedName name="A021T_C3">Master!$E$84</definedName>
    <definedName name="A021T_C4">Master!$F$84</definedName>
    <definedName name="A021T_C5">Master!$G$84</definedName>
    <definedName name="A022B_C1">Master!$C$85</definedName>
    <definedName name="A022B_C2">Master!$D$85</definedName>
    <definedName name="A022B_C3">Master!$E$85</definedName>
    <definedName name="A022B_C4">Master!$F$85</definedName>
    <definedName name="A022B_C5">Master!$G$85</definedName>
    <definedName name="A022C_C1">Master!$C$86</definedName>
    <definedName name="A022C_C2">Master!$D$86</definedName>
    <definedName name="A022C_C3">Master!$E$86</definedName>
    <definedName name="A022C_C4">Master!$F$86</definedName>
    <definedName name="A022C_C5">Master!$G$86</definedName>
    <definedName name="A022C1_C1">Master!$C$87</definedName>
    <definedName name="A022C1_C2">Master!$D$87</definedName>
    <definedName name="A022C1_C3">Master!$E$87</definedName>
    <definedName name="A022C1_C4">Master!$F$87</definedName>
    <definedName name="A022C1_C5">Master!$G$87</definedName>
    <definedName name="A022C2_C1">Master!$C$88</definedName>
    <definedName name="A022C2_C2">Master!$D$88</definedName>
    <definedName name="A022C2_C3">Master!$E$88</definedName>
    <definedName name="A022C2_C4">Master!$F$88</definedName>
    <definedName name="A022C2_C5">Master!$G$88</definedName>
    <definedName name="A022D_C1">Master!$C$89</definedName>
    <definedName name="A022D_C2">Master!$D$89</definedName>
    <definedName name="A022D_C3">Master!$E$89</definedName>
    <definedName name="A022D_C4">Master!$F$89</definedName>
    <definedName name="A022D_C5">Master!$G$89</definedName>
    <definedName name="A022E_C1">Master!$C$90</definedName>
    <definedName name="A022E_C2">Master!$D$90</definedName>
    <definedName name="A022E_C3">Master!$E$90</definedName>
    <definedName name="A022E_C4">Master!$F$90</definedName>
    <definedName name="A022E_C5">Master!$G$90</definedName>
    <definedName name="A022F_C1">Master!$C$91</definedName>
    <definedName name="A022F_C2">Master!$D$91</definedName>
    <definedName name="A022F_C3">Master!$E$91</definedName>
    <definedName name="A022F_C4">Master!$F$91</definedName>
    <definedName name="A022F_C5">Master!$G$91</definedName>
    <definedName name="A022G_C1">Master!$C$92</definedName>
    <definedName name="A022G_C2">Master!$D$92</definedName>
    <definedName name="A022G_C3">Master!$E$92</definedName>
    <definedName name="A022G_C4">Master!$F$92</definedName>
    <definedName name="A022G_C5">Master!$G$92</definedName>
    <definedName name="A022G1_C1">Master!$C$93</definedName>
    <definedName name="A022G1_C2">Master!$D$93</definedName>
    <definedName name="A022G1_C3">Master!$E$93</definedName>
    <definedName name="A022G1_C4">Master!$F$93</definedName>
    <definedName name="A022G1_C5">Master!$G$93</definedName>
    <definedName name="A022G2_C1">Master!$C$94</definedName>
    <definedName name="A022G2_C2">Master!$D$94</definedName>
    <definedName name="A022G2_C3">Master!$E$94</definedName>
    <definedName name="A022G2_C4">Master!$F$94</definedName>
    <definedName name="A022G2_C5">Master!$G$94</definedName>
    <definedName name="A022G3_C1">Master!$C$95</definedName>
    <definedName name="A022G3_C2">Master!$D$95</definedName>
    <definedName name="A022G3_C3">Master!$E$95</definedName>
    <definedName name="A022G3_C4">Master!$F$95</definedName>
    <definedName name="A022G3_C5">Master!$G$95</definedName>
    <definedName name="A022G4_C1">Master!$C$96</definedName>
    <definedName name="A022G4_C2">Master!$D$96</definedName>
    <definedName name="A022G4_C3">Master!$E$96</definedName>
    <definedName name="A022G4_C4">Master!$F$96</definedName>
    <definedName name="A022G4_C5">Master!$G$96</definedName>
    <definedName name="A022H_C1">Master!$C$97</definedName>
    <definedName name="A022H_C2">Master!$D$97</definedName>
    <definedName name="A022H_C3">Master!$E$97</definedName>
    <definedName name="A022H_C4">Master!$F$97</definedName>
    <definedName name="A022H_C5">Master!$G$97</definedName>
    <definedName name="A022P_C1">Master!$C$98</definedName>
    <definedName name="A022P_C2">Master!$D$98</definedName>
    <definedName name="A022P_C3">Master!$E$98</definedName>
    <definedName name="A022P_C4">Master!$F$98</definedName>
    <definedName name="A022P_C5">Master!$G$98</definedName>
    <definedName name="A022P1_C1">Master!$C$99</definedName>
    <definedName name="A022P1_C2">Master!$D$99</definedName>
    <definedName name="A022P1_C3">Master!$E$99</definedName>
    <definedName name="A022P1_C4">Master!$F$99</definedName>
    <definedName name="A022P1_C5">Master!$G$99</definedName>
    <definedName name="A022P2_C1">Master!$C$100</definedName>
    <definedName name="A022P2_C2">Master!$D$100</definedName>
    <definedName name="A022P2_C3">Master!$E$100</definedName>
    <definedName name="A022P2_C4">Master!$F$100</definedName>
    <definedName name="A022P2_C5">Master!$G$100</definedName>
    <definedName name="A022P3_C1">Master!$C$101</definedName>
    <definedName name="A022P3_C2">Master!$D$101</definedName>
    <definedName name="A022P3_C3">Master!$E$101</definedName>
    <definedName name="A022P3_C4">Master!$F$101</definedName>
    <definedName name="A022P3_C5">Master!$G$101</definedName>
    <definedName name="A022P4_C1">Master!$C$102</definedName>
    <definedName name="A022P4_C2">Master!$D$102</definedName>
    <definedName name="A022P4_C3">Master!$E$102</definedName>
    <definedName name="A022P4_C4">Master!$F$102</definedName>
    <definedName name="A022P4_C5">Master!$G$102</definedName>
    <definedName name="A022Q_C1">Master!$C$103</definedName>
    <definedName name="A022Q_C2">Master!$D$103</definedName>
    <definedName name="A022Q_C3">Master!$E$103</definedName>
    <definedName name="A022Q_C4">Master!$F$103</definedName>
    <definedName name="A022Q_C5">Master!$G$103</definedName>
    <definedName name="A022T_C1">Master!$C$104</definedName>
    <definedName name="A022T_C2">Master!$D$104</definedName>
    <definedName name="A022T_C3">Master!$E$104</definedName>
    <definedName name="A022T_C4">Master!$F$104</definedName>
    <definedName name="A022T_C5">Master!$G$104</definedName>
    <definedName name="A023B_C1">Master!$C$105</definedName>
    <definedName name="A023B_C2">Master!$D$105</definedName>
    <definedName name="A023B_C3">Master!$E$105</definedName>
    <definedName name="A023B_C4">Master!$F$105</definedName>
    <definedName name="A023B_C5">Master!$G$105</definedName>
    <definedName name="A023C_C1">Master!$C$106</definedName>
    <definedName name="A023C_C2">Master!$D$106</definedName>
    <definedName name="A023C_C3">Master!$E$106</definedName>
    <definedName name="A023C_C4">Master!$F$106</definedName>
    <definedName name="A023C_C5">Master!$G$106</definedName>
    <definedName name="A023C1_C1">Master!$C$107</definedName>
    <definedName name="A023C1_C2">Master!$D$107</definedName>
    <definedName name="A023C1_C3">Master!$E$107</definedName>
    <definedName name="A023C1_C4">Master!$F$107</definedName>
    <definedName name="A023C1_C5">Master!$G$107</definedName>
    <definedName name="A023C2_C1">Master!$C$108</definedName>
    <definedName name="A023C2_C2">Master!$D$108</definedName>
    <definedName name="A023C2_C3">Master!$E$108</definedName>
    <definedName name="A023C2_C4">Master!$F$108</definedName>
    <definedName name="A023C2_C5">Master!$G$108</definedName>
    <definedName name="A023D_C1">Master!$C$109</definedName>
    <definedName name="A023D_C2">Master!$D$109</definedName>
    <definedName name="A023D_C3">Master!$E$109</definedName>
    <definedName name="A023D_C4">Master!$F$109</definedName>
    <definedName name="A023D_C5">Master!$G$109</definedName>
    <definedName name="A023E_C1">Master!$C$110</definedName>
    <definedName name="A023E_C2">Master!$D$110</definedName>
    <definedName name="A023E_C3">Master!$E$110</definedName>
    <definedName name="A023E_C4">Master!$F$110</definedName>
    <definedName name="A023E_C5">Master!$G$110</definedName>
    <definedName name="A023F_C1">Master!$C$111</definedName>
    <definedName name="A023F_C2">Master!$D$111</definedName>
    <definedName name="A023F_C3">Master!$E$111</definedName>
    <definedName name="A023F_C4">Master!$F$111</definedName>
    <definedName name="A023F_C5">Master!$G$111</definedName>
    <definedName name="A023G_C1">Master!$C$112</definedName>
    <definedName name="A023G_C2">Master!$D$112</definedName>
    <definedName name="A023G_C3">Master!$E$112</definedName>
    <definedName name="A023G_C4">Master!$F$112</definedName>
    <definedName name="A023G_C5">Master!$G$112</definedName>
    <definedName name="A023G1_C1">Master!$C$113</definedName>
    <definedName name="A023G1_C2">Master!$D$113</definedName>
    <definedName name="A023G1_C3">Master!$E$113</definedName>
    <definedName name="A023G1_C4">Master!$F$113</definedName>
    <definedName name="A023G1_C5">Master!$G$113</definedName>
    <definedName name="A023G2_C1">Master!$C$114</definedName>
    <definedName name="A023G2_C2">Master!$D$114</definedName>
    <definedName name="A023G2_C3">Master!$E$114</definedName>
    <definedName name="A023G2_C4">Master!$F$114</definedName>
    <definedName name="A023G2_C5">Master!$G$114</definedName>
    <definedName name="A023G3_C1">Master!$C$115</definedName>
    <definedName name="A023G3_C2">Master!$D$115</definedName>
    <definedName name="A023G3_C3">Master!$E$115</definedName>
    <definedName name="A023G3_C4">Master!$F$115</definedName>
    <definedName name="A023G3_C5">Master!$G$115</definedName>
    <definedName name="A023G4_C1">Master!$C$116</definedName>
    <definedName name="A023G4_C2">Master!$D$116</definedName>
    <definedName name="A023G4_C3">Master!$E$116</definedName>
    <definedName name="A023G4_C4">Master!$F$116</definedName>
    <definedName name="A023G4_C5">Master!$G$116</definedName>
    <definedName name="A023H_C1">Master!$C$117</definedName>
    <definedName name="A023H_C2">Master!$D$117</definedName>
    <definedName name="A023H_C3">Master!$E$117</definedName>
    <definedName name="A023H_C4">Master!$F$117</definedName>
    <definedName name="A023H_C5">Master!$G$117</definedName>
    <definedName name="A023P_C1">Master!$C$118</definedName>
    <definedName name="A023P_C2">Master!$D$118</definedName>
    <definedName name="A023P_C3">Master!$E$118</definedName>
    <definedName name="A023P_C4">Master!$F$118</definedName>
    <definedName name="A023P_C5">Master!$G$118</definedName>
    <definedName name="A023P1_C1">Master!$C$119</definedName>
    <definedName name="A023P1_C2">Master!$D$119</definedName>
    <definedName name="A023P1_C3">Master!$E$119</definedName>
    <definedName name="A023P1_C4">Master!$F$119</definedName>
    <definedName name="A023P1_C5">Master!$G$119</definedName>
    <definedName name="A023P2_C1">Master!$C$120</definedName>
    <definedName name="A023P2_C2">Master!$D$120</definedName>
    <definedName name="A023P2_C3">Master!$E$120</definedName>
    <definedName name="A023P2_C4">Master!$F$120</definedName>
    <definedName name="A023P2_C5">Master!$G$120</definedName>
    <definedName name="A023P3_C1">Master!$C$121</definedName>
    <definedName name="A023P3_C2">Master!$D$121</definedName>
    <definedName name="A023P3_C3">Master!$E$121</definedName>
    <definedName name="A023P3_C4">Master!$F$121</definedName>
    <definedName name="A023P3_C5">Master!$G$121</definedName>
    <definedName name="A023P4_C1">Master!$C$122</definedName>
    <definedName name="A023P4_C2">Master!$D$122</definedName>
    <definedName name="A023P4_C3">Master!$E$122</definedName>
    <definedName name="A023P4_C4">Master!$F$122</definedName>
    <definedName name="A023P4_C5">Master!$G$122</definedName>
    <definedName name="A023Q_C1">Master!$C$123</definedName>
    <definedName name="A023Q_C2">Master!$D$123</definedName>
    <definedName name="A023Q_C3">Master!$E$123</definedName>
    <definedName name="A023Q_C4">Master!$F$123</definedName>
    <definedName name="A023Q_C5">Master!$G$123</definedName>
    <definedName name="A023T_C1">Master!$C$124</definedName>
    <definedName name="A023T_C2">Master!$D$124</definedName>
    <definedName name="A023T_C3">Master!$E$124</definedName>
    <definedName name="A023T_C4">Master!$F$124</definedName>
    <definedName name="A023T_C5">Master!$G$124</definedName>
    <definedName name="A024B_C1">Master!$C$125</definedName>
    <definedName name="A024B_C2">Master!$D$125</definedName>
    <definedName name="A024B_C3">Master!$E$125</definedName>
    <definedName name="A024B_C4">Master!$F$125</definedName>
    <definedName name="A024B_C5">Master!$G$125</definedName>
    <definedName name="A025A_C1">Master!$C$126</definedName>
    <definedName name="A025A_C2">Master!$D$126</definedName>
    <definedName name="A025A_C3">Master!$E$126</definedName>
    <definedName name="A025A_C4">Master!$F$126</definedName>
    <definedName name="A025A_C5">Master!$G$126</definedName>
    <definedName name="A025B_C1">Master!$C$127</definedName>
    <definedName name="A025B_C2">Master!$D$127</definedName>
    <definedName name="A025B_C3">Master!$E$127</definedName>
    <definedName name="A025B_C4">Master!$F$127</definedName>
    <definedName name="A025B_C5">Master!$G$127</definedName>
    <definedName name="A026B_C1">Master!$C$128</definedName>
    <definedName name="A026B_C2">Master!$D$128</definedName>
    <definedName name="A026B_C3">Master!$E$128</definedName>
    <definedName name="A026B_C4">Master!$F$128</definedName>
    <definedName name="A026B_C5">Master!$G$128</definedName>
    <definedName name="A027B_C1">Master!$C$129</definedName>
    <definedName name="A027B_C2">Master!$D$129</definedName>
    <definedName name="A027B_C3">Master!$E$129</definedName>
    <definedName name="A027B_C4">Master!$F$129</definedName>
    <definedName name="A027B_C5">Master!$G$129</definedName>
    <definedName name="A028B_C1">Master!$C$130</definedName>
    <definedName name="A028B_C2">Master!$D$130</definedName>
    <definedName name="A028B_C3">Master!$E$130</definedName>
    <definedName name="A028B_C4">Master!$F$130</definedName>
    <definedName name="A028B_C5">Master!$G$130</definedName>
    <definedName name="A02Y1_C1">Master!$C$64</definedName>
    <definedName name="A02Y1_C2">Master!$D$64</definedName>
    <definedName name="A02Y1_C3">Master!$E$64</definedName>
    <definedName name="A02Y1_C4">Master!$F$64</definedName>
    <definedName name="A02Y1_C5">Master!$G$64</definedName>
    <definedName name="A031A_C1">Master!$C$131</definedName>
    <definedName name="A031A_C2">Master!$D$131</definedName>
    <definedName name="A031A_C3">Master!$E$131</definedName>
    <definedName name="A031A_C4">Master!$F$131</definedName>
    <definedName name="A031A_C5">Master!$G$131</definedName>
    <definedName name="A031B_C1">Master!$C$132</definedName>
    <definedName name="A031B_C2">Master!$D$132</definedName>
    <definedName name="A031B_C3">Master!$E$132</definedName>
    <definedName name="A031B_C4">Master!$F$132</definedName>
    <definedName name="A031B_C5">Master!$G$132</definedName>
    <definedName name="A031C_C1">Master!$C$133</definedName>
    <definedName name="A031C_C2">Master!$D$133</definedName>
    <definedName name="A031C_C3">Master!$E$133</definedName>
    <definedName name="A031C_C4">Master!$F$133</definedName>
    <definedName name="A031C_C5">Master!$G$133</definedName>
    <definedName name="A031D_C1">Master!$C$134</definedName>
    <definedName name="A031D_C2">Master!$D$134</definedName>
    <definedName name="A031D_C3">Master!$E$134</definedName>
    <definedName name="A031D_C4">Master!$F$134</definedName>
    <definedName name="A031D_C5">Master!$G$134</definedName>
    <definedName name="A041B_C1">Master!$C$135</definedName>
    <definedName name="A041B_C2">Master!$D$135</definedName>
    <definedName name="A041B_C3">Master!$E$135</definedName>
    <definedName name="A041B_C4">Master!$F$135</definedName>
    <definedName name="A041B_C5">Master!$G$135</definedName>
    <definedName name="A041C_C1">Master!$C$136</definedName>
    <definedName name="A041C_C2">Master!$D$136</definedName>
    <definedName name="A041C_C3">Master!$E$136</definedName>
    <definedName name="A041C_C4">Master!$F$136</definedName>
    <definedName name="A041C_C5">Master!$G$136</definedName>
    <definedName name="A041C1_C1">Master!$C$137</definedName>
    <definedName name="A041C1_C2">Master!$D$137</definedName>
    <definedName name="A041C1_C3">Master!$E$137</definedName>
    <definedName name="A041C1_C4">Master!$F$137</definedName>
    <definedName name="A041C1_C5">Master!$G$137</definedName>
    <definedName name="A041C2_C1">Master!$C$138</definedName>
    <definedName name="A041C2_C2">Master!$D$138</definedName>
    <definedName name="A041C2_C3">Master!$E$138</definedName>
    <definedName name="A041C2_C4">Master!$F$138</definedName>
    <definedName name="A041C2_C5">Master!$G$138</definedName>
    <definedName name="A041D_C1">Master!$C$139</definedName>
    <definedName name="A041D_C2">Master!$D$139</definedName>
    <definedName name="A041D_C3">Master!$E$139</definedName>
    <definedName name="A041D_C4">Master!$F$139</definedName>
    <definedName name="A041D_C5">Master!$G$139</definedName>
    <definedName name="A041E_C1">Master!$C$140</definedName>
    <definedName name="A041E_C2">Master!$D$140</definedName>
    <definedName name="A041E_C3">Master!$E$140</definedName>
    <definedName name="A041E_C4">Master!$F$140</definedName>
    <definedName name="A041E_C5">Master!$G$140</definedName>
    <definedName name="A041F_C1">Master!$C$141</definedName>
    <definedName name="A041F_C2">Master!$D$141</definedName>
    <definedName name="A041F_C3">Master!$E$141</definedName>
    <definedName name="A041F_C4">Master!$F$141</definedName>
    <definedName name="A041F_C5">Master!$G$141</definedName>
    <definedName name="A041G_C1">Master!$C$142</definedName>
    <definedName name="A041G_C2">Master!$D$142</definedName>
    <definedName name="A041G_C3">Master!$E$142</definedName>
    <definedName name="A041G_C4">Master!$F$142</definedName>
    <definedName name="A041G_C5">Master!$G$142</definedName>
    <definedName name="A041G1_C1">Master!$C$143</definedName>
    <definedName name="A041G1_C2">Master!$D$143</definedName>
    <definedName name="A041G1_C3">Master!$E$143</definedName>
    <definedName name="A041G1_C4">Master!$F$143</definedName>
    <definedName name="A041G1_C5">Master!$G$143</definedName>
    <definedName name="A041G2_C1">Master!$C$144</definedName>
    <definedName name="A041G2_C2">Master!$D$144</definedName>
    <definedName name="A041G2_C3">Master!$E$144</definedName>
    <definedName name="A041G2_C4">Master!$F$144</definedName>
    <definedName name="A041G2_C5">Master!$G$144</definedName>
    <definedName name="A041G3_C1">Master!$C$145</definedName>
    <definedName name="A041G3_C2">Master!$D$145</definedName>
    <definedName name="A041G3_C3">Master!$E$145</definedName>
    <definedName name="A041G3_C4">Master!$F$145</definedName>
    <definedName name="A041G3_C5">Master!$G$145</definedName>
    <definedName name="A041G4_C1">Master!$C$146</definedName>
    <definedName name="A041G4_C2">Master!$D$146</definedName>
    <definedName name="A041G4_C3">Master!$E$146</definedName>
    <definedName name="A041G4_C4">Master!$F$146</definedName>
    <definedName name="A041G4_C5">Master!$G$146</definedName>
    <definedName name="A041H_C1">Master!$C$147</definedName>
    <definedName name="A041H_C2">Master!$D$147</definedName>
    <definedName name="A041H_C3">Master!$E$147</definedName>
    <definedName name="A041H_C4">Master!$F$147</definedName>
    <definedName name="A041H_C5">Master!$G$147</definedName>
    <definedName name="A041H1_C1">Master!$C$148</definedName>
    <definedName name="A041H1_C2">Master!$D$148</definedName>
    <definedName name="A041H1_C3">Master!$E$148</definedName>
    <definedName name="A041H1_C4">Master!$F$148</definedName>
    <definedName name="A041H1_C5">Master!$G$148</definedName>
    <definedName name="A041I_C1">Master!$C$149</definedName>
    <definedName name="A041I_C2">Master!$D$149</definedName>
    <definedName name="A041I_C3">Master!$E$149</definedName>
    <definedName name="A041I_C4">Master!$F$149</definedName>
    <definedName name="A041I_C5">Master!$G$149</definedName>
    <definedName name="A041J_C1">Master!$C$150</definedName>
    <definedName name="A041J_C2">Master!$D$150</definedName>
    <definedName name="A041J_C3">Master!$E$150</definedName>
    <definedName name="A041J_C4">Master!$F$150</definedName>
    <definedName name="A041J_C5">Master!$G$150</definedName>
    <definedName name="A041K_C1">Master!$C$151</definedName>
    <definedName name="A041K_C2">Master!$D$151</definedName>
    <definedName name="A041K_C3">Master!$E$151</definedName>
    <definedName name="A041K_C4">Master!$F$151</definedName>
    <definedName name="A041K_C5">Master!$G$151</definedName>
    <definedName name="A041L_C1">Master!$C$152</definedName>
    <definedName name="A041L_C2">Master!$D$152</definedName>
    <definedName name="A041L_C3">Master!$E$152</definedName>
    <definedName name="A041L_C4">Master!$F$152</definedName>
    <definedName name="A041L_C5">Master!$G$152</definedName>
    <definedName name="A041M_C1">Master!$C$153</definedName>
    <definedName name="A041M_C2">Master!$D$153</definedName>
    <definedName name="A041M_C3">Master!$E$153</definedName>
    <definedName name="A041M_C4">Master!$F$153</definedName>
    <definedName name="A041M_C5">Master!$G$153</definedName>
    <definedName name="A041P_C1">Master!$C$154</definedName>
    <definedName name="A041P_C2">Master!$D$154</definedName>
    <definedName name="A041P_C3">Master!$E$154</definedName>
    <definedName name="A041P_C4">Master!$F$154</definedName>
    <definedName name="A041P_C5">Master!$G$154</definedName>
    <definedName name="A041P1_C1">Master!$C$155</definedName>
    <definedName name="A041P1_C2">Master!$D$155</definedName>
    <definedName name="A041P1_C3">Master!$E$155</definedName>
    <definedName name="A041P1_C4">Master!$F$155</definedName>
    <definedName name="A041P1_C5">Master!$G$155</definedName>
    <definedName name="A041P2_C1">Master!$C$156</definedName>
    <definedName name="A041P2_C2">Master!$D$156</definedName>
    <definedName name="A041P2_C3">Master!$E$156</definedName>
    <definedName name="A041P2_C4">Master!$F$156</definedName>
    <definedName name="A041P2_C5">Master!$G$156</definedName>
    <definedName name="A041P3_C1">Master!$C$157</definedName>
    <definedName name="A041P3_C2">Master!$D$157</definedName>
    <definedName name="A041P3_C3">Master!$E$157</definedName>
    <definedName name="A041P3_C4">Master!$F$157</definedName>
    <definedName name="A041P3_C5">Master!$G$157</definedName>
    <definedName name="A041P4_C1">Master!$C$158</definedName>
    <definedName name="A041P4_C2">Master!$D$158</definedName>
    <definedName name="A041P4_C3">Master!$E$158</definedName>
    <definedName name="A041P4_C4">Master!$F$158</definedName>
    <definedName name="A041P4_C5">Master!$G$158</definedName>
    <definedName name="A041Q_C1">Master!$C$159</definedName>
    <definedName name="A041Q_C2">Master!$D$159</definedName>
    <definedName name="A041Q_C3">Master!$E$159</definedName>
    <definedName name="A041Q_C4">Master!$F$159</definedName>
    <definedName name="A041Q_C5">Master!$G$159</definedName>
    <definedName name="A041R_C1">Master!$C$160</definedName>
    <definedName name="A041R_C2">Master!$D$160</definedName>
    <definedName name="A041R_C3">Master!$E$160</definedName>
    <definedName name="A041R_C4">Master!$F$160</definedName>
    <definedName name="A041R_C5">Master!$G$160</definedName>
    <definedName name="A041S_C1">Master!$C$161</definedName>
    <definedName name="A041S_C2">Master!$D$161</definedName>
    <definedName name="A041S_C3">Master!$E$161</definedName>
    <definedName name="A041S_C4">Master!$F$161</definedName>
    <definedName name="A041S_C5">Master!$G$161</definedName>
    <definedName name="A041T_C1">Master!$C$162</definedName>
    <definedName name="A041T_C2">Master!$D$162</definedName>
    <definedName name="A041T_C3">Master!$E$162</definedName>
    <definedName name="A041T_C4">Master!$F$162</definedName>
    <definedName name="A041T_C5">Master!$G$162</definedName>
    <definedName name="A041U_C1">Master!$C$163</definedName>
    <definedName name="A041U_C2">Master!$D$163</definedName>
    <definedName name="A041U_C3">Master!$E$163</definedName>
    <definedName name="A041U_C4">Master!$F$163</definedName>
    <definedName name="A041U_C5">Master!$G$163</definedName>
    <definedName name="A041V_C1">Master!$C$164</definedName>
    <definedName name="A041V_C2">Master!$D$164</definedName>
    <definedName name="A041V_C3">Master!$E$164</definedName>
    <definedName name="A041V_C4">Master!$F$164</definedName>
    <definedName name="A041V_C5">Master!$G$164</definedName>
    <definedName name="A041W_C1">Master!$C$165</definedName>
    <definedName name="A041W_C2">Master!$D$165</definedName>
    <definedName name="A041W_C3">Master!$E$165</definedName>
    <definedName name="A041W_C4">Master!$F$165</definedName>
    <definedName name="A041W_C5">Master!$G$165</definedName>
    <definedName name="A041W1_C1">Master!$C$166</definedName>
    <definedName name="A041W1_C2">Master!$D$166</definedName>
    <definedName name="A041W1_C3">Master!$E$166</definedName>
    <definedName name="A041W1_C4">Master!$F$166</definedName>
    <definedName name="A041W1_C5">Master!$G$166</definedName>
    <definedName name="A041X_C1">Master!$C$167</definedName>
    <definedName name="A041X_C2">Master!$D$167</definedName>
    <definedName name="A041X_C3">Master!$E$167</definedName>
    <definedName name="A041X_C4">Master!$F$167</definedName>
    <definedName name="A041X_C5">Master!$G$167</definedName>
    <definedName name="A041Y_C1">Master!$C$168</definedName>
    <definedName name="A041Y_C2">Master!$D$168</definedName>
    <definedName name="A041Y_C3">Master!$E$168</definedName>
    <definedName name="A041Y_C4">Master!$F$168</definedName>
    <definedName name="A041Y_C5">Master!$G$168</definedName>
    <definedName name="A041Y1_C1">Master!$C$169</definedName>
    <definedName name="A041Y1_C2">Master!$D$169</definedName>
    <definedName name="A041Y1_C3">Master!$E$169</definedName>
    <definedName name="A041Y1_C4">Master!$F$169</definedName>
    <definedName name="A041Y1_C5">Master!$G$169</definedName>
    <definedName name="A042_C1">Master!$C$170</definedName>
    <definedName name="A042_C2">Master!$D$170</definedName>
    <definedName name="A042_C3">Master!$E$170</definedName>
    <definedName name="A042_C4">Master!$F$170</definedName>
    <definedName name="A042_C5">Master!$G$170</definedName>
    <definedName name="A042A_C1">Master!$C$171</definedName>
    <definedName name="A042A_C2">Master!$D$171</definedName>
    <definedName name="A042A_C3">Master!$E$171</definedName>
    <definedName name="A042A_C4">Master!$F$171</definedName>
    <definedName name="A042A_C5">Master!$G$171</definedName>
    <definedName name="A042A1_C1">Master!$C$172</definedName>
    <definedName name="A042A1_C2">Master!$D$172</definedName>
    <definedName name="A042A1_C3">Master!$E$172</definedName>
    <definedName name="A042A1_C4">Master!$F$172</definedName>
    <definedName name="A042A1_C5">Master!$G$172</definedName>
    <definedName name="A042A2_C1">Master!$C$173</definedName>
    <definedName name="A042A2_C2">Master!$D$173</definedName>
    <definedName name="A042A2_C3">Master!$E$173</definedName>
    <definedName name="A042A2_C4">Master!$F$173</definedName>
    <definedName name="A042A2_C5">Master!$G$173</definedName>
    <definedName name="A042A3_C1">Master!$C$174</definedName>
    <definedName name="A042A3_C2">Master!$D$174</definedName>
    <definedName name="A042A3_C3">Master!$E$174</definedName>
    <definedName name="A042A3_C4">Master!$F$174</definedName>
    <definedName name="A042A3_C5">Master!$G$174</definedName>
    <definedName name="A042A4_C1">Master!$C$175</definedName>
    <definedName name="A042A4_C2">Master!$D$175</definedName>
    <definedName name="A042A4_C3">Master!$E$175</definedName>
    <definedName name="A042A4_C4">Master!$F$175</definedName>
    <definedName name="A042A4_C5">Master!$G$175</definedName>
    <definedName name="A042A5_C1">Master!$C$176</definedName>
    <definedName name="A042A5_C2">Master!$D$176</definedName>
    <definedName name="A042A5_C3">Master!$E$176</definedName>
    <definedName name="A042A5_C4">Master!$F$176</definedName>
    <definedName name="A042A5_C5">Master!$G$176</definedName>
    <definedName name="A042A6_C1">Master!$C$177</definedName>
    <definedName name="A042A6_C2">Master!$D$177</definedName>
    <definedName name="A042A6_C3">Master!$E$177</definedName>
    <definedName name="A042A6_C4">Master!$F$177</definedName>
    <definedName name="A042A6_C5">Master!$G$177</definedName>
    <definedName name="A042A7_C1">Master!$C$178</definedName>
    <definedName name="A042A7_C2">Master!$D$178</definedName>
    <definedName name="A042A7_C3">Master!$E$178</definedName>
    <definedName name="A042A7_C4">Master!$F$178</definedName>
    <definedName name="A042A7_C5">Master!$G$178</definedName>
    <definedName name="A042A8_C1">Master!$C$179</definedName>
    <definedName name="A042A8_C2">Master!$D$179</definedName>
    <definedName name="A042A8_C3">Master!$E$179</definedName>
    <definedName name="A042A8_C4">Master!$F$179</definedName>
    <definedName name="A042A8_C5">Master!$G$179</definedName>
    <definedName name="A042A9_C1">Master!$C$180</definedName>
    <definedName name="A042A9_C2">Master!$D$180</definedName>
    <definedName name="A042A9_C3">Master!$E$180</definedName>
    <definedName name="A042A9_C4">Master!$F$180</definedName>
    <definedName name="A042A9_C5">Master!$G$180</definedName>
    <definedName name="A045B_C1">Master!$C$181</definedName>
    <definedName name="A045B_C2">Master!$D$181</definedName>
    <definedName name="A045B_C3">Master!$E$181</definedName>
    <definedName name="A045B_C4">Master!$F$181</definedName>
    <definedName name="A045B_C5">Master!$G$181</definedName>
    <definedName name="A058A_C1">Master!$C$182</definedName>
    <definedName name="A058A_C2">Master!$D$182</definedName>
    <definedName name="A058A_C3">Master!$E$182</definedName>
    <definedName name="A058A_C4">Master!$F$182</definedName>
    <definedName name="A058A_C5">Master!$G$182</definedName>
    <definedName name="A058B1_C1">Master!$C$183</definedName>
    <definedName name="A058B1_C2">Master!$D$183</definedName>
    <definedName name="A058B1_C3">Master!$E$183</definedName>
    <definedName name="A058B1_C4">Master!$F$183</definedName>
    <definedName name="A058B1_C5">Master!$G$183</definedName>
    <definedName name="A058B2_C1">Master!$C$184</definedName>
    <definedName name="A058B2_C2">Master!$D$184</definedName>
    <definedName name="A058B2_C3">Master!$E$184</definedName>
    <definedName name="A058B2_C4">Master!$F$184</definedName>
    <definedName name="A058B2_C5">Master!$G$184</definedName>
    <definedName name="A058C_C1">Master!$C$185</definedName>
    <definedName name="A058C_C2">Master!$D$185</definedName>
    <definedName name="A058C_C3">Master!$E$185</definedName>
    <definedName name="A058C_C4">Master!$F$185</definedName>
    <definedName name="A058C_C5">Master!$G$185</definedName>
    <definedName name="A065_C1">Master!$C$186</definedName>
    <definedName name="A065_C2">Master!$D$186</definedName>
    <definedName name="A065_C3">Master!$E$186</definedName>
    <definedName name="A065_C4">Master!$F$186</definedName>
    <definedName name="A065_C5">Master!$G$186</definedName>
    <definedName name="A065A4_C1">Master!$C$187</definedName>
    <definedName name="A065A4_C2">Master!$D$187</definedName>
    <definedName name="A065A4_C3">Master!$E$187</definedName>
    <definedName name="A065A4_C4">Master!$F$187</definedName>
    <definedName name="A065A4_C5">Master!$G$187</definedName>
    <definedName name="A067_C1">Master!$C$188</definedName>
    <definedName name="A067_C2">Master!$D$188</definedName>
    <definedName name="A067_C3">Master!$E$188</definedName>
    <definedName name="A067_C4">Master!$F$188</definedName>
    <definedName name="A067_C5">Master!$G$188</definedName>
    <definedName name="A067A2_C1">Master!$C$189</definedName>
    <definedName name="A067A2_C2">Master!$D$189</definedName>
    <definedName name="A067A2_C3">Master!$E$189</definedName>
    <definedName name="A067A2_C4">Master!$F$189</definedName>
    <definedName name="A067A2_C5">Master!$G$189</definedName>
    <definedName name="A068_C1">Master!$C$190</definedName>
    <definedName name="A068_C2">Master!$D$190</definedName>
    <definedName name="A068_C3">Master!$E$190</definedName>
    <definedName name="A068_C4">Master!$F$190</definedName>
    <definedName name="A068_C5">Master!$G$190</definedName>
    <definedName name="A068A_C1">Master!$C$191</definedName>
    <definedName name="A068A_C2">Master!$D$191</definedName>
    <definedName name="A068A_C3">Master!$E$191</definedName>
    <definedName name="A068A_C4">Master!$F$191</definedName>
    <definedName name="A068A_C5">Master!$G$191</definedName>
    <definedName name="A069_C1">Master!$C$192</definedName>
    <definedName name="A069_C2">Master!$D$192</definedName>
    <definedName name="A069_C3">Master!$E$192</definedName>
    <definedName name="A069_C4">Master!$F$192</definedName>
    <definedName name="A069_C5">Master!$G$192</definedName>
    <definedName name="A069A_C1">Master!$C$193</definedName>
    <definedName name="A069A_C2">Master!$D$193</definedName>
    <definedName name="A069A_C3">Master!$E$193</definedName>
    <definedName name="A069A_C4">Master!$F$193</definedName>
    <definedName name="A069A_C5">Master!$G$193</definedName>
    <definedName name="A071F_C1">Master!$C$194</definedName>
    <definedName name="A071F_C2">Master!$D$194</definedName>
    <definedName name="A071F_C3">Master!$E$194</definedName>
    <definedName name="A071F_C4">Master!$F$194</definedName>
    <definedName name="A071F_C5">Master!$G$194</definedName>
    <definedName name="A071J_C1">Master!$C$195</definedName>
    <definedName name="A071J_C2">Master!$D$195</definedName>
    <definedName name="A071J_C3">Master!$E$195</definedName>
    <definedName name="A071J_C4">Master!$F$195</definedName>
    <definedName name="A071J_C5">Master!$G$195</definedName>
    <definedName name="A076_1_C1">Master!$C$197</definedName>
    <definedName name="A076_1_C2">Master!$D$197</definedName>
    <definedName name="A076_1_C3">Master!$E$197</definedName>
    <definedName name="A076_1_C4">Master!$F$197</definedName>
    <definedName name="A076_1_C5">Master!$G$197</definedName>
    <definedName name="A076_2_C1">Master!$C$198</definedName>
    <definedName name="A076_2_C2">Master!$D$198</definedName>
    <definedName name="A076_2_C3">Master!$E$198</definedName>
    <definedName name="A076_2_C4">Master!$F$198</definedName>
    <definedName name="A076_2_C5">Master!$G$198</definedName>
    <definedName name="A076_3_C1">Master!$C$199</definedName>
    <definedName name="A076_3_C2">Master!$D$199</definedName>
    <definedName name="A076_3_C3">Master!$E$199</definedName>
    <definedName name="A076_3_C4">Master!$F$199</definedName>
    <definedName name="A076_3_C5">Master!$G$199</definedName>
    <definedName name="A076_4_C1">Master!$C$200</definedName>
    <definedName name="A076_4_C2">Master!$D$200</definedName>
    <definedName name="A076_4_C3">Master!$E$200</definedName>
    <definedName name="A076_4_C4">Master!$F$200</definedName>
    <definedName name="A076_4_C5">Master!$G$200</definedName>
    <definedName name="A076_5_C1">Master!$C$201</definedName>
    <definedName name="A076_5_C2">Master!$D$201</definedName>
    <definedName name="A076_5_C3">Master!$E$201</definedName>
    <definedName name="A076_5_C4">Master!$F$201</definedName>
    <definedName name="A076_5_C5">Master!$G$201</definedName>
    <definedName name="A076_C1">Master!$C$196</definedName>
    <definedName name="A076_C2">Master!$D$196</definedName>
    <definedName name="A076_C3">Master!$E$196</definedName>
    <definedName name="A076_C4">Master!$F$196</definedName>
    <definedName name="A076_C5">Master!$G$196</definedName>
    <definedName name="A081_C1">Master!$C$202</definedName>
    <definedName name="A081_C2">Master!$D$202</definedName>
    <definedName name="A081_C3">Master!$E$202</definedName>
    <definedName name="A081_C4">Master!$F$202</definedName>
    <definedName name="A081_C5">Master!$G$202</definedName>
    <definedName name="A082_C1">Master!$C$203</definedName>
    <definedName name="A082_C2">Master!$D$203</definedName>
    <definedName name="A082_C3">Master!$E$203</definedName>
    <definedName name="A082_C4">Master!$F$203</definedName>
    <definedName name="A082_C5">Master!$G$203</definedName>
    <definedName name="A083_C1">Master!$C$204</definedName>
    <definedName name="A083_C2">Master!$D$204</definedName>
    <definedName name="A083_C3">Master!$E$204</definedName>
    <definedName name="A083_C4">Master!$F$204</definedName>
    <definedName name="A083_C5">Master!$G$204</definedName>
    <definedName name="A084_C1">Master!$C$205</definedName>
    <definedName name="A084_C2">Master!$D$205</definedName>
    <definedName name="A084_C3">Master!$E$205</definedName>
    <definedName name="A084_C4">Master!$F$205</definedName>
    <definedName name="A084_C5">Master!$G$205</definedName>
    <definedName name="A088_C1">Master!$C$206</definedName>
    <definedName name="A088_C2">Master!$D$206</definedName>
    <definedName name="A088_C3">Master!$E$206</definedName>
    <definedName name="A088_C4">Master!$F$206</definedName>
    <definedName name="A088_C5">Master!$G$206</definedName>
    <definedName name="A089B_C1">Master!$C$207</definedName>
    <definedName name="A089B_C2">Master!$D$207</definedName>
    <definedName name="A089B_C3">Master!$E$207</definedName>
    <definedName name="A089B_C4">Master!$F$207</definedName>
    <definedName name="A089B_C5">Master!$G$207</definedName>
    <definedName name="A1001A_C1">Master!$C$208</definedName>
    <definedName name="A1001A_C2">Master!$D$208</definedName>
    <definedName name="A1001A_C3">Master!$E$208</definedName>
    <definedName name="A1001A_C4">Master!$F$208</definedName>
    <definedName name="A1001A_C5">Master!$G$208</definedName>
    <definedName name="A1001B_C1">Master!$C$209</definedName>
    <definedName name="A1001B_C2">Master!$D$209</definedName>
    <definedName name="A1001B_C3">Master!$E$209</definedName>
    <definedName name="A1001B_C4">Master!$F$209</definedName>
    <definedName name="A1001B_C5">Master!$G$209</definedName>
    <definedName name="A1001C_C1">Master!$C$210</definedName>
    <definedName name="A1001C_C2">Master!$D$210</definedName>
    <definedName name="A1001C_C3">Master!$E$210</definedName>
    <definedName name="A1001C_C4">Master!$F$210</definedName>
    <definedName name="A1001C_C5">Master!$G$210</definedName>
    <definedName name="A1001D_C1">Master!$C$211</definedName>
    <definedName name="A1001D_C2">Master!$D$211</definedName>
    <definedName name="A1001D_C3">Master!$E$211</definedName>
    <definedName name="A1001D_C4">Master!$F$211</definedName>
    <definedName name="A1001D_C5">Master!$G$211</definedName>
    <definedName name="A1001E_C1">Master!$C$212</definedName>
    <definedName name="A1001E_C2">Master!$D$212</definedName>
    <definedName name="A1001E_C3">Master!$E$212</definedName>
    <definedName name="A1001E_C4">Master!$F$212</definedName>
    <definedName name="A1001E_C5">Master!$G$212</definedName>
    <definedName name="A1001F_C1">Master!$C$213</definedName>
    <definedName name="A1001F_C2">Master!$D$213</definedName>
    <definedName name="A1001F_C3">Master!$E$213</definedName>
    <definedName name="A1001F_C4">Master!$F$213</definedName>
    <definedName name="A1001F_C5">Master!$G$213</definedName>
    <definedName name="A1003_C1">Master!$C$214</definedName>
    <definedName name="A1003_C2">Master!$D$214</definedName>
    <definedName name="A1003_C3">Master!$E$214</definedName>
    <definedName name="A1003_C4">Master!$F$214</definedName>
    <definedName name="A1003_C5">Master!$G$214</definedName>
    <definedName name="A1004_C1">Master!$C$215</definedName>
    <definedName name="A1004_C2">Master!$D$215</definedName>
    <definedName name="A1004_C3">Master!$E$215</definedName>
    <definedName name="A1004_C4">Master!$F$215</definedName>
    <definedName name="A1004_C5">Master!$G$215</definedName>
    <definedName name="A1005_C1">Master!$C$216</definedName>
    <definedName name="A1005_C2">Master!$D$216</definedName>
    <definedName name="A1005_C3">Master!$E$216</definedName>
    <definedName name="A1005_C4">Master!$F$216</definedName>
    <definedName name="A1005_C5">Master!$G$216</definedName>
    <definedName name="A1005A_C1">Master!$C$217</definedName>
    <definedName name="A1005A_C2">Master!$D$217</definedName>
    <definedName name="A1005A_C3">Master!$E$217</definedName>
    <definedName name="A1005A_C4">Master!$F$217</definedName>
    <definedName name="A1005A_C5">Master!$G$217</definedName>
    <definedName name="A1011A_C1">Master!$C$218</definedName>
    <definedName name="A1011A_C2">Master!$D$218</definedName>
    <definedName name="A1011A_C3">Master!$E$218</definedName>
    <definedName name="A1011A_C4">Master!$F$218</definedName>
    <definedName name="A1011A_C5">Master!$G$218</definedName>
    <definedName name="A1011B_C1">Master!$C$219</definedName>
    <definedName name="A1011B_C2">Master!$D$219</definedName>
    <definedName name="A1011B_C3">Master!$E$219</definedName>
    <definedName name="A1011B_C4">Master!$F$219</definedName>
    <definedName name="A1011B_C5">Master!$G$219</definedName>
    <definedName name="A1011C_C1">Master!$C$220</definedName>
    <definedName name="A1011C_C2">Master!$D$220</definedName>
    <definedName name="A1011C_C3">Master!$E$220</definedName>
    <definedName name="A1011C_C4">Master!$F$220</definedName>
    <definedName name="A1011C_C5">Master!$G$220</definedName>
    <definedName name="A1011D_C1">Master!$C$221</definedName>
    <definedName name="A1011D_C2">Master!$D$221</definedName>
    <definedName name="A1011D_C3">Master!$E$221</definedName>
    <definedName name="A1011D_C4">Master!$F$221</definedName>
    <definedName name="A1011D_C5">Master!$G$221</definedName>
    <definedName name="A1011E_C1">Master!$C$222</definedName>
    <definedName name="A1011E_C2">Master!$D$222</definedName>
    <definedName name="A1011E_C3">Master!$E$222</definedName>
    <definedName name="A1011E_C4">Master!$F$222</definedName>
    <definedName name="A1011E_C5">Master!$G$222</definedName>
    <definedName name="A1011F_C1">Master!$C$223</definedName>
    <definedName name="A1011F_C2">Master!$D$223</definedName>
    <definedName name="A1011F_C3">Master!$E$223</definedName>
    <definedName name="A1011F_C4">Master!$F$223</definedName>
    <definedName name="A1011F_C5">Master!$G$223</definedName>
    <definedName name="A1011G_C1">Master!$C$224</definedName>
    <definedName name="A1011G_C2">Master!$D$224</definedName>
    <definedName name="A1011G_C3">Master!$E$224</definedName>
    <definedName name="A1011G_C4">Master!$F$224</definedName>
    <definedName name="A1011G_C5">Master!$G$224</definedName>
    <definedName name="A1013_C1">Master!$C$225</definedName>
    <definedName name="A1013_C2">Master!$D$225</definedName>
    <definedName name="A1013_C3">Master!$E$225</definedName>
    <definedName name="A1013_C4">Master!$F$225</definedName>
    <definedName name="A1013_C5">Master!$G$225</definedName>
    <definedName name="A1020_C1">Master!$C$226</definedName>
    <definedName name="A1020_C2">Master!$D$226</definedName>
    <definedName name="A1020_C3">Master!$E$226</definedName>
    <definedName name="A1020_C4">Master!$F$226</definedName>
    <definedName name="A1020_C5">Master!$G$226</definedName>
    <definedName name="A1020C_C1">Master!$C$227</definedName>
    <definedName name="A1020C_C2">Master!$D$227</definedName>
    <definedName name="A1020C_C3">Master!$E$227</definedName>
    <definedName name="A1020C_C4">Master!$F$227</definedName>
    <definedName name="A1020C_C5">Master!$G$227</definedName>
    <definedName name="A1020Y_C1">Master!$C$228</definedName>
    <definedName name="A1020Y_C2">Master!$D$228</definedName>
    <definedName name="A1020Y_C3">Master!$E$228</definedName>
    <definedName name="A1020Y_C4">Master!$F$228</definedName>
    <definedName name="A1020Y_C5">Master!$G$228</definedName>
    <definedName name="A1021_C1">Master!$C$229</definedName>
    <definedName name="A1021_C2">Master!$D$229</definedName>
    <definedName name="A1021_C3">Master!$E$229</definedName>
    <definedName name="A1021_C4">Master!$F$229</definedName>
    <definedName name="A1021_C5">Master!$G$229</definedName>
    <definedName name="A1021C_C1">Master!$C$230</definedName>
    <definedName name="A1021C_C2">Master!$D$230</definedName>
    <definedName name="A1021C_C3">Master!$E$230</definedName>
    <definedName name="A1021C_C4">Master!$F$230</definedName>
    <definedName name="A1021C_C5">Master!$G$230</definedName>
    <definedName name="A1021Y_C1">Master!$C$231</definedName>
    <definedName name="A1021Y_C2">Master!$D$231</definedName>
    <definedName name="A1021Y_C3">Master!$E$231</definedName>
    <definedName name="A1021Y_C4">Master!$F$231</definedName>
    <definedName name="A1021Y_C5">Master!$G$231</definedName>
    <definedName name="A1022C_C1">Master!$C$232</definedName>
    <definedName name="A1022C_C2">Master!$D$232</definedName>
    <definedName name="A1022C_C3">Master!$E$232</definedName>
    <definedName name="A1022C_C4">Master!$F$232</definedName>
    <definedName name="A1022C_C5">Master!$G$232</definedName>
    <definedName name="A1023_C1">Master!$C$233</definedName>
    <definedName name="A1023_C2">Master!$D$233</definedName>
    <definedName name="A1023_C3">Master!$E$233</definedName>
    <definedName name="A1023_C4">Master!$F$233</definedName>
    <definedName name="A1023_C5">Master!$G$233</definedName>
    <definedName name="A1023Y_C1">Master!$C$234</definedName>
    <definedName name="A1023Y_C2">Master!$D$234</definedName>
    <definedName name="A1023Y_C3">Master!$E$234</definedName>
    <definedName name="A1023Y_C4">Master!$F$234</definedName>
    <definedName name="A1023Y_C5">Master!$G$234</definedName>
    <definedName name="A102C_C4">Master!$F$227</definedName>
    <definedName name="A102C_C5">Master!$G$227</definedName>
    <definedName name="A1030_C1">Master!$C$235</definedName>
    <definedName name="A1030_C2">Master!$D$235</definedName>
    <definedName name="A1030_C3">Master!$E$235</definedName>
    <definedName name="A1030_C4">Master!$F$235</definedName>
    <definedName name="A1030_C5">Master!$G$235</definedName>
    <definedName name="A1030C_C1">Master!$C$236</definedName>
    <definedName name="A1030C_C2">Master!$D$236</definedName>
    <definedName name="A1030C_C3">Master!$E$236</definedName>
    <definedName name="A1030C_C4">Master!$F$236</definedName>
    <definedName name="A1030C_C5">Master!$G$236</definedName>
    <definedName name="A1031_C1">Master!$C$237</definedName>
    <definedName name="A1031_C2">Master!$D$237</definedName>
    <definedName name="A1031_C3">Master!$E$237</definedName>
    <definedName name="A1031_C4">Master!$F$237</definedName>
    <definedName name="A1031_C5">Master!$G$237</definedName>
    <definedName name="A1032_C1">Master!$C$238</definedName>
    <definedName name="A1032_C2">Master!$D$238</definedName>
    <definedName name="A1032_C3">Master!$E$238</definedName>
    <definedName name="A1032_C4">Master!$F$238</definedName>
    <definedName name="A1032_C5">Master!$G$238</definedName>
    <definedName name="A1033_C1">Master!$C$239</definedName>
    <definedName name="A1033_C2">Master!$D$239</definedName>
    <definedName name="A1033_C3">Master!$E$239</definedName>
    <definedName name="A1033_C4">Master!$F$239</definedName>
    <definedName name="A1033_C5">Master!$G$239</definedName>
    <definedName name="A1034_C1">Master!$C$240</definedName>
    <definedName name="A1034_C2">Master!$D$240</definedName>
    <definedName name="A1034_C3">Master!$E$240</definedName>
    <definedName name="A1034_C4">Master!$F$240</definedName>
    <definedName name="A1034_C5">Master!$G$240</definedName>
    <definedName name="A1061_C1">Master!$C$241</definedName>
    <definedName name="A1061_C2">Master!$D$241</definedName>
    <definedName name="A1061_C3">Master!$E$241</definedName>
    <definedName name="A1061_C4">Master!$F$241</definedName>
    <definedName name="A1061_C5">Master!$G$241</definedName>
    <definedName name="A1062_C1">Master!$C$242</definedName>
    <definedName name="A1062_C2">Master!$D$242</definedName>
    <definedName name="A1062_C3">Master!$E$242</definedName>
    <definedName name="A1062_C4">Master!$F$242</definedName>
    <definedName name="A1062_C5">Master!$G$242</definedName>
    <definedName name="A1063_C1">Master!$C$243</definedName>
    <definedName name="A1063_C2">Master!$D$243</definedName>
    <definedName name="A1063_C3">Master!$E$243</definedName>
    <definedName name="A1063_C4">Master!$F$243</definedName>
    <definedName name="A1063_C5">Master!$G$243</definedName>
    <definedName name="A110_C1">Master!$C$244</definedName>
    <definedName name="A110_C2">Master!$D$244</definedName>
    <definedName name="A110_C3">Master!$E$244</definedName>
    <definedName name="A110_C4">Master!$F$244</definedName>
    <definedName name="A110_C5">Master!$G$244</definedName>
    <definedName name="A115_C1">Master!$C$245</definedName>
    <definedName name="A115_C2">Master!$D$245</definedName>
    <definedName name="A115_C3">Master!$E$245</definedName>
    <definedName name="A115_C4">Master!$F$245</definedName>
    <definedName name="A115_C5">Master!$G$245</definedName>
    <definedName name="A116_C1">Master!$C$246</definedName>
    <definedName name="A116_C2">Master!$D$246</definedName>
    <definedName name="A116_C3">Master!$E$246</definedName>
    <definedName name="A116_C4">Master!$F$246</definedName>
    <definedName name="A116_C5">Master!$G$246</definedName>
    <definedName name="A117_C1">Master!$C$247</definedName>
    <definedName name="A117_C2">Master!$D$247</definedName>
    <definedName name="A117_C3">Master!$E$247</definedName>
    <definedName name="A117_C4">Master!$F$247</definedName>
    <definedName name="A117_C5">Master!$G$247</definedName>
    <definedName name="A119_C1">Master!$C$248</definedName>
    <definedName name="A119_C2">Master!$D$248</definedName>
    <definedName name="A119_C3">Master!$E$248</definedName>
    <definedName name="A119_C4">Master!$F$248</definedName>
    <definedName name="A119_C5">Master!$G$248</definedName>
    <definedName name="A120_C1">Master!$C$249</definedName>
    <definedName name="A120_C2">Master!$D$249</definedName>
    <definedName name="A120_C3">Master!$E$249</definedName>
    <definedName name="A120_C4">Master!$F$249</definedName>
    <definedName name="A120_C5">Master!$G$249</definedName>
    <definedName name="A124_C1">Master!$C$250</definedName>
    <definedName name="A124_C2">Master!$D$250</definedName>
    <definedName name="A124_C3">Master!$E$250</definedName>
    <definedName name="A124_C4">Master!$F$250</definedName>
    <definedName name="A124_C5">Master!$G$250</definedName>
    <definedName name="A125A_C1">Master!$C$251</definedName>
    <definedName name="A125A_C2">Master!$D$251</definedName>
    <definedName name="A125A_C3">Master!$E$251</definedName>
    <definedName name="A125A_C4">Master!$F$251</definedName>
    <definedName name="A125A_C5">Master!$G$251</definedName>
    <definedName name="A125B_C1">Master!$C$252</definedName>
    <definedName name="A125B_C2">Master!$D$252</definedName>
    <definedName name="A125B_C3">Master!$E$252</definedName>
    <definedName name="A125B_C4">Master!$F$252</definedName>
    <definedName name="A125B_C5">Master!$G$252</definedName>
    <definedName name="A125C_C1">Master!$C$253</definedName>
    <definedName name="A125C_C2">Master!$D$253</definedName>
    <definedName name="A125C_C3">Master!$E$253</definedName>
    <definedName name="A125C_C4">Master!$F$253</definedName>
    <definedName name="A125C_C5">Master!$G$253</definedName>
    <definedName name="A125D_C1">Master!$C$254</definedName>
    <definedName name="A125D_C2">Master!$D$254</definedName>
    <definedName name="A125D_C3">Master!$E$254</definedName>
    <definedName name="A125D_C4">Master!$F$254</definedName>
    <definedName name="A125D_C5">Master!$G$254</definedName>
    <definedName name="A125E_C1">Master!$C$255</definedName>
    <definedName name="A125E_C2">Master!$D$255</definedName>
    <definedName name="A125E_C3">Master!$E$255</definedName>
    <definedName name="A125E_C4">Master!$F$255</definedName>
    <definedName name="A125E_C5">Master!$G$255</definedName>
    <definedName name="A126A_C1">Master!$C$256</definedName>
    <definedName name="A126A_C2">Master!$D$256</definedName>
    <definedName name="A126A_C3">Master!$E$256</definedName>
    <definedName name="A126A_C4">Master!$F$256</definedName>
    <definedName name="A126A_C5">Master!$G$256</definedName>
    <definedName name="A126B_C1">Master!$C$257</definedName>
    <definedName name="A126B_C2">Master!$D$257</definedName>
    <definedName name="A126B_C3">Master!$E$257</definedName>
    <definedName name="A126B_C4">Master!$F$257</definedName>
    <definedName name="A126B_C5">Master!$G$257</definedName>
    <definedName name="A126C_C1">Master!$C$258</definedName>
    <definedName name="A126C_C2">Master!$D$258</definedName>
    <definedName name="A126C_C3">Master!$E$258</definedName>
    <definedName name="A126C_C4">Master!$F$258</definedName>
    <definedName name="A126C_C5">Master!$G$258</definedName>
    <definedName name="A126D_C1">Master!$C$259</definedName>
    <definedName name="A126D_C2">Master!$D$259</definedName>
    <definedName name="A126D_C3">Master!$E$259</definedName>
    <definedName name="A126D_C4">Master!$F$259</definedName>
    <definedName name="A126D_C5">Master!$G$259</definedName>
    <definedName name="A126E_C1">Master!$C$260</definedName>
    <definedName name="A126E_C2">Master!$D$260</definedName>
    <definedName name="A126E_C3">Master!$E$260</definedName>
    <definedName name="A126E_C4">Master!$F$260</definedName>
    <definedName name="A126E_C5">Master!$G$260</definedName>
    <definedName name="A127B_C1">Master!$C$261</definedName>
    <definedName name="A127B_C2">Master!$D$261</definedName>
    <definedName name="A127B_C3">Master!$E$261</definedName>
    <definedName name="A127B_C4">Master!$F$261</definedName>
    <definedName name="A127B_C5">Master!$G$261</definedName>
    <definedName name="A128B_C1">Master!$C$262</definedName>
    <definedName name="A128B_C2">Master!$D$262</definedName>
    <definedName name="A128B_C3">Master!$E$262</definedName>
    <definedName name="A128B_C4">Master!$F$262</definedName>
    <definedName name="A128B_C5">Master!$G$262</definedName>
    <definedName name="A129B_C1">Master!$C$263</definedName>
    <definedName name="A129B_C2">Master!$D$263</definedName>
    <definedName name="A129B_C3">Master!$E$263</definedName>
    <definedName name="A129B_C4">Master!$F$263</definedName>
    <definedName name="A129B_C5">Master!$G$263</definedName>
    <definedName name="A130B_C1">Master!$C$264</definedName>
    <definedName name="A130B_C2">Master!$D$264</definedName>
    <definedName name="A130B_C3">Master!$E$264</definedName>
    <definedName name="A130B_C4">Master!$F$264</definedName>
    <definedName name="A130B_C5">Master!$G$264</definedName>
    <definedName name="A131_C1">Master!$C$265</definedName>
    <definedName name="A131_C2">Master!$D$265</definedName>
    <definedName name="A131_C3">Master!$E$265</definedName>
    <definedName name="A131_C4">Master!$F$265</definedName>
    <definedName name="A131_C5">Master!$G$265</definedName>
    <definedName name="A132_C1">Master!$C$266</definedName>
    <definedName name="A132_C2">Master!$D$266</definedName>
    <definedName name="A132_C3">Master!$E$266</definedName>
    <definedName name="A132_C4">Master!$F$266</definedName>
    <definedName name="A132_C5">Master!$G$266</definedName>
    <definedName name="A133_C1">Master!$C$267</definedName>
    <definedName name="A133_C2">Master!$D$267</definedName>
    <definedName name="A133_C3">Master!$E$267</definedName>
    <definedName name="A133_C4">Master!$F$267</definedName>
    <definedName name="A133_C5">Master!$G$267</definedName>
    <definedName name="A134_C1">Master!$C$268</definedName>
    <definedName name="A134_C2">Master!$D$268</definedName>
    <definedName name="A134_C3">Master!$E$268</definedName>
    <definedName name="A134_C4">Master!$F$268</definedName>
    <definedName name="A134_C5">Master!$G$268</definedName>
    <definedName name="A135_C1">Master!$C$269</definedName>
    <definedName name="A135_C2">Master!$D$269</definedName>
    <definedName name="A135_C3">Master!$E$269</definedName>
    <definedName name="A135_C4">Master!$F$269</definedName>
    <definedName name="A135_C5">Master!$G$269</definedName>
    <definedName name="A136_C1">Master!$C$270</definedName>
    <definedName name="A136_C2">Master!$D$270</definedName>
    <definedName name="A136_C3">Master!$E$270</definedName>
    <definedName name="A136_C4">Master!$F$270</definedName>
    <definedName name="A136_C5">Master!$G$270</definedName>
    <definedName name="A137_C1">Master!$C$271</definedName>
    <definedName name="A137_C2">Master!$D$271</definedName>
    <definedName name="A137_C3">Master!$E$271</definedName>
    <definedName name="A137_C4">Master!$F$271</definedName>
    <definedName name="A137_C5">Master!$G$271</definedName>
    <definedName name="A143A_C1">Master!$C$272</definedName>
    <definedName name="A143A_C2">Master!$D$272</definedName>
    <definedName name="A143A_C3">Master!$E$272</definedName>
    <definedName name="A143A_C4">Master!$F$272</definedName>
    <definedName name="A143A_C5">Master!$G$272</definedName>
    <definedName name="A143A1_C1">Master!$C$273</definedName>
    <definedName name="A143A1_C2">Master!$D$273</definedName>
    <definedName name="A143A1_C3">Master!$E$273</definedName>
    <definedName name="A143A1_C4">Master!$F$273</definedName>
    <definedName name="A143A1_C5">Master!$G$273</definedName>
    <definedName name="A143A2_C1">Master!$C$274</definedName>
    <definedName name="A143A2_C2">Master!$D$274</definedName>
    <definedName name="A143A2_C3">Master!$E$274</definedName>
    <definedName name="A143A2_C4">Master!$F$274</definedName>
    <definedName name="A143A2_C5">Master!$G$274</definedName>
    <definedName name="A143A3_C1">Master!$C$275</definedName>
    <definedName name="A143A3_C2">Master!$D$275</definedName>
    <definedName name="A143A3_C3">Master!$E$275</definedName>
    <definedName name="A143A3_C4">Master!$F$275</definedName>
    <definedName name="A143A3_C5">Master!$G$275</definedName>
    <definedName name="A143A4_C1">Master!$C$276</definedName>
    <definedName name="A143A4_C2">Master!$D$276</definedName>
    <definedName name="A143A4_C3">Master!$E$276</definedName>
    <definedName name="A143A4_C4">Master!$F$276</definedName>
    <definedName name="A143A4_C5">Master!$G$276</definedName>
    <definedName name="A143B_C1">Master!$C$277</definedName>
    <definedName name="A143B_C2">Master!$D$277</definedName>
    <definedName name="A143B_C3">Master!$E$277</definedName>
    <definedName name="A143B_C4">Master!$F$277</definedName>
    <definedName name="A143B_C5">Master!$G$277</definedName>
    <definedName name="A143B1_C1">Master!$C$278</definedName>
    <definedName name="A143B1_C2">Master!$D$278</definedName>
    <definedName name="A143B1_C3">Master!$E$278</definedName>
    <definedName name="A143B1_C4">Master!$F$278</definedName>
    <definedName name="A143B1_C5">Master!$G$278</definedName>
    <definedName name="A143B2_C1">Master!$C$279</definedName>
    <definedName name="A143B2_C2">Master!$D$279</definedName>
    <definedName name="A143B2_C3">Master!$E$279</definedName>
    <definedName name="A143B2_C4">Master!$F$279</definedName>
    <definedName name="A143B2_C5">Master!$G$279</definedName>
    <definedName name="A143B3_C1">Master!$C$280</definedName>
    <definedName name="A143B3_C2">Master!$D$280</definedName>
    <definedName name="A143B3_C3">Master!$E$280</definedName>
    <definedName name="A143B3_C4">Master!$F$280</definedName>
    <definedName name="A143B3_C5">Master!$G$280</definedName>
    <definedName name="A143B4_C1">Master!$C$281</definedName>
    <definedName name="A143B4_C2">Master!$D$281</definedName>
    <definedName name="A143B4_C3">Master!$E$281</definedName>
    <definedName name="A143B4_C4">Master!$F$281</definedName>
    <definedName name="A143B4_C5">Master!$G$281</definedName>
    <definedName name="A210_C1">Master!$C$282</definedName>
    <definedName name="A210_C2">Master!$D$282</definedName>
    <definedName name="A210_C3">Master!$E$282</definedName>
    <definedName name="A210_C4">Master!$F$282</definedName>
    <definedName name="A210_C5">Master!$G$282</definedName>
    <definedName name="A230_C1">Master!$C$283</definedName>
    <definedName name="A230_C2">Master!$D$283</definedName>
    <definedName name="A230_C3">Master!$E$283</definedName>
    <definedName name="A230_C4">Master!$F$283</definedName>
    <definedName name="A230_C5">Master!$G$283</definedName>
    <definedName name="A250_C1">Master!$C$284</definedName>
    <definedName name="A250_C2">Master!$D$284</definedName>
    <definedName name="A250_C3">Master!$E$284</definedName>
    <definedName name="A250_C4">Master!$F$284</definedName>
    <definedName name="A250_C5">Master!$G$284</definedName>
    <definedName name="A260_C1">Master!$C$285</definedName>
    <definedName name="A260_C2">Master!$D$285</definedName>
    <definedName name="A260_C3">Master!$E$285</definedName>
    <definedName name="A260_C4">Master!$F$285</definedName>
    <definedName name="A260_C5">Master!$G$285</definedName>
    <definedName name="A270_C1">Master!$C$286</definedName>
    <definedName name="A270_C2">Master!$D$286</definedName>
    <definedName name="A270_C3">Master!$E$286</definedName>
    <definedName name="A270_C4">Master!$F$286</definedName>
    <definedName name="A270_C5">Master!$G$286</definedName>
    <definedName name="A280_C1">Master!$C$287</definedName>
    <definedName name="A280_C2">Master!$D$287</definedName>
    <definedName name="A280_C3">Master!$E$287</definedName>
    <definedName name="A280_C4">Master!$F$287</definedName>
    <definedName name="A280_C5">Master!$G$287</definedName>
    <definedName name="A290_C1">Master!$C$288</definedName>
    <definedName name="A290_C2">Master!$D$288</definedName>
    <definedName name="A290_C3">Master!$E$288</definedName>
    <definedName name="A290_C4">Master!$F$288</definedName>
    <definedName name="A290_C5">Master!$G$288</definedName>
    <definedName name="A300_C1">Master!$C$289</definedName>
    <definedName name="A300_C2">Master!$D$289</definedName>
    <definedName name="A300_C3">Master!$E$289</definedName>
    <definedName name="A300_C4">Master!$F$289</definedName>
    <definedName name="A300_C5">Master!$G$289</definedName>
    <definedName name="A310_C1">Master!$C$290</definedName>
    <definedName name="A310_C2">Master!$D$290</definedName>
    <definedName name="A310_C3">Master!$E$290</definedName>
    <definedName name="A310_C4">Master!$F$290</definedName>
    <definedName name="A310_C5">Master!$G$290</definedName>
    <definedName name="A310A_C1">Master!$C$291</definedName>
    <definedName name="A310A_C2">Master!$D$291</definedName>
    <definedName name="A310A_C3">Master!$E$291</definedName>
    <definedName name="A310A_C4">Master!$F$291</definedName>
    <definedName name="A310A_C5">Master!$G$291</definedName>
    <definedName name="A311_C1">Master!$C$292</definedName>
    <definedName name="A311_C2">Master!$D$292</definedName>
    <definedName name="A311_C3">Master!$E$292</definedName>
    <definedName name="A311_C4">Master!$F$292</definedName>
    <definedName name="A311_C5">Master!$G$292</definedName>
    <definedName name="A311A">Master!$B$260</definedName>
    <definedName name="A311A_C1">Master!$C$293</definedName>
    <definedName name="A311A_C2">Master!$D$293</definedName>
    <definedName name="A311A_C3">Master!$E$293</definedName>
    <definedName name="A311A_C4">Master!$F$293</definedName>
    <definedName name="A311A_C5">Master!$G$293</definedName>
    <definedName name="A320_C1">Master!$C$294</definedName>
    <definedName name="A320_C2">Master!$D$294</definedName>
    <definedName name="A320_C3">Master!$E$294</definedName>
    <definedName name="A320_C4">Master!$F$294</definedName>
    <definedName name="A320_C5">Master!$G$294</definedName>
    <definedName name="A340_C1">Master!$C$295</definedName>
    <definedName name="A340_C2">Master!$D$295</definedName>
    <definedName name="A340_C3">Master!$E$295</definedName>
    <definedName name="A340_C4">Master!$F$295</definedName>
    <definedName name="A340_C5">Master!$G$295</definedName>
    <definedName name="A350_C1">Master!$C$296</definedName>
    <definedName name="A350_C2">Master!$D$296</definedName>
    <definedName name="A350_C3">Master!$E$296</definedName>
    <definedName name="A350_C4">Master!$F$296</definedName>
    <definedName name="A350_C5">Master!$G$296</definedName>
    <definedName name="A360_C1">Master!$C$297</definedName>
    <definedName name="A360_C2">Master!$D$297</definedName>
    <definedName name="A360_C3">Master!$E$297</definedName>
    <definedName name="A360_C4">Master!$F$297</definedName>
    <definedName name="A360_C5">Master!$G$297</definedName>
    <definedName name="A370_C1">Master!$C$298</definedName>
    <definedName name="A370_C2">Master!$D$298</definedName>
    <definedName name="A370_C3">Master!$E$298</definedName>
    <definedName name="A370_C4">Master!$F$298</definedName>
    <definedName name="A370_C5">Master!$G$298</definedName>
    <definedName name="A380_C1">Master!$C$299</definedName>
    <definedName name="A380_C2">Master!$D$299</definedName>
    <definedName name="A380_C3">Master!$E$299</definedName>
    <definedName name="A380_C4">Master!$F$299</definedName>
    <definedName name="A380_C5">Master!$G$299</definedName>
    <definedName name="A381_C1">Master!$C$300</definedName>
    <definedName name="A381_C2">Master!$D$300</definedName>
    <definedName name="A381_C3">Master!$E$300</definedName>
    <definedName name="A381_C4">Master!$F$300</definedName>
    <definedName name="A381_C5">Master!$G$300</definedName>
    <definedName name="A385_C1">Master!$C$301</definedName>
    <definedName name="A385_C2">Master!$D$301</definedName>
    <definedName name="A385_C3">Master!$E$301</definedName>
    <definedName name="A385_C4">Master!$F$301</definedName>
    <definedName name="A385_C5">Master!$G$301</definedName>
    <definedName name="A386_C1">Master!$C$302</definedName>
    <definedName name="A386_C2">Master!$D$302</definedName>
    <definedName name="A386_C3">Master!$E$302</definedName>
    <definedName name="A386_C4">Master!$F$302</definedName>
    <definedName name="A386_C5">Master!$G$302</definedName>
    <definedName name="A386A_C1">Master!$C$303</definedName>
    <definedName name="A386A_C2">Master!$D$303</definedName>
    <definedName name="A386A_C3">Master!$E$303</definedName>
    <definedName name="A386A_C4">Master!$F$303</definedName>
    <definedName name="A386A_C5">Master!$G$303</definedName>
    <definedName name="A386B_C1">Master!$C$304</definedName>
    <definedName name="A386B_C2">Master!$D$304</definedName>
    <definedName name="A386B_C3">Master!$E$304</definedName>
    <definedName name="A386B_C4">Master!$F$304</definedName>
    <definedName name="A386B_C5">Master!$G$304</definedName>
    <definedName name="A387_C1">Master!$C$305</definedName>
    <definedName name="A387_C2">Master!$D$305</definedName>
    <definedName name="A387_C3">Master!$E$305</definedName>
    <definedName name="A387_C4">Master!$F$305</definedName>
    <definedName name="A387_C5">Master!$G$305</definedName>
    <definedName name="A393_C1">Master!$C$306</definedName>
    <definedName name="A393_C2">Master!$D$306</definedName>
    <definedName name="A393_C3">Master!$E$306</definedName>
    <definedName name="A393_C4">Master!$F$306</definedName>
    <definedName name="A393_C5">Master!$G$306</definedName>
    <definedName name="A396_C1">Master!$C$307</definedName>
    <definedName name="A396_C2">Master!$D$307</definedName>
    <definedName name="A396_C3">Master!$E$307</definedName>
    <definedName name="A396_C4">Master!$F$307</definedName>
    <definedName name="A396_C5">Master!$G$307</definedName>
    <definedName name="A397_C1">Master!$C$308</definedName>
    <definedName name="A397_C2">Master!$D$308</definedName>
    <definedName name="A397_C3">Master!$E$308</definedName>
    <definedName name="A397_C4">Master!$F$308</definedName>
    <definedName name="A397_C5">Master!$G$308</definedName>
    <definedName name="A397A_C1">Master!$C$309</definedName>
    <definedName name="A397A_C2">Master!$D$309</definedName>
    <definedName name="A397A_C3">Master!$E$309</definedName>
    <definedName name="A397A_C4">Master!$F$309</definedName>
    <definedName name="A397A_C5">Master!$G$309</definedName>
    <definedName name="A400_C1">Master!$C$310</definedName>
    <definedName name="A400_C2">Master!$D$310</definedName>
    <definedName name="A400_C3">Master!$E$310</definedName>
    <definedName name="A400_C4">Master!$F$310</definedName>
    <definedName name="A400_C5">Master!$G$310</definedName>
    <definedName name="A400A_C1">Master!$C$311</definedName>
    <definedName name="A400A_C2">Master!$D$311</definedName>
    <definedName name="A400A_C3">Master!$E$311</definedName>
    <definedName name="A400A_C4">Master!$F$311</definedName>
    <definedName name="A400A_C5">Master!$G$311</definedName>
    <definedName name="A400A1_C1">Master!$C$312</definedName>
    <definedName name="A400A1_C2">Master!$D$312</definedName>
    <definedName name="A400A1_C3">Master!$E$312</definedName>
    <definedName name="A400A1_C4">Master!$F$312</definedName>
    <definedName name="A400A1_C5">Master!$G$312</definedName>
    <definedName name="A400B_C1">Master!$C$313</definedName>
    <definedName name="A400B_C2">Master!$D$313</definedName>
    <definedName name="A400B_C3">Master!$E$313</definedName>
    <definedName name="A400B_C4">Master!$F$313</definedName>
    <definedName name="A400B_C5">Master!$G$313</definedName>
    <definedName name="A400B1_C1">Master!$C$314</definedName>
    <definedName name="A400B1_C2">Master!$D$314</definedName>
    <definedName name="A400B1_C3">Master!$E$314</definedName>
    <definedName name="A400B1_C4">Master!$F$314</definedName>
    <definedName name="A400B1_C5">Master!$G$314</definedName>
    <definedName name="A400C_C1">Master!$C$315</definedName>
    <definedName name="A400C_C2">Master!$D$315</definedName>
    <definedName name="A400C_C3">Master!$E$315</definedName>
    <definedName name="A400C_C4">Master!$F$315</definedName>
    <definedName name="A400C_C5">Master!$G$315</definedName>
    <definedName name="A400C1_C1">Master!$C$316</definedName>
    <definedName name="A400C1_C2">Master!$D$316</definedName>
    <definedName name="A400C1_C3">Master!$E$316</definedName>
    <definedName name="A400C1_C4">Master!$F$316</definedName>
    <definedName name="A400C1_C5">Master!$G$316</definedName>
    <definedName name="A400C2_C1">Master!$C$317</definedName>
    <definedName name="A400C2_C2">Master!$D$317</definedName>
    <definedName name="A400C2_C3">Master!$E$317</definedName>
    <definedName name="A400C2_C4">Master!$F$317</definedName>
    <definedName name="A400C2_C5">Master!$G$317</definedName>
    <definedName name="A400C3_C1">Master!$C$318</definedName>
    <definedName name="A400C3_C2">Master!$D$318</definedName>
    <definedName name="A400C3_C3">Master!$E$318</definedName>
    <definedName name="A400C3_C4">Master!$F$318</definedName>
    <definedName name="A400C3_C5">Master!$G$318</definedName>
    <definedName name="A400C4_C1">Master!$C$319</definedName>
    <definedName name="A400C4_C2">Master!$D$319</definedName>
    <definedName name="A400C4_C3">Master!$E$319</definedName>
    <definedName name="A400C4_C4">Master!$F$319</definedName>
    <definedName name="A400C4_C5">Master!$G$319</definedName>
    <definedName name="A400C5_C1">Master!$C$320</definedName>
    <definedName name="A400C5_C2">Master!$D$320</definedName>
    <definedName name="A400C5_C3">Master!$E$320</definedName>
    <definedName name="A400C5_C4">Master!$F$320</definedName>
    <definedName name="A400C5_C5">Master!$G$320</definedName>
    <definedName name="A400C6_C1">Master!$C$321</definedName>
    <definedName name="A400C6_C2">Master!$D$321</definedName>
    <definedName name="A400C6_C3">Master!$E$321</definedName>
    <definedName name="A400C6_C4">Master!$F$321</definedName>
    <definedName name="A400C6_C5">Master!$G$321</definedName>
    <definedName name="A400C7_C1">Master!$C$322</definedName>
    <definedName name="A400C7_C2">Master!$D$322</definedName>
    <definedName name="A400C7_C3">Master!$E$322</definedName>
    <definedName name="A400C7_C4">Master!$F$322</definedName>
    <definedName name="A400C7_C5">Master!$G$322</definedName>
    <definedName name="A400C8_C1">Master!$C$323</definedName>
    <definedName name="A400C8_C2">Master!$D$323</definedName>
    <definedName name="A400C8_C3">Master!$E$323</definedName>
    <definedName name="A400C8_C4">Master!$F$323</definedName>
    <definedName name="A400C8_C5">Master!$G$323</definedName>
    <definedName name="A400D_C1">Master!$C$324</definedName>
    <definedName name="A400D_C2">Master!$D$324</definedName>
    <definedName name="A400D_C3">Master!$E$324</definedName>
    <definedName name="A400D_C4">Master!$F$324</definedName>
    <definedName name="A400D_C5">Master!$G$324</definedName>
    <definedName name="A400F_C1">Master!$C$325</definedName>
    <definedName name="A400F_C2">Master!$D$325</definedName>
    <definedName name="A400F_C3">Master!$E$325</definedName>
    <definedName name="A400F_C4">Master!$F$325</definedName>
    <definedName name="A400F_C5">Master!$G$325</definedName>
    <definedName name="A400G_C1">Master!$C$326</definedName>
    <definedName name="A400G_C2">Master!$D$326</definedName>
    <definedName name="A400G_C3">Master!$E$326</definedName>
    <definedName name="A400G_C4">Master!$F$326</definedName>
    <definedName name="A400G_C5">Master!$G$326</definedName>
    <definedName name="A400G1_C1">Master!$C$327</definedName>
    <definedName name="A400G1_C2">Master!$D$327</definedName>
    <definedName name="A400G1_C3">Master!$E$327</definedName>
    <definedName name="A400G1_C4">Master!$F$327</definedName>
    <definedName name="A400G1_C5">Master!$G$327</definedName>
    <definedName name="A400H_C1">Master!$C$328</definedName>
    <definedName name="A400H_C2">Master!$D$328</definedName>
    <definedName name="A400H_C3">Master!$E$328</definedName>
    <definedName name="A400H_C4">Master!$F$328</definedName>
    <definedName name="A400H_C5">Master!$G$328</definedName>
    <definedName name="A400H1_C1">Master!$C$329</definedName>
    <definedName name="A400H1_C2">Master!$D$329</definedName>
    <definedName name="A400H1_C3">Master!$E$329</definedName>
    <definedName name="A400H1_C4">Master!$F$329</definedName>
    <definedName name="A400H1_C5">Master!$G$329</definedName>
    <definedName name="A400H2_C1">Master!$C$330</definedName>
    <definedName name="A400H2_C2">Master!$D$330</definedName>
    <definedName name="A400H2_C3">Master!$E$330</definedName>
    <definedName name="A400H2_C4">Master!$F$330</definedName>
    <definedName name="A400H2_C5">Master!$G$330</definedName>
    <definedName name="A400H3_C1">Master!$C$331</definedName>
    <definedName name="A400H3_C2">Master!$D$331</definedName>
    <definedName name="A400H3_C3">Master!$E$331</definedName>
    <definedName name="A400H3_C4">Master!$F$331</definedName>
    <definedName name="A400H3_C5">Master!$G$331</definedName>
    <definedName name="A400J_C1">Master!$C$332</definedName>
    <definedName name="A400J_C2">Master!$D$332</definedName>
    <definedName name="A400J_C3">Master!$E$332</definedName>
    <definedName name="A400J_C4">Master!$F$332</definedName>
    <definedName name="A400J_C5">Master!$G$332</definedName>
    <definedName name="A400J1_C1">Master!$C$333</definedName>
    <definedName name="A400J1_C2">Master!$D$333</definedName>
    <definedName name="A400J1_C3">Master!$E$333</definedName>
    <definedName name="A400J1_C4">Master!$F$333</definedName>
    <definedName name="A400J1_C5">Master!$G$333</definedName>
    <definedName name="A400J2_C1">Master!$C$334</definedName>
    <definedName name="A400J2_C2">Master!$D$334</definedName>
    <definedName name="A400J2_C3">Master!$E$334</definedName>
    <definedName name="A400J2_C4">Master!$F$334</definedName>
    <definedName name="A400J2_C5">Master!$G$334</definedName>
    <definedName name="A400J3_C1">Master!$C$335</definedName>
    <definedName name="A400J3_C2">Master!$D$335</definedName>
    <definedName name="A400J3_C3">Master!$E$335</definedName>
    <definedName name="A400J3_C4">Master!$F$335</definedName>
    <definedName name="A400J3_C5">Master!$G$335</definedName>
    <definedName name="A400L_C1">Master!$C$336</definedName>
    <definedName name="A400L_C2">Master!$D$336</definedName>
    <definedName name="A400L_C3">Master!$E$336</definedName>
    <definedName name="A400L_C4">Master!$F$336</definedName>
    <definedName name="A400L_C5">Master!$G$336</definedName>
    <definedName name="A400L1_C1">Master!$C$337</definedName>
    <definedName name="A400L1_C2">Master!$D$337</definedName>
    <definedName name="A400L1_C3">Master!$E$337</definedName>
    <definedName name="A400L1_C4">Master!$F$337</definedName>
    <definedName name="A400L1_C5">Master!$G$337</definedName>
    <definedName name="A400L2_C1">Master!$C$338</definedName>
    <definedName name="A400L2_C2">Master!$D$338</definedName>
    <definedName name="A400L2_C3">Master!$E$338</definedName>
    <definedName name="A400L2_C4">Master!$F$338</definedName>
    <definedName name="A400L2_C5">Master!$G$338</definedName>
    <definedName name="A400L3_C1">Master!$C$339</definedName>
    <definedName name="A400L3_C2">Master!$D$339</definedName>
    <definedName name="A400L3_C3">Master!$E$339</definedName>
    <definedName name="A400L3_C4">Master!$F$339</definedName>
    <definedName name="A400L3_C5">Master!$G$339</definedName>
    <definedName name="A400M_C1">Master!$C$340</definedName>
    <definedName name="A400M_C2">Master!$D$340</definedName>
    <definedName name="A400M_C3">Master!$E$340</definedName>
    <definedName name="A400M_C4">Master!$F$340</definedName>
    <definedName name="A400M_C5">Master!$G$340</definedName>
    <definedName name="A400M1_C1">Master!$C$341</definedName>
    <definedName name="A400M1_C2">Master!$D$341</definedName>
    <definedName name="A400M1_C3">Master!$E$341</definedName>
    <definedName name="A400M1_C4">Master!$F$341</definedName>
    <definedName name="A400M1_C5">Master!$G$341</definedName>
    <definedName name="A400N_C1">Master!$C$342</definedName>
    <definedName name="A400N_C2">Master!$D$342</definedName>
    <definedName name="A400N_C3">Master!$E$342</definedName>
    <definedName name="A400N_C4">Master!$F$342</definedName>
    <definedName name="A400N_C5">Master!$G$342</definedName>
    <definedName name="A400P_C1">Master!$C$343</definedName>
    <definedName name="A400P_C2">Master!$D$343</definedName>
    <definedName name="A400P_C3">Master!$E$343</definedName>
    <definedName name="A400P_C4">Master!$F$343</definedName>
    <definedName name="A400P_C5">Master!$G$343</definedName>
    <definedName name="A400T_C1">Master!$C$344</definedName>
    <definedName name="A400T_C2">Master!$D$344</definedName>
    <definedName name="A400T_C3">Master!$E$344</definedName>
    <definedName name="A400T_C4">Master!$F$344</definedName>
    <definedName name="A400T_C5">Master!$G$344</definedName>
    <definedName name="A400T1_C1">Master!$C$345</definedName>
    <definedName name="A400T1_C2">Master!$D$345</definedName>
    <definedName name="A400T1_C3">Master!$E$345</definedName>
    <definedName name="A400T1_C4">Master!$F$345</definedName>
    <definedName name="A400T1_C5">Master!$G$345</definedName>
    <definedName name="A420_C1">Master!$C$346</definedName>
    <definedName name="A420_C2">Master!$D$346</definedName>
    <definedName name="A420_C3">Master!$E$346</definedName>
    <definedName name="A420_C4">Master!$F$346</definedName>
    <definedName name="A420_C5">Master!$G$346</definedName>
    <definedName name="A420A_C1">Master!$C$347</definedName>
    <definedName name="A420A_C2">Master!$D$347</definedName>
    <definedName name="A420A_C3">Master!$E$347</definedName>
    <definedName name="A420A_C4">Master!$F$347</definedName>
    <definedName name="A420A_C5">Master!$G$347</definedName>
    <definedName name="A420B_C1">Master!$C$348</definedName>
    <definedName name="A420B_C2">Master!$D$348</definedName>
    <definedName name="A420B_C3">Master!$E$348</definedName>
    <definedName name="A420B_C4">Master!$F$348</definedName>
    <definedName name="A420B_C5">Master!$G$348</definedName>
    <definedName name="A420C_C1">Master!$C$349</definedName>
    <definedName name="A420C_C2">Master!$D$349</definedName>
    <definedName name="A420C_C3">Master!$E$349</definedName>
    <definedName name="A420C_C4">Master!$F$349</definedName>
    <definedName name="A420C_C5">Master!$G$349</definedName>
    <definedName name="A420D_C1">Master!$C$350</definedName>
    <definedName name="A420D_C2">Master!$D$350</definedName>
    <definedName name="A420D_C3">Master!$E$350</definedName>
    <definedName name="A420D_C4">Master!$F$350</definedName>
    <definedName name="A420D_C5">Master!$G$350</definedName>
    <definedName name="A421_C1">Master!$C$351</definedName>
    <definedName name="A421_C2">Master!$D$351</definedName>
    <definedName name="A421_C3">Master!$E$351</definedName>
    <definedName name="A421_C4">Master!$F$351</definedName>
    <definedName name="A421_C5">Master!$G$351</definedName>
    <definedName name="A430_C1">Master!$C$352</definedName>
    <definedName name="A430_C2">Master!$D$352</definedName>
    <definedName name="A430_C3">Master!$E$352</definedName>
    <definedName name="A430_C4">Master!$F$352</definedName>
    <definedName name="A430_C5">Master!$G$352</definedName>
    <definedName name="A431_C1">Master!$C$353</definedName>
    <definedName name="A431_C2">Master!$D$353</definedName>
    <definedName name="A431_C3">Master!$E$353</definedName>
    <definedName name="A431_C4">Master!$F$353</definedName>
    <definedName name="A431_C5">Master!$G$353</definedName>
    <definedName name="A440_C1">Master!$C$354</definedName>
    <definedName name="A440_C2">Master!$D$354</definedName>
    <definedName name="A440_C3">Master!$E$354</definedName>
    <definedName name="A440_C4">Master!$F$354</definedName>
    <definedName name="A440_C5">Master!$G$354</definedName>
    <definedName name="A440A_C1">Master!$C$355</definedName>
    <definedName name="A440A_C2">Master!$D$355</definedName>
    <definedName name="A440A_C3">Master!$E$355</definedName>
    <definedName name="A440A_C4">Master!$F$355</definedName>
    <definedName name="A440A_C5">Master!$G$355</definedName>
    <definedName name="A451_C1">Master!$C$356</definedName>
    <definedName name="A451_C2">Master!$D$356</definedName>
    <definedName name="A451_C3">Master!$E$356</definedName>
    <definedName name="A451_C4">Master!$F$356</definedName>
    <definedName name="A451_C5">Master!$G$356</definedName>
    <definedName name="A452_C1">Master!$C$357</definedName>
    <definedName name="A452_C2">Master!$D$357</definedName>
    <definedName name="A452_C3">Master!$E$357</definedName>
    <definedName name="A452_C4">Master!$F$357</definedName>
    <definedName name="A452_C5">Master!$G$357</definedName>
    <definedName name="A453_C1">Master!$C$358</definedName>
    <definedName name="A453_C2">Master!$D$358</definedName>
    <definedName name="A453_C3">Master!$E$358</definedName>
    <definedName name="A453_C4">Master!$F$358</definedName>
    <definedName name="A453_C5">Master!$G$358</definedName>
    <definedName name="A454_C1">Master!$C$359</definedName>
    <definedName name="A454_C2">Master!$D$359</definedName>
    <definedName name="A454_C3">Master!$E$359</definedName>
    <definedName name="A454_C4">Master!$F$359</definedName>
    <definedName name="A454_C5">Master!$G$359</definedName>
    <definedName name="A455_C1">Master!$C$360</definedName>
    <definedName name="A455_C2">Master!$D$360</definedName>
    <definedName name="A455_C3">Master!$E$360</definedName>
    <definedName name="A455_C4">Master!$F$360</definedName>
    <definedName name="A455_C5">Master!$G$360</definedName>
    <definedName name="A457_C1">Master!$C$361</definedName>
    <definedName name="A457_C2">Master!$D$361</definedName>
    <definedName name="A457_C3">Master!$E$361</definedName>
    <definedName name="A457_C4">Master!$F$361</definedName>
    <definedName name="A457_C5">Master!$G$361</definedName>
    <definedName name="A458_C1">Master!$C$362</definedName>
    <definedName name="A458_C2">Master!$D$362</definedName>
    <definedName name="A458_C3">Master!$E$362</definedName>
    <definedName name="A458_C4">Master!$F$362</definedName>
    <definedName name="A458_C5">Master!$G$362</definedName>
    <definedName name="A459_C1">Master!$C$363</definedName>
    <definedName name="A459_C2">Master!$D$363</definedName>
    <definedName name="A459_C3">Master!$E$363</definedName>
    <definedName name="A459_C4">Master!$F$363</definedName>
    <definedName name="A459_C5">Master!$G$363</definedName>
    <definedName name="A460_C1">Master!$C$364</definedName>
    <definedName name="A460_C2">Master!$D$364</definedName>
    <definedName name="A460_C3">Master!$E$364</definedName>
    <definedName name="A460_C4">Master!$F$364</definedName>
    <definedName name="A460_C5">Master!$G$364</definedName>
    <definedName name="A475A_C1">Master!$C$365</definedName>
    <definedName name="A475A_C2">Master!$D$365</definedName>
    <definedName name="A475A_C3">Master!$E$365</definedName>
    <definedName name="A475A_C4">Master!$F$365</definedName>
    <definedName name="A475A_C5">Master!$G$365</definedName>
    <definedName name="A475A1_C1">Master!$C$366</definedName>
    <definedName name="A475A1_C2">Master!$D$366</definedName>
    <definedName name="A475A1_C3">Master!$E$366</definedName>
    <definedName name="A475A1_C4">Master!$F$366</definedName>
    <definedName name="A475A1_C5">Master!$G$366</definedName>
    <definedName name="A475B_C1">Master!$C$367</definedName>
    <definedName name="A475B_C2">Master!$D$367</definedName>
    <definedName name="A475B_C3">Master!$E$367</definedName>
    <definedName name="A475B_C4">Master!$F$367</definedName>
    <definedName name="A475B_C5">Master!$G$367</definedName>
    <definedName name="A475B1_C1">Master!$C$368</definedName>
    <definedName name="A475B1_C2">Master!$D$368</definedName>
    <definedName name="A475B1_C3">Master!$E$368</definedName>
    <definedName name="A475B1_C4">Master!$F$368</definedName>
    <definedName name="A475B1_C5">Master!$G$368</definedName>
    <definedName name="A548_C1">Master!$C$369</definedName>
    <definedName name="A548_C2">Master!$D$369</definedName>
    <definedName name="A548_C3">Master!$E$369</definedName>
    <definedName name="A548_C4">Master!$F$369</definedName>
    <definedName name="A548_C5">Master!$G$369</definedName>
    <definedName name="A549_C1">Master!$C$370</definedName>
    <definedName name="A549_C2">Master!$D$370</definedName>
    <definedName name="A549_C3">Master!$E$370</definedName>
    <definedName name="A549_C4">Master!$F$370</definedName>
    <definedName name="A549_C5">Master!$G$370</definedName>
    <definedName name="A550_C1">Master!$C$371</definedName>
    <definedName name="A550_C2">Master!$D$371</definedName>
    <definedName name="A550_C3">Master!$E$371</definedName>
    <definedName name="A550_C4">Master!$F$371</definedName>
    <definedName name="A550_C5">Master!$G$371</definedName>
    <definedName name="A550C_C1">Master!$C$372</definedName>
    <definedName name="A550C_C2">Master!$D$372</definedName>
    <definedName name="A550C_C3">Master!$E$372</definedName>
    <definedName name="A550C_C4">Master!$F$372</definedName>
    <definedName name="A550C_C5">Master!$G$372</definedName>
    <definedName name="A550C1_C1">Master!$C$373</definedName>
    <definedName name="A550C1_C2">Master!$D$373</definedName>
    <definedName name="A550C1_C3">Master!$E$373</definedName>
    <definedName name="A550C1_C4">Master!$F$373</definedName>
    <definedName name="A550C1_C5">Master!$G$373</definedName>
    <definedName name="A550C2_C1">Master!$C$374</definedName>
    <definedName name="A550C2_C2">Master!$D$374</definedName>
    <definedName name="A550C2_C3">Master!$E$374</definedName>
    <definedName name="A550C2_C4">Master!$F$374</definedName>
    <definedName name="A550C2_C5">Master!$G$374</definedName>
    <definedName name="A550D_C1">Master!$C$375</definedName>
    <definedName name="A550D_C2">Master!$D$375</definedName>
    <definedName name="A550D_C3">Master!$E$375</definedName>
    <definedName name="A550D_C4">Master!$F$375</definedName>
    <definedName name="A550D_C5">Master!$G$375</definedName>
    <definedName name="A550E_C1">Master!$C$376</definedName>
    <definedName name="A550E_C2">Master!$D$376</definedName>
    <definedName name="A550E_C3">Master!$E$376</definedName>
    <definedName name="A550E_C4">Master!$F$376</definedName>
    <definedName name="A550E_C5">Master!$G$376</definedName>
    <definedName name="A550F_C1">Master!$C$377</definedName>
    <definedName name="A550F_C2">Master!$D$377</definedName>
    <definedName name="A550F_C3">Master!$E$377</definedName>
    <definedName name="A550F_C4">Master!$F$377</definedName>
    <definedName name="A550F_C5">Master!$G$377</definedName>
    <definedName name="A550G_C1">Master!$C$378</definedName>
    <definedName name="A550G_C2">Master!$D$378</definedName>
    <definedName name="A550G_C3">Master!$E$378</definedName>
    <definedName name="A550G_C4">Master!$F$378</definedName>
    <definedName name="A550G_C5">Master!$G$378</definedName>
    <definedName name="A550G1_C1">Master!$C$379</definedName>
    <definedName name="A550G1_C2">Master!$D$379</definedName>
    <definedName name="A550G1_C3">Master!$E$379</definedName>
    <definedName name="A550G1_C4">Master!$F$379</definedName>
    <definedName name="A550G1_C5">Master!$G$379</definedName>
    <definedName name="A550G2_C1">Master!$C$380</definedName>
    <definedName name="A550G2_C2">Master!$D$380</definedName>
    <definedName name="A550G2_C3">Master!$E$380</definedName>
    <definedName name="A550G2_C4">Master!$F$380</definedName>
    <definedName name="A550G2_C5">Master!$G$380</definedName>
    <definedName name="A550G3_C1">Master!$C$381</definedName>
    <definedName name="A550G3_C2">Master!$D$381</definedName>
    <definedName name="A550G3_C3">Master!$E$381</definedName>
    <definedName name="A550G3_C4">Master!$F$381</definedName>
    <definedName name="A550G3_C5">Master!$G$381</definedName>
    <definedName name="A550G4_C1">Master!$C$382</definedName>
    <definedName name="A550G4_C2">Master!$D$382</definedName>
    <definedName name="A550G4_C3">Master!$E$382</definedName>
    <definedName name="A550G4_C4">Master!$F$382</definedName>
    <definedName name="A550G4_C5">Master!$G$382</definedName>
    <definedName name="A550H_C1">Master!$C$383</definedName>
    <definedName name="A550H_C2">Master!$D$383</definedName>
    <definedName name="A550H_C3">Master!$E$383</definedName>
    <definedName name="A550H_C4">Master!$F$383</definedName>
    <definedName name="A550H_C5">Master!$G$383</definedName>
    <definedName name="A550I_C1">Master!$C$384</definedName>
    <definedName name="A550I_C2">Master!$D$384</definedName>
    <definedName name="A550I_C3">Master!$E$384</definedName>
    <definedName name="A550I_C4">Master!$F$384</definedName>
    <definedName name="A550I_C5">Master!$G$384</definedName>
    <definedName name="A550J_C1">Master!$C$385</definedName>
    <definedName name="A550J_C2">Master!$D$385</definedName>
    <definedName name="A550J_C3">Master!$E$385</definedName>
    <definedName name="A550J_C4">Master!$F$385</definedName>
    <definedName name="A550J_C5">Master!$G$385</definedName>
    <definedName name="A550K_C1">Master!$C$386</definedName>
    <definedName name="A550K_C2">Master!$D$386</definedName>
    <definedName name="A550K_C3">Master!$E$386</definedName>
    <definedName name="A550K_C4">Master!$F$386</definedName>
    <definedName name="A550K_C5">Master!$G$386</definedName>
    <definedName name="A550M_C1">Master!$C$387</definedName>
    <definedName name="A550M_C2">Master!$D$387</definedName>
    <definedName name="A550M_C3">Master!$E$387</definedName>
    <definedName name="A550M_C4">Master!$F$387</definedName>
    <definedName name="A550M_C5">Master!$G$387</definedName>
    <definedName name="A550P_C1">Master!$C$388</definedName>
    <definedName name="A550P_C2">Master!$D$388</definedName>
    <definedName name="A550P_C3">Master!$E$388</definedName>
    <definedName name="A550P_C4">Master!$F$388</definedName>
    <definedName name="A550P_C5">Master!$G$388</definedName>
    <definedName name="A550P1_C1">Master!$C$389</definedName>
    <definedName name="A550P1_C2">Master!$D$389</definedName>
    <definedName name="A550P1_C3">Master!$E$389</definedName>
    <definedName name="A550P1_C4">Master!$F$389</definedName>
    <definedName name="A550P1_C5">Master!$G$389</definedName>
    <definedName name="A550P2_C1">Master!$C$390</definedName>
    <definedName name="A550P2_C2">Master!$D$390</definedName>
    <definedName name="A550P2_C3">Master!$E$390</definedName>
    <definedName name="A550P2_C4">Master!$F$390</definedName>
    <definedName name="A550P2_C5">Master!$G$390</definedName>
    <definedName name="A550P3_C1">Master!$C$391</definedName>
    <definedName name="A550P3_C2">Master!$D$391</definedName>
    <definedName name="A550P3_C3">Master!$E$391</definedName>
    <definedName name="A550P3_C4">Master!$F$391</definedName>
    <definedName name="A550P3_C5">Master!$G$391</definedName>
    <definedName name="A550P4_C1">Master!$C$392</definedName>
    <definedName name="A550P4_C2">Master!$D$392</definedName>
    <definedName name="A550P4_C3">Master!$E$392</definedName>
    <definedName name="A550P4_C4">Master!$F$392</definedName>
    <definedName name="A550P4_C5">Master!$G$392</definedName>
    <definedName name="A550Q_C1">Master!$C$393</definedName>
    <definedName name="A550Q_C2">Master!$D$393</definedName>
    <definedName name="A550Q_C3">Master!$E$393</definedName>
    <definedName name="A550Q_C4">Master!$F$393</definedName>
    <definedName name="A550Q_C5">Master!$G$393</definedName>
    <definedName name="A550T_C1">Master!$C$394</definedName>
    <definedName name="A550T_C2">Master!$D$394</definedName>
    <definedName name="A550T_C3">Master!$E$394</definedName>
    <definedName name="A550T_C4">Master!$F$394</definedName>
    <definedName name="A550T_C5">Master!$G$394</definedName>
    <definedName name="A550U_C1">Master!$C$395</definedName>
    <definedName name="A550U_C2">Master!$D$395</definedName>
    <definedName name="A550U_C3">Master!$E$395</definedName>
    <definedName name="A550U_C4">Master!$F$395</definedName>
    <definedName name="A550U_C5">Master!$G$395</definedName>
    <definedName name="A550V_C1">Master!$C$396</definedName>
    <definedName name="A550V_C2">Master!$D$396</definedName>
    <definedName name="A550V_C3">Master!$E$396</definedName>
    <definedName name="A550V_C4">Master!$F$396</definedName>
    <definedName name="A550V_C5">Master!$G$396</definedName>
    <definedName name="A551_C1">Master!$C$397</definedName>
    <definedName name="A551_C2">Master!$D$397</definedName>
    <definedName name="A551_C3">Master!$E$397</definedName>
    <definedName name="A551_C4">Master!$F$397</definedName>
    <definedName name="A551_C5">Master!$G$397</definedName>
    <definedName name="A551C_C1">Master!$C$398</definedName>
    <definedName name="A551C_C2">Master!$D$398</definedName>
    <definedName name="A551C_C3">Master!$E$398</definedName>
    <definedName name="A551C_C4">Master!$F$398</definedName>
    <definedName name="A551C_C5">Master!$G$398</definedName>
    <definedName name="A551C1_C1">Master!$C$399</definedName>
    <definedName name="A551C1_C2">Master!$D$399</definedName>
    <definedName name="A551C1_C3">Master!$E$399</definedName>
    <definedName name="A551C1_C4">Master!$F$399</definedName>
    <definedName name="A551C1_C5">Master!$G$399</definedName>
    <definedName name="A551C2_C1">Master!$C$400</definedName>
    <definedName name="A551C2_C2">Master!$D$400</definedName>
    <definedName name="A551C2_C3">Master!$E$400</definedName>
    <definedName name="A551C2_C4">Master!$F$400</definedName>
    <definedName name="A551C2_C5">Master!$G$400</definedName>
    <definedName name="A551D_C1">Master!$C$401</definedName>
    <definedName name="A551D_C2">Master!$D$401</definedName>
    <definedName name="A551D_C3">Master!$E$401</definedName>
    <definedName name="A551D_C4">Master!$F$401</definedName>
    <definedName name="A551D_C5">Master!$G$401</definedName>
    <definedName name="A551E_C1">Master!$C$402</definedName>
    <definedName name="A551E_C2">Master!$D$402</definedName>
    <definedName name="A551E_C3">Master!$E$402</definedName>
    <definedName name="A551E_C4">Master!$F$402</definedName>
    <definedName name="A551E_C5">Master!$G$402</definedName>
    <definedName name="A551F_C1">Master!$C$403</definedName>
    <definedName name="A551F_C2">Master!$D$403</definedName>
    <definedName name="A551F_C3">Master!$E$403</definedName>
    <definedName name="A551F_C4">Master!$F$403</definedName>
    <definedName name="A551F_C5">Master!$G$403</definedName>
    <definedName name="A551G_C1">Master!$C$404</definedName>
    <definedName name="A551G_C2">Master!$D$404</definedName>
    <definedName name="A551G_C3">Master!$E$404</definedName>
    <definedName name="A551G_C4">Master!$F$404</definedName>
    <definedName name="A551G_C5">Master!$G$404</definedName>
    <definedName name="A551G1_C1">Master!$C$405</definedName>
    <definedName name="A551G1_C2">Master!$D$405</definedName>
    <definedName name="A551G1_C3">Master!$E$405</definedName>
    <definedName name="A551G1_C4">Master!$F$405</definedName>
    <definedName name="A551G1_C5">Master!$G$405</definedName>
    <definedName name="A551G2_C1">Master!$C$406</definedName>
    <definedName name="A551G2_C2">Master!$D$406</definedName>
    <definedName name="A551G2_C3">Master!$E$406</definedName>
    <definedName name="A551G2_C4">Master!$F$406</definedName>
    <definedName name="A551G2_C5">Master!$G$406</definedName>
    <definedName name="A551G3_C1">Master!$C$407</definedName>
    <definedName name="A551G3_C2">Master!$D$407</definedName>
    <definedName name="A551G3_C3">Master!$E$407</definedName>
    <definedName name="A551G3_C4">Master!$F$407</definedName>
    <definedName name="A551G3_C5">Master!$G$407</definedName>
    <definedName name="A551G4_C1">Master!$C$408</definedName>
    <definedName name="A551G4_C2">Master!$D$408</definedName>
    <definedName name="A551G4_C3">Master!$E$408</definedName>
    <definedName name="A551G4_C4">Master!$F$408</definedName>
    <definedName name="A551G4_C5">Master!$G$408</definedName>
    <definedName name="A551H_C1">Master!$C$409</definedName>
    <definedName name="A551H_C2">Master!$D$409</definedName>
    <definedName name="A551H_C3">Master!$E$409</definedName>
    <definedName name="A551H_C4">Master!$F$409</definedName>
    <definedName name="A551H_C5">Master!$G$409</definedName>
    <definedName name="A551I_C1">Master!$C$410</definedName>
    <definedName name="A551I_C2">Master!$D$410</definedName>
    <definedName name="A551I_C3">Master!$E$410</definedName>
    <definedName name="A551I_C4">Master!$F$410</definedName>
    <definedName name="A551I_C5">Master!$G$410</definedName>
    <definedName name="A551J_C1">Master!$C$411</definedName>
    <definedName name="A551J_C2">Master!$D$411</definedName>
    <definedName name="A551J_C3">Master!$E$411</definedName>
    <definedName name="A551J_C4">Master!$F$411</definedName>
    <definedName name="A551J_C5">Master!$G$411</definedName>
    <definedName name="A551K_C1">Master!$C$412</definedName>
    <definedName name="A551K_C2">Master!$D$412</definedName>
    <definedName name="A551K_C3">Master!$E$412</definedName>
    <definedName name="A551K_C4">Master!$F$412</definedName>
    <definedName name="A551K_C5">Master!$G$412</definedName>
    <definedName name="A551M_C1">Master!$C$413</definedName>
    <definedName name="A551M_C2">Master!$D$413</definedName>
    <definedName name="A551M_C3">Master!$E$413</definedName>
    <definedName name="A551M_C4">Master!$F$413</definedName>
    <definedName name="A551M_C5">Master!$G$413</definedName>
    <definedName name="A551P_C1">Master!$C$414</definedName>
    <definedName name="A551P_C2">Master!$D$414</definedName>
    <definedName name="A551P_C3">Master!$E$414</definedName>
    <definedName name="A551P_C4">Master!$F$414</definedName>
    <definedName name="A551P_C5">Master!$G$414</definedName>
    <definedName name="A551P1_C1">Master!$C$415</definedName>
    <definedName name="A551P1_C2">Master!$D$415</definedName>
    <definedName name="A551P1_C3">Master!$E$415</definedName>
    <definedName name="A551P1_C4">Master!$F$415</definedName>
    <definedName name="A551P1_C5">Master!$G$415</definedName>
    <definedName name="A551P2_C1">Master!$C$416</definedName>
    <definedName name="A551P2_C2">Master!$D$416</definedName>
    <definedName name="A551P2_C3">Master!$E$416</definedName>
    <definedName name="A551P2_C4">Master!$F$416</definedName>
    <definedName name="A551P2_C5">Master!$G$416</definedName>
    <definedName name="A551P3_C1">Master!$C$417</definedName>
    <definedName name="A551P3_C2">Master!$D$417</definedName>
    <definedName name="A551P3_C3">Master!$E$417</definedName>
    <definedName name="A551P3_C4">Master!$F$417</definedName>
    <definedName name="A551P3_C5">Master!$G$417</definedName>
    <definedName name="A551P4_C1">Master!$C$418</definedName>
    <definedName name="A551P4_C2">Master!$D$418</definedName>
    <definedName name="A551P4_C3">Master!$E$418</definedName>
    <definedName name="A551P4_C4">Master!$F$418</definedName>
    <definedName name="A551P4_C5">Master!$G$418</definedName>
    <definedName name="A551Q_C1">Master!$C$419</definedName>
    <definedName name="A551Q_C2">Master!$D$419</definedName>
    <definedName name="A551Q_C3">Master!$E$419</definedName>
    <definedName name="A551Q_C4">Master!$F$419</definedName>
    <definedName name="A551Q_C5">Master!$G$419</definedName>
    <definedName name="A551T_C1">Master!$C$420</definedName>
    <definedName name="A551T_C2">Master!$D$420</definedName>
    <definedName name="A551T_C3">Master!$E$420</definedName>
    <definedName name="A551T_C4">Master!$F$420</definedName>
    <definedName name="A551T_C5">Master!$G$420</definedName>
    <definedName name="A551U_C1">Master!$C$421</definedName>
    <definedName name="A551U_C2">Master!$D$421</definedName>
    <definedName name="A551U_C3">Master!$E$421</definedName>
    <definedName name="A551U_C4">Master!$F$421</definedName>
    <definedName name="A551U_C5">Master!$G$421</definedName>
    <definedName name="A551V_C1">Master!$C$422</definedName>
    <definedName name="A551V_C2">Master!$D$422</definedName>
    <definedName name="A551V_C3">Master!$E$422</definedName>
    <definedName name="A551V_C4">Master!$F$422</definedName>
    <definedName name="A551V_C5">Master!$G$422</definedName>
    <definedName name="A564A_C1">Master!$C$423</definedName>
    <definedName name="A564A_C2">Master!$D$423</definedName>
    <definedName name="A564A_C3">Master!$E$423</definedName>
    <definedName name="A564A_C4">Master!$F$423</definedName>
    <definedName name="A564A_C5">Master!$G$423</definedName>
    <definedName name="A564B_C1">Master!$C$424</definedName>
    <definedName name="A564B_C2">Master!$D$424</definedName>
    <definedName name="A564B_C3">Master!$E$424</definedName>
    <definedName name="A564B_C4">Master!$F$424</definedName>
    <definedName name="A564B_C5">Master!$G$424</definedName>
    <definedName name="A566_C1">Master!$C$425</definedName>
    <definedName name="A566_C2">Master!$D$425</definedName>
    <definedName name="A566_C3">Master!$E$425</definedName>
    <definedName name="A566_C4">Master!$F$425</definedName>
    <definedName name="A566_C5">Master!$G$425</definedName>
    <definedName name="A566A_C1">Master!$C$426</definedName>
    <definedName name="A566A_C2">Master!$D$426</definedName>
    <definedName name="A566A_C3">Master!$E$426</definedName>
    <definedName name="A566A_C4">Master!$F$426</definedName>
    <definedName name="A566A_C5">Master!$G$426</definedName>
    <definedName name="A566B_C1">Master!$C$427</definedName>
    <definedName name="A566B_C2">Master!$D$427</definedName>
    <definedName name="A566B_C3">Master!$E$427</definedName>
    <definedName name="A566B_C4">Master!$F$427</definedName>
    <definedName name="A566B_C5">Master!$G$427</definedName>
    <definedName name="A602_C1">Master!$C$428</definedName>
    <definedName name="A602_C2">Master!$D$428</definedName>
    <definedName name="A602_C3">Master!$E$428</definedName>
    <definedName name="A602_C4">Master!$F$428</definedName>
    <definedName name="A602_C5">Master!$G$428</definedName>
    <definedName name="A607_C1">Master!$C$429</definedName>
    <definedName name="A607_C2">Master!$D$429</definedName>
    <definedName name="A607_C3">Master!$E$429</definedName>
    <definedName name="A607_C4">Master!$F$429</definedName>
    <definedName name="A607_C5">Master!$G$429</definedName>
    <definedName name="A608_C1">Master!$C$430</definedName>
    <definedName name="A608_C2">Master!$D$430</definedName>
    <definedName name="A608_C3">Master!$E$430</definedName>
    <definedName name="A608_C4">Master!$F$430</definedName>
    <definedName name="A608_C5">Master!$G$430</definedName>
    <definedName name="A613_C1">Master!$C$431</definedName>
    <definedName name="A613_C2">Master!$D$431</definedName>
    <definedName name="A613_C3">Master!$E$431</definedName>
    <definedName name="A613_C4">Master!$F$431</definedName>
    <definedName name="A613_C5">Master!$G$431</definedName>
    <definedName name="A615_C1">Master!$C$432</definedName>
    <definedName name="A615_C2">Master!$D$432</definedName>
    <definedName name="A615_C3">Master!$E$432</definedName>
    <definedName name="A615_C4">Master!$F$432</definedName>
    <definedName name="A615_C5">Master!$G$432</definedName>
    <definedName name="A616A_C1">Master!$C$433</definedName>
    <definedName name="A616A_C2">Master!$D$433</definedName>
    <definedName name="A616A_C3">Master!$E$433</definedName>
    <definedName name="A616A_C4">Master!$F$433</definedName>
    <definedName name="A616A_C5">Master!$G$433</definedName>
    <definedName name="A617A_C1">Master!$C$434</definedName>
    <definedName name="A617A_C2">Master!$D$434</definedName>
    <definedName name="A617A_C3">Master!$E$434</definedName>
    <definedName name="A617A_C4">Master!$F$434</definedName>
    <definedName name="A617A_C5">Master!$G$434</definedName>
    <definedName name="A618A_C1">Master!$C$435</definedName>
    <definedName name="A618A_C2">Master!$D$435</definedName>
    <definedName name="A618A_C3">Master!$E$435</definedName>
    <definedName name="A618A_C4">Master!$F$435</definedName>
    <definedName name="A618A_C5">Master!$G$435</definedName>
    <definedName name="A618B_C1">Master!$C$436</definedName>
    <definedName name="A618B_C2">Master!$D$436</definedName>
    <definedName name="A618B_C3">Master!$E$436</definedName>
    <definedName name="A618B_C4">Master!$F$436</definedName>
    <definedName name="A618B_C5">Master!$G$436</definedName>
    <definedName name="A618C_C1">Master!$C$437</definedName>
    <definedName name="A618C_C2">Master!$D$437</definedName>
    <definedName name="A618C_C3">Master!$E$437</definedName>
    <definedName name="A618C_C4">Master!$F$437</definedName>
    <definedName name="A618C_C5">Master!$G$437</definedName>
    <definedName name="A619_C1">Master!$C$438</definedName>
    <definedName name="A619_C2">Master!$D$438</definedName>
    <definedName name="A619_C3">Master!$E$438</definedName>
    <definedName name="A619_C4">Master!$F$438</definedName>
    <definedName name="A619_C5">Master!$G$438</definedName>
    <definedName name="A619B_C1">Master!$C$439</definedName>
    <definedName name="A619B_C2">Master!$D$439</definedName>
    <definedName name="A619B_C3">Master!$E$439</definedName>
    <definedName name="A619B_C4">Master!$F$439</definedName>
    <definedName name="A619B_C5">Master!$G$439</definedName>
    <definedName name="A630_C1">Master!$C$440</definedName>
    <definedName name="A630_C2">Master!$D$440</definedName>
    <definedName name="A630_C3">Master!$E$440</definedName>
    <definedName name="A630_C4">Master!$F$440</definedName>
    <definedName name="A630_C5">Master!$G$440</definedName>
    <definedName name="A630A_C1">Master!$C$441</definedName>
    <definedName name="A630A_C2">Master!$D$441</definedName>
    <definedName name="A630A_C3">Master!$E$441</definedName>
    <definedName name="A630A_C4">Master!$F$441</definedName>
    <definedName name="A630A_C5">Master!$G$441</definedName>
    <definedName name="A630B1_C1">Master!$C$442</definedName>
    <definedName name="A630B1_C2">Master!$D$442</definedName>
    <definedName name="A630B1_C3">Master!$E$442</definedName>
    <definedName name="A630B1_C4">Master!$F$442</definedName>
    <definedName name="A630B1_C5">Master!$G$442</definedName>
    <definedName name="A630B2_C1">Master!$C$443</definedName>
    <definedName name="A630B2_C2">Master!$D$443</definedName>
    <definedName name="A630B2_C3">Master!$E$443</definedName>
    <definedName name="A630B2_C4">Master!$F$443</definedName>
    <definedName name="A630B2_C5">Master!$G$443</definedName>
    <definedName name="A631_C1">Master!$C$444</definedName>
    <definedName name="A631_C2">Master!$D$444</definedName>
    <definedName name="A631_C3">Master!$E$444</definedName>
    <definedName name="A631_C4">Master!$F$444</definedName>
    <definedName name="A631_C5">Master!$G$444</definedName>
    <definedName name="A632_C1">Master!$C$445</definedName>
    <definedName name="A632_C2">Master!$D$445</definedName>
    <definedName name="A632_C3">Master!$E$445</definedName>
    <definedName name="A632_C4">Master!$F$445</definedName>
    <definedName name="A632_C5">Master!$G$445</definedName>
    <definedName name="A633_C1">Master!$C$446</definedName>
    <definedName name="A633_C2">Master!$D$446</definedName>
    <definedName name="A633_C3">Master!$E$446</definedName>
    <definedName name="A633_C4">Master!$F$446</definedName>
    <definedName name="A633_C5">Master!$G$446</definedName>
    <definedName name="A634_C1">Master!$C$447</definedName>
    <definedName name="A634_C2">Master!$D$447</definedName>
    <definedName name="A634_C3">Master!$E$447</definedName>
    <definedName name="A634_C4">Master!$F$447</definedName>
    <definedName name="A634_C5">Master!$G$447</definedName>
    <definedName name="A635_C1">Master!$C$448</definedName>
    <definedName name="A635_C2">Master!$D$448</definedName>
    <definedName name="A635_C3">Master!$E$448</definedName>
    <definedName name="A635_C4">Master!$F$448</definedName>
    <definedName name="A635_C5">Master!$G$448</definedName>
    <definedName name="A636_C1">Master!$C$449</definedName>
    <definedName name="A636_C2">Master!$D$449</definedName>
    <definedName name="A636_C3">Master!$E$449</definedName>
    <definedName name="A636_C4">Master!$F$449</definedName>
    <definedName name="A636_C5">Master!$G$449</definedName>
    <definedName name="A637_C1">Master!$C$450</definedName>
    <definedName name="A637_C2">Master!$D$450</definedName>
    <definedName name="A637_C3">Master!$E$450</definedName>
    <definedName name="A637_C4">Master!$F$450</definedName>
    <definedName name="A637_C5">Master!$G$450</definedName>
    <definedName name="A638_C1">Master!$C$451</definedName>
    <definedName name="A638_C2">Master!$D$451</definedName>
    <definedName name="A638_C3">Master!$E$451</definedName>
    <definedName name="A638_C4">Master!$F$451</definedName>
    <definedName name="A638_C5">Master!$G$451</definedName>
    <definedName name="A639_C1">Master!$C$452</definedName>
    <definedName name="A639_C2">Master!$D$452</definedName>
    <definedName name="A639_C3">Master!$E$452</definedName>
    <definedName name="A639_C4">Master!$F$452</definedName>
    <definedName name="A639_C5">Master!$G$452</definedName>
    <definedName name="A641_C1">Master!$C$453</definedName>
    <definedName name="A641_C2">Master!$D$453</definedName>
    <definedName name="A641_C3">Master!$E$453</definedName>
    <definedName name="A641_C4">Master!$F$453</definedName>
    <definedName name="A641_C5">Master!$G$453</definedName>
    <definedName name="A642_C1">Master!$C$454</definedName>
    <definedName name="A642_C2">Master!$D$454</definedName>
    <definedName name="A642_C3">Master!$E$454</definedName>
    <definedName name="A642_C4">Master!$F$454</definedName>
    <definedName name="A642_C5">Master!$G$454</definedName>
    <definedName name="A643_C1">Master!$C$455</definedName>
    <definedName name="A643_C2">Master!$D$455</definedName>
    <definedName name="A643_C3">Master!$E$455</definedName>
    <definedName name="A643_C4">Master!$F$455</definedName>
    <definedName name="A643_C5">Master!$G$455</definedName>
    <definedName name="A644_C1">Master!$C$456</definedName>
    <definedName name="A644_C2">Master!$D$456</definedName>
    <definedName name="A644_C3">Master!$E$456</definedName>
    <definedName name="A644_C4">Master!$F$456</definedName>
    <definedName name="A644_C5">Master!$G$456</definedName>
    <definedName name="A652A_C1">Master!$C$457</definedName>
    <definedName name="A652A_C2">Master!$D$457</definedName>
    <definedName name="A652A_C3">Master!$E$457</definedName>
    <definedName name="A652A_C4">Master!$F$457</definedName>
    <definedName name="A652A_C5">Master!$G$457</definedName>
    <definedName name="A652B_C1">Master!$C$458</definedName>
    <definedName name="A652B_C2">Master!$D$458</definedName>
    <definedName name="A652B_C3">Master!$E$458</definedName>
    <definedName name="A652B_C4">Master!$F$458</definedName>
    <definedName name="A652B_C5">Master!$G$458</definedName>
    <definedName name="A652C_C1">Master!$C$459</definedName>
    <definedName name="A652C_C2">Master!$D$459</definedName>
    <definedName name="A652C_C3">Master!$E$459</definedName>
    <definedName name="A652C_C4">Master!$F$459</definedName>
    <definedName name="A652C_C5">Master!$G$459</definedName>
    <definedName name="A652C1_C1">Master!$C$460</definedName>
    <definedName name="A652C1_C2">Master!$D$460</definedName>
    <definedName name="A652C1_C3">Master!$E$460</definedName>
    <definedName name="A652C1_C4">Master!$F$460</definedName>
    <definedName name="A652C1_C5">Master!$G$460</definedName>
    <definedName name="A652C2_C1">Master!$C$461</definedName>
    <definedName name="A652C2_C2">Master!$D$461</definedName>
    <definedName name="A652C2_C3">Master!$E$461</definedName>
    <definedName name="A652C2_C4">Master!$F$461</definedName>
    <definedName name="A652C2_C5">Master!$G$461</definedName>
    <definedName name="A652D_C1">Master!$C$462</definedName>
    <definedName name="A652D_C2">Master!$D$462</definedName>
    <definedName name="A652D_C3">Master!$E$462</definedName>
    <definedName name="A652D_C4">Master!$F$462</definedName>
    <definedName name="A652D_C5">Master!$G$462</definedName>
    <definedName name="A655C_C1">Master!$C$463</definedName>
    <definedName name="A655C_C2">Master!$D$463</definedName>
    <definedName name="A655C_C3">Master!$E$463</definedName>
    <definedName name="A655C_C4">Master!$F$463</definedName>
    <definedName name="A655C_C5">Master!$G$463</definedName>
    <definedName name="A657_C1">Master!$C$464</definedName>
    <definedName name="A657_C2">Master!$D$464</definedName>
    <definedName name="A657_C3">Master!$E$464</definedName>
    <definedName name="A657_C4">Master!$F$464</definedName>
    <definedName name="A657_C5">Master!$G$464</definedName>
    <definedName name="A657A_C1">Master!$C$465</definedName>
    <definedName name="A657A_C2">Master!$D$465</definedName>
    <definedName name="A657A_C3">Master!$E$465</definedName>
    <definedName name="A657A_C4">Master!$F$465</definedName>
    <definedName name="A657A_C5">Master!$G$465</definedName>
    <definedName name="A658_C1">Master!$C$466</definedName>
    <definedName name="A658_C2">Master!$D$466</definedName>
    <definedName name="A658_C3">Master!$E$466</definedName>
    <definedName name="A658_C4">Master!$F$466</definedName>
    <definedName name="A658_C5">Master!$G$466</definedName>
    <definedName name="A658A_C1">Master!$C$467</definedName>
    <definedName name="A658A_C2">Master!$D$467</definedName>
    <definedName name="A658A_C3">Master!$E$467</definedName>
    <definedName name="A658A_C4">Master!$F$467</definedName>
    <definedName name="A658A_C5">Master!$G$467</definedName>
    <definedName name="A659_C1">Master!$C$468</definedName>
    <definedName name="A659_C2">Master!$D$468</definedName>
    <definedName name="A659_C3">Master!$E$468</definedName>
    <definedName name="A659_C4">Master!$F$468</definedName>
    <definedName name="A659_C5">Master!$G$468</definedName>
    <definedName name="A660A_C1">Master!$C$469</definedName>
    <definedName name="A660A_C2">Master!$D$469</definedName>
    <definedName name="A660A_C3">Master!$E$469</definedName>
    <definedName name="A660A_C4">Master!$F$469</definedName>
    <definedName name="A660A_C5">Master!$G$469</definedName>
    <definedName name="A661A_C1">Master!$C$470</definedName>
    <definedName name="A661A_C2">Master!$D$470</definedName>
    <definedName name="A661A_C3">Master!$E$470</definedName>
    <definedName name="A661A_C4">Master!$F$470</definedName>
    <definedName name="A661A_C5">Master!$G$470</definedName>
    <definedName name="A668_C1">Master!$C$471</definedName>
    <definedName name="A668_C2">Master!$D$471</definedName>
    <definedName name="A668_C3">Master!$E$471</definedName>
    <definedName name="A668_C4">Master!$F$471</definedName>
    <definedName name="A668_C5">Master!$G$471</definedName>
    <definedName name="A671_C1">Master!$C$472</definedName>
    <definedName name="A671_C2">Master!$D$472</definedName>
    <definedName name="A671_C3">Master!$E$472</definedName>
    <definedName name="A671_C4">Master!$F$472</definedName>
    <definedName name="A671_C5">Master!$G$472</definedName>
    <definedName name="A672A_C1">Master!$C$473</definedName>
    <definedName name="A672A_C2">Master!$D$473</definedName>
    <definedName name="A672A_C3">Master!$E$473</definedName>
    <definedName name="A672A_C4">Master!$F$473</definedName>
    <definedName name="A672A_C5">Master!$G$473</definedName>
    <definedName name="A672B_C1">Master!$C$474</definedName>
    <definedName name="A672B_C2">Master!$D$474</definedName>
    <definedName name="A672B_C3">Master!$E$474</definedName>
    <definedName name="A672B_C4">Master!$F$474</definedName>
    <definedName name="A672B_C5">Master!$G$474</definedName>
    <definedName name="A672C_C1">Master!$C$475</definedName>
    <definedName name="A672C_C2">Master!$D$475</definedName>
    <definedName name="A672C_C3">Master!$E$475</definedName>
    <definedName name="A672C_C4">Master!$F$475</definedName>
    <definedName name="A672C_C5">Master!$G$475</definedName>
    <definedName name="A672C1_C1">Master!$C$476</definedName>
    <definedName name="A672C1_C2">Master!$D$476</definedName>
    <definedName name="A672C1_C3">Master!$E$476</definedName>
    <definedName name="A672C1_C4">Master!$F$476</definedName>
    <definedName name="A672C1_C5">Master!$G$476</definedName>
    <definedName name="A672C2_C1">Master!$C$477</definedName>
    <definedName name="A672C2_C2">Master!$D$477</definedName>
    <definedName name="A672C2_C3">Master!$E$477</definedName>
    <definedName name="A672C2_C4">Master!$F$477</definedName>
    <definedName name="A672C2_C5">Master!$G$477</definedName>
    <definedName name="A672D_C1">Master!$C$478</definedName>
    <definedName name="A672D_C2">Master!$D$478</definedName>
    <definedName name="A672D_C3">Master!$E$478</definedName>
    <definedName name="A672D_C4">Master!$F$478</definedName>
    <definedName name="A672D_C5">Master!$G$478</definedName>
    <definedName name="A680_C1">Master!$C$479</definedName>
    <definedName name="A680_C2">Master!$D$479</definedName>
    <definedName name="A680_C3">Master!$E$479</definedName>
    <definedName name="A680_C4">Master!$F$479</definedName>
    <definedName name="A680_C5">Master!$G$479</definedName>
    <definedName name="A681_C1">Master!$C$480</definedName>
    <definedName name="A681_C2">Master!$D$480</definedName>
    <definedName name="A681_C3">Master!$E$480</definedName>
    <definedName name="A681_C4">Master!$F$480</definedName>
    <definedName name="A681_C5">Master!$G$480</definedName>
    <definedName name="A682_C1">Master!$C$481</definedName>
    <definedName name="A682_C2">Master!$D$481</definedName>
    <definedName name="A682_C3">Master!$E$481</definedName>
    <definedName name="A682_C4">Master!$F$481</definedName>
    <definedName name="A682_C5">Master!$G$481</definedName>
    <definedName name="A690_C1">Master!$C$482</definedName>
    <definedName name="A690_C2">Master!$D$482</definedName>
    <definedName name="A690_C3">Master!$E$482</definedName>
    <definedName name="A690_C4">Master!$F$482</definedName>
    <definedName name="A690_C5">Master!$G$482</definedName>
    <definedName name="A691_C1">Master!$C$483</definedName>
    <definedName name="A691_C2">Master!$D$483</definedName>
    <definedName name="A691_C3">Master!$E$483</definedName>
    <definedName name="A691_C4">Master!$F$483</definedName>
    <definedName name="A691_C5">Master!$G$483</definedName>
    <definedName name="A691B1_C1">Master!$C$484</definedName>
    <definedName name="A691B1_C2">Master!$D$484</definedName>
    <definedName name="A691B1_C3">Master!$E$484</definedName>
    <definedName name="A691B1_C4">Master!$F$484</definedName>
    <definedName name="A691B1_C5">Master!$G$484</definedName>
    <definedName name="A691C_C1">Master!$C$485</definedName>
    <definedName name="A691C_C2">Master!$D$485</definedName>
    <definedName name="A691C_C3">Master!$E$485</definedName>
    <definedName name="A691C_C4">Master!$F$485</definedName>
    <definedName name="A691C_C5">Master!$G$485</definedName>
    <definedName name="A691C1_C1">Master!$C$486</definedName>
    <definedName name="A691C1_C2">Master!$D$486</definedName>
    <definedName name="A691C1_C3">Master!$E$486</definedName>
    <definedName name="A691C1_C4">Master!$F$486</definedName>
    <definedName name="A691C1_C5">Master!$G$486</definedName>
    <definedName name="A691C2_C1">Master!$C$487</definedName>
    <definedName name="A691C2_C2">Master!$D$487</definedName>
    <definedName name="A691C2_C3">Master!$E$487</definedName>
    <definedName name="A691C2_C4">Master!$F$487</definedName>
    <definedName name="A691C2_C5">Master!$G$487</definedName>
    <definedName name="A691E_C1">Master!$C$488</definedName>
    <definedName name="A691E_C2">Master!$D$488</definedName>
    <definedName name="A691E_C3">Master!$E$488</definedName>
    <definedName name="A691E_C4">Master!$F$488</definedName>
    <definedName name="A691E_C5">Master!$G$488</definedName>
    <definedName name="A691G_C1">Master!$C$489</definedName>
    <definedName name="A691G_C2">Master!$D$489</definedName>
    <definedName name="A691G_C3">Master!$E$489</definedName>
    <definedName name="A691G_C4">Master!$F$489</definedName>
    <definedName name="A691G_C5">Master!$G$489</definedName>
    <definedName name="A691L_C1">Master!$C$490</definedName>
    <definedName name="A691L_C2">Master!$D$490</definedName>
    <definedName name="A691L_C3">Master!$E$490</definedName>
    <definedName name="A691L_C4">Master!$F$490</definedName>
    <definedName name="A691L_C5">Master!$G$490</definedName>
    <definedName name="A691L1_C1">Master!$C$491</definedName>
    <definedName name="A691L1_C2">Master!$D$491</definedName>
    <definedName name="A691L1_C3">Master!$E$491</definedName>
    <definedName name="A691L1_C4">Master!$F$491</definedName>
    <definedName name="A691L1_C5">Master!$G$491</definedName>
    <definedName name="A691L2_C1">Master!$C$492</definedName>
    <definedName name="A691L2_C2">Master!$D$492</definedName>
    <definedName name="A691L2_C3">Master!$E$492</definedName>
    <definedName name="A691L2_C4">Master!$F$492</definedName>
    <definedName name="A691L2_C5">Master!$G$492</definedName>
    <definedName name="A691L3_C1">Master!$C$493</definedName>
    <definedName name="A691L3_C2">Master!$D$493</definedName>
    <definedName name="A691L3_C3">Master!$E$493</definedName>
    <definedName name="A691L3_C4">Master!$F$493</definedName>
    <definedName name="A691L3_C5">Master!$G$493</definedName>
    <definedName name="A691L4_C1">Master!$C$494</definedName>
    <definedName name="A691L4_C2">Master!$D$494</definedName>
    <definedName name="A691L4_C3">Master!$E$494</definedName>
    <definedName name="A691L4_C4">Master!$F$494</definedName>
    <definedName name="A691L4_C5">Master!$G$494</definedName>
    <definedName name="A691L5_C1">Master!$C$495</definedName>
    <definedName name="A691L5_C2">Master!$D$495</definedName>
    <definedName name="A691L5_C3">Master!$E$495</definedName>
    <definedName name="A691L5_C4">Master!$F$495</definedName>
    <definedName name="A691L5_C5">Master!$G$495</definedName>
    <definedName name="A691L6_C1">Master!$C$496</definedName>
    <definedName name="A691L6_C2">Master!$D$496</definedName>
    <definedName name="A691L6_C3">Master!$E$496</definedName>
    <definedName name="A691L6_C4">Master!$F$496</definedName>
    <definedName name="A691L6_C5">Master!$G$496</definedName>
    <definedName name="A691L7_C1">Master!$C$497</definedName>
    <definedName name="A691L7_C2">Master!$D$497</definedName>
    <definedName name="A691L7_C3">Master!$E$497</definedName>
    <definedName name="A691L7_C4">Master!$F$497</definedName>
    <definedName name="A691L7_C5">Master!$G$497</definedName>
    <definedName name="A691L8_C1">Master!$C$498</definedName>
    <definedName name="A691L8_C2">Master!$D$498</definedName>
    <definedName name="A691L8_C3">Master!$E$498</definedName>
    <definedName name="A691L8_C4">Master!$F$498</definedName>
    <definedName name="A691L8_C5">Master!$G$498</definedName>
    <definedName name="A691L9_C1">Master!$C$499</definedName>
    <definedName name="A691L9_C2">Master!$D$499</definedName>
    <definedName name="A691L9_C3">Master!$E$499</definedName>
    <definedName name="A691L9_C4">Master!$F$499</definedName>
    <definedName name="A691L9_C5">Master!$G$499</definedName>
    <definedName name="A691N_C1">Master!$C$500</definedName>
    <definedName name="A691N_C2">Master!$D$500</definedName>
    <definedName name="A691N_C3">Master!$E$500</definedName>
    <definedName name="A691N_C4">Master!$F$500</definedName>
    <definedName name="A691N_C5">Master!$G$500</definedName>
    <definedName name="A691N1_C1">Master!$C$501</definedName>
    <definedName name="A691N1_C2">Master!$D$501</definedName>
    <definedName name="A691N1_C3">Master!$E$501</definedName>
    <definedName name="A691N1_C4">Master!$F$501</definedName>
    <definedName name="A691N1_C5">Master!$G$501</definedName>
    <definedName name="A691N2_C1">Master!$C$502</definedName>
    <definedName name="A691N2_C2">Master!$D$502</definedName>
    <definedName name="A691N2_C3">Master!$E$502</definedName>
    <definedName name="A691N2_C4">Master!$F$502</definedName>
    <definedName name="A691N2_C5">Master!$G$502</definedName>
    <definedName name="A691N3_C1">Master!$C$503</definedName>
    <definedName name="A691N3_C2">Master!$D$503</definedName>
    <definedName name="A691N3_C3">Master!$E$503</definedName>
    <definedName name="A691N3_C4">Master!$F$503</definedName>
    <definedName name="A691N3_C5">Master!$G$503</definedName>
    <definedName name="A691N4_C1">Master!$C$504</definedName>
    <definedName name="A691N4_C2">Master!$D$504</definedName>
    <definedName name="A691N4_C3">Master!$E$504</definedName>
    <definedName name="A691N4_C4">Master!$F$504</definedName>
    <definedName name="A691N4_C5">Master!$G$504</definedName>
    <definedName name="A691N5_C1">Master!$C$505</definedName>
    <definedName name="A691N5_C2">Master!$D$505</definedName>
    <definedName name="A691N5_C3">Master!$E$505</definedName>
    <definedName name="A691N5_C4">Master!$F$505</definedName>
    <definedName name="A691N5_C5">Master!$G$505</definedName>
    <definedName name="A691N6_C1">Master!$C$506</definedName>
    <definedName name="A691N6_C2">Master!$D$506</definedName>
    <definedName name="A691N6_C3">Master!$E$506</definedName>
    <definedName name="A691N6_C4">Master!$F$506</definedName>
    <definedName name="A691N6_C5">Master!$G$506</definedName>
    <definedName name="A691N7_C1">Master!$C$507</definedName>
    <definedName name="A691N7_C2">Master!$D$507</definedName>
    <definedName name="A691N7_C3">Master!$E$507</definedName>
    <definedName name="A691N7_C4">Master!$F$507</definedName>
    <definedName name="A691N7_C5">Master!$G$507</definedName>
    <definedName name="A691N8_C1">Master!$C$508</definedName>
    <definedName name="A691N8_C2">Master!$D$508</definedName>
    <definedName name="A691N8_C3">Master!$E$508</definedName>
    <definedName name="A691N8_C4">Master!$F$508</definedName>
    <definedName name="A691N8_C5">Master!$G$508</definedName>
    <definedName name="A691N9_C1">Master!$C$509</definedName>
    <definedName name="A691N9_C2">Master!$D$509</definedName>
    <definedName name="A691N9_C3">Master!$E$509</definedName>
    <definedName name="A691N9_C4">Master!$F$509</definedName>
    <definedName name="A691N9_C5">Master!$G$509</definedName>
    <definedName name="A691P1_C1">Master!$C$510</definedName>
    <definedName name="A691P1_C2">Master!$D$510</definedName>
    <definedName name="A691P1_C3">Master!$E$510</definedName>
    <definedName name="A691P1_C4">Master!$F$510</definedName>
    <definedName name="A691P1_C5">Master!$G$510</definedName>
    <definedName name="A691P2_C1">Master!$C$511</definedName>
    <definedName name="A691P2_C2">Master!$D$511</definedName>
    <definedName name="A691P2_C3">Master!$E$511</definedName>
    <definedName name="A691P2_C4">Master!$F$511</definedName>
    <definedName name="A691P2_C5">Master!$G$511</definedName>
    <definedName name="A692_C1">Master!$C$512</definedName>
    <definedName name="A692_C2">Master!$D$512</definedName>
    <definedName name="A692_C3">Master!$E$512</definedName>
    <definedName name="A692_C4">Master!$F$512</definedName>
    <definedName name="A692_C5">Master!$G$512</definedName>
    <definedName name="A698_C1">Master!$C$513</definedName>
    <definedName name="A698_C2">Master!$D$513</definedName>
    <definedName name="A698_C3">Master!$E$513</definedName>
    <definedName name="A698_C4">Master!$F$513</definedName>
    <definedName name="A698_C5">Master!$G$513</definedName>
    <definedName name="A698A_C1">Master!$C$514</definedName>
    <definedName name="A698A_C2">Master!$D$514</definedName>
    <definedName name="A698A_C3">Master!$E$514</definedName>
    <definedName name="A698A_C4">Master!$F$514</definedName>
    <definedName name="A698A_C5">Master!$G$514</definedName>
    <definedName name="A698B_C1">Master!$C$515</definedName>
    <definedName name="A698B_C2">Master!$D$515</definedName>
    <definedName name="A698B_C3">Master!$E$515</definedName>
    <definedName name="A698B_C4">Master!$F$515</definedName>
    <definedName name="A698B_C5">Master!$G$515</definedName>
    <definedName name="A698C_C1">Master!$C$516</definedName>
    <definedName name="A698C_C2">Master!$D$516</definedName>
    <definedName name="A698C_C3">Master!$E$516</definedName>
    <definedName name="A698C_C4">Master!$F$516</definedName>
    <definedName name="A698C_C5">Master!$G$516</definedName>
    <definedName name="A703_C1">Master!$C$517</definedName>
    <definedName name="A703_C2">Master!$D$517</definedName>
    <definedName name="A703_C3">Master!$E$517</definedName>
    <definedName name="A703_C4">Master!$F$517</definedName>
    <definedName name="A703_C5">Master!$G$517</definedName>
    <definedName name="A703A_C1">Master!$C$518</definedName>
    <definedName name="A703A_C2">Master!$D$518</definedName>
    <definedName name="A703A_C3">Master!$E$518</definedName>
    <definedName name="A703A_C4">Master!$F$518</definedName>
    <definedName name="A703A_C5">Master!$G$518</definedName>
    <definedName name="A704_C1">Master!$C$519</definedName>
    <definedName name="A704_C2">Master!$D$519</definedName>
    <definedName name="A704_C3">Master!$E$519</definedName>
    <definedName name="A704_C4">Master!$F$519</definedName>
    <definedName name="A704_C5">Master!$G$519</definedName>
    <definedName name="A704A_C1">Master!$C$520</definedName>
    <definedName name="A704A_C2">Master!$D$520</definedName>
    <definedName name="A704A_C3">Master!$E$520</definedName>
    <definedName name="A704A_C4">Master!$F$520</definedName>
    <definedName name="A704A_C5">Master!$G$520</definedName>
    <definedName name="A704A1_C1">Master!$C$521</definedName>
    <definedName name="A704A1_C2">Master!$D$521</definedName>
    <definedName name="A704A1_C3">Master!$E$521</definedName>
    <definedName name="A704A1_C4">Master!$F$521</definedName>
    <definedName name="A704A1_C5">Master!$G$521</definedName>
    <definedName name="A704A2_C1">Master!$C$522</definedName>
    <definedName name="A704A2_C2">Master!$D$522</definedName>
    <definedName name="A704A2_C3">Master!$E$522</definedName>
    <definedName name="A704A2_C4">Master!$F$522</definedName>
    <definedName name="A704A2_C5">Master!$G$522</definedName>
    <definedName name="A704B_C1">Master!$C$523</definedName>
    <definedName name="A704B_C2">Master!$D$523</definedName>
    <definedName name="A704B_C3">Master!$E$523</definedName>
    <definedName name="A704B_C4">Master!$F$523</definedName>
    <definedName name="A704B_C5">Master!$G$523</definedName>
    <definedName name="A704C_C1">Master!$C$524</definedName>
    <definedName name="A704C_C2">Master!$D$524</definedName>
    <definedName name="A704C_C3">Master!$E$524</definedName>
    <definedName name="A704C_C4">Master!$F$524</definedName>
    <definedName name="A704C_C5">Master!$G$524</definedName>
    <definedName name="A704C1_C1">Master!$C$525</definedName>
    <definedName name="A704C1_C2">Master!$D$525</definedName>
    <definedName name="A704C1_C3">Master!$E$525</definedName>
    <definedName name="A704C1_C4">Master!$F$525</definedName>
    <definedName name="A704C1_C5">Master!$G$525</definedName>
    <definedName name="A704D_C1">Master!$C$526</definedName>
    <definedName name="A704D_C2">Master!$D$526</definedName>
    <definedName name="A704D_C3">Master!$E$526</definedName>
    <definedName name="A704D_C4">Master!$F$526</definedName>
    <definedName name="A704D_C5">Master!$G$526</definedName>
    <definedName name="A704D2_C1">Master!$C$527</definedName>
    <definedName name="A704D2_C2">Master!$D$527</definedName>
    <definedName name="A704D2_C3">Master!$E$527</definedName>
    <definedName name="A704D2_C4">Master!$F$527</definedName>
    <definedName name="A704D2_C5">Master!$G$527</definedName>
    <definedName name="A704E_C1">Master!$C$528</definedName>
    <definedName name="A704E_C2">Master!$D$528</definedName>
    <definedName name="A704E_C3">Master!$E$528</definedName>
    <definedName name="A704E_C4">Master!$F$528</definedName>
    <definedName name="A704E_C5">Master!$G$528</definedName>
    <definedName name="A704F2_C1">Master!$C$529</definedName>
    <definedName name="A704F2_C2">Master!$D$529</definedName>
    <definedName name="A704F2_C3">Master!$E$529</definedName>
    <definedName name="A704F2_C4">Master!$F$529</definedName>
    <definedName name="A704F2_C5">Master!$G$529</definedName>
    <definedName name="A704G2_C1">Master!$C$530</definedName>
    <definedName name="A704G2_C2">Master!$D$530</definedName>
    <definedName name="A704G2_C3">Master!$E$530</definedName>
    <definedName name="A704G2_C4">Master!$F$530</definedName>
    <definedName name="A704G2_C5">Master!$G$530</definedName>
    <definedName name="A705_C1">Master!$C$531</definedName>
    <definedName name="A705_C2">Master!$D$531</definedName>
    <definedName name="A705_C3">Master!$E$531</definedName>
    <definedName name="A705_C4">Master!$F$531</definedName>
    <definedName name="A705_C5">Master!$G$531</definedName>
    <definedName name="A705A_C1">Master!$C$532</definedName>
    <definedName name="A705A_C2">Master!$D$532</definedName>
    <definedName name="A705A_C3">Master!$E$532</definedName>
    <definedName name="A705A_C4">Master!$F$532</definedName>
    <definedName name="A705A_C5">Master!$G$532</definedName>
    <definedName name="A705B_C1">Master!$C$533</definedName>
    <definedName name="A705B_C2">Master!$D$533</definedName>
    <definedName name="A705B_C3">Master!$E$533</definedName>
    <definedName name="A705B_C4">Master!$F$533</definedName>
    <definedName name="A705B_C5">Master!$G$533</definedName>
    <definedName name="A706_C1">Master!$C$534</definedName>
    <definedName name="A706_C2">Master!$D$534</definedName>
    <definedName name="A706_C3">Master!$E$534</definedName>
    <definedName name="A706_C4">Master!$F$534</definedName>
    <definedName name="A706_C5">Master!$G$534</definedName>
    <definedName name="A707_C1">Master!$C$535</definedName>
    <definedName name="A707_C2">Master!$D$535</definedName>
    <definedName name="A707_C3">Master!$E$535</definedName>
    <definedName name="A707_C4">Master!$F$535</definedName>
    <definedName name="A707_C5">Master!$G$535</definedName>
    <definedName name="A708_C1">Master!$C$536</definedName>
    <definedName name="A708_C2">Master!$D$536</definedName>
    <definedName name="A708_C3">Master!$E$536</definedName>
    <definedName name="A708_C4">Master!$F$536</definedName>
    <definedName name="A708_C5">Master!$G$536</definedName>
    <definedName name="A708B_C1">Master!$C$537</definedName>
    <definedName name="A708B_C2">Master!$D$537</definedName>
    <definedName name="A708B_C3">Master!$E$537</definedName>
    <definedName name="A708B_C4">Master!$F$537</definedName>
    <definedName name="A708B_C5">Master!$G$537</definedName>
    <definedName name="A709_C1">Master!$C$538</definedName>
    <definedName name="A709_C2">Master!$D$538</definedName>
    <definedName name="A709_C3">Master!$E$538</definedName>
    <definedName name="A709_C4">Master!$F$538</definedName>
    <definedName name="A709_C5">Master!$G$538</definedName>
    <definedName name="A710_C1">Master!$C$539</definedName>
    <definedName name="A710_C2">Master!$D$539</definedName>
    <definedName name="A710_C3">Master!$E$539</definedName>
    <definedName name="A710_C4">Master!$F$539</definedName>
    <definedName name="A710_C5">Master!$G$539</definedName>
    <definedName name="A712_C1">Master!$C$540</definedName>
    <definedName name="A712_C2">Master!$D$540</definedName>
    <definedName name="A712_C3">Master!$E$540</definedName>
    <definedName name="A712_C4">Master!$F$540</definedName>
    <definedName name="A712_C5">Master!$G$540</definedName>
    <definedName name="A713_C1">Master!$C$541</definedName>
    <definedName name="A713_C2">Master!$D$541</definedName>
    <definedName name="A713_C3">Master!$E$541</definedName>
    <definedName name="A713_C4">Master!$F$541</definedName>
    <definedName name="A713_C5">Master!$G$541</definedName>
    <definedName name="A713A_C1">Master!$C$542</definedName>
    <definedName name="A713A_C2">Master!$D$542</definedName>
    <definedName name="A713A_C3">Master!$E$542</definedName>
    <definedName name="A713A_C4">Master!$F$542</definedName>
    <definedName name="A713A_C5">Master!$G$542</definedName>
    <definedName name="A714_C1">Master!$C$543</definedName>
    <definedName name="A714_C2">Master!$D$543</definedName>
    <definedName name="A714_C3">Master!$E$543</definedName>
    <definedName name="A714_C4">Master!$F$543</definedName>
    <definedName name="A714_C5">Master!$G$543</definedName>
    <definedName name="A714A_C1">Master!$C$544</definedName>
    <definedName name="A714A_C2">Master!$D$544</definedName>
    <definedName name="A714A_C3">Master!$E$544</definedName>
    <definedName name="A714A_C4">Master!$F$544</definedName>
    <definedName name="A714A_C5">Master!$G$544</definedName>
    <definedName name="A715_C1">Master!$C$545</definedName>
    <definedName name="A715_C2">Master!$D$545</definedName>
    <definedName name="A715_C3">Master!$E$545</definedName>
    <definedName name="A715_C4">Master!$F$545</definedName>
    <definedName name="A715_C5">Master!$G$545</definedName>
    <definedName name="A715A_C1">Master!$C$546</definedName>
    <definedName name="A715A_C2">Master!$D$546</definedName>
    <definedName name="A715A_C3">Master!$E$546</definedName>
    <definedName name="A715A_C4">Master!$F$546</definedName>
    <definedName name="A715A_C5">Master!$G$546</definedName>
    <definedName name="A716_C1">Master!$C$547</definedName>
    <definedName name="A716_C2">Master!$D$547</definedName>
    <definedName name="A716_C3">Master!$E$547</definedName>
    <definedName name="A716_C4">Master!$F$547</definedName>
    <definedName name="A716_C5">Master!$G$547</definedName>
    <definedName name="A716A_C1">Master!$C$548</definedName>
    <definedName name="A716A_C2">Master!$D$548</definedName>
    <definedName name="A716A_C3">Master!$E$548</definedName>
    <definedName name="A716A_C4">Master!$F$548</definedName>
    <definedName name="A716A_C5">Master!$G$548</definedName>
    <definedName name="A718_C1">Master!$C$549</definedName>
    <definedName name="A718_C2">Master!$D$549</definedName>
    <definedName name="A718_C3">Master!$E$549</definedName>
    <definedName name="A718_C4">Master!$F$549</definedName>
    <definedName name="A718_C5">Master!$G$549</definedName>
    <definedName name="A718A_C1">Master!$C$550</definedName>
    <definedName name="A718A_C2">Master!$D$550</definedName>
    <definedName name="A718A_C3">Master!$E$550</definedName>
    <definedName name="A718A_C4">Master!$F$550</definedName>
    <definedName name="A718A_C5">Master!$G$550</definedName>
    <definedName name="A718A1_C1">Master!$C$551</definedName>
    <definedName name="A718A1_C2">Master!$D$551</definedName>
    <definedName name="A718A1_C3">Master!$E$551</definedName>
    <definedName name="A718A1_C4">Master!$F$551</definedName>
    <definedName name="A718A1_C5">Master!$G$551</definedName>
    <definedName name="A718A2_C1">Master!$C$552</definedName>
    <definedName name="A718A2_C2">Master!$D$552</definedName>
    <definedName name="A718A2_C3">Master!$E$552</definedName>
    <definedName name="A718A2_C4">Master!$F$552</definedName>
    <definedName name="A718A2_C5">Master!$G$552</definedName>
    <definedName name="A718A3_C1">Master!$C$553</definedName>
    <definedName name="A718A3_C2">Master!$D$553</definedName>
    <definedName name="A718A3_C3">Master!$E$553</definedName>
    <definedName name="A718A3_C4">Master!$F$553</definedName>
    <definedName name="A718A3_C5">Master!$G$553</definedName>
    <definedName name="A718A4_C1">Master!$C$554</definedName>
    <definedName name="A718A4_C2">Master!$D$554</definedName>
    <definedName name="A718A4_C3">Master!$E$554</definedName>
    <definedName name="A718A4_C4">Master!$F$554</definedName>
    <definedName name="A718A4_C5">Master!$G$554</definedName>
    <definedName name="A718A5_C1">Master!$C$555</definedName>
    <definedName name="A718A5_C2">Master!$D$555</definedName>
    <definedName name="A718A5_C3">Master!$E$555</definedName>
    <definedName name="A718A5_C4">Master!$F$555</definedName>
    <definedName name="A718A5_C5">Master!$G$555</definedName>
    <definedName name="A719_C1">Master!$C$556</definedName>
    <definedName name="A719_C2">Master!$D$556</definedName>
    <definedName name="A719_C3">Master!$E$556</definedName>
    <definedName name="A719_C4">Master!$F$556</definedName>
    <definedName name="A719_C5">Master!$G$556</definedName>
    <definedName name="A720_C1">Master!$C$557</definedName>
    <definedName name="A720_C2">Master!$D$557</definedName>
    <definedName name="A720_C3">Master!$E$557</definedName>
    <definedName name="A720_C4">Master!$F$557</definedName>
    <definedName name="A720_C5">Master!$G$557</definedName>
    <definedName name="A720A_C1">Master!$C$558</definedName>
    <definedName name="A720A_C2">Master!$D$558</definedName>
    <definedName name="A720A_C3">Master!$E$558</definedName>
    <definedName name="A720A_C4">Master!$F$558</definedName>
    <definedName name="A720A_C5">Master!$G$558</definedName>
    <definedName name="A720B_C1">Master!$C$559</definedName>
    <definedName name="A720B_C2">Master!$D$559</definedName>
    <definedName name="A720B_C3">Master!$E$559</definedName>
    <definedName name="A720B_C4">Master!$F$559</definedName>
    <definedName name="A720B_C5">Master!$G$559</definedName>
    <definedName name="A720C_C1">Master!$C$560</definedName>
    <definedName name="A720C_C2">Master!$D$560</definedName>
    <definedName name="A720C_C3">Master!$E$560</definedName>
    <definedName name="A720C_C4">Master!$F$560</definedName>
    <definedName name="A720C_C5">Master!$G$560</definedName>
    <definedName name="A720D_C1">Master!$C$561</definedName>
    <definedName name="A720D_C2">Master!$D$561</definedName>
    <definedName name="A720D_C3">Master!$E$561</definedName>
    <definedName name="A720D_C4">Master!$F$561</definedName>
    <definedName name="A720D_C5">Master!$G$561</definedName>
    <definedName name="A720E_C1">Master!$C$562</definedName>
    <definedName name="A720E_C2">Master!$D$562</definedName>
    <definedName name="A720E_C3">Master!$E$562</definedName>
    <definedName name="A720E_C4">Master!$F$562</definedName>
    <definedName name="A720E_C5">Master!$G$562</definedName>
    <definedName name="A721_C1">Master!$C$563</definedName>
    <definedName name="A721_C2">Master!$D$563</definedName>
    <definedName name="A721_C3">Master!$E$563</definedName>
    <definedName name="A721_C4">Master!$F$563</definedName>
    <definedName name="A721_C5">Master!$G$563</definedName>
    <definedName name="A721A_C1">Master!$C$564</definedName>
    <definedName name="A721A_C2">Master!$D$564</definedName>
    <definedName name="A721A_C3">Master!$E$564</definedName>
    <definedName name="A721A_C4">Master!$F$564</definedName>
    <definedName name="A721A_C5">Master!$G$564</definedName>
    <definedName name="A721B_C1">Master!$C$565</definedName>
    <definedName name="A721B_C2">Master!$D$565</definedName>
    <definedName name="A721B_C3">Master!$E$565</definedName>
    <definedName name="A721B_C4">Master!$F$565</definedName>
    <definedName name="A721B_C5">Master!$G$565</definedName>
    <definedName name="A722_C1">Master!$C$566</definedName>
    <definedName name="A722_C2">Master!$D$566</definedName>
    <definedName name="A722_C3">Master!$E$566</definedName>
    <definedName name="A722_C4">Master!$F$566</definedName>
    <definedName name="A722_C5">Master!$G$566</definedName>
    <definedName name="A723_C1">Master!$C$567</definedName>
    <definedName name="A723_C2">Master!$D$567</definedName>
    <definedName name="A723_C3">Master!$E$567</definedName>
    <definedName name="A723_C4">Master!$F$567</definedName>
    <definedName name="A723_C5">Master!$G$567</definedName>
    <definedName name="A724_C1">Master!$C$568</definedName>
    <definedName name="A724_C2">Master!$D$568</definedName>
    <definedName name="A724_C3">Master!$E$568</definedName>
    <definedName name="A724_C4">Master!$F$568</definedName>
    <definedName name="A724_C5">Master!$G$568</definedName>
    <definedName name="A724B_C1">Master!$C$569</definedName>
    <definedName name="A724B_C2">Master!$D$569</definedName>
    <definedName name="A724B_C3">Master!$E$569</definedName>
    <definedName name="A724B_C4">Master!$F$569</definedName>
    <definedName name="A724B_C5">Master!$G$569</definedName>
    <definedName name="A725_C1">Master!$C$570</definedName>
    <definedName name="A725_C2">Master!$D$570</definedName>
    <definedName name="A725_C3">Master!$E$570</definedName>
    <definedName name="A725_C4">Master!$F$570</definedName>
    <definedName name="A725_C5">Master!$G$570</definedName>
    <definedName name="A726_C1">Master!$C$571</definedName>
    <definedName name="A726_C2">Master!$D$571</definedName>
    <definedName name="A726_C3">Master!$E$571</definedName>
    <definedName name="A726_C4">Master!$F$571</definedName>
    <definedName name="A726_C5">Master!$G$571</definedName>
    <definedName name="A730A_C1">Master!$C$572</definedName>
    <definedName name="A730A_C2">Master!$D$572</definedName>
    <definedName name="A730A_C3">Master!$E$572</definedName>
    <definedName name="A730A_C4">Master!$F$572</definedName>
    <definedName name="A730A_C5">Master!$G$572</definedName>
    <definedName name="A730B_C1">Master!$C$573</definedName>
    <definedName name="A730B_C2">Master!$D$573</definedName>
    <definedName name="A730B_C3">Master!$E$573</definedName>
    <definedName name="A730B_C4">Master!$F$573</definedName>
    <definedName name="A730B_C5">Master!$G$573</definedName>
    <definedName name="A730B1_C1">Master!$C$574</definedName>
    <definedName name="A730B1_C2">Master!$D$574</definedName>
    <definedName name="A730B1_C3">Master!$E$574</definedName>
    <definedName name="A730B1_C4">Master!$F$574</definedName>
    <definedName name="A730B1_C5">Master!$G$574</definedName>
    <definedName name="A730B2_C1">Master!$C$575</definedName>
    <definedName name="A730B2_C2">Master!$D$575</definedName>
    <definedName name="A730B2_C3">Master!$E$575</definedName>
    <definedName name="A730B2_C4">Master!$F$575</definedName>
    <definedName name="A730B2_C5">Master!$G$575</definedName>
    <definedName name="A730C_C1">Master!$C$576</definedName>
    <definedName name="A730C_C2">Master!$D$576</definedName>
    <definedName name="A730C_C3">Master!$E$576</definedName>
    <definedName name="A730C_C4">Master!$F$576</definedName>
    <definedName name="A730C_C5">Master!$G$576</definedName>
    <definedName name="A731_C1">Master!$C$577</definedName>
    <definedName name="A731_C2">Master!$D$577</definedName>
    <definedName name="A731_C3">Master!$E$577</definedName>
    <definedName name="A731_C4">Master!$F$577</definedName>
    <definedName name="A731_C5">Master!$G$577</definedName>
    <definedName name="A732_C1">Master!$C$578</definedName>
    <definedName name="A732_C2">Master!$D$578</definedName>
    <definedName name="A732_C3">Master!$E$578</definedName>
    <definedName name="A732_C4">Master!$F$578</definedName>
    <definedName name="A732_C5">Master!$G$578</definedName>
    <definedName name="A733_C1">Master!$C$579</definedName>
    <definedName name="A733_C2">Master!$D$579</definedName>
    <definedName name="A733_C3">Master!$E$579</definedName>
    <definedName name="A733_C4">Master!$F$579</definedName>
    <definedName name="A733_C5">Master!$G$579</definedName>
    <definedName name="A733A_C1">Master!$C$580</definedName>
    <definedName name="A733A_C2">Master!$D$580</definedName>
    <definedName name="A733A_C3">Master!$E$580</definedName>
    <definedName name="A733A_C4">Master!$F$580</definedName>
    <definedName name="A733A_C5">Master!$G$580</definedName>
    <definedName name="A736_C1">Master!$C$581</definedName>
    <definedName name="A736_C2">Master!$D$581</definedName>
    <definedName name="A736_C3">Master!$E$581</definedName>
    <definedName name="A736_C4">Master!$F$581</definedName>
    <definedName name="A736_C5">Master!$G$581</definedName>
    <definedName name="A740_C1">Master!$C$582</definedName>
    <definedName name="A740_C2">Master!$D$582</definedName>
    <definedName name="A740_C3">Master!$E$582</definedName>
    <definedName name="A740_C4">Master!$F$582</definedName>
    <definedName name="A740_C5">Master!$G$582</definedName>
    <definedName name="A740A_C1">Master!$C$583</definedName>
    <definedName name="A740A_C2">Master!$D$583</definedName>
    <definedName name="A740A_C3">Master!$E$583</definedName>
    <definedName name="A740A_C4">Master!$F$583</definedName>
    <definedName name="A740A_C5">Master!$G$583</definedName>
    <definedName name="A741C_C1">Master!$C$584</definedName>
    <definedName name="A741C_C2">Master!$D$584</definedName>
    <definedName name="A741C_C3">Master!$E$584</definedName>
    <definedName name="A741C_C4">Master!$F$584</definedName>
    <definedName name="A741C_C5">Master!$G$584</definedName>
    <definedName name="A741C3_C1">Master!$C$585</definedName>
    <definedName name="A741C3_C2">Master!$D$585</definedName>
    <definedName name="A741C3_C3">Master!$E$585</definedName>
    <definedName name="A741C3_C4">Master!$F$585</definedName>
    <definedName name="A741C3_C5">Master!$G$585</definedName>
    <definedName name="A742C_C1">Master!$C$586</definedName>
    <definedName name="A742C_C2">Master!$D$586</definedName>
    <definedName name="A742C_C3">Master!$E$586</definedName>
    <definedName name="A742C_C4">Master!$F$586</definedName>
    <definedName name="A742C_C5">Master!$G$586</definedName>
    <definedName name="A742C1_C1">Master!$C$587</definedName>
    <definedName name="A742C1_C2">Master!$D$587</definedName>
    <definedName name="A742C1_C3">Master!$E$587</definedName>
    <definedName name="A742C1_C4">Master!$F$587</definedName>
    <definedName name="A742C1_C5">Master!$G$587</definedName>
    <definedName name="A742C2_C1">Master!$C$588</definedName>
    <definedName name="A742C2_C2">Master!$D$588</definedName>
    <definedName name="A742C2_C3">Master!$E$588</definedName>
    <definedName name="A742C2_C4">Master!$F$588</definedName>
    <definedName name="A742C2_C5">Master!$G$588</definedName>
    <definedName name="A743C_C1">Master!$C$589</definedName>
    <definedName name="A743C_C2">Master!$D$589</definedName>
    <definedName name="A743C_C3">Master!$E$589</definedName>
    <definedName name="A743C_C4">Master!$F$589</definedName>
    <definedName name="A743C_C5">Master!$G$589</definedName>
    <definedName name="A743D_C1">Master!$C$590</definedName>
    <definedName name="A743D_C2">Master!$D$590</definedName>
    <definedName name="A743D_C3">Master!$E$590</definedName>
    <definedName name="A743D_C4">Master!$F$590</definedName>
    <definedName name="A743D_C5">Master!$G$590</definedName>
    <definedName name="A743E_C1">Master!$C$591</definedName>
    <definedName name="A743E_C2">Master!$D$591</definedName>
    <definedName name="A743E_C3">Master!$E$591</definedName>
    <definedName name="A743E_C4">Master!$F$591</definedName>
    <definedName name="A743E_C5">Master!$G$591</definedName>
    <definedName name="A744A_C1">Master!$C$592</definedName>
    <definedName name="A744A_C2">Master!$D$592</definedName>
    <definedName name="A744A_C3">Master!$E$592</definedName>
    <definedName name="A744A_C4">Master!$F$592</definedName>
    <definedName name="A744A_C5">Master!$G$592</definedName>
    <definedName name="A744B_C1">Master!$C$593</definedName>
    <definedName name="A744B_C2">Master!$D$593</definedName>
    <definedName name="A744B_C3">Master!$E$593</definedName>
    <definedName name="A744B_C4">Master!$F$593</definedName>
    <definedName name="A744B_C5">Master!$G$593</definedName>
    <definedName name="A744C_C1">Master!$C$594</definedName>
    <definedName name="A744C_C2">Master!$D$594</definedName>
    <definedName name="A744C_C3">Master!$E$594</definedName>
    <definedName name="A744C_C4">Master!$F$594</definedName>
    <definedName name="A744C_C5">Master!$G$594</definedName>
    <definedName name="A744C1_C1">Master!$C$595</definedName>
    <definedName name="A744C1_C2">Master!$D$595</definedName>
    <definedName name="A744C1_C3">Master!$E$595</definedName>
    <definedName name="A744C1_C4">Master!$F$595</definedName>
    <definedName name="A744C1_C5">Master!$G$595</definedName>
    <definedName name="A744C2_C1">Master!$C$596</definedName>
    <definedName name="A744C2_C2">Master!$D$596</definedName>
    <definedName name="A744C2_C3">Master!$E$596</definedName>
    <definedName name="A744C2_C4">Master!$F$596</definedName>
    <definedName name="A744C2_C5">Master!$G$596</definedName>
    <definedName name="A744D_C1">Master!$C$597</definedName>
    <definedName name="A744D_C2">Master!$D$597</definedName>
    <definedName name="A744D_C3">Master!$E$597</definedName>
    <definedName name="A744D_C4">Master!$F$597</definedName>
    <definedName name="A744D_C5">Master!$G$597</definedName>
    <definedName name="A745_C1">Master!$C$598</definedName>
    <definedName name="A745_C2">Master!$D$598</definedName>
    <definedName name="A745_C3">Master!$E$598</definedName>
    <definedName name="A745_C4">Master!$F$598</definedName>
    <definedName name="A745_C5">Master!$G$598</definedName>
    <definedName name="A745A_C1">Master!$C$599</definedName>
    <definedName name="A745A_C2">Master!$D$599</definedName>
    <definedName name="A745A_C3">Master!$E$599</definedName>
    <definedName name="A745A_C4">Master!$F$599</definedName>
    <definedName name="A745A_C5">Master!$G$599</definedName>
    <definedName name="A745B_C1">Master!$C$600</definedName>
    <definedName name="A745B_C2">Master!$D$600</definedName>
    <definedName name="A745B_C3">Master!$E$600</definedName>
    <definedName name="A745B_C4">Master!$F$600</definedName>
    <definedName name="A745B_C5">Master!$G$600</definedName>
    <definedName name="A745C_C1">Master!$C$601</definedName>
    <definedName name="A745C_C2">Master!$D$601</definedName>
    <definedName name="A745C_C3">Master!$E$601</definedName>
    <definedName name="A745C_C4">Master!$F$601</definedName>
    <definedName name="A745C_C5">Master!$G$601</definedName>
    <definedName name="A745C1_C1">Master!$C$602</definedName>
    <definedName name="A745C1_C2">Master!$D$602</definedName>
    <definedName name="A745C1_C3">Master!$E$602</definedName>
    <definedName name="A745C1_C4">Master!$F$602</definedName>
    <definedName name="A745C1_C5">Master!$G$602</definedName>
    <definedName name="A745C2_C1">Master!$C$603</definedName>
    <definedName name="A745C2_C2">Master!$D$603</definedName>
    <definedName name="A745C2_C3">Master!$E$603</definedName>
    <definedName name="A745C2_C4">Master!$F$603</definedName>
    <definedName name="A745C2_C5">Master!$G$603</definedName>
    <definedName name="A745D_C1">Master!$C$604</definedName>
    <definedName name="A745D_C2">Master!$D$604</definedName>
    <definedName name="A745D_C3">Master!$E$604</definedName>
    <definedName name="A745D_C4">Master!$F$604</definedName>
    <definedName name="A745D_C5">Master!$G$604</definedName>
    <definedName name="A745E_C1">Master!$C$605</definedName>
    <definedName name="A745E_C2">Master!$D$605</definedName>
    <definedName name="A745E_C3">Master!$E$605</definedName>
    <definedName name="A745E_C4">Master!$F$605</definedName>
    <definedName name="A745E_C5">Master!$G$605</definedName>
    <definedName name="A746_C1">Master!$C$606</definedName>
    <definedName name="A746_C2">Master!$D$606</definedName>
    <definedName name="A746_C3">Master!$E$606</definedName>
    <definedName name="A746_C4">Master!$F$606</definedName>
    <definedName name="A746_C5">Master!$G$606</definedName>
    <definedName name="A751_C1">Master!$C$607</definedName>
    <definedName name="A751_C2">Master!$D$607</definedName>
    <definedName name="A751_C3">Master!$E$607</definedName>
    <definedName name="A751_C4">Master!$F$607</definedName>
    <definedName name="A751_C5">Master!$G$607</definedName>
    <definedName name="A752_C1">Master!$C$608</definedName>
    <definedName name="A752_C2">Master!$D$608</definedName>
    <definedName name="A752_C3">Master!$E$608</definedName>
    <definedName name="A752_C4">Master!$F$608</definedName>
    <definedName name="A752_C5">Master!$G$608</definedName>
    <definedName name="A753_C1">Master!$C$609</definedName>
    <definedName name="A753_C2">Master!$D$609</definedName>
    <definedName name="A753_C3">Master!$E$609</definedName>
    <definedName name="A753_C4">Master!$F$609</definedName>
    <definedName name="A753_C5">Master!$G$609</definedName>
    <definedName name="A754_C1">Master!$C$610</definedName>
    <definedName name="A754_C2">Master!$D$610</definedName>
    <definedName name="A754_C3">Master!$E$610</definedName>
    <definedName name="A754_C4">Master!$F$610</definedName>
    <definedName name="A754_C5">Master!$G$610</definedName>
    <definedName name="A755_C1">Master!$C$611</definedName>
    <definedName name="A755_C2">Master!$D$611</definedName>
    <definedName name="A755_C3">Master!$E$611</definedName>
    <definedName name="A755_C4">Master!$F$611</definedName>
    <definedName name="A755_C5">Master!$G$611</definedName>
    <definedName name="A756_C1">Master!$C$612</definedName>
    <definedName name="A756_C2">Master!$D$612</definedName>
    <definedName name="A756_C3">Master!$E$612</definedName>
    <definedName name="A756_C4">Master!$F$612</definedName>
    <definedName name="A756_C5">Master!$G$612</definedName>
    <definedName name="A757_C1">Master!$C$613</definedName>
    <definedName name="A757_C2">Master!$D$613</definedName>
    <definedName name="A757_C3">Master!$E$613</definedName>
    <definedName name="A757_C4">Master!$F$613</definedName>
    <definedName name="A757_C5">Master!$G$613</definedName>
    <definedName name="A758_C1">Master!$C$614</definedName>
    <definedName name="A758_C2">Master!$D$614</definedName>
    <definedName name="A758_C3">Master!$E$614</definedName>
    <definedName name="A758_C4">Master!$F$614</definedName>
    <definedName name="A758_C5">Master!$G$614</definedName>
    <definedName name="A766A_C1">Master!$C$615</definedName>
    <definedName name="A766A_C2">Master!$D$615</definedName>
    <definedName name="A766A_C3">Master!$E$615</definedName>
    <definedName name="A766A_C4">Master!$F$615</definedName>
    <definedName name="A766A_C5">Master!$G$615</definedName>
    <definedName name="A766B_C1">Master!$C$616</definedName>
    <definedName name="A766B_C2">Master!$D$616</definedName>
    <definedName name="A766B_C3">Master!$E$616</definedName>
    <definedName name="A766B_C4">Master!$F$616</definedName>
    <definedName name="A766B_C5">Master!$G$616</definedName>
    <definedName name="A766C1_C1">Master!$C$617</definedName>
    <definedName name="A766C1_C2">Master!$D$617</definedName>
    <definedName name="A766C1_C3">Master!$E$617</definedName>
    <definedName name="A766C1_C4">Master!$F$617</definedName>
    <definedName name="A766C1_C5">Master!$G$617</definedName>
    <definedName name="A766C2_C1">Master!$C$618</definedName>
    <definedName name="A766C2_C2">Master!$D$618</definedName>
    <definedName name="A766C2_C3">Master!$E$618</definedName>
    <definedName name="A766C2_C4">Master!$F$618</definedName>
    <definedName name="A766C2_C5">Master!$G$618</definedName>
    <definedName name="A766D_C1">Master!$C$619</definedName>
    <definedName name="A766D_C2">Master!$D$619</definedName>
    <definedName name="A766D_C3">Master!$E$619</definedName>
    <definedName name="A766D_C4">Master!$F$619</definedName>
    <definedName name="A766D_C5">Master!$G$619</definedName>
    <definedName name="A766E_C1">Master!$C$620</definedName>
    <definedName name="A766E_C2">Master!$D$620</definedName>
    <definedName name="A766E_C3">Master!$E$620</definedName>
    <definedName name="A766E_C4">Master!$F$620</definedName>
    <definedName name="A766E_C5">Master!$G$620</definedName>
    <definedName name="A767_C1">Master!$C$621</definedName>
    <definedName name="A767_C2">Master!$D$621</definedName>
    <definedName name="A767_C3">Master!$E$621</definedName>
    <definedName name="A767_C4">Master!$F$621</definedName>
    <definedName name="A767_C5">Master!$G$621</definedName>
    <definedName name="A769A_C1">Master!$C$622</definedName>
    <definedName name="A769A_C2">Master!$D$622</definedName>
    <definedName name="A769A_C3">Master!$E$622</definedName>
    <definedName name="A769A_C4">Master!$F$622</definedName>
    <definedName name="A769A_C5">Master!$G$622</definedName>
    <definedName name="A769A1_C1">Master!$C$623</definedName>
    <definedName name="A769A1_C2">Master!$D$623</definedName>
    <definedName name="A769A1_C3">Master!$E$623</definedName>
    <definedName name="A769A1_C4">Master!$F$623</definedName>
    <definedName name="A769A1_C5">Master!$G$623</definedName>
    <definedName name="A769B_C1">Master!$C$624</definedName>
    <definedName name="A769B_C2">Master!$D$624</definedName>
    <definedName name="A769B_C3">Master!$E$624</definedName>
    <definedName name="A769B_C4">Master!$F$624</definedName>
    <definedName name="A769B_C5">Master!$G$624</definedName>
    <definedName name="A769B1_C1">Master!$C$625</definedName>
    <definedName name="A769B1_C2">Master!$D$625</definedName>
    <definedName name="A769B1_C3">Master!$E$625</definedName>
    <definedName name="A769B1_C4">Master!$F$625</definedName>
    <definedName name="A769B1_C5">Master!$G$625</definedName>
    <definedName name="A771_C1">Master!$C$626</definedName>
    <definedName name="A771_C2">Master!$D$626</definedName>
    <definedName name="A771_C3">Master!$E$626</definedName>
    <definedName name="A771_C4">Master!$F$626</definedName>
    <definedName name="A771_C5">Master!$G$626</definedName>
    <definedName name="A772_C1">Master!$C$627</definedName>
    <definedName name="A772_C2">Master!$D$627</definedName>
    <definedName name="A772_C3">Master!$E$627</definedName>
    <definedName name="A772_C4">Master!$F$627</definedName>
    <definedName name="A772_C5">Master!$G$627</definedName>
    <definedName name="A773_C1">Master!$C$628</definedName>
    <definedName name="A773_C2">Master!$D$628</definedName>
    <definedName name="A773_C3">Master!$E$628</definedName>
    <definedName name="A773_C4">Master!$F$628</definedName>
    <definedName name="A773_C5">Master!$G$628</definedName>
    <definedName name="A774_C1">Master!$C$629</definedName>
    <definedName name="A774_C2">Master!$D$629</definedName>
    <definedName name="A774_C3">Master!$E$629</definedName>
    <definedName name="A774_C4">Master!$F$629</definedName>
    <definedName name="A774_C5">Master!$G$629</definedName>
    <definedName name="A775_C1">Master!$C$630</definedName>
    <definedName name="A775_C2">Master!$D$630</definedName>
    <definedName name="A775_C3">Master!$E$630</definedName>
    <definedName name="A775_C4">Master!$F$630</definedName>
    <definedName name="A775_C5">Master!$G$630</definedName>
    <definedName name="A776_C1">Master!$C$631</definedName>
    <definedName name="A776_C2">Master!$D$631</definedName>
    <definedName name="A776_C3">Master!$E$631</definedName>
    <definedName name="A776_C4">Master!$F$631</definedName>
    <definedName name="A776_C5">Master!$G$631</definedName>
    <definedName name="A777_C1">Master!$C$632</definedName>
    <definedName name="A777_C2">Master!$D$632</definedName>
    <definedName name="A777_C3">Master!$E$632</definedName>
    <definedName name="A777_C4">Master!$F$632</definedName>
    <definedName name="A777_C5">Master!$G$632</definedName>
    <definedName name="A778_C1">Master!$C$633</definedName>
    <definedName name="A778_C2">Master!$D$633</definedName>
    <definedName name="A778_C3">Master!$E$633</definedName>
    <definedName name="A778_C4">Master!$F$633</definedName>
    <definedName name="A778_C5">Master!$G$633</definedName>
    <definedName name="A779_C1">Master!$C$634</definedName>
    <definedName name="A779_C2">Master!$D$634</definedName>
    <definedName name="A779_C3">Master!$E$634</definedName>
    <definedName name="A779_C4">Master!$F$634</definedName>
    <definedName name="A779_C5">Master!$G$634</definedName>
    <definedName name="A779A_C1">Master!$C$635</definedName>
    <definedName name="A779A_C2">Master!$D$635</definedName>
    <definedName name="A779A_C3">Master!$E$635</definedName>
    <definedName name="A779A_C4">Master!$F$635</definedName>
    <definedName name="A779A_C5">Master!$G$635</definedName>
    <definedName name="A780_C1">Master!$C$636</definedName>
    <definedName name="A780_C2">Master!$D$636</definedName>
    <definedName name="A780_C3">Master!$E$636</definedName>
    <definedName name="A780_C4">Master!$F$636</definedName>
    <definedName name="A780_C5">Master!$G$636</definedName>
    <definedName name="A781_C1">Master!$C$637</definedName>
    <definedName name="A781_C2">Master!$D$637</definedName>
    <definedName name="A781_C3">Master!$E$637</definedName>
    <definedName name="A781_C4">Master!$F$637</definedName>
    <definedName name="A781_C5">Master!$G$637</definedName>
    <definedName name="A784_C1">Master!$C$638</definedName>
    <definedName name="A784_C2">Master!$D$638</definedName>
    <definedName name="A784_C3">Master!$E$638</definedName>
    <definedName name="A784_C4">Master!$F$638</definedName>
    <definedName name="A784_C5">Master!$G$638</definedName>
    <definedName name="A784A_C1">Master!$C$639</definedName>
    <definedName name="A784A_C2">Master!$D$639</definedName>
    <definedName name="A784A_C3">Master!$E$639</definedName>
    <definedName name="A784A_C4">Master!$F$639</definedName>
    <definedName name="A784A_C5">Master!$G$639</definedName>
    <definedName name="A785_C1">Master!$C$640</definedName>
    <definedName name="A785_C2">Master!$D$640</definedName>
    <definedName name="A785_C3">Master!$E$640</definedName>
    <definedName name="A785_C4">Master!$F$640</definedName>
    <definedName name="A785_C5">Master!$G$640</definedName>
    <definedName name="A785A_C1">Master!$C$641</definedName>
    <definedName name="A785A_C2">Master!$D$641</definedName>
    <definedName name="A785A_C3">Master!$E$641</definedName>
    <definedName name="A785A_C4">Master!$F$641</definedName>
    <definedName name="A785A_C5">Master!$G$641</definedName>
    <definedName name="A786_C1">Master!$C$642</definedName>
    <definedName name="A786_C2">Master!$D$642</definedName>
    <definedName name="A786_C3">Master!$E$642</definedName>
    <definedName name="A786_C4">Master!$F$642</definedName>
    <definedName name="A786_C5">Master!$G$642</definedName>
    <definedName name="A786A_C1">Master!$C$643</definedName>
    <definedName name="A786A_C2">Master!$D$643</definedName>
    <definedName name="A786A_C3">Master!$E$643</definedName>
    <definedName name="A786A_C4">Master!$F$643</definedName>
    <definedName name="A786A_C5">Master!$G$643</definedName>
    <definedName name="A786B_C1">Master!$C$644</definedName>
    <definedName name="A786B_C2">Master!$D$644</definedName>
    <definedName name="A786B_C3">Master!$E$644</definedName>
    <definedName name="A786B_C4">Master!$F$644</definedName>
    <definedName name="A786B_C5">Master!$G$644</definedName>
    <definedName name="A788_C1">Master!$C$645</definedName>
    <definedName name="A788_C2">Master!$D$645</definedName>
    <definedName name="A788_C3">Master!$E$645</definedName>
    <definedName name="A788_C4">Master!$F$645</definedName>
    <definedName name="A788_C5">Master!$G$645</definedName>
    <definedName name="A789_C1">Master!$C$646</definedName>
    <definedName name="A789_C2">Master!$D$646</definedName>
    <definedName name="A789_C3">Master!$E$646</definedName>
    <definedName name="A789_C4">Master!$F$646</definedName>
    <definedName name="A789_C5">Master!$G$646</definedName>
    <definedName name="A789A_C1">Master!$C$647</definedName>
    <definedName name="A789A_C2">Master!$D$647</definedName>
    <definedName name="A789A_C3">Master!$E$647</definedName>
    <definedName name="A789A_C4">Master!$F$647</definedName>
    <definedName name="A789A_C5">Master!$G$647</definedName>
    <definedName name="A789A1_C1">Master!$C$648</definedName>
    <definedName name="A789A1_C2">Master!$D$648</definedName>
    <definedName name="A789A1_C3">Master!$E$648</definedName>
    <definedName name="A789A1_C4">Master!$F$648</definedName>
    <definedName name="A789A1_C5">Master!$G$648</definedName>
    <definedName name="A789B_C1">Master!$C$649</definedName>
    <definedName name="A789B_C2">Master!$D$649</definedName>
    <definedName name="A789B_C3">Master!$E$649</definedName>
    <definedName name="A789B_C4">Master!$F$649</definedName>
    <definedName name="A789B_C5">Master!$G$649</definedName>
    <definedName name="A789C_C1">Master!$C$650</definedName>
    <definedName name="A789C_C2">Master!$D$650</definedName>
    <definedName name="A789C_C3">Master!$E$650</definedName>
    <definedName name="A789C_C4">Master!$F$650</definedName>
    <definedName name="A789C_C5">Master!$G$650</definedName>
    <definedName name="A789D_C1">Master!$C$651</definedName>
    <definedName name="A789D_C2">Master!$D$651</definedName>
    <definedName name="A789D_C3">Master!$E$651</definedName>
    <definedName name="A789D_C4">Master!$F$651</definedName>
    <definedName name="A789D_C5">Master!$G$651</definedName>
    <definedName name="A789E_C1">Master!$C$652</definedName>
    <definedName name="A789E_C2">Master!$D$652</definedName>
    <definedName name="A789E_C3">Master!$E$652</definedName>
    <definedName name="A789E_C4">Master!$F$652</definedName>
    <definedName name="A789E_C5">Master!$G$652</definedName>
    <definedName name="A789E1_C1">Master!$C$653</definedName>
    <definedName name="A789E1_C2">Master!$D$653</definedName>
    <definedName name="A789E1_C3">Master!$E$653</definedName>
    <definedName name="A789E1_C4">Master!$F$653</definedName>
    <definedName name="A789E1_C5">Master!$G$653</definedName>
    <definedName name="A789E2_C1">Master!$C$654</definedName>
    <definedName name="A789E2_C2">Master!$D$654</definedName>
    <definedName name="A789E2_C3">Master!$E$654</definedName>
    <definedName name="A789E2_C4">Master!$F$654</definedName>
    <definedName name="A789E2_C5">Master!$G$654</definedName>
    <definedName name="A789F_C1">Master!$C$655</definedName>
    <definedName name="A789F_C2">Master!$D$655</definedName>
    <definedName name="A789F_C3">Master!$E$655</definedName>
    <definedName name="A789F_C4">Master!$F$655</definedName>
    <definedName name="A789F_C5">Master!$G$655</definedName>
    <definedName name="A789G_C1">Master!$C$656</definedName>
    <definedName name="A789G_C2">Master!$D$656</definedName>
    <definedName name="A789G_C3">Master!$E$656</definedName>
    <definedName name="A789G_C4">Master!$F$656</definedName>
    <definedName name="A789G_C5">Master!$G$656</definedName>
    <definedName name="A789H_C1">Master!$C$657</definedName>
    <definedName name="A789H_C2">Master!$D$657</definedName>
    <definedName name="A789H_C3">Master!$E$657</definedName>
    <definedName name="A789H_C4">Master!$F$657</definedName>
    <definedName name="A789H_C5">Master!$G$657</definedName>
    <definedName name="A794_C1">Master!$C$658</definedName>
    <definedName name="A794_C2">Master!$D$658</definedName>
    <definedName name="A794_C3">Master!$E$658</definedName>
    <definedName name="A794_C4">Master!$F$658</definedName>
    <definedName name="A794_C5">Master!$G$658</definedName>
    <definedName name="A796A_C1">Master!$C$659</definedName>
    <definedName name="A796A_C2">Master!$D$659</definedName>
    <definedName name="A796A_C3">Master!$E$659</definedName>
    <definedName name="A796A_C4">Master!$F$659</definedName>
    <definedName name="A796A_C5">Master!$G$659</definedName>
    <definedName name="A796B_C1">Master!$C$660</definedName>
    <definedName name="A796B_C2">Master!$D$660</definedName>
    <definedName name="A796B_C3">Master!$E$660</definedName>
    <definedName name="A796B_C4">Master!$F$660</definedName>
    <definedName name="A796B_C5">Master!$G$660</definedName>
    <definedName name="A796C_C1">Master!$C$661</definedName>
    <definedName name="A796C_C2">Master!$D$661</definedName>
    <definedName name="A796C_C3">Master!$E$661</definedName>
    <definedName name="A796C_C4">Master!$F$661</definedName>
    <definedName name="A796C_C5">Master!$G$661</definedName>
    <definedName name="A796C1_C1">Master!$C$662</definedName>
    <definedName name="A796C1_C2">Master!$D$662</definedName>
    <definedName name="A796C1_C3">Master!$E$662</definedName>
    <definedName name="A796C1_C4">Master!$F$662</definedName>
    <definedName name="A796C1_C5">Master!$G$662</definedName>
    <definedName name="A796C2_C1">Master!$C$663</definedName>
    <definedName name="A796C2_C2">Master!$D$663</definedName>
    <definedName name="A796C2_C3">Master!$E$663</definedName>
    <definedName name="A796C2_C4">Master!$F$663</definedName>
    <definedName name="A796C2_C5">Master!$G$663</definedName>
    <definedName name="A796D_C1">Master!$C$664</definedName>
    <definedName name="A796D_C2">Master!$D$664</definedName>
    <definedName name="A796D_C3">Master!$E$664</definedName>
    <definedName name="A796D_C4">Master!$F$664</definedName>
    <definedName name="A796D_C5">Master!$G$664</definedName>
    <definedName name="A796E_C1">Master!$C$665</definedName>
    <definedName name="A796E_C2">Master!$D$665</definedName>
    <definedName name="A796E_C3">Master!$E$665</definedName>
    <definedName name="A796E_C4">Master!$F$665</definedName>
    <definedName name="A796E_C5">Master!$G$665</definedName>
    <definedName name="A797A_C1">Master!$C$666</definedName>
    <definedName name="A797A_C2">Master!$D$666</definedName>
    <definedName name="A797A_C3">Master!$E$666</definedName>
    <definedName name="A797A_C4">Master!$F$666</definedName>
    <definedName name="A797A_C5">Master!$G$666</definedName>
    <definedName name="A797B_C1">Master!$C$667</definedName>
    <definedName name="A797B_C2">Master!$D$667</definedName>
    <definedName name="A797B_C3">Master!$E$667</definedName>
    <definedName name="A797B_C4">Master!$F$667</definedName>
    <definedName name="A797B_C5">Master!$G$667</definedName>
    <definedName name="A797C_C1">Master!$C$668</definedName>
    <definedName name="A797C_C2">Master!$D$668</definedName>
    <definedName name="A797C_C3">Master!$E$668</definedName>
    <definedName name="A797C_C4">Master!$F$668</definedName>
    <definedName name="A797C_C5">Master!$G$668</definedName>
    <definedName name="A797C1_C1">Master!$C$669</definedName>
    <definedName name="A797C1_C2">Master!$D$669</definedName>
    <definedName name="A797C1_C3">Master!$E$669</definedName>
    <definedName name="A797C1_C4">Master!$F$669</definedName>
    <definedName name="A797C1_C5">Master!$G$669</definedName>
    <definedName name="A797C2_C1">Master!$C$670</definedName>
    <definedName name="A797C2_C2">Master!$D$670</definedName>
    <definedName name="A797C2_C3">Master!$E$670</definedName>
    <definedName name="A797C2_C4">Master!$F$670</definedName>
    <definedName name="A797C2_C5">Master!$G$670</definedName>
    <definedName name="A797D_C1">Master!$C$671</definedName>
    <definedName name="A797D_C2">Master!$D$671</definedName>
    <definedName name="A797D_C3">Master!$E$671</definedName>
    <definedName name="A797D_C4">Master!$F$671</definedName>
    <definedName name="A797D_C5">Master!$G$671</definedName>
    <definedName name="A797E_C1">Master!$C$672</definedName>
    <definedName name="A797E_C2">Master!$D$672</definedName>
    <definedName name="A797E_C3">Master!$E$672</definedName>
    <definedName name="A797E_C4">Master!$F$672</definedName>
    <definedName name="A797E_C5">Master!$G$672</definedName>
    <definedName name="A798_C1">Master!$C$673</definedName>
    <definedName name="A798_C2">Master!$D$673</definedName>
    <definedName name="A798_C3">Master!$E$673</definedName>
    <definedName name="A798_C4">Master!$F$673</definedName>
    <definedName name="A798_C5">Master!$G$673</definedName>
    <definedName name="A798A_C1">Master!$C$674</definedName>
    <definedName name="A798A_C2">Master!$D$674</definedName>
    <definedName name="A798A_C3">Master!$E$674</definedName>
    <definedName name="A798A_C4">Master!$F$674</definedName>
    <definedName name="A798A_C5">Master!$G$674</definedName>
    <definedName name="A798A1_C1">Master!$C$675</definedName>
    <definedName name="A798A1_C2">Master!$D$675</definedName>
    <definedName name="A798A1_C3">Master!$E$675</definedName>
    <definedName name="A798A1_C4">Master!$F$675</definedName>
    <definedName name="A798A1_C5">Master!$G$675</definedName>
    <definedName name="A798A2_C1">Master!$C$676</definedName>
    <definedName name="A798A2_C2">Master!$D$676</definedName>
    <definedName name="A798A2_C3">Master!$E$676</definedName>
    <definedName name="A798A2_C4">Master!$F$676</definedName>
    <definedName name="A798A2_C5">Master!$G$676</definedName>
    <definedName name="A798A3_C1">Master!$C$677</definedName>
    <definedName name="A798A3_C2">Master!$D$677</definedName>
    <definedName name="A798A3_C3">Master!$E$677</definedName>
    <definedName name="A798A3_C4">Master!$F$677</definedName>
    <definedName name="A798A3_C5">Master!$G$677</definedName>
    <definedName name="A799_C1">Master!$C$678</definedName>
    <definedName name="A799_C2">Master!$D$678</definedName>
    <definedName name="A799_C3">Master!$E$678</definedName>
    <definedName name="A799_C4">Master!$F$678</definedName>
    <definedName name="A799_C5">Master!$G$678</definedName>
    <definedName name="A799A_C1">Master!$C$679</definedName>
    <definedName name="A799A_C2">Master!$D$679</definedName>
    <definedName name="A799A_C3">Master!$E$679</definedName>
    <definedName name="A799A_C4">Master!$F$679</definedName>
    <definedName name="A799A_C5">Master!$G$679</definedName>
    <definedName name="A799A1_C1">Master!$C$680</definedName>
    <definedName name="A799A1_C2">Master!$D$680</definedName>
    <definedName name="A799A1_C3">Master!$E$680</definedName>
    <definedName name="A799A1_C4">Master!$F$680</definedName>
    <definedName name="A799A1_C5">Master!$G$680</definedName>
    <definedName name="A799B_C1">Master!$C$681</definedName>
    <definedName name="A799B_C2">Master!$D$681</definedName>
    <definedName name="A799B_C3">Master!$E$681</definedName>
    <definedName name="A799B_C4">Master!$F$681</definedName>
    <definedName name="A799B_C5">Master!$G$681</definedName>
    <definedName name="A799C_C1">Master!$C$682</definedName>
    <definedName name="A799C_C2">Master!$D$682</definedName>
    <definedName name="A799C_C3">Master!$E$682</definedName>
    <definedName name="A799C_C4">Master!$F$682</definedName>
    <definedName name="A799C_C5">Master!$G$682</definedName>
    <definedName name="A799C1_C1">Master!$C$683</definedName>
    <definedName name="A799C1_C2">Master!$D$683</definedName>
    <definedName name="A799C1_C3">Master!$E$683</definedName>
    <definedName name="A799C1_C4">Master!$F$683</definedName>
    <definedName name="A799C1_C5">Master!$G$683</definedName>
    <definedName name="A799C2_C1">Master!$C$684</definedName>
    <definedName name="A799C2_C2">Master!$D$684</definedName>
    <definedName name="A799C2_C3">Master!$E$684</definedName>
    <definedName name="A799C2_C4">Master!$F$684</definedName>
    <definedName name="A799C2_C5">Master!$G$684</definedName>
    <definedName name="A799D_C1">Master!$C$685</definedName>
    <definedName name="A799D_C2">Master!$D$685</definedName>
    <definedName name="A799D_C3">Master!$E$685</definedName>
    <definedName name="A799D_C4">Master!$F$685</definedName>
    <definedName name="A799D_C5">Master!$G$685</definedName>
    <definedName name="A799I_C1">Master!$C$686</definedName>
    <definedName name="A799I_C2">Master!$D$686</definedName>
    <definedName name="A799I_C3">Master!$E$686</definedName>
    <definedName name="A799I_C4">Master!$F$686</definedName>
    <definedName name="A799I_C5">Master!$G$686</definedName>
    <definedName name="A800_C1">Master!$C$687</definedName>
    <definedName name="A800_C2">Master!$D$687</definedName>
    <definedName name="A800_C3">Master!$E$687</definedName>
    <definedName name="A800_C4">Master!$F$687</definedName>
    <definedName name="A800_C5">Master!$G$687</definedName>
    <definedName name="A801_C1">Master!$C$688</definedName>
    <definedName name="A801_C2">Master!$D$688</definedName>
    <definedName name="A801_C3">Master!$E$688</definedName>
    <definedName name="A801_C4">Master!$F$688</definedName>
    <definedName name="A801_C5">Master!$G$688</definedName>
    <definedName name="A811_C1">Master!$C$689</definedName>
    <definedName name="A811_C2">Master!$D$689</definedName>
    <definedName name="A811_C3">Master!$E$689</definedName>
    <definedName name="A811_C4">Master!$F$689</definedName>
    <definedName name="A811_C5">Master!$G$689</definedName>
    <definedName name="A811A_C1">Master!$C$690</definedName>
    <definedName name="A811A_C2">Master!$D$690</definedName>
    <definedName name="A811A_C3">Master!$E$690</definedName>
    <definedName name="A811A_C4">Master!$F$690</definedName>
    <definedName name="A811A_C5">Master!$G$690</definedName>
    <definedName name="A811B_C1">Master!$C$691</definedName>
    <definedName name="A811B_C2">Master!$D$691</definedName>
    <definedName name="A811B_C3">Master!$E$691</definedName>
    <definedName name="A811B_C4">Master!$F$691</definedName>
    <definedName name="A811B_C5">Master!$G$691</definedName>
    <definedName name="A811B5_C1">Master!$C$692</definedName>
    <definedName name="A811B5_C2">Master!$D$692</definedName>
    <definedName name="A811B5_C3">Master!$E$692</definedName>
    <definedName name="A811B5_C4">Master!$F$692</definedName>
    <definedName name="A811B5_C5">Master!$G$692</definedName>
    <definedName name="A811C_C1">Master!$C$693</definedName>
    <definedName name="A811C_C2">Master!$D$693</definedName>
    <definedName name="A811C_C3">Master!$E$693</definedName>
    <definedName name="A811C_C4">Master!$F$693</definedName>
    <definedName name="A811C_C5">Master!$G$693</definedName>
    <definedName name="A811C5_C1">Master!$C$694</definedName>
    <definedName name="A811C5_C2">Master!$D$694</definedName>
    <definedName name="A811C5_C3">Master!$E$694</definedName>
    <definedName name="A811C5_C4">Master!$F$694</definedName>
    <definedName name="A811C5_C5">Master!$G$694</definedName>
    <definedName name="A811D_C1">Master!$C$695</definedName>
    <definedName name="A811D_C2">Master!$D$695</definedName>
    <definedName name="A811D_C3">Master!$E$695</definedName>
    <definedName name="A811D_C4">Master!$F$695</definedName>
    <definedName name="A811D_C5">Master!$G$695</definedName>
    <definedName name="A811E_C1">Master!$C$696</definedName>
    <definedName name="A811E_C2">Master!$D$696</definedName>
    <definedName name="A811E_C3">Master!$E$696</definedName>
    <definedName name="A811E_C4">Master!$F$696</definedName>
    <definedName name="A811E_C5">Master!$G$696</definedName>
    <definedName name="A812_C1">Master!$C$697</definedName>
    <definedName name="A812_C2">Master!$D$697</definedName>
    <definedName name="A812_C3">Master!$E$697</definedName>
    <definedName name="A812_C4">Master!$F$697</definedName>
    <definedName name="A812_C5">Master!$G$697</definedName>
    <definedName name="A812C_C1">Master!$C$698</definedName>
    <definedName name="A812C_C2">Master!$D$698</definedName>
    <definedName name="A812C_C3">Master!$E$698</definedName>
    <definedName name="A812C_C4">Master!$F$698</definedName>
    <definedName name="A812C_C5">Master!$G$698</definedName>
    <definedName name="A813_C1">Master!$C$699</definedName>
    <definedName name="A813_C2">Master!$D$699</definedName>
    <definedName name="A813_C3">Master!$E$699</definedName>
    <definedName name="A813_C4">Master!$F$699</definedName>
    <definedName name="A813_C5">Master!$G$699</definedName>
    <definedName name="A813A2_C1">Master!$C$700</definedName>
    <definedName name="A813A2_C2">Master!$D$700</definedName>
    <definedName name="A813A2_C3">Master!$E$700</definedName>
    <definedName name="A813A2_C4">Master!$F$700</definedName>
    <definedName name="A813A2_C5">Master!$G$700</definedName>
    <definedName name="A814_C1">Master!$C$701</definedName>
    <definedName name="A814_C2">Master!$D$701</definedName>
    <definedName name="A814_C3">Master!$E$701</definedName>
    <definedName name="A814_C4">Master!$F$701</definedName>
    <definedName name="A814_C5">Master!$G$701</definedName>
    <definedName name="A814A_C1">Master!$C$702</definedName>
    <definedName name="A814A_C2">Master!$D$702</definedName>
    <definedName name="A814A_C3">Master!$E$702</definedName>
    <definedName name="A814A_C4">Master!$F$702</definedName>
    <definedName name="A814A_C5">Master!$G$702</definedName>
    <definedName name="A814A1_C1">Master!$C$703</definedName>
    <definedName name="A814A1_C2">Master!$D$703</definedName>
    <definedName name="A814A1_C3">Master!$E$703</definedName>
    <definedName name="A814A1_C4">Master!$F$703</definedName>
    <definedName name="A814A1_C5">Master!$G$703</definedName>
    <definedName name="A814A8_C1">Master!$C$704</definedName>
    <definedName name="A814A8_C2">Master!$D$704</definedName>
    <definedName name="A814A8_C3">Master!$E$704</definedName>
    <definedName name="A814A8_C4">Master!$F$704</definedName>
    <definedName name="A814A8_C5">Master!$G$704</definedName>
    <definedName name="A814B_C1">Master!$C$705</definedName>
    <definedName name="A814B_C2">Master!$D$705</definedName>
    <definedName name="A814B_C3">Master!$E$705</definedName>
    <definedName name="A814B_C4">Master!$F$705</definedName>
    <definedName name="A814B_C5">Master!$G$705</definedName>
    <definedName name="A814D_C1">Master!$C$706</definedName>
    <definedName name="A814D_C2">Master!$D$706</definedName>
    <definedName name="A814D_C3">Master!$E$706</definedName>
    <definedName name="A814D_C4">Master!$F$706</definedName>
    <definedName name="A814D_C5">Master!$G$706</definedName>
    <definedName name="A814E_C1">Master!$C$707</definedName>
    <definedName name="A814E_C2">Master!$D$707</definedName>
    <definedName name="A814E_C3">Master!$E$707</definedName>
    <definedName name="A814E_C4">Master!$F$707</definedName>
    <definedName name="A814E_C5">Master!$G$707</definedName>
    <definedName name="A814F_C1">Master!$C$708</definedName>
    <definedName name="A814F_C2">Master!$D$708</definedName>
    <definedName name="A814F_C3">Master!$E$708</definedName>
    <definedName name="A814F_C4">Master!$F$708</definedName>
    <definedName name="A814F_C5">Master!$G$708</definedName>
    <definedName name="A814G_C1">Master!$C$709</definedName>
    <definedName name="A814G_C2">Master!$D$709</definedName>
    <definedName name="A814G_C3">Master!$E$709</definedName>
    <definedName name="A814G_C4">Master!$F$709</definedName>
    <definedName name="A814G_C5">Master!$G$709</definedName>
    <definedName name="A814H_C1">Master!$C$710</definedName>
    <definedName name="A814H_C2">Master!$D$710</definedName>
    <definedName name="A814H_C3">Master!$E$710</definedName>
    <definedName name="A814H_C4">Master!$F$710</definedName>
    <definedName name="A814H_C5">Master!$G$710</definedName>
    <definedName name="A814J_C1">Master!$C$711</definedName>
    <definedName name="A814J_C2">Master!$D$711</definedName>
    <definedName name="A814J_C3">Master!$E$711</definedName>
    <definedName name="A814J_C4">Master!$F$711</definedName>
    <definedName name="A814J_C5">Master!$G$711</definedName>
    <definedName name="A814J5_C1">Master!$C$712</definedName>
    <definedName name="A814J5_C2">Master!$D$712</definedName>
    <definedName name="A814J5_C3">Master!$E$712</definedName>
    <definedName name="A814J5_C4">Master!$F$712</definedName>
    <definedName name="A814J5_C5">Master!$G$712</definedName>
    <definedName name="A814K_C1">Master!$C$713</definedName>
    <definedName name="A814K_C2">Master!$D$713</definedName>
    <definedName name="A814K_C3">Master!$E$713</definedName>
    <definedName name="A814K_C4">Master!$F$713</definedName>
    <definedName name="A814K_C5">Master!$G$713</definedName>
    <definedName name="A815_C1">Master!$C$714</definedName>
    <definedName name="A815_C2">Master!$D$714</definedName>
    <definedName name="A815_C3">Master!$E$714</definedName>
    <definedName name="A815_C4">Master!$F$714</definedName>
    <definedName name="A815_C5">Master!$G$714</definedName>
    <definedName name="A815C_C1">Master!$C$715</definedName>
    <definedName name="A815C_C2">Master!$D$715</definedName>
    <definedName name="A815C_C3">Master!$E$715</definedName>
    <definedName name="A815C_C4">Master!$F$715</definedName>
    <definedName name="A815C_C5">Master!$G$715</definedName>
    <definedName name="A816_C1">Master!$C$716</definedName>
    <definedName name="A816_C2">Master!$D$716</definedName>
    <definedName name="A816_C3">Master!$E$716</definedName>
    <definedName name="A816_C4">Master!$F$716</definedName>
    <definedName name="A816_C5">Master!$G$716</definedName>
    <definedName name="A816A_C1">Master!$C$717</definedName>
    <definedName name="A816A_C2">Master!$D$717</definedName>
    <definedName name="A816A_C3">Master!$E$717</definedName>
    <definedName name="A816A_C4">Master!$F$717</definedName>
    <definedName name="A816A_C5">Master!$G$717</definedName>
    <definedName name="A816A1_C1">Master!$C$718</definedName>
    <definedName name="A816A1_C2">Master!$D$718</definedName>
    <definedName name="A816A1_C3">Master!$E$718</definedName>
    <definedName name="A816A1_C4">Master!$F$718</definedName>
    <definedName name="A816A1_C5">Master!$G$718</definedName>
    <definedName name="A816A2_C1">Master!$C$719</definedName>
    <definedName name="A816A2_C2">Master!$D$719</definedName>
    <definedName name="A816A2_C3">Master!$E$719</definedName>
    <definedName name="A816A2_C4">Master!$F$719</definedName>
    <definedName name="A816A2_C5">Master!$G$719</definedName>
    <definedName name="A816B5_C1">Master!$C$720</definedName>
    <definedName name="A816B5_C2">Master!$D$720</definedName>
    <definedName name="A816B5_C3">Master!$E$720</definedName>
    <definedName name="A816B5_C4">Master!$F$720</definedName>
    <definedName name="A816B5_C5">Master!$G$720</definedName>
    <definedName name="A816E_C1">Master!$C$721</definedName>
    <definedName name="A816E_C2">Master!$D$721</definedName>
    <definedName name="A816E_C3">Master!$E$721</definedName>
    <definedName name="A816E_C4">Master!$F$721</definedName>
    <definedName name="A816E_C5">Master!$G$721</definedName>
    <definedName name="A816T_C1">Master!$C$722</definedName>
    <definedName name="A816T_C2">Master!$D$722</definedName>
    <definedName name="A816T_C3">Master!$E$722</definedName>
    <definedName name="A816T_C4">Master!$F$722</definedName>
    <definedName name="A816T_C5">Master!$G$722</definedName>
    <definedName name="A818_C1">Master!$C$723</definedName>
    <definedName name="A818_C2">Master!$D$723</definedName>
    <definedName name="A818_C3">Master!$E$723</definedName>
    <definedName name="A818_C4">Master!$F$723</definedName>
    <definedName name="A818_C5">Master!$G$723</definedName>
    <definedName name="A818A_C1">Master!$C$724</definedName>
    <definedName name="A818A_C2">Master!$D$724</definedName>
    <definedName name="A818A_C3">Master!$E$724</definedName>
    <definedName name="A818A_C4">Master!$F$724</definedName>
    <definedName name="A818A_C5">Master!$G$724</definedName>
    <definedName name="A819_C1">Master!$C$725</definedName>
    <definedName name="A819_C2">Master!$D$725</definedName>
    <definedName name="A819_C3">Master!$E$725</definedName>
    <definedName name="A819_C4">Master!$F$725</definedName>
    <definedName name="A819_C5">Master!$G$725</definedName>
    <definedName name="A820A_C1">Master!$C$726</definedName>
    <definedName name="A820A_C2">Master!$D$726</definedName>
    <definedName name="A820A_C3">Master!$E$726</definedName>
    <definedName name="A820A_C4">Master!$F$726</definedName>
    <definedName name="A820A_C5">Master!$G$726</definedName>
    <definedName name="A822_C1">Master!$C$727</definedName>
    <definedName name="A822_C2">Master!$D$727</definedName>
    <definedName name="A822_C3">Master!$E$727</definedName>
    <definedName name="A822_C4">Master!$F$727</definedName>
    <definedName name="A822_C5">Master!$G$727</definedName>
    <definedName name="A822C_C1">Master!$C$728</definedName>
    <definedName name="A822C_C2">Master!$D$728</definedName>
    <definedName name="A822C_C3">Master!$E$728</definedName>
    <definedName name="A822C_C4">Master!$F$728</definedName>
    <definedName name="A822C_C5">Master!$G$728</definedName>
    <definedName name="A825_C1">Master!$C$729</definedName>
    <definedName name="A825_C2">Master!$D$729</definedName>
    <definedName name="A825_C3">Master!$E$729</definedName>
    <definedName name="A825_C4">Master!$F$729</definedName>
    <definedName name="A825_C5">Master!$G$729</definedName>
    <definedName name="A825A_C1">Master!$C$730</definedName>
    <definedName name="A825A_C2">Master!$D$730</definedName>
    <definedName name="A825A_C3">Master!$E$730</definedName>
    <definedName name="A825A_C4">Master!$F$730</definedName>
    <definedName name="A825A_C5">Master!$G$730</definedName>
    <definedName name="A831A_C1">Master!$C$731</definedName>
    <definedName name="A831A_C2">Master!$D$731</definedName>
    <definedName name="A831A_C3">Master!$E$731</definedName>
    <definedName name="A831A_C4">Master!$F$731</definedName>
    <definedName name="A831A_C5">Master!$G$731</definedName>
    <definedName name="A831B_C1">Master!$C$732</definedName>
    <definedName name="A831B_C2">Master!$D$732</definedName>
    <definedName name="A831B_C3">Master!$E$732</definedName>
    <definedName name="A831B_C4">Master!$F$732</definedName>
    <definedName name="A831B_C5">Master!$G$732</definedName>
    <definedName name="A831C_C1">Master!$C$733</definedName>
    <definedName name="A831C_C2">Master!$D$733</definedName>
    <definedName name="A831C_C3">Master!$E$733</definedName>
    <definedName name="A831C_C4">Master!$F$733</definedName>
    <definedName name="A831C_C5">Master!$G$733</definedName>
    <definedName name="A831D_C1">Master!$C$734</definedName>
    <definedName name="A831D_C2">Master!$D$734</definedName>
    <definedName name="A831D_C3">Master!$E$734</definedName>
    <definedName name="A831D_C4">Master!$F$734</definedName>
    <definedName name="A831D_C5">Master!$G$734</definedName>
    <definedName name="A831E_C1">Master!$C$735</definedName>
    <definedName name="A831E_C2">Master!$D$735</definedName>
    <definedName name="A831E_C3">Master!$E$735</definedName>
    <definedName name="A831E_C4">Master!$F$735</definedName>
    <definedName name="A831E_C5">Master!$G$735</definedName>
    <definedName name="A831F_C1">Master!$C$736</definedName>
    <definedName name="A831F_C2">Master!$D$736</definedName>
    <definedName name="A831F_C3">Master!$E$736</definedName>
    <definedName name="A831F_C4">Master!$F$736</definedName>
    <definedName name="A831F_C5">Master!$G$736</definedName>
    <definedName name="A831G_C1">Master!$C$737</definedName>
    <definedName name="A831G_C2">Master!$D$737</definedName>
    <definedName name="A831G_C3">Master!$E$737</definedName>
    <definedName name="A831G_C4">Master!$F$737</definedName>
    <definedName name="A831G_C5">Master!$G$737</definedName>
    <definedName name="A831H_C1">Master!$C$738</definedName>
    <definedName name="A831H_C2">Master!$D$738</definedName>
    <definedName name="A831H_C3">Master!$E$738</definedName>
    <definedName name="A831H_C4">Master!$F$738</definedName>
    <definedName name="A831H_C5">Master!$G$738</definedName>
    <definedName name="A831I_C1">Master!$C$739</definedName>
    <definedName name="A831I_C2">Master!$D$739</definedName>
    <definedName name="A831I_C3">Master!$E$739</definedName>
    <definedName name="A831I_C4">Master!$F$739</definedName>
    <definedName name="A831I_C5">Master!$G$739</definedName>
    <definedName name="A831J_C1">Master!$C$740</definedName>
    <definedName name="A831J_C2">Master!$D$740</definedName>
    <definedName name="A831J_C3">Master!$E$740</definedName>
    <definedName name="A831J_C4">Master!$F$740</definedName>
    <definedName name="A831J_C5">Master!$G$740</definedName>
    <definedName name="A831K_C1">Master!$C$741</definedName>
    <definedName name="A831K_C2">Master!$D$741</definedName>
    <definedName name="A831K_C3">Master!$E$741</definedName>
    <definedName name="A831K_C4">Master!$F$741</definedName>
    <definedName name="A831K_C5">Master!$G$741</definedName>
    <definedName name="A831L_C1">Master!$C$742</definedName>
    <definedName name="A831L_C2">Master!$D$742</definedName>
    <definedName name="A831L_C3">Master!$E$742</definedName>
    <definedName name="A831L_C4">Master!$F$742</definedName>
    <definedName name="A831L_C5">Master!$G$742</definedName>
    <definedName name="A831M_C1">Master!$C$743</definedName>
    <definedName name="A831M_C2">Master!$D$743</definedName>
    <definedName name="A831M_C3">Master!$E$743</definedName>
    <definedName name="A831M_C4">Master!$F$743</definedName>
    <definedName name="A831M_C5">Master!$G$743</definedName>
    <definedName name="A831N_C1">Master!$C$744</definedName>
    <definedName name="A831N_C2">Master!$D$744</definedName>
    <definedName name="A831N_C3">Master!$E$744</definedName>
    <definedName name="A831N_C4">Master!$F$744</definedName>
    <definedName name="A831N_C5">Master!$G$744</definedName>
    <definedName name="A831O_C1">Master!$C$745</definedName>
    <definedName name="A831O_C2">Master!$D$745</definedName>
    <definedName name="A831O_C3">Master!$E$745</definedName>
    <definedName name="A831O_C4">Master!$F$745</definedName>
    <definedName name="A831O_C5">Master!$G$745</definedName>
    <definedName name="A831P_C1">Master!$C$746</definedName>
    <definedName name="A831P_C2">Master!$D$746</definedName>
    <definedName name="A831P_C3">Master!$E$746</definedName>
    <definedName name="A831P_C4">Master!$F$746</definedName>
    <definedName name="A831P_C5">Master!$G$746</definedName>
    <definedName name="A831Q_C1">Master!$C$747</definedName>
    <definedName name="A831Q_C2">Master!$D$747</definedName>
    <definedName name="A831Q_C3">Master!$E$747</definedName>
    <definedName name="A831Q_C4">Master!$F$747</definedName>
    <definedName name="A831Q_C5">Master!$G$747</definedName>
    <definedName name="A831R_C1">Master!$C$748</definedName>
    <definedName name="A831R_C2">Master!$D$748</definedName>
    <definedName name="A831R_C3">Master!$E$748</definedName>
    <definedName name="A831R_C4">Master!$F$748</definedName>
    <definedName name="A831R_C5">Master!$G$748</definedName>
    <definedName name="A831S_C1">Master!$C$749</definedName>
    <definedName name="A831S_C2">Master!$D$749</definedName>
    <definedName name="A831S_C3">Master!$E$749</definedName>
    <definedName name="A831S_C4">Master!$F$749</definedName>
    <definedName name="A831S_C5">Master!$G$749</definedName>
    <definedName name="A831T_C1">Master!$C$750</definedName>
    <definedName name="A831T_C2">Master!$D$750</definedName>
    <definedName name="A831T_C3">Master!$E$750</definedName>
    <definedName name="A831T_C4">Master!$F$750</definedName>
    <definedName name="A831T_C5">Master!$G$750</definedName>
    <definedName name="A832A_C1">Master!$C$751</definedName>
    <definedName name="A832A_C2">Master!$D$751</definedName>
    <definedName name="A832A_C3">Master!$E$751</definedName>
    <definedName name="A832A_C4">Master!$F$751</definedName>
    <definedName name="A832A_C5">Master!$G$751</definedName>
    <definedName name="A832B_C1">Master!$C$752</definedName>
    <definedName name="A832B_C2">Master!$D$752</definedName>
    <definedName name="A832B_C3">Master!$E$752</definedName>
    <definedName name="A832B_C4">Master!$F$752</definedName>
    <definedName name="A832B_C5">Master!$G$752</definedName>
    <definedName name="A832C_C1">Master!$C$753</definedName>
    <definedName name="A832C_C2">Master!$D$753</definedName>
    <definedName name="A832C_C3">Master!$E$753</definedName>
    <definedName name="A832C_C4">Master!$F$753</definedName>
    <definedName name="A832C_C5">Master!$G$753</definedName>
    <definedName name="A832D_C1">Master!$C$754</definedName>
    <definedName name="A832D_C2">Master!$D$754</definedName>
    <definedName name="A832D_C3">Master!$E$754</definedName>
    <definedName name="A832D_C4">Master!$F$754</definedName>
    <definedName name="A832D_C5">Master!$G$754</definedName>
    <definedName name="A832E_C1">Master!$C$755</definedName>
    <definedName name="A832E_C2">Master!$D$755</definedName>
    <definedName name="A832E_C3">Master!$E$755</definedName>
    <definedName name="A832E_C4">Master!$F$755</definedName>
    <definedName name="A832E_C5">Master!$G$755</definedName>
    <definedName name="A832F_C1">Master!$C$756</definedName>
    <definedName name="A832F_C2">Master!$D$756</definedName>
    <definedName name="A832F_C3">Master!$E$756</definedName>
    <definedName name="A832F_C4">Master!$F$756</definedName>
    <definedName name="A832F_C5">Master!$G$756</definedName>
    <definedName name="A832G_C1">Master!$C$757</definedName>
    <definedName name="A832G_C2">Master!$D$757</definedName>
    <definedName name="A832G_C3">Master!$E$757</definedName>
    <definedName name="A832G_C4">Master!$F$757</definedName>
    <definedName name="A832G_C5">Master!$G$757</definedName>
    <definedName name="A832H_C1">Master!$C$758</definedName>
    <definedName name="A832H_C2">Master!$D$758</definedName>
    <definedName name="A832H_C3">Master!$E$758</definedName>
    <definedName name="A832H_C4">Master!$F$758</definedName>
    <definedName name="A832H_C5">Master!$G$758</definedName>
    <definedName name="A832I_C1">Master!$C$759</definedName>
    <definedName name="A832I_C2">Master!$D$759</definedName>
    <definedName name="A832I_C3">Master!$E$759</definedName>
    <definedName name="A832I_C4">Master!$F$759</definedName>
    <definedName name="A832I_C5">Master!$G$759</definedName>
    <definedName name="A832J_C1">Master!$C$760</definedName>
    <definedName name="A832J_C2">Master!$D$760</definedName>
    <definedName name="A832J_C3">Master!$E$760</definedName>
    <definedName name="A832J_C4">Master!$F$760</definedName>
    <definedName name="A832J_C5">Master!$G$760</definedName>
    <definedName name="A832K_C1">Master!$C$761</definedName>
    <definedName name="A832K_C2">Master!$D$761</definedName>
    <definedName name="A832K_C3">Master!$E$761</definedName>
    <definedName name="A832K_C4">Master!$F$761</definedName>
    <definedName name="A832K_C5">Master!$G$761</definedName>
    <definedName name="A832L_C1">Master!$C$762</definedName>
    <definedName name="A832L_C2">Master!$D$762</definedName>
    <definedName name="A832L_C3">Master!$E$762</definedName>
    <definedName name="A832L_C4">Master!$F$762</definedName>
    <definedName name="A832L_C5">Master!$G$762</definedName>
    <definedName name="A832M_C1">Master!$C$763</definedName>
    <definedName name="A832M_C2">Master!$D$763</definedName>
    <definedName name="A832M_C3">Master!$E$763</definedName>
    <definedName name="A832M_C4">Master!$F$763</definedName>
    <definedName name="A832M_C5">Master!$G$763</definedName>
    <definedName name="A832N_C1">Master!$C$764</definedName>
    <definedName name="A832N_C2">Master!$D$764</definedName>
    <definedName name="A832N_C3">Master!$E$764</definedName>
    <definedName name="A832N_C4">Master!$F$764</definedName>
    <definedName name="A832N_C5">Master!$G$764</definedName>
    <definedName name="A832O_C1">Master!$C$765</definedName>
    <definedName name="A832O_C2">Master!$D$765</definedName>
    <definedName name="A832O_C3">Master!$E$765</definedName>
    <definedName name="A832O_C4">Master!$F$765</definedName>
    <definedName name="A832O_C5">Master!$G$765</definedName>
    <definedName name="A832P_C1">Master!$C$766</definedName>
    <definedName name="A832P_C2">Master!$D$766</definedName>
    <definedName name="A832P_C3">Master!$E$766</definedName>
    <definedName name="A832P_C4">Master!$F$766</definedName>
    <definedName name="A832P_C5">Master!$G$766</definedName>
    <definedName name="A832Q_C1">Master!$C$767</definedName>
    <definedName name="A832Q_C2">Master!$D$767</definedName>
    <definedName name="A832Q_C3">Master!$E$767</definedName>
    <definedName name="A832Q_C4">Master!$F$767</definedName>
    <definedName name="A832Q_C5">Master!$G$767</definedName>
    <definedName name="A832R_C1">Master!$C$768</definedName>
    <definedName name="A832R_C2">Master!$D$768</definedName>
    <definedName name="A832R_C3">Master!$E$768</definedName>
    <definedName name="A832R_C4">Master!$F$768</definedName>
    <definedName name="A832R_C5">Master!$G$768</definedName>
    <definedName name="A832S_C1">Master!$C$769</definedName>
    <definedName name="A832S_C2">Master!$D$769</definedName>
    <definedName name="A832S_C3">Master!$E$769</definedName>
    <definedName name="A832S_C4">Master!$F$769</definedName>
    <definedName name="A832S_C5">Master!$G$769</definedName>
    <definedName name="A832T_C1">Master!$C$770</definedName>
    <definedName name="A832T_C2">Master!$D$770</definedName>
    <definedName name="A832T_C3">Master!$E$770</definedName>
    <definedName name="A832T_C4">Master!$F$770</definedName>
    <definedName name="A832T_C5">Master!$G$770</definedName>
    <definedName name="A836A_C1">Master!$C$771</definedName>
    <definedName name="A836A_C2">Master!$D$771</definedName>
    <definedName name="A836A_C3">Master!$E$771</definedName>
    <definedName name="A836A_C4">Master!$F$771</definedName>
    <definedName name="A836A_C5">Master!$G$771</definedName>
    <definedName name="A836B_C1">Master!$C$772</definedName>
    <definedName name="A836B_C2">Master!$D$772</definedName>
    <definedName name="A836B_C3">Master!$E$772</definedName>
    <definedName name="A836B_C4">Master!$F$772</definedName>
    <definedName name="A836B_C5">Master!$G$772</definedName>
    <definedName name="A836C_C1">Master!$C$773</definedName>
    <definedName name="A836C_C2">Master!$D$773</definedName>
    <definedName name="A836C_C3">Master!$E$773</definedName>
    <definedName name="A836C_C4">Master!$F$773</definedName>
    <definedName name="A836C_C5">Master!$G$773</definedName>
    <definedName name="A836D_C1">Master!$C$774</definedName>
    <definedName name="A836D_C2">Master!$D$774</definedName>
    <definedName name="A836D_C3">Master!$E$774</definedName>
    <definedName name="A836D_C4">Master!$F$774</definedName>
    <definedName name="A836D_C5">Master!$G$774</definedName>
    <definedName name="A836E_C1">Master!$C$775</definedName>
    <definedName name="A836E_C2">Master!$D$775</definedName>
    <definedName name="A836E_C3">Master!$E$775</definedName>
    <definedName name="A836E_C4">Master!$F$775</definedName>
    <definedName name="A836E_C5">Master!$G$775</definedName>
    <definedName name="A836F_C1">Master!$C$776</definedName>
    <definedName name="A836F_C2">Master!$D$776</definedName>
    <definedName name="A836F_C3">Master!$E$776</definedName>
    <definedName name="A836F_C4">Master!$F$776</definedName>
    <definedName name="A836F_C5">Master!$G$776</definedName>
    <definedName name="A836G_C1">Master!$C$777</definedName>
    <definedName name="A836G_C2">Master!$D$777</definedName>
    <definedName name="A836G_C3">Master!$E$777</definedName>
    <definedName name="A836G_C4">Master!$F$777</definedName>
    <definedName name="A836G_C5">Master!$G$777</definedName>
    <definedName name="A836H_C1">Master!$C$778</definedName>
    <definedName name="A836H_C2">Master!$D$778</definedName>
    <definedName name="A836H_C3">Master!$E$778</definedName>
    <definedName name="A836H_C4">Master!$F$778</definedName>
    <definedName name="A836H_C5">Master!$G$778</definedName>
    <definedName name="A836I_C1">Master!$C$779</definedName>
    <definedName name="A836I_C2">Master!$D$779</definedName>
    <definedName name="A836I_C3">Master!$E$779</definedName>
    <definedName name="A836I_C4">Master!$F$779</definedName>
    <definedName name="A836I_C5">Master!$G$779</definedName>
    <definedName name="A836J_C1">Master!$C$780</definedName>
    <definedName name="A836J_C2">Master!$D$780</definedName>
    <definedName name="A836J_C3">Master!$E$780</definedName>
    <definedName name="A836J_C4">Master!$F$780</definedName>
    <definedName name="A836J_C5">Master!$G$780</definedName>
    <definedName name="A836K_C1">Master!$C$781</definedName>
    <definedName name="A836K_C2">Master!$D$781</definedName>
    <definedName name="A836K_C3">Master!$E$781</definedName>
    <definedName name="A836K_C4">Master!$F$781</definedName>
    <definedName name="A836K_C5">Master!$G$781</definedName>
    <definedName name="A836L_C1">Master!$C$782</definedName>
    <definedName name="A836L_C2">Master!$D$782</definedName>
    <definedName name="A836L_C3">Master!$E$782</definedName>
    <definedName name="A836L_C4">Master!$F$782</definedName>
    <definedName name="A836L_C5">Master!$G$782</definedName>
    <definedName name="A836M_C1">Master!$C$783</definedName>
    <definedName name="A836M_C2">Master!$D$783</definedName>
    <definedName name="A836M_C3">Master!$E$783</definedName>
    <definedName name="A836M_C4">Master!$F$783</definedName>
    <definedName name="A836M_C5">Master!$G$783</definedName>
    <definedName name="A836N_C1">Master!$C$784</definedName>
    <definedName name="A836N_C2">Master!$D$784</definedName>
    <definedName name="A836N_C3">Master!$E$784</definedName>
    <definedName name="A836N_C4">Master!$F$784</definedName>
    <definedName name="A836N_C5">Master!$G$784</definedName>
    <definedName name="A836O_C1">Master!$C$785</definedName>
    <definedName name="A836O_C2">Master!$D$785</definedName>
    <definedName name="A836O_C3">Master!$E$785</definedName>
    <definedName name="A836O_C4">Master!$F$785</definedName>
    <definedName name="A836O_C5">Master!$G$785</definedName>
    <definedName name="A836P_C1">Master!$C$786</definedName>
    <definedName name="A836P_C2">Master!$D$786</definedName>
    <definedName name="A836P_C3">Master!$E$786</definedName>
    <definedName name="A836P_C4">Master!$F$786</definedName>
    <definedName name="A836P_C5">Master!$G$786</definedName>
    <definedName name="A836Q_C1">Master!$C$787</definedName>
    <definedName name="A836Q_C2">Master!$D$787</definedName>
    <definedName name="A836Q_C3">Master!$E$787</definedName>
    <definedName name="A836Q_C4">Master!$F$787</definedName>
    <definedName name="A836Q_C5">Master!$G$787</definedName>
    <definedName name="A836R_C1">Master!$C$788</definedName>
    <definedName name="A836R_C2">Master!$D$788</definedName>
    <definedName name="A836R_C3">Master!$E$788</definedName>
    <definedName name="A836R_C4">Master!$F$788</definedName>
    <definedName name="A836R_C5">Master!$G$788</definedName>
    <definedName name="A836S_C1">Master!$C$789</definedName>
    <definedName name="A836S_C2">Master!$D$789</definedName>
    <definedName name="A836S_C3">Master!$E$789</definedName>
    <definedName name="A836S_C4">Master!$F$789</definedName>
    <definedName name="A836S_C5">Master!$G$789</definedName>
    <definedName name="A836T_C1">Master!$C$790</definedName>
    <definedName name="A836T_C2">Master!$D$790</definedName>
    <definedName name="A836T_C3">Master!$E$790</definedName>
    <definedName name="A836T_C4">Master!$F$790</definedName>
    <definedName name="A836T_C5">Master!$G$790</definedName>
    <definedName name="A842_C1">Master!$C$791</definedName>
    <definedName name="A842_C2">Master!$D$791</definedName>
    <definedName name="A842_C3">Master!$E$791</definedName>
    <definedName name="A842_C4">Master!$F$791</definedName>
    <definedName name="A842_C5">Master!$G$791</definedName>
    <definedName name="A846A_C1">Master!$C$792</definedName>
    <definedName name="A846A_C2">Master!$D$792</definedName>
    <definedName name="A846A_C3">Master!$E$792</definedName>
    <definedName name="A846A_C4">Master!$F$792</definedName>
    <definedName name="A846A_C5">Master!$G$792</definedName>
    <definedName name="A846B_C1">Master!$C$793</definedName>
    <definedName name="A846B_C2">Master!$D$793</definedName>
    <definedName name="A846B_C3">Master!$E$793</definedName>
    <definedName name="A846B_C4">Master!$F$793</definedName>
    <definedName name="A846B_C5">Master!$G$793</definedName>
    <definedName name="A846C_C1">Master!$C$794</definedName>
    <definedName name="A846C_C2">Master!$D$794</definedName>
    <definedName name="A846C_C3">Master!$E$794</definedName>
    <definedName name="A846C_C4">Master!$F$794</definedName>
    <definedName name="A846C_C5">Master!$G$794</definedName>
    <definedName name="A846D_C1">Master!$C$795</definedName>
    <definedName name="A846D_C2">Master!$D$795</definedName>
    <definedName name="A846D_C3">Master!$E$795</definedName>
    <definedName name="A846D_C4">Master!$F$795</definedName>
    <definedName name="A846D_C5">Master!$G$795</definedName>
    <definedName name="A846E_C1">Master!$C$796</definedName>
    <definedName name="A846E_C2">Master!$D$796</definedName>
    <definedName name="A846E_C3">Master!$E$796</definedName>
    <definedName name="A846E_C4">Master!$F$796</definedName>
    <definedName name="A846E_C5">Master!$G$796</definedName>
    <definedName name="A846F_C1">Master!$C$797</definedName>
    <definedName name="A846F_C2">Master!$D$797</definedName>
    <definedName name="A846F_C3">Master!$E$797</definedName>
    <definedName name="A846F_C4">Master!$F$797</definedName>
    <definedName name="A846F_C5">Master!$G$797</definedName>
    <definedName name="A846G_C1">Master!$C$798</definedName>
    <definedName name="A846G_C2">Master!$D$798</definedName>
    <definedName name="A846G_C3">Master!$E$798</definedName>
    <definedName name="A846G_C4">Master!$F$798</definedName>
    <definedName name="A846G_C5">Master!$G$798</definedName>
    <definedName name="A846H_C1">Master!$C$799</definedName>
    <definedName name="A846H_C2">Master!$D$799</definedName>
    <definedName name="A846H_C3">Master!$E$799</definedName>
    <definedName name="A846H_C4">Master!$F$799</definedName>
    <definedName name="A846H_C5">Master!$G$799</definedName>
    <definedName name="A846I_C1">Master!$C$800</definedName>
    <definedName name="A846I_C2">Master!$D$800</definedName>
    <definedName name="A846I_C3">Master!$E$800</definedName>
    <definedName name="A846I_C4">Master!$F$800</definedName>
    <definedName name="A846I_C5">Master!$G$800</definedName>
    <definedName name="A846J_C1">Master!$C$801</definedName>
    <definedName name="A846J_C2">Master!$D$801</definedName>
    <definedName name="A846J_C3">Master!$E$801</definedName>
    <definedName name="A846J_C4">Master!$F$801</definedName>
    <definedName name="A846J_C5">Master!$G$801</definedName>
    <definedName name="A846K_C1">Master!$C$802</definedName>
    <definedName name="A846K_C2">Master!$D$802</definedName>
    <definedName name="A846K_C3">Master!$E$802</definedName>
    <definedName name="A846K_C4">Master!$F$802</definedName>
    <definedName name="A846K_C5">Master!$G$802</definedName>
    <definedName name="A846L_C1">Master!$C$803</definedName>
    <definedName name="A846L_C2">Master!$D$803</definedName>
    <definedName name="A846L_C3">Master!$E$803</definedName>
    <definedName name="A846L_C4">Master!$F$803</definedName>
    <definedName name="A846L_C5">Master!$G$803</definedName>
    <definedName name="A846M_C1">Master!$C$804</definedName>
    <definedName name="A846M_C2">Master!$D$804</definedName>
    <definedName name="A846M_C3">Master!$E$804</definedName>
    <definedName name="A846M_C4">Master!$F$804</definedName>
    <definedName name="A846M_C5">Master!$G$804</definedName>
    <definedName name="A846N_C1">Master!$C$805</definedName>
    <definedName name="A846N_C2">Master!$D$805</definedName>
    <definedName name="A846N_C3">Master!$E$805</definedName>
    <definedName name="A846N_C4">Master!$F$805</definedName>
    <definedName name="A846N_C5">Master!$G$805</definedName>
    <definedName name="A846O_C1">Master!$C$806</definedName>
    <definedName name="A846O_C2">Master!$D$806</definedName>
    <definedName name="A846O_C3">Master!$E$806</definedName>
    <definedName name="A846O_C4">Master!$F$806</definedName>
    <definedName name="A846O_C5">Master!$G$806</definedName>
    <definedName name="A846P_C1">Master!$C$807</definedName>
    <definedName name="A846P_C2">Master!$D$807</definedName>
    <definedName name="A846P_C3">Master!$E$807</definedName>
    <definedName name="A846P_C4">Master!$F$807</definedName>
    <definedName name="A846P_C5">Master!$G$807</definedName>
    <definedName name="A846Q_C1">Master!$C$808</definedName>
    <definedName name="A846Q_C2">Master!$D$808</definedName>
    <definedName name="A846Q_C3">Master!$E$808</definedName>
    <definedName name="A846Q_C4">Master!$F$808</definedName>
    <definedName name="A846Q_C5">Master!$G$808</definedName>
    <definedName name="A846R_C1">Master!$C$809</definedName>
    <definedName name="A846R_C2">Master!$D$809</definedName>
    <definedName name="A846R_C3">Master!$E$809</definedName>
    <definedName name="A846R_C4">Master!$F$809</definedName>
    <definedName name="A846R_C5">Master!$G$809</definedName>
    <definedName name="A846S_C1">Master!$C$810</definedName>
    <definedName name="A846S_C2">Master!$D$810</definedName>
    <definedName name="A846S_C3">Master!$E$810</definedName>
    <definedName name="A846S_C4">Master!$F$810</definedName>
    <definedName name="A846S_C5">Master!$G$810</definedName>
    <definedName name="A846T_C1">Master!$C$811</definedName>
    <definedName name="A846T_C2">Master!$D$811</definedName>
    <definedName name="A846T_C3">Master!$E$811</definedName>
    <definedName name="A846T_C4">Master!$F$811</definedName>
    <definedName name="A846T_C5">Master!$G$811</definedName>
    <definedName name="A847A_C1">Master!$C$812</definedName>
    <definedName name="A847A_C2">Master!$D$812</definedName>
    <definedName name="A847A_C3">Master!$E$812</definedName>
    <definedName name="A847A_C4">Master!$F$812</definedName>
    <definedName name="A847A_C5">Master!$G$812</definedName>
    <definedName name="A847B_C1">Master!$C$813</definedName>
    <definedName name="A847B_C2">Master!$D$813</definedName>
    <definedName name="A847B_C3">Master!$E$813</definedName>
    <definedName name="A847B_C4">Master!$F$813</definedName>
    <definedName name="A847B_C5">Master!$G$813</definedName>
    <definedName name="A847C_C1">Master!$C$814</definedName>
    <definedName name="A847C_C2">Master!$D$814</definedName>
    <definedName name="A847C_C3">Master!$E$814</definedName>
    <definedName name="A847C_C4">Master!$F$814</definedName>
    <definedName name="A847C_C5">Master!$G$814</definedName>
    <definedName name="A847D_C1">Master!$C$815</definedName>
    <definedName name="A847D_C2">Master!$D$815</definedName>
    <definedName name="A847D_C3">Master!$E$815</definedName>
    <definedName name="A847D_C4">Master!$F$815</definedName>
    <definedName name="A847D_C5">Master!$G$815</definedName>
    <definedName name="A847E_C1">Master!$C$816</definedName>
    <definedName name="A847E_C2">Master!$D$816</definedName>
    <definedName name="A847E_C3">Master!$E$816</definedName>
    <definedName name="A847E_C4">Master!$F$816</definedName>
    <definedName name="A847E_C5">Master!$G$816</definedName>
    <definedName name="A847F_C1">Master!$C$817</definedName>
    <definedName name="A847F_C2">Master!$D$817</definedName>
    <definedName name="A847F_C3">Master!$E$817</definedName>
    <definedName name="A847F_C4">Master!$F$817</definedName>
    <definedName name="A847F_C5">Master!$G$817</definedName>
    <definedName name="A847G_C1">Master!$C$818</definedName>
    <definedName name="A847G_C2">Master!$D$818</definedName>
    <definedName name="A847G_C3">Master!$E$818</definedName>
    <definedName name="A847G_C4">Master!$F$818</definedName>
    <definedName name="A847G_C5">Master!$G$818</definedName>
    <definedName name="A847H_C1">Master!$C$819</definedName>
    <definedName name="A847H_C2">Master!$D$819</definedName>
    <definedName name="A847H_C3">Master!$E$819</definedName>
    <definedName name="A847H_C4">Master!$F$819</definedName>
    <definedName name="A847H_C5">Master!$G$819</definedName>
    <definedName name="A847I_C1">Master!$C$820</definedName>
    <definedName name="A847I_C2">Master!$D$820</definedName>
    <definedName name="A847I_C3">Master!$E$820</definedName>
    <definedName name="A847I_C4">Master!$F$820</definedName>
    <definedName name="A847I_C5">Master!$G$820</definedName>
    <definedName name="A847J_C1">Master!$C$821</definedName>
    <definedName name="A847J_C2">Master!$D$821</definedName>
    <definedName name="A847J_C3">Master!$E$821</definedName>
    <definedName name="A847J_C4">Master!$F$821</definedName>
    <definedName name="A847J_C5">Master!$G$821</definedName>
    <definedName name="A847K_C1">Master!$C$822</definedName>
    <definedName name="A847K_C2">Master!$D$822</definedName>
    <definedName name="A847K_C3">Master!$E$822</definedName>
    <definedName name="A847K_C4">Master!$F$822</definedName>
    <definedName name="A847K_C5">Master!$G$822</definedName>
    <definedName name="A847L_C1">Master!$C$823</definedName>
    <definedName name="A847L_C2">Master!$D$823</definedName>
    <definedName name="A847L_C3">Master!$E$823</definedName>
    <definedName name="A847L_C4">Master!$F$823</definedName>
    <definedName name="A847L_C5">Master!$G$823</definedName>
    <definedName name="A847M_C1">Master!$C$824</definedName>
    <definedName name="A847M_C2">Master!$D$824</definedName>
    <definedName name="A847M_C3">Master!$E$824</definedName>
    <definedName name="A847M_C4">Master!$F$824</definedName>
    <definedName name="A847M_C5">Master!$G$824</definedName>
    <definedName name="A847N_C1">Master!$C$825</definedName>
    <definedName name="A847N_C2">Master!$D$825</definedName>
    <definedName name="A847N_C3">Master!$E$825</definedName>
    <definedName name="A847N_C4">Master!$F$825</definedName>
    <definedName name="A847N_C5">Master!$G$825</definedName>
    <definedName name="A847O_C1">Master!$C$826</definedName>
    <definedName name="A847O_C2">Master!$D$826</definedName>
    <definedName name="A847O_C3">Master!$E$826</definedName>
    <definedName name="A847O_C4">Master!$F$826</definedName>
    <definedName name="A847O_C5">Master!$G$826</definedName>
    <definedName name="A847P_C1">Master!$C$827</definedName>
    <definedName name="A847P_C2">Master!$D$827</definedName>
    <definedName name="A847P_C3">Master!$E$827</definedName>
    <definedName name="A847P_C4">Master!$F$827</definedName>
    <definedName name="A847P_C5">Master!$G$827</definedName>
    <definedName name="A847Q_C1">Master!$C$828</definedName>
    <definedName name="A847Q_C2">Master!$D$828</definedName>
    <definedName name="A847Q_C3">Master!$E$828</definedName>
    <definedName name="A847Q_C4">Master!$F$828</definedName>
    <definedName name="A847Q_C5">Master!$G$828</definedName>
    <definedName name="A847R_C1">Master!$C$829</definedName>
    <definedName name="A847R_C2">Master!$D$829</definedName>
    <definedName name="A847R_C3">Master!$E$829</definedName>
    <definedName name="A847R_C4">Master!$F$829</definedName>
    <definedName name="A847R_C5">Master!$G$829</definedName>
    <definedName name="A847S_C1">Master!$C$830</definedName>
    <definedName name="A847S_C2">Master!$D$830</definedName>
    <definedName name="A847S_C3">Master!$E$830</definedName>
    <definedName name="A847S_C4">Master!$F$830</definedName>
    <definedName name="A847S_C5">Master!$G$830</definedName>
    <definedName name="A847T_C1">Master!$C$831</definedName>
    <definedName name="A847T_C2">Master!$D$831</definedName>
    <definedName name="A847T_C3">Master!$E$831</definedName>
    <definedName name="A847T_C4">Master!$F$831</definedName>
    <definedName name="A847T_C5">Master!$G$831</definedName>
    <definedName name="A848A_C1">Master!$C$832</definedName>
    <definedName name="A848A_C2">Master!$D$832</definedName>
    <definedName name="A848A_C3">Master!$E$832</definedName>
    <definedName name="A848A_C4">Master!$F$832</definedName>
    <definedName name="A848A_C5">Master!$G$832</definedName>
    <definedName name="A848B_C1">Master!$C$833</definedName>
    <definedName name="A848B_C2">Master!$D$833</definedName>
    <definedName name="A848B_C3">Master!$E$833</definedName>
    <definedName name="A848B_C4">Master!$F$833</definedName>
    <definedName name="A848B_C5">Master!$G$833</definedName>
    <definedName name="A848C_C1">Master!$C$834</definedName>
    <definedName name="A848C_C2">Master!$D$834</definedName>
    <definedName name="A848C_C3">Master!$E$834</definedName>
    <definedName name="A848C_C4">Master!$F$834</definedName>
    <definedName name="A848C_C5">Master!$G$834</definedName>
    <definedName name="A848D_C1">Master!$C$835</definedName>
    <definedName name="A848D_C2">Master!$D$835</definedName>
    <definedName name="A848D_C3">Master!$E$835</definedName>
    <definedName name="A848D_C4">Master!$F$835</definedName>
    <definedName name="A848D_C5">Master!$G$835</definedName>
    <definedName name="A848E_C1">Master!$C$836</definedName>
    <definedName name="A848E_C2">Master!$D$836</definedName>
    <definedName name="A848E_C3">Master!$E$836</definedName>
    <definedName name="A848E_C4">Master!$F$836</definedName>
    <definedName name="A848E_C5">Master!$G$836</definedName>
    <definedName name="A848F_C1">Master!$C$837</definedName>
    <definedName name="A848F_C2">Master!$D$837</definedName>
    <definedName name="A848F_C3">Master!$E$837</definedName>
    <definedName name="A848F_C4">Master!$F$837</definedName>
    <definedName name="A848F_C5">Master!$G$837</definedName>
    <definedName name="A848G_C1">Master!$C$838</definedName>
    <definedName name="A848G_C2">Master!$D$838</definedName>
    <definedName name="A848G_C3">Master!$E$838</definedName>
    <definedName name="A848G_C4">Master!$F$838</definedName>
    <definedName name="A848G_C5">Master!$G$838</definedName>
    <definedName name="A848H_C1">Master!$C$839</definedName>
    <definedName name="A848H_C2">Master!$D$839</definedName>
    <definedName name="A848H_C3">Master!$E$839</definedName>
    <definedName name="A848H_C4">Master!$F$839</definedName>
    <definedName name="A848H_C5">Master!$G$839</definedName>
    <definedName name="A848I_C1">Master!$C$840</definedName>
    <definedName name="A848I_C2">Master!$D$840</definedName>
    <definedName name="A848I_C3">Master!$E$840</definedName>
    <definedName name="A848I_C4">Master!$F$840</definedName>
    <definedName name="A848I_C5">Master!$G$840</definedName>
    <definedName name="A848J_C1">Master!$C$841</definedName>
    <definedName name="A848J_C2">Master!$D$841</definedName>
    <definedName name="A848J_C3">Master!$E$841</definedName>
    <definedName name="A848J_C4">Master!$F$841</definedName>
    <definedName name="A848J_C5">Master!$G$841</definedName>
    <definedName name="A848K_C1">Master!$C$842</definedName>
    <definedName name="A848K_C2">Master!$D$842</definedName>
    <definedName name="A848K_C3">Master!$E$842</definedName>
    <definedName name="A848K_C4">Master!$F$842</definedName>
    <definedName name="A848K_C5">Master!$G$842</definedName>
    <definedName name="A848L_C1">Master!$C$843</definedName>
    <definedName name="A848L_C2">Master!$D$843</definedName>
    <definedName name="A848L_C3">Master!$E$843</definedName>
    <definedName name="A848L_C4">Master!$F$843</definedName>
    <definedName name="A848L_C5">Master!$G$843</definedName>
    <definedName name="A848M_C1">Master!$C$844</definedName>
    <definedName name="A848M_C2">Master!$D$844</definedName>
    <definedName name="A848M_C3">Master!$E$844</definedName>
    <definedName name="A848M_C4">Master!$F$844</definedName>
    <definedName name="A848M_C5">Master!$G$844</definedName>
    <definedName name="A848N_C1">Master!$C$845</definedName>
    <definedName name="A848N_C2">Master!$D$845</definedName>
    <definedName name="A848N_C3">Master!$E$845</definedName>
    <definedName name="A848N_C4">Master!$F$845</definedName>
    <definedName name="A848N_C5">Master!$G$845</definedName>
    <definedName name="A848O_C1">Master!$C$846</definedName>
    <definedName name="A848O_C2">Master!$D$846</definedName>
    <definedName name="A848O_C3">Master!$E$846</definedName>
    <definedName name="A848O_C4">Master!$F$846</definedName>
    <definedName name="A848O_C5">Master!$G$846</definedName>
    <definedName name="A848P_C1">Master!$C$847</definedName>
    <definedName name="A848P_C2">Master!$D$847</definedName>
    <definedName name="A848P_C3">Master!$E$847</definedName>
    <definedName name="A848P_C4">Master!$F$847</definedName>
    <definedName name="A848P_C5">Master!$G$847</definedName>
    <definedName name="A848Q_C1">Master!$C$848</definedName>
    <definedName name="A848Q_C2">Master!$D$848</definedName>
    <definedName name="A848Q_C3">Master!$E$848</definedName>
    <definedName name="A848Q_C4">Master!$F$848</definedName>
    <definedName name="A848Q_C5">Master!$G$848</definedName>
    <definedName name="A848R_C1">Master!$C$849</definedName>
    <definedName name="A848R_C2">Master!$D$849</definedName>
    <definedName name="A848R_C3">Master!$E$849</definedName>
    <definedName name="A848R_C4">Master!$F$849</definedName>
    <definedName name="A848R_C5">Master!$G$849</definedName>
    <definedName name="A848S_C1">Master!$C$850</definedName>
    <definedName name="A848S_C2">Master!$D$850</definedName>
    <definedName name="A848S_C3">Master!$E$850</definedName>
    <definedName name="A848S_C4">Master!$F$850</definedName>
    <definedName name="A848S_C5">Master!$G$850</definedName>
    <definedName name="A848T_C1">Master!$C$851</definedName>
    <definedName name="A848T_C2">Master!$D$851</definedName>
    <definedName name="A848T_C3">Master!$E$851</definedName>
    <definedName name="A848T_C4">Master!$F$851</definedName>
    <definedName name="A848T_C5">Master!$G$851</definedName>
    <definedName name="A849A_C1">Master!$C$852</definedName>
    <definedName name="A849A_C2">Master!$D$852</definedName>
    <definedName name="A849A_C3">Master!$E$852</definedName>
    <definedName name="A849A_C4">Master!$F$852</definedName>
    <definedName name="A849A_C5">Master!$G$852</definedName>
    <definedName name="A849B_C1">Master!$C$853</definedName>
    <definedName name="A849B_C2">Master!$D$853</definedName>
    <definedName name="A849B_C3">Master!$E$853</definedName>
    <definedName name="A849B_C4">Master!$F$853</definedName>
    <definedName name="A849B_C5">Master!$G$853</definedName>
    <definedName name="A849C_C1">Master!$C$854</definedName>
    <definedName name="A849C_C2">Master!$D$854</definedName>
    <definedName name="A849C_C3">Master!$E$854</definedName>
    <definedName name="A849C_C4">Master!$F$854</definedName>
    <definedName name="A849C_C5">Master!$G$854</definedName>
    <definedName name="A849D_C1">Master!$C$855</definedName>
    <definedName name="A849D_C2">Master!$D$855</definedName>
    <definedName name="A849D_C3">Master!$E$855</definedName>
    <definedName name="A849D_C4">Master!$F$855</definedName>
    <definedName name="A849D_C5">Master!$G$855</definedName>
    <definedName name="A849E_C1">Master!$C$856</definedName>
    <definedName name="A849E_C2">Master!$D$856</definedName>
    <definedName name="A849E_C3">Master!$E$856</definedName>
    <definedName name="A849E_C4">Master!$F$856</definedName>
    <definedName name="A849E_C5">Master!$G$856</definedName>
    <definedName name="A849F_C1">Master!$C$857</definedName>
    <definedName name="A849F_C2">Master!$D$857</definedName>
    <definedName name="A849F_C3">Master!$E$857</definedName>
    <definedName name="A849F_C4">Master!$F$857</definedName>
    <definedName name="A849F_C5">Master!$G$857</definedName>
    <definedName name="A849G_C1">Master!$C$858</definedName>
    <definedName name="A849G_C2">Master!$D$858</definedName>
    <definedName name="A849G_C3">Master!$E$858</definedName>
    <definedName name="A849G_C4">Master!$F$858</definedName>
    <definedName name="A849G_C5">Master!$G$858</definedName>
    <definedName name="A849H_C1">Master!$C$859</definedName>
    <definedName name="A849H_C2">Master!$D$859</definedName>
    <definedName name="A849H_C3">Master!$E$859</definedName>
    <definedName name="A849H_C4">Master!$F$859</definedName>
    <definedName name="A849H_C5">Master!$G$859</definedName>
    <definedName name="A849I_C1">Master!$C$860</definedName>
    <definedName name="A849I_C2">Master!$D$860</definedName>
    <definedName name="A849I_C3">Master!$E$860</definedName>
    <definedName name="A849I_C4">Master!$F$860</definedName>
    <definedName name="A849I_C5">Master!$G$860</definedName>
    <definedName name="A849J_C1">Master!$C$861</definedName>
    <definedName name="A849J_C2">Master!$D$861</definedName>
    <definedName name="A849J_C3">Master!$E$861</definedName>
    <definedName name="A849J_C4">Master!$F$861</definedName>
    <definedName name="A849J_C5">Master!$G$861</definedName>
    <definedName name="A849K_C1">Master!$C$862</definedName>
    <definedName name="A849K_C2">Master!$D$862</definedName>
    <definedName name="A849K_C3">Master!$E$862</definedName>
    <definedName name="A849K_C4">Master!$F$862</definedName>
    <definedName name="A849K_C5">Master!$G$862</definedName>
    <definedName name="A849L_C1">Master!$C$863</definedName>
    <definedName name="A849L_C2">Master!$D$863</definedName>
    <definedName name="A849L_C3">Master!$E$863</definedName>
    <definedName name="A849L_C4">Master!$F$863</definedName>
    <definedName name="A849L_C5">Master!$G$863</definedName>
    <definedName name="A849M_C1">Master!$C$864</definedName>
    <definedName name="A849M_C2">Master!$D$864</definedName>
    <definedName name="A849M_C3">Master!$E$864</definedName>
    <definedName name="A849M_C4">Master!$F$864</definedName>
    <definedName name="A849M_C5">Master!$G$864</definedName>
    <definedName name="A849N_C1">Master!$C$865</definedName>
    <definedName name="A849N_C2">Master!$D$865</definedName>
    <definedName name="A849N_C3">Master!$E$865</definedName>
    <definedName name="A849N_C4">Master!$F$865</definedName>
    <definedName name="A849N_C5">Master!$G$865</definedName>
    <definedName name="A849O_C1">Master!$C$866</definedName>
    <definedName name="A849O_C2">Master!$D$866</definedName>
    <definedName name="A849O_C3">Master!$E$866</definedName>
    <definedName name="A849O_C4">Master!$F$866</definedName>
    <definedName name="A849O_C5">Master!$G$866</definedName>
    <definedName name="A849P_C1">Master!$C$867</definedName>
    <definedName name="A849P_C2">Master!$D$867</definedName>
    <definedName name="A849P_C3">Master!$E$867</definedName>
    <definedName name="A849P_C4">Master!$F$867</definedName>
    <definedName name="A849P_C5">Master!$G$867</definedName>
    <definedName name="A849Q_C1">Master!$C$868</definedName>
    <definedName name="A849Q_C2">Master!$D$868</definedName>
    <definedName name="A849Q_C3">Master!$E$868</definedName>
    <definedName name="A849Q_C4">Master!$F$868</definedName>
    <definedName name="A849Q_C5">Master!$G$868</definedName>
    <definedName name="A849R_C1">Master!$C$869</definedName>
    <definedName name="A849R_C2">Master!$D$869</definedName>
    <definedName name="A849R_C3">Master!$E$869</definedName>
    <definedName name="A849R_C4">Master!$F$869</definedName>
    <definedName name="A849R_C5">Master!$G$869</definedName>
    <definedName name="A849S_C1">Master!$C$870</definedName>
    <definedName name="A849S_C2">Master!$D$870</definedName>
    <definedName name="A849S_C3">Master!$E$870</definedName>
    <definedName name="A849S_C4">Master!$F$870</definedName>
    <definedName name="A849S_C5">Master!$G$870</definedName>
    <definedName name="A849T_C1">Master!$C$871</definedName>
    <definedName name="A849T_C2">Master!$D$871</definedName>
    <definedName name="A849T_C3">Master!$E$871</definedName>
    <definedName name="A849T_C4">Master!$F$871</definedName>
    <definedName name="A849T_C5">Master!$G$871</definedName>
    <definedName name="A851_C1">Master!$C$872</definedName>
    <definedName name="A851_C2">Master!$D$872</definedName>
    <definedName name="A851_C3">Master!$E$872</definedName>
    <definedName name="A851_C4">Master!$F$872</definedName>
    <definedName name="A851_C5">Master!$G$872</definedName>
    <definedName name="A852_C1">Master!$C$873</definedName>
    <definedName name="A852_C2">Master!$D$873</definedName>
    <definedName name="A852_C3">Master!$E$873</definedName>
    <definedName name="A852_C4">Master!$F$873</definedName>
    <definedName name="A852_C5">Master!$G$873</definedName>
    <definedName name="A853_C1">Master!$C$874</definedName>
    <definedName name="A853_C2">Master!$D$874</definedName>
    <definedName name="A853_C3">Master!$E$874</definedName>
    <definedName name="A853_C4">Master!$F$874</definedName>
    <definedName name="A853_C5">Master!$G$874</definedName>
    <definedName name="A854A_C1">Master!$C$875</definedName>
    <definedName name="A854A_C2">Master!$D$875</definedName>
    <definedName name="A854A_C3">Master!$E$875</definedName>
    <definedName name="A854A_C4">Master!$F$875</definedName>
    <definedName name="A854A_C5">Master!$G$875</definedName>
    <definedName name="A854B_C1">Master!$C$876</definedName>
    <definedName name="A854B_C2">Master!$D$876</definedName>
    <definedName name="A854B_C3">Master!$E$876</definedName>
    <definedName name="A854B_C4">Master!$F$876</definedName>
    <definedName name="A854B_C5">Master!$G$876</definedName>
    <definedName name="A854C_C1">Master!$C$877</definedName>
    <definedName name="A854C_C2">Master!$D$877</definedName>
    <definedName name="A854C_C3">Master!$E$877</definedName>
    <definedName name="A854C_C4">Master!$F$877</definedName>
    <definedName name="A854C_C5">Master!$G$877</definedName>
    <definedName name="A854D_C1">Master!$C$878</definedName>
    <definedName name="A854D_C2">Master!$D$878</definedName>
    <definedName name="A854D_C3">Master!$E$878</definedName>
    <definedName name="A854D_C4">Master!$F$878</definedName>
    <definedName name="A854D_C5">Master!$G$878</definedName>
    <definedName name="A854E_C1">Master!$C$879</definedName>
    <definedName name="A854E_C2">Master!$D$879</definedName>
    <definedName name="A854E_C3">Master!$E$879</definedName>
    <definedName name="A854E_C4">Master!$F$879</definedName>
    <definedName name="A854E_C5">Master!$G$879</definedName>
    <definedName name="A854F_C1">Master!$C$880</definedName>
    <definedName name="A854F_C2">Master!$D$880</definedName>
    <definedName name="A854F_C3">Master!$E$880</definedName>
    <definedName name="A854F_C4">Master!$F$880</definedName>
    <definedName name="A854F_C5">Master!$G$880</definedName>
    <definedName name="A854G_C1">Master!$C$881</definedName>
    <definedName name="A854G_C2">Master!$D$881</definedName>
    <definedName name="A854G_C3">Master!$E$881</definedName>
    <definedName name="A854G_C4">Master!$F$881</definedName>
    <definedName name="A854G_C5">Master!$G$881</definedName>
    <definedName name="A854H_C1">Master!$C$882</definedName>
    <definedName name="A854H_C2">Master!$D$882</definedName>
    <definedName name="A854H_C3">Master!$E$882</definedName>
    <definedName name="A854H_C4">Master!$F$882</definedName>
    <definedName name="A854H_C5">Master!$G$882</definedName>
    <definedName name="A854I_C1">Master!$C$883</definedName>
    <definedName name="A854I_C2">Master!$D$883</definedName>
    <definedName name="A854I_C3">Master!$E$883</definedName>
    <definedName name="A854I_C4">Master!$F$883</definedName>
    <definedName name="A854I_C5">Master!$G$883</definedName>
    <definedName name="A854J_C1">Master!$C$884</definedName>
    <definedName name="A854J_C2">Master!$D$884</definedName>
    <definedName name="A854J_C3">Master!$E$884</definedName>
    <definedName name="A854J_C4">Master!$F$884</definedName>
    <definedName name="A854J_C5">Master!$G$884</definedName>
    <definedName name="A854K_C1">Master!$C$885</definedName>
    <definedName name="A854K_C2">Master!$D$885</definedName>
    <definedName name="A854K_C3">Master!$E$885</definedName>
    <definedName name="A854K_C4">Master!$F$885</definedName>
    <definedName name="A854K_C5">Master!$G$885</definedName>
    <definedName name="A854L_C1">Master!$C$886</definedName>
    <definedName name="A854L_C2">Master!$D$886</definedName>
    <definedName name="A854L_C3">Master!$E$886</definedName>
    <definedName name="A854L_C4">Master!$F$886</definedName>
    <definedName name="A854L_C5">Master!$G$886</definedName>
    <definedName name="A854M_C1">Master!$C$887</definedName>
    <definedName name="A854M_C2">Master!$D$887</definedName>
    <definedName name="A854M_C3">Master!$E$887</definedName>
    <definedName name="A854M_C4">Master!$F$887</definedName>
    <definedName name="A854M_C5">Master!$G$887</definedName>
    <definedName name="A854N_C1">Master!$C$888</definedName>
    <definedName name="A854N_C2">Master!$D$888</definedName>
    <definedName name="A854N_C3">Master!$E$888</definedName>
    <definedName name="A854N_C4">Master!$F$888</definedName>
    <definedName name="A854N_C5">Master!$G$888</definedName>
    <definedName name="A854O_C1">Master!$C$889</definedName>
    <definedName name="A854O_C2">Master!$D$889</definedName>
    <definedName name="A854O_C3">Master!$E$889</definedName>
    <definedName name="A854O_C4">Master!$F$889</definedName>
    <definedName name="A854O_C5">Master!$G$889</definedName>
    <definedName name="A854P_C1">Master!$C$890</definedName>
    <definedName name="A854P_C2">Master!$D$890</definedName>
    <definedName name="A854P_C3">Master!$E$890</definedName>
    <definedName name="A854P_C4">Master!$F$890</definedName>
    <definedName name="A854P_C5">Master!$G$890</definedName>
    <definedName name="A854Q_C1">Master!$C$891</definedName>
    <definedName name="A854Q_C2">Master!$D$891</definedName>
    <definedName name="A854Q_C3">Master!$E$891</definedName>
    <definedName name="A854Q_C4">Master!$F$891</definedName>
    <definedName name="A854Q_C5">Master!$G$891</definedName>
    <definedName name="A854R_C1">Master!$C$892</definedName>
    <definedName name="A854R_C2">Master!$D$892</definedName>
    <definedName name="A854R_C3">Master!$E$892</definedName>
    <definedName name="A854R_C4">Master!$F$892</definedName>
    <definedName name="A854R_C5">Master!$G$892</definedName>
    <definedName name="A854S_C1">Master!$C$893</definedName>
    <definedName name="A854S_C2">Master!$D$893</definedName>
    <definedName name="A854S_C3">Master!$E$893</definedName>
    <definedName name="A854S_C4">Master!$F$893</definedName>
    <definedName name="A854S_C5">Master!$G$893</definedName>
    <definedName name="A854T_C1">Master!$C$894</definedName>
    <definedName name="A854T_C2">Master!$D$894</definedName>
    <definedName name="A854T_C3">Master!$E$894</definedName>
    <definedName name="A854T_C4">Master!$F$894</definedName>
    <definedName name="A854T_C5">Master!$G$894</definedName>
    <definedName name="A860A_C1">Master!$C$895</definedName>
    <definedName name="A860A_C2">Master!$D$895</definedName>
    <definedName name="A860A_C3">Master!$E$895</definedName>
    <definedName name="A860A_C4">Master!$F$895</definedName>
    <definedName name="A860A_C5">Master!$G$895</definedName>
    <definedName name="A860B1_C1">Master!$C$896</definedName>
    <definedName name="A860B1_C2">Master!$D$896</definedName>
    <definedName name="A860B1_C3">Master!$E$896</definedName>
    <definedName name="A860B1_C4">Master!$F$896</definedName>
    <definedName name="A860B1_C5">Master!$G$896</definedName>
    <definedName name="A860B2_C1">Master!$C$897</definedName>
    <definedName name="A860B2_C2">Master!$D$897</definedName>
    <definedName name="A860B2_C3">Master!$E$897</definedName>
    <definedName name="A860B2_C4">Master!$F$897</definedName>
    <definedName name="A860B2_C5">Master!$G$897</definedName>
    <definedName name="A860C_C1">Master!$C$898</definedName>
    <definedName name="A860C_C2">Master!$D$898</definedName>
    <definedName name="A860C_C3">Master!$E$898</definedName>
    <definedName name="A860C_C4">Master!$F$898</definedName>
    <definedName name="A860C_C5">Master!$G$898</definedName>
    <definedName name="A865_C1">Master!$C$899</definedName>
    <definedName name="A865_C2">Master!$D$899</definedName>
    <definedName name="A865_C3">Master!$E$899</definedName>
    <definedName name="A865_C4">Master!$F$899</definedName>
    <definedName name="A865_C5">Master!$G$899</definedName>
    <definedName name="A865A_C1">Master!$C$900</definedName>
    <definedName name="A865A_C2">Master!$D$900</definedName>
    <definedName name="A865A_C3">Master!$E$900</definedName>
    <definedName name="A865A_C4">Master!$F$900</definedName>
    <definedName name="A865A_C5">Master!$G$900</definedName>
    <definedName name="A867A_C1">Master!$C$901</definedName>
    <definedName name="A867A_C2">Master!$D$901</definedName>
    <definedName name="A867A_C3">Master!$E$901</definedName>
    <definedName name="A867A_C4">Master!$F$901</definedName>
    <definedName name="A867A_C5">Master!$G$901</definedName>
    <definedName name="A867B1_C1">Master!$C$902</definedName>
    <definedName name="A867B1_C2">Master!$D$902</definedName>
    <definedName name="A867B1_C3">Master!$E$902</definedName>
    <definedName name="A867B1_C4">Master!$F$902</definedName>
    <definedName name="A867B1_C5">Master!$G$902</definedName>
    <definedName name="A867B2_C1">Master!$C$903</definedName>
    <definedName name="A867B2_C2">Master!$D$903</definedName>
    <definedName name="A867B2_C3">Master!$E$903</definedName>
    <definedName name="A867B2_C4">Master!$F$903</definedName>
    <definedName name="A867B2_C5">Master!$G$903</definedName>
    <definedName name="A867C_C1">Master!$C$904</definedName>
    <definedName name="A867C_C2">Master!$D$904</definedName>
    <definedName name="A867C_C3">Master!$E$904</definedName>
    <definedName name="A867C_C4">Master!$F$904</definedName>
    <definedName name="A867C_C5">Master!$G$904</definedName>
    <definedName name="A875_C1">Master!$C$905</definedName>
    <definedName name="A875_C2">Master!$D$905</definedName>
    <definedName name="A875_C3">Master!$E$905</definedName>
    <definedName name="A875_C4">Master!$F$905</definedName>
    <definedName name="A875_C5">Master!$G$905</definedName>
    <definedName name="A877_C1">Master!$C$906</definedName>
    <definedName name="A877_C2">Master!$D$906</definedName>
    <definedName name="A877_C3">Master!$E$906</definedName>
    <definedName name="A877_C4">Master!$F$906</definedName>
    <definedName name="A877_C5">Master!$G$906</definedName>
    <definedName name="A878_C1">Master!$C$907</definedName>
    <definedName name="A878_C2">Master!$D$907</definedName>
    <definedName name="A878_C3">Master!$E$907</definedName>
    <definedName name="A878_C4">Master!$F$907</definedName>
    <definedName name="A878_C5">Master!$G$907</definedName>
    <definedName name="A879A_C1">Master!$C$908</definedName>
    <definedName name="A879A_C2">Master!$D$908</definedName>
    <definedName name="A879A_C3">Master!$E$908</definedName>
    <definedName name="A879A_C4">Master!$F$908</definedName>
    <definedName name="A879A_C5">Master!$G$908</definedName>
    <definedName name="A879A1_C1">Master!$C$909</definedName>
    <definedName name="A879A1_C2">Master!$D$909</definedName>
    <definedName name="A879A1_C3">Master!$E$909</definedName>
    <definedName name="A879A1_C4">Master!$F$909</definedName>
    <definedName name="A879A1_C5">Master!$G$909</definedName>
    <definedName name="A879A2_C1">Master!$C$910</definedName>
    <definedName name="A879A2_C2">Master!$D$910</definedName>
    <definedName name="A879A2_C3">Master!$E$910</definedName>
    <definedName name="A879A2_C4">Master!$F$910</definedName>
    <definedName name="A879A2_C5">Master!$G$910</definedName>
    <definedName name="A879A3_C1">Master!$C$911</definedName>
    <definedName name="A879A3_C2">Master!$D$911</definedName>
    <definedName name="A879A3_C3">Master!$E$911</definedName>
    <definedName name="A879A3_C4">Master!$F$911</definedName>
    <definedName name="A879A3_C5">Master!$G$911</definedName>
    <definedName name="A879B_C1">Master!$C$912</definedName>
    <definedName name="A879B_C2">Master!$D$912</definedName>
    <definedName name="A879B_C3">Master!$E$912</definedName>
    <definedName name="A879B_C4">Master!$F$912</definedName>
    <definedName name="A879B_C5">Master!$G$912</definedName>
    <definedName name="A879B4_C1">Master!$C$913</definedName>
    <definedName name="A879B4_C2">Master!$D$913</definedName>
    <definedName name="A879B4_C3">Master!$E$913</definedName>
    <definedName name="A879B4_C4">Master!$F$913</definedName>
    <definedName name="A879B4_C5">Master!$G$913</definedName>
    <definedName name="A879B5_C1">Master!$C$914</definedName>
    <definedName name="A879B5_C2">Master!$D$914</definedName>
    <definedName name="A879B5_C3">Master!$E$914</definedName>
    <definedName name="A879B5_C4">Master!$F$914</definedName>
    <definedName name="A879B5_C5">Master!$G$914</definedName>
    <definedName name="A879C_C1">Master!$C$915</definedName>
    <definedName name="A879C_C2">Master!$D$915</definedName>
    <definedName name="A879C_C3">Master!$E$915</definedName>
    <definedName name="A879C_C4">Master!$F$915</definedName>
    <definedName name="A879C_C5">Master!$G$915</definedName>
    <definedName name="A879D_C1">Master!$C$916</definedName>
    <definedName name="A879D_C2">Master!$D$916</definedName>
    <definedName name="A879D_C3">Master!$E$916</definedName>
    <definedName name="A879D_C4">Master!$F$916</definedName>
    <definedName name="A879D_C5">Master!$G$916</definedName>
    <definedName name="A879D1_C1">Master!$C$917</definedName>
    <definedName name="A879D1_C2">Master!$D$917</definedName>
    <definedName name="A879D1_C3">Master!$E$917</definedName>
    <definedName name="A879D1_C4">Master!$F$917</definedName>
    <definedName name="A879D1_C5">Master!$G$917</definedName>
    <definedName name="A879D10_C1">Master!$C$926</definedName>
    <definedName name="A879D10_C2">Master!$D$926</definedName>
    <definedName name="A879D10_C3">Master!$E$926</definedName>
    <definedName name="A879D10_C4">Master!$F$926</definedName>
    <definedName name="A879D10_C5">Master!$G$926</definedName>
    <definedName name="A879D2_C1">Master!$C$918</definedName>
    <definedName name="A879D2_C2">Master!$D$918</definedName>
    <definedName name="A879D2_C3">Master!$E$918</definedName>
    <definedName name="A879D2_C4">Master!$F$918</definedName>
    <definedName name="A879D2_C5">Master!$G$918</definedName>
    <definedName name="A879D3_C1">Master!$C$919</definedName>
    <definedName name="A879D3_C2">Master!$D$919</definedName>
    <definedName name="A879D3_C3">Master!$E$919</definedName>
    <definedName name="A879D3_C4">Master!$F$919</definedName>
    <definedName name="A879D3_C5">Master!$G$919</definedName>
    <definedName name="A879D4_C1">Master!$C$920</definedName>
    <definedName name="A879D4_C2">Master!$D$920</definedName>
    <definedName name="A879D4_C3">Master!$E$920</definedName>
    <definedName name="A879D4_C4">Master!$F$920</definedName>
    <definedName name="A879D4_C5">Master!$G$920</definedName>
    <definedName name="A879D5_C1">Master!$C$921</definedName>
    <definedName name="A879D5_C2">Master!$D$921</definedName>
    <definedName name="A879D5_C3">Master!$E$921</definedName>
    <definedName name="A879D5_C4">Master!$F$921</definedName>
    <definedName name="A879D5_C5">Master!$G$921</definedName>
    <definedName name="A879D6_C1">Master!$C$922</definedName>
    <definedName name="A879D6_C2">Master!$D$922</definedName>
    <definedName name="A879D6_C3">Master!$E$922</definedName>
    <definedName name="A879D6_C4">Master!$F$922</definedName>
    <definedName name="A879D6_C5">Master!$G$922</definedName>
    <definedName name="A879D7_C1">Master!$C$923</definedName>
    <definedName name="A879D7_C2">Master!$D$923</definedName>
    <definedName name="A879D7_C3">Master!$E$923</definedName>
    <definedName name="A879D7_C4">Master!$F$923</definedName>
    <definedName name="A879D7_C5">Master!$G$923</definedName>
    <definedName name="A879D8_C1">Master!$C$924</definedName>
    <definedName name="A879D8_C2">Master!$D$924</definedName>
    <definedName name="A879D8_C3">Master!$E$924</definedName>
    <definedName name="A879D8_C4">Master!$F$924</definedName>
    <definedName name="A879D8_C5">Master!$G$924</definedName>
    <definedName name="A879D9_C1">Master!$C$925</definedName>
    <definedName name="A879D9_C2">Master!$D$925</definedName>
    <definedName name="A879D9_C3">Master!$E$925</definedName>
    <definedName name="A879D9_C4">Master!$F$925</definedName>
    <definedName name="A879D9_C5">Master!$G$925</definedName>
    <definedName name="A879E_C1">Master!$C$927</definedName>
    <definedName name="A879E_C2">Master!$D$927</definedName>
    <definedName name="A879E_C3">Master!$E$927</definedName>
    <definedName name="A879E_C4">Master!$F$927</definedName>
    <definedName name="A879E_C5">Master!$G$927</definedName>
    <definedName name="A879F_C1">Master!$C$928</definedName>
    <definedName name="A879F_C2">Master!$D$928</definedName>
    <definedName name="A879F_C3">Master!$E$928</definedName>
    <definedName name="A879F_C4">Master!$F$928</definedName>
    <definedName name="A879F_C5">Master!$G$928</definedName>
    <definedName name="A879G_C1">Master!$C$929</definedName>
    <definedName name="A879G_C2">Master!$D$929</definedName>
    <definedName name="A879G_C3">Master!$E$929</definedName>
    <definedName name="A879G_C4">Master!$F$929</definedName>
    <definedName name="A879G_C5">Master!$G$929</definedName>
    <definedName name="A879H_C1">Master!$C$930</definedName>
    <definedName name="A879H_C2">Master!$D$930</definedName>
    <definedName name="A879H_C3">Master!$E$930</definedName>
    <definedName name="A879H_C4">Master!$F$930</definedName>
    <definedName name="A879H_C5">Master!$G$930</definedName>
    <definedName name="A879I_C1">Master!$C$931</definedName>
    <definedName name="A879I_C2">Master!$D$931</definedName>
    <definedName name="A879I_C3">Master!$E$931</definedName>
    <definedName name="A879I_C4">Master!$F$931</definedName>
    <definedName name="A879I_C5">Master!$G$931</definedName>
    <definedName name="A879J_C1">Master!$C$932</definedName>
    <definedName name="A879J_C2">Master!$D$932</definedName>
    <definedName name="A879J_C3">Master!$E$932</definedName>
    <definedName name="A879J_C4">Master!$F$932</definedName>
    <definedName name="A879J_C5">Master!$G$932</definedName>
    <definedName name="A879K_C1">Master!$C$933</definedName>
    <definedName name="A879K_C2">Master!$D$933</definedName>
    <definedName name="A879K_C3">Master!$E$933</definedName>
    <definedName name="A879K_C4">Master!$F$933</definedName>
    <definedName name="A879K_C5">Master!$G$933</definedName>
    <definedName name="A879L_C1">Master!$C$934</definedName>
    <definedName name="A879L_C2">Master!$D$934</definedName>
    <definedName name="A879L_C3">Master!$E$934</definedName>
    <definedName name="A879L_C4">Master!$F$934</definedName>
    <definedName name="A879L_C5">Master!$G$934</definedName>
    <definedName name="A879M_C1">Master!$C$935</definedName>
    <definedName name="A879M_C2">Master!$D$935</definedName>
    <definedName name="A879M_C3">Master!$E$935</definedName>
    <definedName name="A879M_C4">Master!$F$935</definedName>
    <definedName name="A879M_C5">Master!$G$935</definedName>
    <definedName name="A879N_C1">Master!$C$936</definedName>
    <definedName name="A879N_C2">Master!$D$936</definedName>
    <definedName name="A879N_C3">Master!$E$936</definedName>
    <definedName name="A879N_C4">Master!$F$936</definedName>
    <definedName name="A879N_C5">Master!$G$936</definedName>
    <definedName name="A879O_C1">Master!$C$937</definedName>
    <definedName name="A879O_C2">Master!$D$937</definedName>
    <definedName name="A879O_C3">Master!$E$937</definedName>
    <definedName name="A879O_C4">Master!$F$937</definedName>
    <definedName name="A879O_C5">Master!$G$937</definedName>
    <definedName name="A879P_C1">Master!$C$938</definedName>
    <definedName name="A879P_C2">Master!$D$938</definedName>
    <definedName name="A879P_C3">Master!$E$938</definedName>
    <definedName name="A879P_C4">Master!$F$938</definedName>
    <definedName name="A879P_C5">Master!$G$938</definedName>
    <definedName name="A879Q_C1">Master!$C$939</definedName>
    <definedName name="A879Q_C2">Master!$D$939</definedName>
    <definedName name="A879Q_C3">Master!$E$939</definedName>
    <definedName name="A879Q_C4">Master!$F$939</definedName>
    <definedName name="A879Q_C5">Master!$G$939</definedName>
    <definedName name="A879R_C1">Master!$C$940</definedName>
    <definedName name="A879R_C2">Master!$D$940</definedName>
    <definedName name="A879R_C3">Master!$E$940</definedName>
    <definedName name="A879R_C4">Master!$F$940</definedName>
    <definedName name="A879R_C5">Master!$G$940</definedName>
    <definedName name="A879S_C1">Master!$C$941</definedName>
    <definedName name="A879S_C2">Master!$D$941</definedName>
    <definedName name="A879S_C3">Master!$E$941</definedName>
    <definedName name="A879S_C4">Master!$F$941</definedName>
    <definedName name="A879S_C5">Master!$G$941</definedName>
    <definedName name="A879T_C1">Master!$C$942</definedName>
    <definedName name="A879T_C2">Master!$D$942</definedName>
    <definedName name="A879T_C3">Master!$E$942</definedName>
    <definedName name="A879T_C4">Master!$F$942</definedName>
    <definedName name="A879T_C5">Master!$G$942</definedName>
    <definedName name="A879U_C1">Master!$C$943</definedName>
    <definedName name="A879U_C2">Master!$D$943</definedName>
    <definedName name="A879U_C3">Master!$E$943</definedName>
    <definedName name="A879U_C4">Master!$F$943</definedName>
    <definedName name="A879U_C5">Master!$G$943</definedName>
    <definedName name="A879V_C1">Master!$C$944</definedName>
    <definedName name="A879V_C2">Master!$D$944</definedName>
    <definedName name="A879V_C3">Master!$E$944</definedName>
    <definedName name="A879V_C4">Master!$F$944</definedName>
    <definedName name="A879V_C5">Master!$G$944</definedName>
    <definedName name="A879W_C1">Master!$C$945</definedName>
    <definedName name="A879W_C2">Master!$D$945</definedName>
    <definedName name="A879W_C3">Master!$E$945</definedName>
    <definedName name="A879W_C4">Master!$F$945</definedName>
    <definedName name="A879W_C5">Master!$G$945</definedName>
    <definedName name="A880_C1">Master!$C$946</definedName>
    <definedName name="A880_C2">Master!$D$946</definedName>
    <definedName name="A880_C3">Master!$E$946</definedName>
    <definedName name="A880_C4">Master!$F$946</definedName>
    <definedName name="A880_C5">Master!$G$946</definedName>
    <definedName name="A880A_C1">Master!$C$947</definedName>
    <definedName name="A880A_C2">Master!$D$947</definedName>
    <definedName name="A880A_C3">Master!$E$947</definedName>
    <definedName name="A880A_C4">Master!$F$947</definedName>
    <definedName name="A880A_C5">Master!$G$947</definedName>
    <definedName name="A880B1_C1">Master!$C$948</definedName>
    <definedName name="A880B1_C2">Master!$D$948</definedName>
    <definedName name="A880B1_C3">Master!$E$948</definedName>
    <definedName name="A880B1_C4">Master!$F$948</definedName>
    <definedName name="A880B1_C5">Master!$G$948</definedName>
    <definedName name="A880B2_C1">Master!$C$949</definedName>
    <definedName name="A880B2_C2">Master!$D$949</definedName>
    <definedName name="A880B2_C3">Master!$E$949</definedName>
    <definedName name="A880B2_C4">Master!$F$949</definedName>
    <definedName name="A880B2_C5">Master!$G$949</definedName>
    <definedName name="A881_C1">Master!$C$950</definedName>
    <definedName name="A881_C2">Master!$D$950</definedName>
    <definedName name="A881_C3">Master!$E$950</definedName>
    <definedName name="A881_C4">Master!$F$950</definedName>
    <definedName name="A881_C5">Master!$G$950</definedName>
    <definedName name="A882_C1">Master!$C$951</definedName>
    <definedName name="A882_C2">Master!$D$951</definedName>
    <definedName name="A882_C3">Master!$E$951</definedName>
    <definedName name="A882_C4">Master!$F$951</definedName>
    <definedName name="A882_C5">Master!$G$951</definedName>
    <definedName name="A883A_C1">Master!$C$952</definedName>
    <definedName name="A883A_C2">Master!$D$952</definedName>
    <definedName name="A883A_C3">Master!$E$952</definedName>
    <definedName name="A883A_C4">Master!$F$952</definedName>
    <definedName name="A883A_C5">Master!$G$952</definedName>
    <definedName name="A883B1_C1">Master!$C$953</definedName>
    <definedName name="A883B1_C2">Master!$D$953</definedName>
    <definedName name="A883B1_C3">Master!$E$953</definedName>
    <definedName name="A883B1_C4">Master!$F$953</definedName>
    <definedName name="A883B1_C5">Master!$G$953</definedName>
    <definedName name="A883B2_C1">Master!$C$954</definedName>
    <definedName name="A883B2_C2">Master!$D$954</definedName>
    <definedName name="A883B2_C3">Master!$E$954</definedName>
    <definedName name="A883B2_C4">Master!$F$954</definedName>
    <definedName name="A883B2_C5">Master!$G$954</definedName>
    <definedName name="A883C_C1">Master!$C$955</definedName>
    <definedName name="A883C_C2">Master!$D$955</definedName>
    <definedName name="A883C_C3">Master!$E$955</definedName>
    <definedName name="A883C_C4">Master!$F$955</definedName>
    <definedName name="A883C_C5">Master!$G$955</definedName>
    <definedName name="A884_C1">Master!$C$956</definedName>
    <definedName name="A884_C2">Master!$D$956</definedName>
    <definedName name="A884_C3">Master!$E$956</definedName>
    <definedName name="A884_C4">Master!$F$956</definedName>
    <definedName name="A884_C5">Master!$G$956</definedName>
    <definedName name="A884C_C1">Master!$C$957</definedName>
    <definedName name="A884C_C2">Master!$D$957</definedName>
    <definedName name="A884C_C3">Master!$E$957</definedName>
    <definedName name="A884C_C4">Master!$F$957</definedName>
    <definedName name="A884C_C5">Master!$G$957</definedName>
    <definedName name="A884D_C1">Master!$C$958</definedName>
    <definedName name="A884D_C2">Master!$D$958</definedName>
    <definedName name="A884D_C3">Master!$E$958</definedName>
    <definedName name="A884D_C4">Master!$F$958</definedName>
    <definedName name="A884D_C5">Master!$G$958</definedName>
    <definedName name="A885A_C1">Master!$C$959</definedName>
    <definedName name="A885A_C2">Master!$D$959</definedName>
    <definedName name="A885A_C3">Master!$E$959</definedName>
    <definedName name="A885A_C4">Master!$F$959</definedName>
    <definedName name="A885A_C5">Master!$G$959</definedName>
    <definedName name="A885A1_C1">Master!$C$960</definedName>
    <definedName name="A885A1_C2">Master!$D$960</definedName>
    <definedName name="A885A1_C3">Master!$E$960</definedName>
    <definedName name="A885A1_C4">Master!$F$960</definedName>
    <definedName name="A885A1_C5">Master!$G$960</definedName>
    <definedName name="A885A2_C1">Master!$C$961</definedName>
    <definedName name="A885A2_C2">Master!$D$961</definedName>
    <definedName name="A885A2_C3">Master!$E$961</definedName>
    <definedName name="A885A2_C4">Master!$F$961</definedName>
    <definedName name="A885A2_C5">Master!$G$961</definedName>
    <definedName name="A885A3_C1">Master!$C$962</definedName>
    <definedName name="A885A3_C2">Master!$D$962</definedName>
    <definedName name="A885A3_C3">Master!$E$962</definedName>
    <definedName name="A885A3_C4">Master!$F$962</definedName>
    <definedName name="A885A3_C5">Master!$G$962</definedName>
    <definedName name="A885A4_C1">Master!$C$963</definedName>
    <definedName name="A885A4_C2">Master!$D$963</definedName>
    <definedName name="A885A4_C3">Master!$E$963</definedName>
    <definedName name="A885A4_C4">Master!$F$963</definedName>
    <definedName name="A885A4_C5">Master!$G$963</definedName>
    <definedName name="A885B_C1">Master!$C$964</definedName>
    <definedName name="A885B_C2">Master!$D$964</definedName>
    <definedName name="A885B_C3">Master!$E$964</definedName>
    <definedName name="A885B_C4">Master!$F$964</definedName>
    <definedName name="A885B_C5">Master!$G$964</definedName>
    <definedName name="A885B1_C1">Master!$C$965</definedName>
    <definedName name="A885B1_C2">Master!$D$965</definedName>
    <definedName name="A885B1_C3">Master!$E$965</definedName>
    <definedName name="A885B1_C4">Master!$F$965</definedName>
    <definedName name="A885B1_C5">Master!$G$965</definedName>
    <definedName name="A885B2_C1">Master!$C$966</definedName>
    <definedName name="A885B2_C2">Master!$D$966</definedName>
    <definedName name="A885B2_C3">Master!$E$966</definedName>
    <definedName name="A885B2_C4">Master!$F$966</definedName>
    <definedName name="A885B2_C5">Master!$G$966</definedName>
    <definedName name="A885B3_C1">Master!$C$967</definedName>
    <definedName name="A885B3_C2">Master!$D$967</definedName>
    <definedName name="A885B3_C3">Master!$E$967</definedName>
    <definedName name="A885B3_C4">Master!$F$967</definedName>
    <definedName name="A885B3_C5">Master!$G$967</definedName>
    <definedName name="A885B4_C1">Master!$C$968</definedName>
    <definedName name="A885B4_C2">Master!$D$968</definedName>
    <definedName name="A885B4_C3">Master!$E$968</definedName>
    <definedName name="A885B4_C4">Master!$F$968</definedName>
    <definedName name="A885B4_C5">Master!$G$968</definedName>
    <definedName name="A885B5_C1">Master!$C$969</definedName>
    <definedName name="A885B5_C2">Master!$D$969</definedName>
    <definedName name="A885B5_C3">Master!$E$969</definedName>
    <definedName name="A885B5_C4">Master!$F$969</definedName>
    <definedName name="A885B5_C5">Master!$G$969</definedName>
    <definedName name="A885C_C1">Master!$C$970</definedName>
    <definedName name="A885C_C2">Master!$D$970</definedName>
    <definedName name="A885C_C3">Master!$E$970</definedName>
    <definedName name="A885C_C4">Master!$F$970</definedName>
    <definedName name="A885C_C5">Master!$G$970</definedName>
    <definedName name="A885C1_C1">Master!$C$971</definedName>
    <definedName name="A885C1_C2">Master!$D$971</definedName>
    <definedName name="A885C1_C3">Master!$E$971</definedName>
    <definedName name="A885C1_C4">Master!$F$971</definedName>
    <definedName name="A885C1_C5">Master!$G$971</definedName>
    <definedName name="A885C2_C1">Master!$C$972</definedName>
    <definedName name="A885C2_C2">Master!$D$972</definedName>
    <definedName name="A885C2_C3">Master!$E$972</definedName>
    <definedName name="A885C2_C4">Master!$F$972</definedName>
    <definedName name="A885C2_C5">Master!$G$972</definedName>
    <definedName name="A885C3_C1">Master!$C$973</definedName>
    <definedName name="A885C3_C2">Master!$D$973</definedName>
    <definedName name="A885C3_C3">Master!$E$973</definedName>
    <definedName name="A885C3_C4">Master!$F$973</definedName>
    <definedName name="A885C3_C5">Master!$G$973</definedName>
    <definedName name="A885C4_C1">Master!$C$974</definedName>
    <definedName name="A885C4_C2">Master!$D$974</definedName>
    <definedName name="A885C4_C3">Master!$E$974</definedName>
    <definedName name="A885C4_C4">Master!$F$974</definedName>
    <definedName name="A885C4_C5">Master!$G$974</definedName>
    <definedName name="A885C5_C1">Master!$C$975</definedName>
    <definedName name="A885C5_C2">Master!$D$975</definedName>
    <definedName name="A885C5_C3">Master!$E$975</definedName>
    <definedName name="A885C5_C4">Master!$F$975</definedName>
    <definedName name="A885C5_C5">Master!$G$975</definedName>
    <definedName name="A885C6_C1">Master!$C$976</definedName>
    <definedName name="A885C6_C2">Master!$D$976</definedName>
    <definedName name="A885C6_C3">Master!$E$976</definedName>
    <definedName name="A885C6_C4">Master!$F$976</definedName>
    <definedName name="A885C6_C5">Master!$G$976</definedName>
    <definedName name="A885D_C1">Master!$C$977</definedName>
    <definedName name="A885D_C2">Master!$D$977</definedName>
    <definedName name="A885D_C3">Master!$E$977</definedName>
    <definedName name="A885D_C4">Master!$F$977</definedName>
    <definedName name="A885D_C5">Master!$G$977</definedName>
    <definedName name="A885D1_C1">Master!$C$978</definedName>
    <definedName name="A885D1_C2">Master!$D$978</definedName>
    <definedName name="A885D1_C3">Master!$E$978</definedName>
    <definedName name="A885D1_C4">Master!$F$978</definedName>
    <definedName name="A885D1_C5">Master!$G$978</definedName>
    <definedName name="A885D2_C1">Master!$C$979</definedName>
    <definedName name="A885D2_C2">Master!$D$979</definedName>
    <definedName name="A885D2_C3">Master!$E$979</definedName>
    <definedName name="A885D2_C4">Master!$F$979</definedName>
    <definedName name="A885D2_C5">Master!$G$979</definedName>
    <definedName name="A885D3_C1">Master!$C$980</definedName>
    <definedName name="A885D3_C2">Master!$D$980</definedName>
    <definedName name="A885D3_C3">Master!$E$980</definedName>
    <definedName name="A885D3_C4">Master!$F$980</definedName>
    <definedName name="A885D3_C5">Master!$G$980</definedName>
    <definedName name="A885D4_C1">Master!$C$981</definedName>
    <definedName name="A885D4_C2">Master!$D$981</definedName>
    <definedName name="A885D4_C3">Master!$E$981</definedName>
    <definedName name="A885D4_C4">Master!$F$981</definedName>
    <definedName name="A885D4_C5">Master!$G$981</definedName>
    <definedName name="A885D5_C1">Master!$C$982</definedName>
    <definedName name="A885D5_C2">Master!$D$982</definedName>
    <definedName name="A885D5_C3">Master!$E$982</definedName>
    <definedName name="A885D5_C4">Master!$F$982</definedName>
    <definedName name="A885D5_C5">Master!$G$982</definedName>
    <definedName name="A885D6_C1">Master!$C$983</definedName>
    <definedName name="A885D6_C2">Master!$D$983</definedName>
    <definedName name="A885D6_C3">Master!$E$983</definedName>
    <definedName name="A885D6_C4">Master!$F$983</definedName>
    <definedName name="A885D6_C5">Master!$G$983</definedName>
    <definedName name="A886A_C1">Master!$C$984</definedName>
    <definedName name="A886A_C2">Master!$D$984</definedName>
    <definedName name="A886A_C3">Master!$E$984</definedName>
    <definedName name="A886A_C4">Master!$F$984</definedName>
    <definedName name="A886A_C5">Master!$G$984</definedName>
    <definedName name="A886B_C1">Master!$C$985</definedName>
    <definedName name="A886B_C2">Master!$D$985</definedName>
    <definedName name="A886B_C3">Master!$E$985</definedName>
    <definedName name="A886B_C4">Master!$F$985</definedName>
    <definedName name="A886B_C5">Master!$G$985</definedName>
    <definedName name="A886C_C1">Master!$C$986</definedName>
    <definedName name="A886C_C2">Master!$D$986</definedName>
    <definedName name="A886C_C3">Master!$E$986</definedName>
    <definedName name="A886C_C4">Master!$F$986</definedName>
    <definedName name="A886C_C5">Master!$G$986</definedName>
    <definedName name="A886D_C1">Master!$C$987</definedName>
    <definedName name="A886D_C2">Master!$D$987</definedName>
    <definedName name="A886D_C3">Master!$E$987</definedName>
    <definedName name="A886D_C4">Master!$F$987</definedName>
    <definedName name="A886D_C5">Master!$G$987</definedName>
    <definedName name="A886E_C1">Master!$C$988</definedName>
    <definedName name="A886E_C2">Master!$D$988</definedName>
    <definedName name="A886E_C3">Master!$E$988</definedName>
    <definedName name="A886E_C4">Master!$F$988</definedName>
    <definedName name="A886E_C5">Master!$G$988</definedName>
    <definedName name="A886F_C1">Master!$C$989</definedName>
    <definedName name="A886F_C2">Master!$D$989</definedName>
    <definedName name="A886F_C3">Master!$E$989</definedName>
    <definedName name="A886F_C4">Master!$F$989</definedName>
    <definedName name="A886F_C5">Master!$G$989</definedName>
    <definedName name="A886G_C1">Master!$C$990</definedName>
    <definedName name="A886G_C2">Master!$D$990</definedName>
    <definedName name="A886G_C3">Master!$E$990</definedName>
    <definedName name="A886G_C4">Master!$F$990</definedName>
    <definedName name="A886G_C5">Master!$G$990</definedName>
    <definedName name="A886H_C1">Master!$C$991</definedName>
    <definedName name="A886H_C2">Master!$D$991</definedName>
    <definedName name="A886H_C3">Master!$E$991</definedName>
    <definedName name="A886H_C4">Master!$F$991</definedName>
    <definedName name="A886H_C5">Master!$G$991</definedName>
    <definedName name="A887A_C1">Master!$C$992</definedName>
    <definedName name="A887A_C2">Master!$D$992</definedName>
    <definedName name="A887A_C3">Master!$E$992</definedName>
    <definedName name="A887A_C4">Master!$F$992</definedName>
    <definedName name="A887A_C5">Master!$G$992</definedName>
    <definedName name="A887B_C1">Master!$C$993</definedName>
    <definedName name="A887B_C2">Master!$D$993</definedName>
    <definedName name="A887B_C3">Master!$E$993</definedName>
    <definedName name="A887B_C4">Master!$F$993</definedName>
    <definedName name="A887B_C5">Master!$G$993</definedName>
    <definedName name="A887C_C1">Master!$C$994</definedName>
    <definedName name="A887C_C2">Master!$D$994</definedName>
    <definedName name="A887C_C3">Master!$E$994</definedName>
    <definedName name="A887C_C4">Master!$F$994</definedName>
    <definedName name="A887C_C5">Master!$G$994</definedName>
    <definedName name="A887D_C1">Master!$C$995</definedName>
    <definedName name="A887D_C2">Master!$D$995</definedName>
    <definedName name="A887D_C3">Master!$E$995</definedName>
    <definedName name="A887D_C4">Master!$F$995</definedName>
    <definedName name="A887D_C5">Master!$G$995</definedName>
    <definedName name="A887E_C1">Master!$C$996</definedName>
    <definedName name="A887E_C2">Master!$D$996</definedName>
    <definedName name="A887E_C3">Master!$E$996</definedName>
    <definedName name="A887E_C4">Master!$F$996</definedName>
    <definedName name="A887E_C5">Master!$G$996</definedName>
    <definedName name="A887F_C1">Master!$C$997</definedName>
    <definedName name="A887F_C2">Master!$D$997</definedName>
    <definedName name="A887F_C3">Master!$E$997</definedName>
    <definedName name="A887F_C4">Master!$F$997</definedName>
    <definedName name="A887F_C5">Master!$G$997</definedName>
    <definedName name="A887G_C1">Master!$C$998</definedName>
    <definedName name="A887G_C2">Master!$D$998</definedName>
    <definedName name="A887G_C3">Master!$E$998</definedName>
    <definedName name="A887G_C4">Master!$F$998</definedName>
    <definedName name="A887G_C5">Master!$G$998</definedName>
    <definedName name="A887H_C1">Master!$C$999</definedName>
    <definedName name="A887H_C2">Master!$D$999</definedName>
    <definedName name="A887H_C3">Master!$E$999</definedName>
    <definedName name="A887H_C4">Master!$F$999</definedName>
    <definedName name="A887H_C5">Master!$G$999</definedName>
    <definedName name="A887I_C1">Master!$C$1000</definedName>
    <definedName name="A887I_C2">Master!$D$1000</definedName>
    <definedName name="A887I_C3">Master!$E$1000</definedName>
    <definedName name="A887I_C4">Master!$F$1000</definedName>
    <definedName name="A887I_C5">Master!$G$1000</definedName>
    <definedName name="A887J_C1">Master!$C$1001</definedName>
    <definedName name="A887J_C2">Master!$D$1001</definedName>
    <definedName name="A887J_C3">Master!$E$1001</definedName>
    <definedName name="A887J_C4">Master!$F$1001</definedName>
    <definedName name="A887J_C5">Master!$G$1001</definedName>
    <definedName name="A887K_C1">Master!$C$1002</definedName>
    <definedName name="A887K_C2">Master!$D$1002</definedName>
    <definedName name="A887K_C3">Master!$E$1002</definedName>
    <definedName name="A887K_C4">Master!$F$1002</definedName>
    <definedName name="A887K_C5">Master!$G$1002</definedName>
    <definedName name="A887L_C1">Master!$C$1003</definedName>
    <definedName name="A887L_C2">Master!$D$1003</definedName>
    <definedName name="A887L_C3">Master!$E$1003</definedName>
    <definedName name="A887L_C4">Master!$F$1003</definedName>
    <definedName name="A887L_C5">Master!$G$1003</definedName>
    <definedName name="A887M_C1">Master!$C$1004</definedName>
    <definedName name="A887M_C2">Master!$D$1004</definedName>
    <definedName name="A887M_C3">Master!$E$1004</definedName>
    <definedName name="A887M_C4">Master!$F$1004</definedName>
    <definedName name="A887M_C5">Master!$G$1004</definedName>
    <definedName name="A887N_C1">Master!$C$1005</definedName>
    <definedName name="A887N_C2">Master!$D$1005</definedName>
    <definedName name="A887N_C3">Master!$E$1005</definedName>
    <definedName name="A887N_C4">Master!$F$1005</definedName>
    <definedName name="A887N_C5">Master!$G$1005</definedName>
    <definedName name="A887P_C1">Master!$C$1006</definedName>
    <definedName name="A887P_C2">Master!$D$1006</definedName>
    <definedName name="A887P_C3">Master!$E$1006</definedName>
    <definedName name="A887P_C4">Master!$F$1006</definedName>
    <definedName name="A887P_C5">Master!$G$1006</definedName>
    <definedName name="A887R_C1">Master!$C$1007</definedName>
    <definedName name="A887R_C2">Master!$D$1007</definedName>
    <definedName name="A887R_C3">Master!$E$1007</definedName>
    <definedName name="A887R_C4">Master!$F$1007</definedName>
    <definedName name="A887R_C5">Master!$G$1007</definedName>
    <definedName name="A887S_C1">Master!$C$1008</definedName>
    <definedName name="A887S_C2">Master!$D$1008</definedName>
    <definedName name="A887S_C3">Master!$E$1008</definedName>
    <definedName name="A887S_C4">Master!$F$1008</definedName>
    <definedName name="A887S_C5">Master!$G$1008</definedName>
    <definedName name="A887T_C1">Master!$C$1009</definedName>
    <definedName name="A887T_C2">Master!$D$1009</definedName>
    <definedName name="A887T_C3">Master!$E$1009</definedName>
    <definedName name="A887T_C4">Master!$F$1009</definedName>
    <definedName name="A887T_C5">Master!$G$1009</definedName>
    <definedName name="A887U_C1">Master!$C$1010</definedName>
    <definedName name="A887U_C2">Master!$D$1010</definedName>
    <definedName name="A887U_C3">Master!$E$1010</definedName>
    <definedName name="A887U_C4">Master!$F$1010</definedName>
    <definedName name="A887U_C5">Master!$G$1010</definedName>
    <definedName name="A887V_C1">Master!$C$1011</definedName>
    <definedName name="A887V_C2">Master!$D$1011</definedName>
    <definedName name="A887V_C3">Master!$E$1011</definedName>
    <definedName name="A887V_C4">Master!$F$1011</definedName>
    <definedName name="A887V_C5">Master!$G$1011</definedName>
    <definedName name="A888_C1">Master!$C$1012</definedName>
    <definedName name="A888_C2">Master!$D$1012</definedName>
    <definedName name="A888_C3">Master!$E$1012</definedName>
    <definedName name="A888_C4">Master!$F$1012</definedName>
    <definedName name="A888_C5">Master!$G$1012</definedName>
    <definedName name="A889_C1">Master!$C$1013</definedName>
    <definedName name="A889_C2">Master!$D$1013</definedName>
    <definedName name="A889_C3">Master!$E$1013</definedName>
    <definedName name="A889_C4">Master!$F$1013</definedName>
    <definedName name="A889_C5">Master!$G$1013</definedName>
    <definedName name="A889B_1_C1">Master!$C$1015</definedName>
    <definedName name="A889B_1_C2">Master!$D$1015</definedName>
    <definedName name="A889B_1_C3">Master!$E$1015</definedName>
    <definedName name="A889B_1_C4">Master!$F$1015</definedName>
    <definedName name="A889B_1_C5">Master!$G$1015</definedName>
    <definedName name="A889B_2_C1">Master!$C$1016</definedName>
    <definedName name="A889B_2_C2">Master!$D$1016</definedName>
    <definedName name="A889B_2_C3">Master!$E$1016</definedName>
    <definedName name="A889B_2_C4">Master!$F$1016</definedName>
    <definedName name="A889B_2_C5">Master!$G$1016</definedName>
    <definedName name="A889B_3_C1">Master!$C$1017</definedName>
    <definedName name="A889B_3_C2">Master!$D$1017</definedName>
    <definedName name="A889B_3_C3">Master!$E$1017</definedName>
    <definedName name="A889B_3_C4">Master!$F$1017</definedName>
    <definedName name="A889B_3_C5">Master!$G$1017</definedName>
    <definedName name="A889B_C1">Master!$C$1014</definedName>
    <definedName name="A889B_C2">Master!$D$1014</definedName>
    <definedName name="A889B_C3">Master!$E$1014</definedName>
    <definedName name="A889B_C4">Master!$F$1014</definedName>
    <definedName name="A889B_C5">Master!$G$1014</definedName>
    <definedName name="A892A_1_C1">Master!$C$1019</definedName>
    <definedName name="A892A_1_C2">Master!$D$1019</definedName>
    <definedName name="A892A_1_C3">Master!$E$1019</definedName>
    <definedName name="A892A_1_C4">Master!$F$1019</definedName>
    <definedName name="A892A_1_C5">Master!$G$1019</definedName>
    <definedName name="A892A_2_C1">Master!$C$1020</definedName>
    <definedName name="A892A_2_C2">Master!$D$1020</definedName>
    <definedName name="A892A_2_C3">Master!$E$1020</definedName>
    <definedName name="A892A_2_C4">Master!$F$1020</definedName>
    <definedName name="A892A_2_C5">Master!$G$1020</definedName>
    <definedName name="A892A_3_C1">Master!$C$1021</definedName>
    <definedName name="A892A_3_C2">Master!$D$1021</definedName>
    <definedName name="A892A_3_C3">Master!$E$1021</definedName>
    <definedName name="A892A_3_C4">Master!$F$1021</definedName>
    <definedName name="A892A_3_C5">Master!$G$1021</definedName>
    <definedName name="A892A_C1">Master!$C$1018</definedName>
    <definedName name="A892A_C2">Master!$D$1018</definedName>
    <definedName name="A892A_C3">Master!$E$1018</definedName>
    <definedName name="A892A_C4">Master!$F$1018</definedName>
    <definedName name="A892A_C5">Master!$G$1018</definedName>
    <definedName name="A892B_C1">Master!$C$1022</definedName>
    <definedName name="A892B_C2">Master!$D$1022</definedName>
    <definedName name="A892B_C3">Master!$E$1022</definedName>
    <definedName name="A892B_C4">Master!$F$1022</definedName>
    <definedName name="A892B_C5">Master!$G$1022</definedName>
    <definedName name="A895_C1">Master!$C$1023</definedName>
    <definedName name="A895_C2">Master!$D$1023</definedName>
    <definedName name="A895_C3">Master!$E$1023</definedName>
    <definedName name="A895_C4">Master!$F$1023</definedName>
    <definedName name="A895_C5">Master!$G$1023</definedName>
    <definedName name="A896_C1">Master!$C$1024</definedName>
    <definedName name="A896_C2">Master!$D$1024</definedName>
    <definedName name="A896_C3">Master!$E$1024</definedName>
    <definedName name="A896_C4">Master!$F$1024</definedName>
    <definedName name="A896_C5">Master!$G$1024</definedName>
    <definedName name="A899_C1">Master!$C$1025</definedName>
    <definedName name="A899_C2">Master!$D$1025</definedName>
    <definedName name="A899_C3">Master!$E$1025</definedName>
    <definedName name="A899_C4">Master!$F$1025</definedName>
    <definedName name="A899_C5">Master!$G$1025</definedName>
    <definedName name="A900A_C1">Master!$C$1026</definedName>
    <definedName name="A900A_C2">Master!$D$1026</definedName>
    <definedName name="A900A_C3">Master!$E$1026</definedName>
    <definedName name="A900A_C4">Master!$F$1026</definedName>
    <definedName name="A900A_C5">Master!$G$1026</definedName>
    <definedName name="A900A1_C1">Master!$C$1027</definedName>
    <definedName name="A900A1_C2">Master!$D$1027</definedName>
    <definedName name="A900A1_C3">Master!$E$1027</definedName>
    <definedName name="A900A1_C4">Master!$F$1027</definedName>
    <definedName name="A900A1_C5">Master!$G$1027</definedName>
    <definedName name="A900B_C1">Master!$C$1028</definedName>
    <definedName name="A900B_C2">Master!$D$1028</definedName>
    <definedName name="A900B_C3">Master!$E$1028</definedName>
    <definedName name="A900B_C4">Master!$F$1028</definedName>
    <definedName name="A900B_C5">Master!$G$1028</definedName>
    <definedName name="A900B1_C1">Master!$C$1029</definedName>
    <definedName name="A900B1_C2">Master!$D$1029</definedName>
    <definedName name="A900B1_C3">Master!$E$1029</definedName>
    <definedName name="A900B1_C4">Master!$F$1029</definedName>
    <definedName name="A900B1_C5">Master!$G$1029</definedName>
    <definedName name="A900C_C1">Master!$C$1030</definedName>
    <definedName name="A900C_C2">Master!$D$1030</definedName>
    <definedName name="A900C_C3">Master!$E$1030</definedName>
    <definedName name="A900C_C4">Master!$F$1030</definedName>
    <definedName name="A900C_C5">Master!$G$1030</definedName>
    <definedName name="A900C1_C1">Master!$C$1031</definedName>
    <definedName name="A900C1_C2">Master!$D$1031</definedName>
    <definedName name="A900C1_C3">Master!$E$1031</definedName>
    <definedName name="A900C1_C4">Master!$F$1031</definedName>
    <definedName name="A900C1_C5">Master!$G$1031</definedName>
    <definedName name="A900C2_C1">Master!$C$1032</definedName>
    <definedName name="A900C2_C2">Master!$D$1032</definedName>
    <definedName name="A900C2_C3">Master!$E$1032</definedName>
    <definedName name="A900C2_C4">Master!$F$1032</definedName>
    <definedName name="A900C2_C5">Master!$G$1032</definedName>
    <definedName name="A900C3_C1">Master!$C$1033</definedName>
    <definedName name="A900C3_C2">Master!$D$1033</definedName>
    <definedName name="A900C3_C3">Master!$E$1033</definedName>
    <definedName name="A900C3_C4">Master!$F$1033</definedName>
    <definedName name="A900C3_C5">Master!$G$1033</definedName>
    <definedName name="A900C4_C1">Master!$C$1034</definedName>
    <definedName name="A900C4_C2">Master!$D$1034</definedName>
    <definedName name="A900C4_C3">Master!$E$1034</definedName>
    <definedName name="A900C4_C4">Master!$F$1034</definedName>
    <definedName name="A900C4_C5">Master!$G$1034</definedName>
    <definedName name="A900C5_C1">Master!$C$1035</definedName>
    <definedName name="A900C5_C2">Master!$D$1035</definedName>
    <definedName name="A900C5_C3">Master!$E$1035</definedName>
    <definedName name="A900C5_C4">Master!$F$1035</definedName>
    <definedName name="A900C5_C5">Master!$G$1035</definedName>
    <definedName name="A900C6_C1">Master!$C$1036</definedName>
    <definedName name="A900C6_C2">Master!$D$1036</definedName>
    <definedName name="A900C6_C3">Master!$E$1036</definedName>
    <definedName name="A900C6_C4">Master!$F$1036</definedName>
    <definedName name="A900C6_C5">Master!$G$1036</definedName>
    <definedName name="A900C7_C1">Master!$C$1037</definedName>
    <definedName name="A900C7_C2">Master!$D$1037</definedName>
    <definedName name="A900C7_C3">Master!$E$1037</definedName>
    <definedName name="A900C7_C4">Master!$F$1037</definedName>
    <definedName name="A900C7_C5">Master!$G$1037</definedName>
    <definedName name="A900C8_C1">Master!$C$1038</definedName>
    <definedName name="A900C8_C2">Master!$D$1038</definedName>
    <definedName name="A900C8_C3">Master!$E$1038</definedName>
    <definedName name="A900C8_C4">Master!$F$1038</definedName>
    <definedName name="A900C8_C5">Master!$G$1038</definedName>
    <definedName name="A900D_C1">Master!$C$1039</definedName>
    <definedName name="A900D_C2">Master!$D$1039</definedName>
    <definedName name="A900D_C3">Master!$E$1039</definedName>
    <definedName name="A900D_C4">Master!$F$1039</definedName>
    <definedName name="A900D_C5">Master!$G$1039</definedName>
    <definedName name="A900F_C1">Master!$C$1040</definedName>
    <definedName name="A900F_C2">Master!$D$1040</definedName>
    <definedName name="A900F_C3">Master!$E$1040</definedName>
    <definedName name="A900F_C4">Master!$F$1040</definedName>
    <definedName name="A900F_C5">Master!$G$1040</definedName>
    <definedName name="A900G_C1">Master!$C$1041</definedName>
    <definedName name="A900G_C2">Master!$D$1041</definedName>
    <definedName name="A900G_C3">Master!$E$1041</definedName>
    <definedName name="A900G_C4">Master!$F$1041</definedName>
    <definedName name="A900G_C5">Master!$G$1041</definedName>
    <definedName name="A900G1_C1">Master!$C$1042</definedName>
    <definedName name="A900G1_C2">Master!$D$1042</definedName>
    <definedName name="A900G1_C3">Master!$E$1042</definedName>
    <definedName name="A900G1_C4">Master!$F$1042</definedName>
    <definedName name="A900G1_C5">Master!$G$1042</definedName>
    <definedName name="A900H_C1">Master!$C$1043</definedName>
    <definedName name="A900H_C2">Master!$D$1043</definedName>
    <definedName name="A900H_C3">Master!$E$1043</definedName>
    <definedName name="A900H_C4">Master!$F$1043</definedName>
    <definedName name="A900H_C5">Master!$G$1043</definedName>
    <definedName name="A900H1_C1">Master!$C$1044</definedName>
    <definedName name="A900H1_C2">Master!$D$1044</definedName>
    <definedName name="A900H1_C3">Master!$E$1044</definedName>
    <definedName name="A900H1_C4">Master!$F$1044</definedName>
    <definedName name="A900H1_C5">Master!$G$1044</definedName>
    <definedName name="A900H2_C1">Master!$C$1045</definedName>
    <definedName name="A900H2_C2">Master!$D$1045</definedName>
    <definedName name="A900H2_C3">Master!$E$1045</definedName>
    <definedName name="A900H2_C4">Master!$F$1045</definedName>
    <definedName name="A900H2_C5">Master!$G$1045</definedName>
    <definedName name="A900H3_C1">Master!$C$1046</definedName>
    <definedName name="A900H3_C2">Master!$D$1046</definedName>
    <definedName name="A900H3_C3">Master!$E$1046</definedName>
    <definedName name="A900H3_C4">Master!$F$1046</definedName>
    <definedName name="A900H3_C5">Master!$G$1046</definedName>
    <definedName name="A900J_C1">Master!$C$1047</definedName>
    <definedName name="A900J_C2">Master!$D$1047</definedName>
    <definedName name="A900J_C3">Master!$E$1047</definedName>
    <definedName name="A900J_C4">Master!$F$1047</definedName>
    <definedName name="A900J_C5">Master!$G$1047</definedName>
    <definedName name="A900J1_C1">Master!$C$1048</definedName>
    <definedName name="A900J1_C2">Master!$D$1048</definedName>
    <definedName name="A900J1_C3">Master!$E$1048</definedName>
    <definedName name="A900J1_C4">Master!$F$1048</definedName>
    <definedName name="A900J1_C5">Master!$G$1048</definedName>
    <definedName name="A900J2_C1">Master!$C$1049</definedName>
    <definedName name="A900J2_C2">Master!$D$1049</definedName>
    <definedName name="A900J2_C3">Master!$E$1049</definedName>
    <definedName name="A900J2_C4">Master!$F$1049</definedName>
    <definedName name="A900J2_C5">Master!$G$1049</definedName>
    <definedName name="A900J3_C1">Master!$C$1050</definedName>
    <definedName name="A900J3_C2">Master!$D$1050</definedName>
    <definedName name="A900J3_C3">Master!$E$1050</definedName>
    <definedName name="A900J3_C4">Master!$F$1050</definedName>
    <definedName name="A900J3_C5">Master!$G$1050</definedName>
    <definedName name="A900K_C1">Master!$C$1051</definedName>
    <definedName name="A900K_C2">Master!$D$1051</definedName>
    <definedName name="A900K_C3">Master!$E$1051</definedName>
    <definedName name="A900K_C4">Master!$F$1051</definedName>
    <definedName name="A900K_C5">Master!$G$1051</definedName>
    <definedName name="A900K1_C1">Master!$C$1052</definedName>
    <definedName name="A900K1_C2">Master!$D$1052</definedName>
    <definedName name="A900K1_C3">Master!$E$1052</definedName>
    <definedName name="A900K1_C4">Master!$F$1052</definedName>
    <definedName name="A900K1_C5">Master!$G$1052</definedName>
    <definedName name="A900K2_C1">Master!$C$1053</definedName>
    <definedName name="A900K2_C2">Master!$D$1053</definedName>
    <definedName name="A900K2_C3">Master!$E$1053</definedName>
    <definedName name="A900K2_C4">Master!$F$1053</definedName>
    <definedName name="A900K2_C5">Master!$G$1053</definedName>
    <definedName name="A900K3_C1">Master!$C$1054</definedName>
    <definedName name="A900K3_C2">Master!$D$1054</definedName>
    <definedName name="A900K3_C3">Master!$E$1054</definedName>
    <definedName name="A900K3_C4">Master!$F$1054</definedName>
    <definedName name="A900K3_C5">Master!$G$1054</definedName>
    <definedName name="A900L_C1">Master!$C$1055</definedName>
    <definedName name="A900L_C2">Master!$D$1055</definedName>
    <definedName name="A900L_C3">Master!$E$1055</definedName>
    <definedName name="A900L_C4">Master!$F$1055</definedName>
    <definedName name="A900L_C5">Master!$G$1055</definedName>
    <definedName name="A900L1_C1">Master!$C$1056</definedName>
    <definedName name="A900L1_C2">Master!$D$1056</definedName>
    <definedName name="A900L1_C3">Master!$E$1056</definedName>
    <definedName name="A900L1_C4">Master!$F$1056</definedName>
    <definedName name="A900L1_C5">Master!$G$1056</definedName>
    <definedName name="A900L2_C1">Master!$C$1057</definedName>
    <definedName name="A900L2_C2">Master!$D$1057</definedName>
    <definedName name="A900L2_C3">Master!$E$1057</definedName>
    <definedName name="A900L2_C4">Master!$F$1057</definedName>
    <definedName name="A900L2_C5">Master!$G$1057</definedName>
    <definedName name="A900L3_C1">Master!$C$1058</definedName>
    <definedName name="A900L3_C2">Master!$D$1058</definedName>
    <definedName name="A900L3_C3">Master!$E$1058</definedName>
    <definedName name="A900L3_C4">Master!$F$1058</definedName>
    <definedName name="A900L3_C5">Master!$G$1058</definedName>
    <definedName name="A900M_C1">Master!$C$1059</definedName>
    <definedName name="A900M_C2">Master!$D$1059</definedName>
    <definedName name="A900M_C3">Master!$E$1059</definedName>
    <definedName name="A900M_C4">Master!$F$1059</definedName>
    <definedName name="A900M_C5">Master!$G$1059</definedName>
    <definedName name="A900M1_C1">Master!$C$1060</definedName>
    <definedName name="A900M1_C2">Master!$D$1060</definedName>
    <definedName name="A900M1_C3">Master!$E$1060</definedName>
    <definedName name="A900M1_C4">Master!$F$1060</definedName>
    <definedName name="A900M1_C5">Master!$G$1060</definedName>
    <definedName name="A900T_C1">Master!$C$1061</definedName>
    <definedName name="A900T_C2">Master!$D$1061</definedName>
    <definedName name="A900T_C3">Master!$E$1061</definedName>
    <definedName name="A900T_C4">Master!$F$1061</definedName>
    <definedName name="A900T_C5">Master!$G$1061</definedName>
    <definedName name="A900T1_C1">Master!$C$1062</definedName>
    <definedName name="A900T1_C2">Master!$D$1062</definedName>
    <definedName name="A900T1_C3">Master!$E$1062</definedName>
    <definedName name="A900T1_C4">Master!$F$1062</definedName>
    <definedName name="A900T1_C5">Master!$G$1062</definedName>
    <definedName name="A902_C1">Master!$C$1063</definedName>
    <definedName name="A902_C2">Master!$D$1063</definedName>
    <definedName name="A902_C3">Master!$E$1063</definedName>
    <definedName name="A902_C4">Master!$F$1063</definedName>
    <definedName name="A902_C5">Master!$G$1063</definedName>
    <definedName name="A902A_C1">Master!$C$1064</definedName>
    <definedName name="A902A_C2">Master!$D$1064</definedName>
    <definedName name="A902A_C3">Master!$E$1064</definedName>
    <definedName name="A902A_C4">Master!$F$1064</definedName>
    <definedName name="A902A_C5">Master!$G$1064</definedName>
    <definedName name="A903_C1">Master!$C$1065</definedName>
    <definedName name="A903_C2">Master!$D$1065</definedName>
    <definedName name="A903_C3">Master!$E$1065</definedName>
    <definedName name="A903_C4">Master!$F$1065</definedName>
    <definedName name="A903_C5">Master!$G$1065</definedName>
    <definedName name="A904_C1">Master!$C$1066</definedName>
    <definedName name="A904_C2">Master!$D$1066</definedName>
    <definedName name="A904_C3">Master!$E$1066</definedName>
    <definedName name="A904_C4">Master!$F$1066</definedName>
    <definedName name="A904_C5">Master!$G$1066</definedName>
    <definedName name="A905_C1">Master!$C$1067</definedName>
    <definedName name="A905_C2">Master!$D$1067</definedName>
    <definedName name="A905_C3">Master!$E$1067</definedName>
    <definedName name="A905_C4">Master!$F$1067</definedName>
    <definedName name="A905_C5">Master!$G$1067</definedName>
    <definedName name="A906_C1">Master!$C$1068</definedName>
    <definedName name="A906_C2">Master!$D$1068</definedName>
    <definedName name="A906_C3">Master!$E$1068</definedName>
    <definedName name="A906_C4">Master!$F$1068</definedName>
    <definedName name="A906_C5">Master!$G$1068</definedName>
    <definedName name="A906A_C1">Master!$C$1069</definedName>
    <definedName name="A906A_C2">Master!$D$1069</definedName>
    <definedName name="A906A_C3">Master!$E$1069</definedName>
    <definedName name="A906A_C4">Master!$F$1069</definedName>
    <definedName name="A906A_C5">Master!$G$1069</definedName>
    <definedName name="A906B1_C1">Master!$C$1070</definedName>
    <definedName name="A906B1_C2">Master!$D$1070</definedName>
    <definedName name="A906B1_C3">Master!$E$1070</definedName>
    <definedName name="A906B1_C4">Master!$F$1070</definedName>
    <definedName name="A906B1_C5">Master!$G$1070</definedName>
    <definedName name="A906B2_C1">Master!$C$1071</definedName>
    <definedName name="A906B2_C2">Master!$D$1071</definedName>
    <definedName name="A906B2_C3">Master!$E$1071</definedName>
    <definedName name="A906B2_C4">Master!$F$1071</definedName>
    <definedName name="A906B2_C5">Master!$G$1071</definedName>
    <definedName name="A906C_C1">Master!$C$1072</definedName>
    <definedName name="A906C_C2">Master!$D$1072</definedName>
    <definedName name="A906C_C3">Master!$E$1072</definedName>
    <definedName name="A906C_C4">Master!$F$1072</definedName>
    <definedName name="A906C_C5">Master!$G$1072</definedName>
    <definedName name="A908A_C1">Master!$C$1073</definedName>
    <definedName name="A908A_C2">Master!$D$1073</definedName>
    <definedName name="A908A_C3">Master!$E$1073</definedName>
    <definedName name="A908A_C4">Master!$F$1073</definedName>
    <definedName name="A908A_C5">Master!$G$1073</definedName>
    <definedName name="A908B1_C1">Master!$C$1074</definedName>
    <definedName name="A908B1_C2">Master!$D$1074</definedName>
    <definedName name="A908B1_C3">Master!$E$1074</definedName>
    <definedName name="A908B1_C4">Master!$F$1074</definedName>
    <definedName name="A908B1_C5">Master!$G$1074</definedName>
    <definedName name="A908B2_C1">Master!$C$1075</definedName>
    <definedName name="A908B2_C2">Master!$D$1075</definedName>
    <definedName name="A908B2_C3">Master!$E$1075</definedName>
    <definedName name="A908B2_C4">Master!$F$1075</definedName>
    <definedName name="A908B2_C5">Master!$G$1075</definedName>
    <definedName name="A908C_C1">Master!$C$1076</definedName>
    <definedName name="A908C_C2">Master!$D$1076</definedName>
    <definedName name="A908C_C3">Master!$E$1076</definedName>
    <definedName name="A908C_C4">Master!$F$1076</definedName>
    <definedName name="A908C_C5">Master!$G$1076</definedName>
    <definedName name="A911_C1">Master!$C$1077</definedName>
    <definedName name="A911_C2">Master!$D$1077</definedName>
    <definedName name="A911_C3">Master!$E$1077</definedName>
    <definedName name="A911_C4">Master!$F$1077</definedName>
    <definedName name="A911_C5">Master!$G$1077</definedName>
    <definedName name="A911A_C1">Master!$C$1078</definedName>
    <definedName name="A911A_C2">Master!$D$1078</definedName>
    <definedName name="A911A_C3">Master!$E$1078</definedName>
    <definedName name="A911A_C4">Master!$F$1078</definedName>
    <definedName name="A911A_C5">Master!$G$1078</definedName>
    <definedName name="A919_C1">Master!$C$1079</definedName>
    <definedName name="A919_C2">Master!$D$1079</definedName>
    <definedName name="A919_C3">Master!$E$1079</definedName>
    <definedName name="A919_C4">Master!$F$1079</definedName>
    <definedName name="A919_C5">Master!$G$1079</definedName>
    <definedName name="A925_C1">Master!$C$1080</definedName>
    <definedName name="A925_C2">Master!$D$1080</definedName>
    <definedName name="A925_C3">Master!$E$1080</definedName>
    <definedName name="A925_C4">Master!$F$1080</definedName>
    <definedName name="A925_C5">Master!$G$1080</definedName>
    <definedName name="A925A_C1">Master!$C$1081</definedName>
    <definedName name="A925A_C2">Master!$D$1081</definedName>
    <definedName name="A925A_C3">Master!$E$1081</definedName>
    <definedName name="A925A_C4">Master!$F$1081</definedName>
    <definedName name="A925A_C5">Master!$G$1081</definedName>
    <definedName name="A925A1_C1">Master!$C$1082</definedName>
    <definedName name="A925A1_C2">Master!$D$1082</definedName>
    <definedName name="A925A1_C3">Master!$E$1082</definedName>
    <definedName name="A925A1_C4">Master!$F$1082</definedName>
    <definedName name="A925A1_C5">Master!$G$1082</definedName>
    <definedName name="A925A2_C1">Master!$C$1083</definedName>
    <definedName name="A925A2_C2">Master!$D$1083</definedName>
    <definedName name="A925A2_C3">Master!$E$1083</definedName>
    <definedName name="A925A2_C4">Master!$F$1083</definedName>
    <definedName name="A925A2_C5">Master!$G$1083</definedName>
    <definedName name="A926_C1">Master!$C$1084</definedName>
    <definedName name="A926_C2">Master!$D$1084</definedName>
    <definedName name="A926_C3">Master!$E$1084</definedName>
    <definedName name="A926_C4">Master!$F$1084</definedName>
    <definedName name="A926_C5">Master!$G$1084</definedName>
    <definedName name="A927_C1">Master!$C$1085</definedName>
    <definedName name="A927_C2">Master!$D$1085</definedName>
    <definedName name="A927_C3">Master!$E$1085</definedName>
    <definedName name="A927_C4">Master!$F$1085</definedName>
    <definedName name="A927_C5">Master!$G$1085</definedName>
    <definedName name="A928_C1">Master!$C$1086</definedName>
    <definedName name="A928_C2">Master!$D$1086</definedName>
    <definedName name="A928_C3">Master!$E$1086</definedName>
    <definedName name="A928_C4">Master!$F$1086</definedName>
    <definedName name="A928_C5">Master!$G$1086</definedName>
    <definedName name="A931_C1">Master!$C$1087</definedName>
    <definedName name="A931_C2">Master!$D$1087</definedName>
    <definedName name="A931_C3">Master!$E$1087</definedName>
    <definedName name="A931_C4">Master!$F$1087</definedName>
    <definedName name="A931_C5">Master!$G$1087</definedName>
    <definedName name="A940_C1">Master!$C$1088</definedName>
    <definedName name="A940_C2">Master!$D$1088</definedName>
    <definedName name="A940_C3">Master!$E$1088</definedName>
    <definedName name="A940_C4">Master!$F$1088</definedName>
    <definedName name="A940_C5">Master!$G$1088</definedName>
    <definedName name="A945_C1">Master!$C$1089</definedName>
    <definedName name="A945_C2">Master!$D$1089</definedName>
    <definedName name="A945_C3">Master!$E$1089</definedName>
    <definedName name="A945_C4">Master!$F$1089</definedName>
    <definedName name="A945_C5">Master!$G$1089</definedName>
    <definedName name="A945A_C1">Master!$C$1090</definedName>
    <definedName name="A945A_C2">Master!$D$1090</definedName>
    <definedName name="A945A_C3">Master!$E$1090</definedName>
    <definedName name="A945A_C4">Master!$F$1090</definedName>
    <definedName name="A945A_C5">Master!$G$1090</definedName>
    <definedName name="A945B_C1">Master!$C$1091</definedName>
    <definedName name="A945B_C2">Master!$D$1091</definedName>
    <definedName name="A945B_C3">Master!$E$1091</definedName>
    <definedName name="A945B_C4">Master!$F$1091</definedName>
    <definedName name="A945B_C5">Master!$G$1091</definedName>
    <definedName name="A945C_C1">Master!$C$1092</definedName>
    <definedName name="A945C_C2">Master!$D$1092</definedName>
    <definedName name="A945C_C3">Master!$E$1092</definedName>
    <definedName name="A945C_C4">Master!$F$1092</definedName>
    <definedName name="A945C_C5">Master!$G$1092</definedName>
    <definedName name="A956_C1">Master!$C$1093</definedName>
    <definedName name="A956_C2">Master!$D$1093</definedName>
    <definedName name="A956_C3">Master!$E$1093</definedName>
    <definedName name="A956_C4">Master!$F$1093</definedName>
    <definedName name="A956_C5">Master!$G$1093</definedName>
    <definedName name="A961A_C1">Master!$C$1094</definedName>
    <definedName name="A961A_C2">Master!$D$1094</definedName>
    <definedName name="A961A_C3">Master!$E$1094</definedName>
    <definedName name="A961A_C4">Master!$F$1094</definedName>
    <definedName name="A961A_C5">Master!$G$1094</definedName>
    <definedName name="A961A1_C1">Master!$C$1095</definedName>
    <definedName name="A961A1_C2">Master!$D$1095</definedName>
    <definedName name="A961A1_C3">Master!$E$1095</definedName>
    <definedName name="A961A1_C4">Master!$F$1095</definedName>
    <definedName name="A961A1_C5">Master!$G$1095</definedName>
    <definedName name="A961A2_C1">Master!$C$1096</definedName>
    <definedName name="A961A2_C2">Master!$D$1096</definedName>
    <definedName name="A961A2_C3">Master!$E$1096</definedName>
    <definedName name="A961A2_C4">Master!$F$1096</definedName>
    <definedName name="A961A2_C5">Master!$G$1096</definedName>
    <definedName name="A961A3_C1">Master!$C$1097</definedName>
    <definedName name="A961A3_C2">Master!$D$1097</definedName>
    <definedName name="A961A3_C3">Master!$E$1097</definedName>
    <definedName name="A961A3_C4">Master!$F$1097</definedName>
    <definedName name="A961A3_C5">Master!$G$1097</definedName>
    <definedName name="A961A4_C1">Master!$C$1098</definedName>
    <definedName name="A961A4_C2">Master!$D$1098</definedName>
    <definedName name="A961A4_C3">Master!$E$1098</definedName>
    <definedName name="A961A4_C4">Master!$F$1098</definedName>
    <definedName name="A961A4_C5">Master!$G$1098</definedName>
    <definedName name="A961A5_C1">Master!$C$1099</definedName>
    <definedName name="A961A5_C2">Master!$D$1099</definedName>
    <definedName name="A961A5_C3">Master!$E$1099</definedName>
    <definedName name="A961A5_C4">Master!$F$1099</definedName>
    <definedName name="A961A5_C5">Master!$G$1099</definedName>
    <definedName name="A961A6_C1">Master!$C$1100</definedName>
    <definedName name="A961A6_C2">Master!$D$1100</definedName>
    <definedName name="A961A6_C3">Master!$E$1100</definedName>
    <definedName name="A961A6_C4">Master!$F$1100</definedName>
    <definedName name="A961A6_C5">Master!$G$1100</definedName>
    <definedName name="A961A7_C1">Master!$C$1101</definedName>
    <definedName name="A961A7_C2">Master!$D$1101</definedName>
    <definedName name="A961A7_C3">Master!$E$1101</definedName>
    <definedName name="A961A7_C4">Master!$F$1101</definedName>
    <definedName name="A961A7_C5">Master!$G$1101</definedName>
    <definedName name="A961A8_C1">Master!$C$1102</definedName>
    <definedName name="A961A8_C2">Master!$D$1102</definedName>
    <definedName name="A961A8_C3">Master!$E$1102</definedName>
    <definedName name="A961A8_C4">Master!$F$1102</definedName>
    <definedName name="A961A8_C5">Master!$G$1102</definedName>
    <definedName name="A961A9_C1">Master!$C$1103</definedName>
    <definedName name="A961A9_C2">Master!$D$1103</definedName>
    <definedName name="A961A9_C3">Master!$E$1103</definedName>
    <definedName name="A961A9_C4">Master!$F$1103</definedName>
    <definedName name="A961A9_C5">Master!$G$1103</definedName>
    <definedName name="A965_C1">Master!$C$1104</definedName>
    <definedName name="A965_C2">Master!$D$1104</definedName>
    <definedName name="A965_C3">Master!$E$1104</definedName>
    <definedName name="A965_C4">Master!$F$1104</definedName>
    <definedName name="A965_C5">Master!$G$1104</definedName>
    <definedName name="A965A_C1">Master!$C$1105</definedName>
    <definedName name="A965A_C2">Master!$D$1105</definedName>
    <definedName name="A965A_C3">Master!$E$1105</definedName>
    <definedName name="A965A_C4">Master!$F$1105</definedName>
    <definedName name="A965A_C5">Master!$G$1105</definedName>
    <definedName name="A965B_C1">Master!$C$1106</definedName>
    <definedName name="A965B_C2">Master!$D$1106</definedName>
    <definedName name="A965B_C3">Master!$E$1106</definedName>
    <definedName name="A965B_C4">Master!$F$1106</definedName>
    <definedName name="A965B_C5">Master!$G$1106</definedName>
    <definedName name="A965C_C1">Master!$C$1107</definedName>
    <definedName name="A965C_C2">Master!$D$1107</definedName>
    <definedName name="A965C_C3">Master!$E$1107</definedName>
    <definedName name="A965C_C4">Master!$F$1107</definedName>
    <definedName name="A965C_C5">Master!$G$1107</definedName>
    <definedName name="A965C1_C1">Master!$C$1108</definedName>
    <definedName name="A965C1_C2">Master!$D$1108</definedName>
    <definedName name="A965C1_C3">Master!$E$1108</definedName>
    <definedName name="A965C1_C4">Master!$F$1108</definedName>
    <definedName name="A965C1_C5">Master!$G$1108</definedName>
    <definedName name="A965C2_C1">Master!$C$1109</definedName>
    <definedName name="A965C2_C2">Master!$D$1109</definedName>
    <definedName name="A965C2_C3">Master!$E$1109</definedName>
    <definedName name="A965C2_C4">Master!$F$1109</definedName>
    <definedName name="A965C2_C5">Master!$G$1109</definedName>
    <definedName name="A965D_C1">Master!$C$1110</definedName>
    <definedName name="A965D_C2">Master!$D$1110</definedName>
    <definedName name="A965D_C3">Master!$E$1110</definedName>
    <definedName name="A965D_C4">Master!$F$1110</definedName>
    <definedName name="A965D_C5">Master!$G$1110</definedName>
    <definedName name="A966_C1">Master!$C$1111</definedName>
    <definedName name="A966_C2">Master!$D$1111</definedName>
    <definedName name="A966_C3">Master!$E$1111</definedName>
    <definedName name="A966_C4">Master!$F$1111</definedName>
    <definedName name="A966_C5">Master!$G$1111</definedName>
    <definedName name="A971_C1">Master!$C$1112</definedName>
    <definedName name="A971_C2">Master!$D$1112</definedName>
    <definedName name="A971_C3">Master!$E$1112</definedName>
    <definedName name="A971_C4">Master!$F$1112</definedName>
    <definedName name="A971_C5">Master!$G$1112</definedName>
    <definedName name="A980_C1">Master!$C$1113</definedName>
    <definedName name="A980_C2">Master!$D$1113</definedName>
    <definedName name="A980_C3">Master!$E$1113</definedName>
    <definedName name="A980_C4">Master!$F$1113</definedName>
    <definedName name="A980_C5">Master!$G$1113</definedName>
    <definedName name="A981_C1">Master!$C$1114</definedName>
    <definedName name="A981_C2">Master!$D$1114</definedName>
    <definedName name="A981_C3">Master!$E$1114</definedName>
    <definedName name="A981_C4">Master!$F$1114</definedName>
    <definedName name="A981_C5">Master!$G$1114</definedName>
    <definedName name="A981A_C1">Master!$C$1115</definedName>
    <definedName name="A981A_C2">Master!$D$1115</definedName>
    <definedName name="A981A_C3">Master!$E$1115</definedName>
    <definedName name="A981A_C4">Master!$F$1115</definedName>
    <definedName name="A981A_C5">Master!$G$1115</definedName>
    <definedName name="A981B_C1">Master!$C$1116</definedName>
    <definedName name="A981B_C2">Master!$D$1116</definedName>
    <definedName name="A981B_C3">Master!$E$1116</definedName>
    <definedName name="A981B_C4">Master!$F$1116</definedName>
    <definedName name="A981B_C5">Master!$G$1116</definedName>
    <definedName name="A981C_C1">Master!$C$1117</definedName>
    <definedName name="A981C_C2">Master!$D$1117</definedName>
    <definedName name="A981C_C3">Master!$E$1117</definedName>
    <definedName name="A981C_C4">Master!$F$1117</definedName>
    <definedName name="A981C_C5">Master!$G$1117</definedName>
    <definedName name="A996_C1">Master!$C$1118</definedName>
    <definedName name="A996_C2">Master!$D$1118</definedName>
    <definedName name="A996_C3">Master!$E$1118</definedName>
    <definedName name="A996_C4">Master!$F$1118</definedName>
    <definedName name="A996_C5">Master!$G$1118</definedName>
    <definedName name="A997_C1">Master!$C$1119</definedName>
    <definedName name="A997_C2">Master!$D$1119</definedName>
    <definedName name="A997_C3">Master!$E$1119</definedName>
    <definedName name="A997_C4">Master!$F$1119</definedName>
    <definedName name="A997_C5">Master!$G$1119</definedName>
    <definedName name="A998_C1">Master!$C$1120</definedName>
    <definedName name="A998_C2">Master!$D$1120</definedName>
    <definedName name="A998_C3">Master!$E$1120</definedName>
    <definedName name="A998_C4">Master!$F$1120</definedName>
    <definedName name="A998_C5">Master!$G$1120</definedName>
    <definedName name="A999_C1">Master!$C$1121</definedName>
    <definedName name="A999_C2">Master!$D$1121</definedName>
    <definedName name="A999_C3">Master!$E$1121</definedName>
    <definedName name="A999_C4">Master!$F$1121</definedName>
    <definedName name="A999_C5">Master!$G$1121</definedName>
    <definedName name="A999B_C1">Master!$C$1122</definedName>
    <definedName name="A999B_C2">Master!$D$1122</definedName>
    <definedName name="A999B_C3">Master!$E$1122</definedName>
    <definedName name="A999B_C4">Master!$F$1122</definedName>
    <definedName name="A999B_C5">Master!$G$1122</definedName>
    <definedName name="AAS0001_C1">Master!$C$1123</definedName>
    <definedName name="AAS0001_C2">Master!$D$1123</definedName>
    <definedName name="AAS0001_C3">Master!$E$1123</definedName>
    <definedName name="AAS0001_C4">Master!$F$1123</definedName>
    <definedName name="AAS0001_C5">Master!$G$1123</definedName>
    <definedName name="AAS0003_C1">Master!$C$1124</definedName>
    <definedName name="AAS0003_C2">Master!$D$1124</definedName>
    <definedName name="AAS0003_C3">Master!$E$1124</definedName>
    <definedName name="AAS0003_C4">Master!$F$1124</definedName>
    <definedName name="AAS0003_C5">Master!$G$1124</definedName>
    <definedName name="AAS0004_C1">Master!$C$1125</definedName>
    <definedName name="AAS0004_C2">Master!$D$1125</definedName>
    <definedName name="AAS0004_C3">Master!$E$1125</definedName>
    <definedName name="AAS0004_C4">Master!$F$1125</definedName>
    <definedName name="AAS0004_C5">Master!$G$1125</definedName>
    <definedName name="AAS0005_C1">Master!$C$1126</definedName>
    <definedName name="AAS0005_C2">Master!$D$1126</definedName>
    <definedName name="AAS0005_C3">Master!$E$1126</definedName>
    <definedName name="AAS0005_C4">Master!$F$1126</definedName>
    <definedName name="AAS0005_C5">Master!$G$1126</definedName>
    <definedName name="AAS0007_C1">Master!$C$1127</definedName>
    <definedName name="AAS0007_C2">Master!$D$1127</definedName>
    <definedName name="AAS0007_C3">Master!$E$1127</definedName>
    <definedName name="AAS0007_C4">Master!$F$1127</definedName>
    <definedName name="AAS0007_C5">Master!$G$1127</definedName>
    <definedName name="AAS0008_C1">Master!$C$1128</definedName>
    <definedName name="AAS0008_C2">Master!$D$1128</definedName>
    <definedName name="AAS0008_C3">Master!$E$1128</definedName>
    <definedName name="AAS0008_C4">Master!$F$1128</definedName>
    <definedName name="AAS0008_C5">Master!$G$1128</definedName>
    <definedName name="AAS0009_C1">Master!$C$1129</definedName>
    <definedName name="AAS0009_C2">Master!$D$1129</definedName>
    <definedName name="AAS0009_C3">Master!$E$1129</definedName>
    <definedName name="AAS0009_C4">Master!$F$1129</definedName>
    <definedName name="AAS0009_C5">Master!$G$1129</definedName>
    <definedName name="AAS0010_C1">Master!$C$1130</definedName>
    <definedName name="AAS0010_C2">Master!$D$1130</definedName>
    <definedName name="AAS0010_C3">Master!$E$1130</definedName>
    <definedName name="AAS0010_C4">Master!$F$1130</definedName>
    <definedName name="AAS0010_C5">Master!$G$1130</definedName>
    <definedName name="AAS0013_C1">Master!$C$1131</definedName>
    <definedName name="AAS0013_C2">Master!$D$1131</definedName>
    <definedName name="AAS0013_C3">Master!$E$1131</definedName>
    <definedName name="AAS0013_C4">Master!$F$1131</definedName>
    <definedName name="AAS0013_C5">Master!$G$1131</definedName>
    <definedName name="AAS0016_C1">Master!$C$1132</definedName>
    <definedName name="AAS0016_C2">Master!$D$1132</definedName>
    <definedName name="AAS0016_C3">Master!$E$1132</definedName>
    <definedName name="AAS0016_C4">Master!$F$1132</definedName>
    <definedName name="AAS0016_C5">Master!$G$1132</definedName>
    <definedName name="AAS0017_C1">Master!$C$1133</definedName>
    <definedName name="AAS0017_C2">Master!$D$1133</definedName>
    <definedName name="AAS0017_C3">Master!$E$1133</definedName>
    <definedName name="AAS0017_C4">Master!$F$1133</definedName>
    <definedName name="AAS0017_C5">Master!$G$1133</definedName>
    <definedName name="AAS0022_C1">Master!$C$1134</definedName>
    <definedName name="AAS0022_C2">Master!$D$1134</definedName>
    <definedName name="AAS0022_C3">Master!$E$1134</definedName>
    <definedName name="AAS0022_C4">Master!$F$1134</definedName>
    <definedName name="AAS0022_C5">Master!$G$1134</definedName>
    <definedName name="AAS0023_C1">Master!$C$1135</definedName>
    <definedName name="AAS0023_C2">Master!$D$1135</definedName>
    <definedName name="AAS0023_C3">Master!$E$1135</definedName>
    <definedName name="AAS0023_C4">Master!$F$1135</definedName>
    <definedName name="AAS0023_C5">Master!$G$1135</definedName>
    <definedName name="AAS0024_C1">Master!$C$1136</definedName>
    <definedName name="AAS0024_C2">Master!$D$1136</definedName>
    <definedName name="AAS0024_C3">Master!$E$1136</definedName>
    <definedName name="AAS0024_C4">Master!$F$1136</definedName>
    <definedName name="AAS0024_C5">Master!$G$1136</definedName>
    <definedName name="AAS0025_C1">Master!$C$1137</definedName>
    <definedName name="AAS0025_C2">Master!$D$1137</definedName>
    <definedName name="AAS0025_C3">Master!$E$1137</definedName>
    <definedName name="AAS0025_C4">Master!$F$1137</definedName>
    <definedName name="AAS0025_C5">Master!$G$1137</definedName>
    <definedName name="AAS0032_C1">Master!$C$1138</definedName>
    <definedName name="AAS0032_C2">Master!$D$1138</definedName>
    <definedName name="AAS0032_C3">Master!$E$1138</definedName>
    <definedName name="AAS0032_C4">Master!$F$1138</definedName>
    <definedName name="AAS0032_C5">Master!$G$1138</definedName>
    <definedName name="AAS0036_C1">Master!$C$1139</definedName>
    <definedName name="AAS0036_C2">Master!$D$1139</definedName>
    <definedName name="AAS0036_C3">Master!$E$1139</definedName>
    <definedName name="AAS0036_C4">Master!$F$1139</definedName>
    <definedName name="AAS0036_C5">Master!$G$1139</definedName>
    <definedName name="AAS0041_C1">Master!$C$1140</definedName>
    <definedName name="AAS0041_C2">Master!$D$1140</definedName>
    <definedName name="AAS0041_C3">Master!$E$1140</definedName>
    <definedName name="AAS0041_C4">Master!$F$1140</definedName>
    <definedName name="AAS0041_C5">Master!$G$1140</definedName>
    <definedName name="AAS0042_C1">Master!$C$1141</definedName>
    <definedName name="AAS0042_C2">Master!$D$1141</definedName>
    <definedName name="AAS0042_C3">Master!$E$1141</definedName>
    <definedName name="AAS0042_C4">Master!$F$1141</definedName>
    <definedName name="AAS0042_C5">Master!$G$1141</definedName>
    <definedName name="AAS0048_C1">Master!$C$1142</definedName>
    <definedName name="AAS0048_C2">Master!$D$1142</definedName>
    <definedName name="AAS0048_C3">Master!$E$1142</definedName>
    <definedName name="AAS0048_C4">Master!$F$1142</definedName>
    <definedName name="AAS0048_C5">Master!$G$1142</definedName>
    <definedName name="AAS0050_C1">Master!$C$1143</definedName>
    <definedName name="AAS0050_C2">Master!$D$1143</definedName>
    <definedName name="AAS0050_C3">Master!$E$1143</definedName>
    <definedName name="AAS0050_C4">Master!$F$1143</definedName>
    <definedName name="AAS0050_C5">Master!$G$1143</definedName>
    <definedName name="AAS0051_C1">Master!$C$1144</definedName>
    <definedName name="AAS0051_C2">Master!$D$1144</definedName>
    <definedName name="AAS0051_C3">Master!$E$1144</definedName>
    <definedName name="AAS0051_C4">Master!$F$1144</definedName>
    <definedName name="AAS0051_C5">Master!$G$1144</definedName>
    <definedName name="AAS0052_C1">Master!$C$1145</definedName>
    <definedName name="AAS0052_C2">Master!$D$1145</definedName>
    <definedName name="AAS0052_C3">Master!$E$1145</definedName>
    <definedName name="AAS0052_C4">Master!$F$1145</definedName>
    <definedName name="AAS0052_C5">Master!$G$1145</definedName>
    <definedName name="AAS0053_C1">Master!$C$1146</definedName>
    <definedName name="AAS0053_C2">Master!$D$1146</definedName>
    <definedName name="AAS0053_C3">Master!$E$1146</definedName>
    <definedName name="AAS0053_C4">Master!$F$1146</definedName>
    <definedName name="AAS0053_C5">Master!$G$1146</definedName>
    <definedName name="AAS0054_C1">Master!$C$1147</definedName>
    <definedName name="AAS0054_C2">Master!$D$1147</definedName>
    <definedName name="AAS0054_C3">Master!$E$1147</definedName>
    <definedName name="AAS0054_C4">Master!$F$1147</definedName>
    <definedName name="AAS0054_C5">Master!$G$1147</definedName>
    <definedName name="AAS0055_C1">Master!$C$1148</definedName>
    <definedName name="AAS0055_C2">Master!$D$1148</definedName>
    <definedName name="AAS0055_C3">Master!$E$1148</definedName>
    <definedName name="AAS0055_C4">Master!$F$1148</definedName>
    <definedName name="AAS0055_C5">Master!$G$1148</definedName>
    <definedName name="AAS0056_C1">Master!$C$1149</definedName>
    <definedName name="AAS0056_C2">Master!$D$1149</definedName>
    <definedName name="AAS0056_C3">Master!$E$1149</definedName>
    <definedName name="AAS0056_C4">Master!$F$1149</definedName>
    <definedName name="AAS0056_C5">Master!$G$1149</definedName>
    <definedName name="AAS0057_C1">Master!$C$1150</definedName>
    <definedName name="AAS0057_C2">Master!$D$1150</definedName>
    <definedName name="AAS0057_C3">Master!$E$1150</definedName>
    <definedName name="AAS0057_C4">Master!$F$1150</definedName>
    <definedName name="AAS0057_C5">Master!$G$1150</definedName>
    <definedName name="AAS0058_C1">Master!$C$1151</definedName>
    <definedName name="AAS0058_C2">Master!$D$1151</definedName>
    <definedName name="AAS0058_C3">Master!$E$1151</definedName>
    <definedName name="AAS0058_C4">Master!$F$1151</definedName>
    <definedName name="AAS0058_C5">Master!$G$1151</definedName>
    <definedName name="AAS0059_C1">Master!$C$1152</definedName>
    <definedName name="AAS0059_C2">Master!$D$1152</definedName>
    <definedName name="AAS0059_C3">Master!$E$1152</definedName>
    <definedName name="AAS0059_C4">Master!$F$1152</definedName>
    <definedName name="AAS0059_C5">Master!$G$1152</definedName>
    <definedName name="AAS0060_C1">Master!$C$1153</definedName>
    <definedName name="AAS0060_C2">Master!$D$1153</definedName>
    <definedName name="AAS0060_C3">Master!$E$1153</definedName>
    <definedName name="AAS0060_C4">Master!$F$1153</definedName>
    <definedName name="AAS0060_C5">Master!$G$1153</definedName>
    <definedName name="AAS0061_C1">Master!$C$1154</definedName>
    <definedName name="AAS0061_C2">Master!$D$1154</definedName>
    <definedName name="AAS0061_C3">Master!$E$1154</definedName>
    <definedName name="AAS0061_C4">Master!$F$1154</definedName>
    <definedName name="AAS0061_C5">Master!$G$1154</definedName>
    <definedName name="AAS0062_C1">Master!$C$1155</definedName>
    <definedName name="AAS0062_C2">Master!$D$1155</definedName>
    <definedName name="AAS0062_C3">Master!$E$1155</definedName>
    <definedName name="AAS0062_C4">Master!$F$1155</definedName>
    <definedName name="AAS0062_C5">Master!$G$1155</definedName>
    <definedName name="AAS0063_C1">Master!$C$1156</definedName>
    <definedName name="AAS0063_C2">Master!$D$1156</definedName>
    <definedName name="AAS0063_C3">Master!$E$1156</definedName>
    <definedName name="AAS0063_C4">Master!$F$1156</definedName>
    <definedName name="AAS0063_C5">Master!$G$1156</definedName>
    <definedName name="AAS0064_C1">Master!$C$1157</definedName>
    <definedName name="AAS0064_C2">Master!$D$1157</definedName>
    <definedName name="AAS0064_C3">Master!$E$1157</definedName>
    <definedName name="AAS0064_C4">Master!$F$1157</definedName>
    <definedName name="AAS0064_C5">Master!$G$1157</definedName>
    <definedName name="AAS0065_C1">Master!$C$1158</definedName>
    <definedName name="AAS0065_C2">Master!$D$1158</definedName>
    <definedName name="AAS0065_C3">Master!$E$1158</definedName>
    <definedName name="AAS0065_C4">Master!$F$1158</definedName>
    <definedName name="AAS0065_C5">Master!$G$1158</definedName>
    <definedName name="AAS0066_C1">Master!$C$1159</definedName>
    <definedName name="AAS0066_C2">Master!$D$1159</definedName>
    <definedName name="AAS0066_C3">Master!$E$1159</definedName>
    <definedName name="AAS0066_C4">Master!$F$1159</definedName>
    <definedName name="AAS0066_C5">Master!$G$1159</definedName>
    <definedName name="AAS0067_C1">Master!$C$1160</definedName>
    <definedName name="AAS0067_C2">Master!$D$1160</definedName>
    <definedName name="AAS0067_C3">Master!$E$1160</definedName>
    <definedName name="AAS0067_C4">Master!$F$1160</definedName>
    <definedName name="AAS0067_C5">Master!$G$1160</definedName>
    <definedName name="AAS0068_C1">Master!$C$1161</definedName>
    <definedName name="AAS0068_C2">Master!$D$1161</definedName>
    <definedName name="AAS0068_C3">Master!$E$1161</definedName>
    <definedName name="AAS0068_C4">Master!$F$1161</definedName>
    <definedName name="AAS0068_C5">Master!$G$1161</definedName>
    <definedName name="AAS0069_C1">Master!$C$1162</definedName>
    <definedName name="AAS0069_C2">Master!$D$1162</definedName>
    <definedName name="AAS0069_C3">Master!$E$1162</definedName>
    <definedName name="AAS0069_C4">Master!$F$1162</definedName>
    <definedName name="AAS0069_C5">Master!$G$1162</definedName>
    <definedName name="AAS0070_C1">Master!$C$1163</definedName>
    <definedName name="AAS0070_C2">Master!$D$1163</definedName>
    <definedName name="AAS0070_C3">Master!$E$1163</definedName>
    <definedName name="AAS0070_C4">Master!$F$1163</definedName>
    <definedName name="AAS0070_C5">Master!$G$1163</definedName>
    <definedName name="AAS0071_C1">Master!$C$1164</definedName>
    <definedName name="AAS0071_C2">Master!$D$1164</definedName>
    <definedName name="AAS0071_C3">Master!$E$1164</definedName>
    <definedName name="AAS0071_C4">Master!$F$1164</definedName>
    <definedName name="AAS0071_C5">Master!$G$1164</definedName>
    <definedName name="AAS0072_C1">Master!$C$1165</definedName>
    <definedName name="AAS0072_C2">Master!$D$1165</definedName>
    <definedName name="AAS0072_C3">Master!$E$1165</definedName>
    <definedName name="AAS0072_C4">Master!$F$1165</definedName>
    <definedName name="AAS0072_C5">Master!$G$1165</definedName>
    <definedName name="AAS0073_C1">Master!$C$1166</definedName>
    <definedName name="AAS0073_C2">Master!$D$1166</definedName>
    <definedName name="AAS0073_C3">Master!$E$1166</definedName>
    <definedName name="AAS0073_C4">Master!$F$1166</definedName>
    <definedName name="AAS0073_C5">Master!$G$1166</definedName>
    <definedName name="ACH0007_C1">Master!$C$1167</definedName>
    <definedName name="ACH0007_C2">Master!$D$1167</definedName>
    <definedName name="ACH0007_C3">Master!$E$1167</definedName>
    <definedName name="ACH0007_C4">Master!$F$1167</definedName>
    <definedName name="ACH0007_C5">Master!$G$1167</definedName>
    <definedName name="ACH0008_C1">Master!$C$1168</definedName>
    <definedName name="ACH0008_C2">Master!$D$1168</definedName>
    <definedName name="ACH0008_C3">Master!$E$1168</definedName>
    <definedName name="ACH0008_C4">Master!$F$1168</definedName>
    <definedName name="ACH0008_C5">Master!$G$1168</definedName>
    <definedName name="ACH0015_C1">Master!$C$1169</definedName>
    <definedName name="ACH0015_C2">Master!$D$1169</definedName>
    <definedName name="ACH0015_C3">Master!$E$1169</definedName>
    <definedName name="ACH0015_C4">Master!$F$1169</definedName>
    <definedName name="ACH0015_C5">Master!$G$1169</definedName>
    <definedName name="ACH0016_C1">Master!$C$1170</definedName>
    <definedName name="ACH0016_C2">Master!$D$1170</definedName>
    <definedName name="ACH0016_C3">Master!$E$1170</definedName>
    <definedName name="ACH0016_C4">Master!$F$1170</definedName>
    <definedName name="ACH0016_C5">Master!$G$1170</definedName>
    <definedName name="ACH0017_C1">Master!$C$1171</definedName>
    <definedName name="ACH0017_C2">Master!$D$1171</definedName>
    <definedName name="ACH0017_C3">Master!$E$1171</definedName>
    <definedName name="ACH0017_C4">Master!$F$1171</definedName>
    <definedName name="ACH0017_C5">Master!$G$1171</definedName>
    <definedName name="ACH0018_C1">Master!$C$1172</definedName>
    <definedName name="ACH0018_C2">Master!$D$1172</definedName>
    <definedName name="ACH0018_C3">Master!$E$1172</definedName>
    <definedName name="ACH0018_C4">Master!$F$1172</definedName>
    <definedName name="ACH0018_C5">Master!$G$1172</definedName>
    <definedName name="ACH0019_C1">Master!$C$1173</definedName>
    <definedName name="ACH0019_C2">Master!$D$1173</definedName>
    <definedName name="ACH0019_C3">Master!$E$1173</definedName>
    <definedName name="ACH0019_C4">Master!$F$1173</definedName>
    <definedName name="ACH0019_C5">Master!$G$1173</definedName>
    <definedName name="ACH0020_C1">Master!$C$1174</definedName>
    <definedName name="ACH0020_C2">Master!$D$1174</definedName>
    <definedName name="ACH0020_C3">Master!$E$1174</definedName>
    <definedName name="ACH0020_C4">Master!$F$1174</definedName>
    <definedName name="ACH0020_C5">Master!$G$1174</definedName>
    <definedName name="ACH0021_C1">Master!$C$1175</definedName>
    <definedName name="ACH0021_C2">Master!$D$1175</definedName>
    <definedName name="ACH0021_C3">Master!$E$1175</definedName>
    <definedName name="ACH0021_C4">Master!$F$1175</definedName>
    <definedName name="ACH0021_C5">Master!$G$1175</definedName>
    <definedName name="ACH0022_C1">Master!$C$1176</definedName>
    <definedName name="ACH0022_C2">Master!$D$1176</definedName>
    <definedName name="ACH0022_C3">Master!$E$1176</definedName>
    <definedName name="ACH0022_C4">Master!$F$1176</definedName>
    <definedName name="ACH0022_C5">Master!$G$1176</definedName>
    <definedName name="ACH0023_C1">Master!$C$1177</definedName>
    <definedName name="ACH0023_C2">Master!$D$1177</definedName>
    <definedName name="ACH0023_C3">Master!$E$1177</definedName>
    <definedName name="ACH0023_C4">Master!$F$1177</definedName>
    <definedName name="ACH0023_C5">Master!$G$1177</definedName>
    <definedName name="ACH0024_C1">Master!$C$1178</definedName>
    <definedName name="ACH0024_C2">Master!$D$1178</definedName>
    <definedName name="ACH0024_C3">Master!$E$1178</definedName>
    <definedName name="ACH0024_C4">Master!$F$1178</definedName>
    <definedName name="ACH0024_C5">Master!$G$1178</definedName>
    <definedName name="ACH0025_C1">Master!$C$1179</definedName>
    <definedName name="ACH0025_C2">Master!$D$1179</definedName>
    <definedName name="ACH0025_C3">Master!$E$1179</definedName>
    <definedName name="ACH0025_C4">Master!$F$1179</definedName>
    <definedName name="ACH0025_C5">Master!$G$1179</definedName>
    <definedName name="ACH0026_C1">Master!$C$1180</definedName>
    <definedName name="ACH0026_C2">Master!$D$1180</definedName>
    <definedName name="ACH0026_C3">Master!$E$1180</definedName>
    <definedName name="ACH0026_C4">Master!$F$1180</definedName>
    <definedName name="ACH0026_C5">Master!$G$1180</definedName>
    <definedName name="ACH0027_C1">Master!$C$1181</definedName>
    <definedName name="ACH0027_C2">Master!$D$1181</definedName>
    <definedName name="ACH0027_C3">Master!$E$1181</definedName>
    <definedName name="ACH0027_C4">Master!$F$1181</definedName>
    <definedName name="ACH0027_C5">Master!$G$1181</definedName>
    <definedName name="ACH0028_C1">Master!$C$1182</definedName>
    <definedName name="ACH0028_C2">Master!$D$1182</definedName>
    <definedName name="ACH0028_C3">Master!$E$1182</definedName>
    <definedName name="ACH0028_C4">Master!$F$1182</definedName>
    <definedName name="ACH0028_C5">Master!$G$1182</definedName>
    <definedName name="ACH0029_C1">Master!$C$1183</definedName>
    <definedName name="ACH0029_C2">Master!$D$1183</definedName>
    <definedName name="ACH0029_C3">Master!$E$1183</definedName>
    <definedName name="ACH0029_C4">Master!$F$1183</definedName>
    <definedName name="ACH0029_C5">Master!$G$1183</definedName>
    <definedName name="ACH0030_C1">Master!$C$1184</definedName>
    <definedName name="ACH0030_C2">Master!$D$1184</definedName>
    <definedName name="ACH0030_C3">Master!$E$1184</definedName>
    <definedName name="ACH0030_C4">Master!$F$1184</definedName>
    <definedName name="ACH0030_C5">Master!$G$1184</definedName>
    <definedName name="ACH0031_C1">Master!$C$1185</definedName>
    <definedName name="ACH0031_C2">Master!$D$1185</definedName>
    <definedName name="ACH0031_C3">Master!$E$1185</definedName>
    <definedName name="ACH0031_C4">Master!$F$1185</definedName>
    <definedName name="ACH0031_C5">Master!$G$1185</definedName>
    <definedName name="ACH0032_C1">Master!$C$1186</definedName>
    <definedName name="ACH0032_C2">Master!$D$1186</definedName>
    <definedName name="ACH0032_C3">Master!$E$1186</definedName>
    <definedName name="ACH0032_C4">Master!$F$1186</definedName>
    <definedName name="ACH0032_C5">Master!$G$1186</definedName>
    <definedName name="ACH0033_C1">Master!$C$1187</definedName>
    <definedName name="ACH0033_C2">Master!$D$1187</definedName>
    <definedName name="ACH0033_C3">Master!$E$1187</definedName>
    <definedName name="ACH0033_C4">Master!$F$1187</definedName>
    <definedName name="ACH0033_C5">Master!$G$1187</definedName>
    <definedName name="ACH0034_C1">Master!$C$1188</definedName>
    <definedName name="ACH0034_C2">Master!$D$1188</definedName>
    <definedName name="ACH0034_C3">Master!$E$1188</definedName>
    <definedName name="ACH0034_C4">Master!$F$1188</definedName>
    <definedName name="ACH0034_C5">Master!$G$1188</definedName>
    <definedName name="ACH0035_C1">Master!$C$1189</definedName>
    <definedName name="ACH0035_C2">Master!$D$1189</definedName>
    <definedName name="ACH0035_C3">Master!$E$1189</definedName>
    <definedName name="ACH0035_C4">Master!$F$1189</definedName>
    <definedName name="ACH0035_C5">Master!$G$1189</definedName>
    <definedName name="ACH0036_C1">Master!$C$1190</definedName>
    <definedName name="ACH0036_C2">Master!$D$1190</definedName>
    <definedName name="ACH0036_C3">Master!$E$1190</definedName>
    <definedName name="ACH0036_C4">Master!$F$1190</definedName>
    <definedName name="ACH0036_C5">Master!$G$1190</definedName>
    <definedName name="ACH0037_C1">Master!$C$1191</definedName>
    <definedName name="ACH0037_C2">Master!$D$1191</definedName>
    <definedName name="ACH0037_C3">Master!$E$1191</definedName>
    <definedName name="ACH0037_C4">Master!$F$1191</definedName>
    <definedName name="ACH0037_C5">Master!$G$1191</definedName>
    <definedName name="ACH0038_C1">Master!$C$1192</definedName>
    <definedName name="ACH0038_C2">Master!$D$1192</definedName>
    <definedName name="ACH0038_C3">Master!$E$1192</definedName>
    <definedName name="ACH0038_C4">Master!$F$1192</definedName>
    <definedName name="ACH0038_C5">Master!$G$1192</definedName>
    <definedName name="ACH0039_C1">Master!$C$1193</definedName>
    <definedName name="ACH0039_C2">Master!$D$1193</definedName>
    <definedName name="ACH0039_C3">Master!$E$1193</definedName>
    <definedName name="ACH0039_C4">Master!$F$1193</definedName>
    <definedName name="ACH0039_C5">Master!$G$1193</definedName>
    <definedName name="ACH0040_C1">Master!$C$1194</definedName>
    <definedName name="ACH0040_C2">Master!$D$1194</definedName>
    <definedName name="ACH0040_C3">Master!$E$1194</definedName>
    <definedName name="ACH0040_C4">Master!$F$1194</definedName>
    <definedName name="ACH0040_C5">Master!$G$1194</definedName>
    <definedName name="ACH0047_C1">Master!$C$1195</definedName>
    <definedName name="ACH0047_C2">Master!$D$1195</definedName>
    <definedName name="ACH0047_C3">Master!$E$1195</definedName>
    <definedName name="ACH0047_C4">Master!$F$1195</definedName>
    <definedName name="ACH0047_C5">Master!$G$1195</definedName>
    <definedName name="ACH0048_C1">Master!$C$1196</definedName>
    <definedName name="ACH0048_C2">Master!$D$1196</definedName>
    <definedName name="ACH0048_C3">Master!$E$1196</definedName>
    <definedName name="ACH0048_C4">Master!$F$1196</definedName>
    <definedName name="ACH0048_C5">Master!$G$1196</definedName>
    <definedName name="ACM0099_C1">Master!$C$1197</definedName>
    <definedName name="ACM0099_C2">Master!$D$1197</definedName>
    <definedName name="ACM0099_C3">Master!$E$1197</definedName>
    <definedName name="ACM0099_C4">Master!$F$1197</definedName>
    <definedName name="ACM0099_C5">Master!$G$1197</definedName>
    <definedName name="ADL0002_C1">Master!$C$1198</definedName>
    <definedName name="ADL0002_C2">Master!$D$1198</definedName>
    <definedName name="ADL0002_C3">Master!$E$1198</definedName>
    <definedName name="ADL0002_C4">Master!$F$1198</definedName>
    <definedName name="ADL0002_C5">Master!$G$1198</definedName>
    <definedName name="ADL0009_C1">Master!$C$1199</definedName>
    <definedName name="ADL0009_C2">Master!$D$1199</definedName>
    <definedName name="ADL0009_C3">Master!$E$1199</definedName>
    <definedName name="ADL0009_C4">Master!$F$1199</definedName>
    <definedName name="ADL0009_C5">Master!$G$1199</definedName>
    <definedName name="ADL0016_C1">Master!$C$1200</definedName>
    <definedName name="ADL0016_C2">Master!$D$1200</definedName>
    <definedName name="ADL0016_C3">Master!$E$1200</definedName>
    <definedName name="ADL0016_C4">Master!$F$1200</definedName>
    <definedName name="ADL0016_C5">Master!$G$1200</definedName>
    <definedName name="ADL0022_C1">Master!$C$1201</definedName>
    <definedName name="ADL0022_C2">Master!$D$1201</definedName>
    <definedName name="ADL0022_C3">Master!$E$1201</definedName>
    <definedName name="ADL0022_C4">Master!$F$1201</definedName>
    <definedName name="ADL0022_C5">Master!$G$1201</definedName>
    <definedName name="ADL0023_C1">Master!$C$1202</definedName>
    <definedName name="ADL0023_C2">Master!$D$1202</definedName>
    <definedName name="ADL0023_C3">Master!$E$1202</definedName>
    <definedName name="ADL0023_C4">Master!$F$1202</definedName>
    <definedName name="ADL0023_C5">Master!$G$1202</definedName>
    <definedName name="ADL0024_C1">Master!$C$1203</definedName>
    <definedName name="ADL0024_C2">Master!$D$1203</definedName>
    <definedName name="ADL0024_C3">Master!$E$1203</definedName>
    <definedName name="ADL0024_C4">Master!$F$1203</definedName>
    <definedName name="ADL0024_C5">Master!$G$1203</definedName>
    <definedName name="ADL0025_C1">Master!$C$1204</definedName>
    <definedName name="ADL0025_C2">Master!$D$1204</definedName>
    <definedName name="ADL0025_C3">Master!$E$1204</definedName>
    <definedName name="ADL0025_C4">Master!$F$1204</definedName>
    <definedName name="ADL0025_C5">Master!$G$1204</definedName>
    <definedName name="ADL0026_C1">Master!$C$1205</definedName>
    <definedName name="ADL0026_C2">Master!$D$1205</definedName>
    <definedName name="ADL0026_C3">Master!$E$1205</definedName>
    <definedName name="ADL0026_C4">Master!$F$1205</definedName>
    <definedName name="ADL0026_C5">Master!$G$1205</definedName>
    <definedName name="ADL0027_C1">Master!$C$1206</definedName>
    <definedName name="ADL0027_C2">Master!$D$1206</definedName>
    <definedName name="ADL0027_C3">Master!$E$1206</definedName>
    <definedName name="ADL0027_C4">Master!$F$1206</definedName>
    <definedName name="ADL0027_C5">Master!$G$1206</definedName>
    <definedName name="ADL0030_C1">Master!$C$1207</definedName>
    <definedName name="ADL0030_C2">Master!$D$1207</definedName>
    <definedName name="ADL0030_C3">Master!$E$1207</definedName>
    <definedName name="ADL0030_C4">Master!$F$1207</definedName>
    <definedName name="ADL0030_C5">Master!$G$1207</definedName>
    <definedName name="ADL0037_C1">Master!$C$1208</definedName>
    <definedName name="ADL0037_C2">Master!$D$1208</definedName>
    <definedName name="ADL0037_C3">Master!$E$1208</definedName>
    <definedName name="ADL0037_C4">Master!$F$1208</definedName>
    <definedName name="ADL0037_C5">Master!$G$1208</definedName>
    <definedName name="ADL0044_C1">Master!$C$1209</definedName>
    <definedName name="ADL0044_C2">Master!$D$1209</definedName>
    <definedName name="ADL0044_C3">Master!$E$1209</definedName>
    <definedName name="ADL0044_C4">Master!$F$1209</definedName>
    <definedName name="ADL0044_C5">Master!$G$1209</definedName>
    <definedName name="ADL0050_C1">Master!$C$1210</definedName>
    <definedName name="ADL0050_C2">Master!$D$1210</definedName>
    <definedName name="ADL0050_C3">Master!$E$1210</definedName>
    <definedName name="ADL0050_C4">Master!$F$1210</definedName>
    <definedName name="ADL0050_C5">Master!$G$1210</definedName>
    <definedName name="ADL0051_C1">Master!$C$1211</definedName>
    <definedName name="ADL0051_C2">Master!$D$1211</definedName>
    <definedName name="ADL0051_C3">Master!$E$1211</definedName>
    <definedName name="ADL0051_C4">Master!$F$1211</definedName>
    <definedName name="ADL0051_C5">Master!$G$1211</definedName>
    <definedName name="ADL0052_C1">Master!$C$1212</definedName>
    <definedName name="ADL0052_C2">Master!$D$1212</definedName>
    <definedName name="ADL0052_C3">Master!$E$1212</definedName>
    <definedName name="ADL0052_C4">Master!$F$1212</definedName>
    <definedName name="ADL0052_C5">Master!$G$1212</definedName>
    <definedName name="ADL0053_C1">Master!$C$1213</definedName>
    <definedName name="ADL0053_C2">Master!$D$1213</definedName>
    <definedName name="ADL0053_C3">Master!$E$1213</definedName>
    <definedName name="ADL0053_C4">Master!$F$1213</definedName>
    <definedName name="ADL0053_C5">Master!$G$1213</definedName>
    <definedName name="ADL0054_C1">Master!$C$1214</definedName>
    <definedName name="ADL0054_C2">Master!$D$1214</definedName>
    <definedName name="ADL0054_C3">Master!$E$1214</definedName>
    <definedName name="ADL0054_C4">Master!$F$1214</definedName>
    <definedName name="ADL0054_C5">Master!$G$1214</definedName>
    <definedName name="ADL0055_C1">Master!$C$1215</definedName>
    <definedName name="ADL0055_C2">Master!$D$1215</definedName>
    <definedName name="ADL0055_C3">Master!$E$1215</definedName>
    <definedName name="ADL0055_C4">Master!$F$1215</definedName>
    <definedName name="ADL0055_C5">Master!$G$1215</definedName>
    <definedName name="ADL0057_C1">Master!$C$1216</definedName>
    <definedName name="ADL0057_C2">Master!$D$1216</definedName>
    <definedName name="ADL0057_C3">Master!$E$1216</definedName>
    <definedName name="ADL0057_C4">Master!$F$1216</definedName>
    <definedName name="ADL0057_C5">Master!$G$1216</definedName>
    <definedName name="ADL0058_C1">Master!$C$1217</definedName>
    <definedName name="ADL0058_C2">Master!$D$1217</definedName>
    <definedName name="ADL0058_C3">Master!$E$1217</definedName>
    <definedName name="ADL0058_C4">Master!$F$1217</definedName>
    <definedName name="ADL0058_C5">Master!$G$1217</definedName>
    <definedName name="ADL0059_C1">Master!$C$1218</definedName>
    <definedName name="ADL0059_C2">Master!$D$1218</definedName>
    <definedName name="ADL0059_C3">Master!$E$1218</definedName>
    <definedName name="ADL0059_C4">Master!$F$1218</definedName>
    <definedName name="ADL0059_C5">Master!$G$1218</definedName>
    <definedName name="ADL0060_C1">Master!$C$1219</definedName>
    <definedName name="ADL0060_C2">Master!$D$1219</definedName>
    <definedName name="ADL0060_C3">Master!$E$1219</definedName>
    <definedName name="ADL0060_C4">Master!$F$1219</definedName>
    <definedName name="ADL0060_C5">Master!$G$1219</definedName>
    <definedName name="ADL0061_C1">Master!$C$1220</definedName>
    <definedName name="ADL0061_C2">Master!$D$1220</definedName>
    <definedName name="ADL0061_C3">Master!$E$1220</definedName>
    <definedName name="ADL0061_C4">Master!$F$1220</definedName>
    <definedName name="ADL0061_C5">Master!$G$1220</definedName>
    <definedName name="ADL0062_C1">Master!$C$1221</definedName>
    <definedName name="ADL0062_C2">Master!$D$1221</definedName>
    <definedName name="ADL0062_C3">Master!$E$1221</definedName>
    <definedName name="ADL0062_C4">Master!$F$1221</definedName>
    <definedName name="ADL0062_C5">Master!$G$1221</definedName>
    <definedName name="ADL0064_C1">Master!$C$1222</definedName>
    <definedName name="ADL0064_C2">Master!$D$1222</definedName>
    <definedName name="ADL0064_C3">Master!$E$1222</definedName>
    <definedName name="ADL0064_C4">Master!$F$1222</definedName>
    <definedName name="ADL0064_C5">Master!$G$1222</definedName>
    <definedName name="ADL0065_C1">Master!$C$1223</definedName>
    <definedName name="ADL0065_C2">Master!$D$1223</definedName>
    <definedName name="ADL0065_C3">Master!$E$1223</definedName>
    <definedName name="ADL0065_C4">Master!$F$1223</definedName>
    <definedName name="ADL0065_C5">Master!$G$1223</definedName>
    <definedName name="ADL0066_C1">Master!$C$1224</definedName>
    <definedName name="ADL0066_C2">Master!$D$1224</definedName>
    <definedName name="ADL0066_C3">Master!$E$1224</definedName>
    <definedName name="ADL0066_C4">Master!$F$1224</definedName>
    <definedName name="ADL0066_C5">Master!$G$1224</definedName>
    <definedName name="ADL0067_C1">Master!$C$1225</definedName>
    <definedName name="ADL0067_C2">Master!$D$1225</definedName>
    <definedName name="ADL0067_C3">Master!$E$1225</definedName>
    <definedName name="ADL0067_C4">Master!$F$1225</definedName>
    <definedName name="ADL0067_C5">Master!$G$1225</definedName>
    <definedName name="ADL0068_C1">Master!$C$1226</definedName>
    <definedName name="ADL0068_C2">Master!$D$1226</definedName>
    <definedName name="ADL0068_C3">Master!$E$1226</definedName>
    <definedName name="ADL0068_C4">Master!$F$1226</definedName>
    <definedName name="ADL0068_C5">Master!$G$1226</definedName>
    <definedName name="ADL0069_C1">Master!$C$1227</definedName>
    <definedName name="ADL0069_C2">Master!$D$1227</definedName>
    <definedName name="ADL0069_C3">Master!$E$1227</definedName>
    <definedName name="ADL0069_C4">Master!$F$1227</definedName>
    <definedName name="ADL0069_C5">Master!$G$1227</definedName>
    <definedName name="ADL0071_C1">Master!$C$1228</definedName>
    <definedName name="ADL0071_C2">Master!$D$1228</definedName>
    <definedName name="ADL0071_C3">Master!$E$1228</definedName>
    <definedName name="ADL0071_C4">Master!$F$1228</definedName>
    <definedName name="ADL0071_C5">Master!$G$1228</definedName>
    <definedName name="ADL0072_C1">Master!$C$1229</definedName>
    <definedName name="ADL0072_C2">Master!$D$1229</definedName>
    <definedName name="ADL0072_C3">Master!$E$1229</definedName>
    <definedName name="ADL0072_C4">Master!$F$1229</definedName>
    <definedName name="ADL0072_C5">Master!$G$1229</definedName>
    <definedName name="ADL0073_C1">Master!$C$1230</definedName>
    <definedName name="ADL0073_C2">Master!$D$1230</definedName>
    <definedName name="ADL0073_C3">Master!$E$1230</definedName>
    <definedName name="ADL0073_C4">Master!$F$1230</definedName>
    <definedName name="ADL0073_C5">Master!$G$1230</definedName>
    <definedName name="ADL0074_C1">Master!$C$1231</definedName>
    <definedName name="ADL0074_C2">Master!$D$1231</definedName>
    <definedName name="ADL0074_C3">Master!$E$1231</definedName>
    <definedName name="ADL0074_C4">Master!$F$1231</definedName>
    <definedName name="ADL0074_C5">Master!$G$1231</definedName>
    <definedName name="ADL0075_C1">Master!$C$1232</definedName>
    <definedName name="ADL0075_C2">Master!$D$1232</definedName>
    <definedName name="ADL0075_C3">Master!$E$1232</definedName>
    <definedName name="ADL0075_C4">Master!$F$1232</definedName>
    <definedName name="ADL0075_C5">Master!$G$1232</definedName>
    <definedName name="ADL0076_C1">Master!$C$1233</definedName>
    <definedName name="ADL0076_C2">Master!$D$1233</definedName>
    <definedName name="ADL0076_C3">Master!$E$1233</definedName>
    <definedName name="ADL0076_C4">Master!$F$1233</definedName>
    <definedName name="ADL0076_C5">Master!$G$1233</definedName>
    <definedName name="ADL0078_C1">Master!$C$1234</definedName>
    <definedName name="ADL0078_C2">Master!$D$1234</definedName>
    <definedName name="ADL0078_C3">Master!$E$1234</definedName>
    <definedName name="ADL0078_C4">Master!$F$1234</definedName>
    <definedName name="ADL0078_C5">Master!$G$1234</definedName>
    <definedName name="ADL0079_C1">Master!$C$1235</definedName>
    <definedName name="ADL0079_C2">Master!$D$1235</definedName>
    <definedName name="ADL0079_C3">Master!$E$1235</definedName>
    <definedName name="ADL0079_C4">Master!$F$1235</definedName>
    <definedName name="ADL0079_C5">Master!$G$1235</definedName>
    <definedName name="ADL0080_C1">Master!$C$1236</definedName>
    <definedName name="ADL0080_C2">Master!$D$1236</definedName>
    <definedName name="ADL0080_C3">Master!$E$1236</definedName>
    <definedName name="ADL0080_C4">Master!$F$1236</definedName>
    <definedName name="ADL0080_C5">Master!$G$1236</definedName>
    <definedName name="ADL0081_C1">Master!$C$1237</definedName>
    <definedName name="ADL0081_C2">Master!$D$1237</definedName>
    <definedName name="ADL0081_C3">Master!$E$1237</definedName>
    <definedName name="ADL0081_C4">Master!$F$1237</definedName>
    <definedName name="ADL0081_C5">Master!$G$1237</definedName>
    <definedName name="ADL0082_C1">Master!$C$1238</definedName>
    <definedName name="ADL0082_C2">Master!$D$1238</definedName>
    <definedName name="ADL0082_C3">Master!$E$1238</definedName>
    <definedName name="ADL0082_C4">Master!$F$1238</definedName>
    <definedName name="ADL0082_C5">Master!$G$1238</definedName>
    <definedName name="ADL0083_C1">Master!$C$1239</definedName>
    <definedName name="ADL0083_C2">Master!$D$1239</definedName>
    <definedName name="ADL0083_C3">Master!$E$1239</definedName>
    <definedName name="ADL0083_C4">Master!$F$1239</definedName>
    <definedName name="ADL0083_C5">Master!$G$1239</definedName>
    <definedName name="ADL0085_C1">Master!$C$1240</definedName>
    <definedName name="ADL0085_C2">Master!$D$1240</definedName>
    <definedName name="ADL0085_C3">Master!$E$1240</definedName>
    <definedName name="ADL0085_C4">Master!$F$1240</definedName>
    <definedName name="ADL0085_C5">Master!$G$1240</definedName>
    <definedName name="ADL0086_C1">Master!$C$1241</definedName>
    <definedName name="ADL0086_C2">Master!$D$1241</definedName>
    <definedName name="ADL0086_C3">Master!$E$1241</definedName>
    <definedName name="ADL0086_C4">Master!$F$1241</definedName>
    <definedName name="ADL0086_C5">Master!$G$1241</definedName>
    <definedName name="ADL0087_C1">Master!$C$1242</definedName>
    <definedName name="ADL0087_C2">Master!$D$1242</definedName>
    <definedName name="ADL0087_C3">Master!$E$1242</definedName>
    <definedName name="ADL0087_C4">Master!$F$1242</definedName>
    <definedName name="ADL0087_C5">Master!$G$1242</definedName>
    <definedName name="ADL0088_C1">Master!$C$1243</definedName>
    <definedName name="ADL0088_C2">Master!$D$1243</definedName>
    <definedName name="ADL0088_C3">Master!$E$1243</definedName>
    <definedName name="ADL0088_C4">Master!$F$1243</definedName>
    <definedName name="ADL0088_C5">Master!$G$1243</definedName>
    <definedName name="ADL0089_C1">Master!$C$1244</definedName>
    <definedName name="ADL0089_C2">Master!$D$1244</definedName>
    <definedName name="ADL0089_C3">Master!$E$1244</definedName>
    <definedName name="ADL0089_C4">Master!$F$1244</definedName>
    <definedName name="ADL0089_C5">Master!$G$1244</definedName>
    <definedName name="ADL0090_C1">Master!$C$1245</definedName>
    <definedName name="ADL0090_C2">Master!$D$1245</definedName>
    <definedName name="ADL0090_C3">Master!$E$1245</definedName>
    <definedName name="ADL0090_C4">Master!$F$1245</definedName>
    <definedName name="ADL0090_C5">Master!$G$1245</definedName>
    <definedName name="ADL0092_C1">Master!$C$1246</definedName>
    <definedName name="ADL0092_C2">Master!$D$1246</definedName>
    <definedName name="ADL0092_C3">Master!$E$1246</definedName>
    <definedName name="ADL0092_C4">Master!$F$1246</definedName>
    <definedName name="ADL0092_C5">Master!$G$1246</definedName>
    <definedName name="ADL0093_C1">Master!$C$1247</definedName>
    <definedName name="ADL0093_C2">Master!$D$1247</definedName>
    <definedName name="ADL0093_C3">Master!$E$1247</definedName>
    <definedName name="ADL0093_C4">Master!$F$1247</definedName>
    <definedName name="ADL0093_C5">Master!$G$1247</definedName>
    <definedName name="ADL0094_C1">Master!$C$1248</definedName>
    <definedName name="ADL0094_C2">Master!$D$1248</definedName>
    <definedName name="ADL0094_C3">Master!$E$1248</definedName>
    <definedName name="ADL0094_C4">Master!$F$1248</definedName>
    <definedName name="ADL0094_C5">Master!$G$1248</definedName>
    <definedName name="ADL0095_C1">Master!$C$1249</definedName>
    <definedName name="ADL0095_C2">Master!$D$1249</definedName>
    <definedName name="ADL0095_C3">Master!$E$1249</definedName>
    <definedName name="ADL0095_C4">Master!$F$1249</definedName>
    <definedName name="ADL0095_C5">Master!$G$1249</definedName>
    <definedName name="ADL0096_C1">Master!$C$1250</definedName>
    <definedName name="ADL0096_C2">Master!$D$1250</definedName>
    <definedName name="ADL0096_C3">Master!$E$1250</definedName>
    <definedName name="ADL0096_C4">Master!$F$1250</definedName>
    <definedName name="ADL0096_C5">Master!$G$1250</definedName>
    <definedName name="ADL0097_C1">Master!$C$1251</definedName>
    <definedName name="ADL0097_C2">Master!$D$1251</definedName>
    <definedName name="ADL0097_C3">Master!$E$1251</definedName>
    <definedName name="ADL0097_C4">Master!$F$1251</definedName>
    <definedName name="ADL0097_C5">Master!$G$1251</definedName>
    <definedName name="ADL0099_C1">Master!$C$1252</definedName>
    <definedName name="ADL0099_C2">Master!$D$1252</definedName>
    <definedName name="ADL0099_C3">Master!$E$1252</definedName>
    <definedName name="ADL0099_C4">Master!$F$1252</definedName>
    <definedName name="ADL0099_C5">Master!$G$1252</definedName>
    <definedName name="ADL0100_C1">Master!$C$1253</definedName>
    <definedName name="ADL0100_C2">Master!$D$1253</definedName>
    <definedName name="ADL0100_C3">Master!$E$1253</definedName>
    <definedName name="ADL0100_C4">Master!$F$1253</definedName>
    <definedName name="ADL0100_C5">Master!$G$1253</definedName>
    <definedName name="ADL0101_C1">Master!$C$1254</definedName>
    <definedName name="ADL0101_C2">Master!$D$1254</definedName>
    <definedName name="ADL0101_C3">Master!$E$1254</definedName>
    <definedName name="ADL0101_C4">Master!$F$1254</definedName>
    <definedName name="ADL0101_C5">Master!$G$1254</definedName>
    <definedName name="ADL0102_C1">Master!$C$1255</definedName>
    <definedName name="ADL0102_C2">Master!$D$1255</definedName>
    <definedName name="ADL0102_C3">Master!$E$1255</definedName>
    <definedName name="ADL0102_C4">Master!$F$1255</definedName>
    <definedName name="ADL0102_C5">Master!$G$1255</definedName>
    <definedName name="ADL0103_C1">Master!$C$1256</definedName>
    <definedName name="ADL0103_C2">Master!$D$1256</definedName>
    <definedName name="ADL0103_C3">Master!$E$1256</definedName>
    <definedName name="ADL0103_C4">Master!$F$1256</definedName>
    <definedName name="ADL0103_C5">Master!$G$1256</definedName>
    <definedName name="ADL0104_C1">Master!$C$1257</definedName>
    <definedName name="ADL0104_C2">Master!$D$1257</definedName>
    <definedName name="ADL0104_C3">Master!$E$1257</definedName>
    <definedName name="ADL0104_C4">Master!$F$1257</definedName>
    <definedName name="ADL0104_C5">Master!$G$1257</definedName>
    <definedName name="ADL0106_C1">Master!$C$1258</definedName>
    <definedName name="ADL0106_C2">Master!$D$1258</definedName>
    <definedName name="ADL0106_C3">Master!$E$1258</definedName>
    <definedName name="ADL0106_C4">Master!$F$1258</definedName>
    <definedName name="ADL0106_C5">Master!$G$1258</definedName>
    <definedName name="ADL0107_C1">Master!$C$1259</definedName>
    <definedName name="ADL0107_C2">Master!$D$1259</definedName>
    <definedName name="ADL0107_C3">Master!$E$1259</definedName>
    <definedName name="ADL0107_C4">Master!$F$1259</definedName>
    <definedName name="ADL0107_C5">Master!$G$1259</definedName>
    <definedName name="ADL0108_C1">Master!$C$1260</definedName>
    <definedName name="ADL0108_C2">Master!$D$1260</definedName>
    <definedName name="ADL0108_C3">Master!$E$1260</definedName>
    <definedName name="ADL0108_C4">Master!$F$1260</definedName>
    <definedName name="ADL0108_C5">Master!$G$1260</definedName>
    <definedName name="ADL0109_C1">Master!$C$1261</definedName>
    <definedName name="ADL0109_C2">Master!$D$1261</definedName>
    <definedName name="ADL0109_C3">Master!$E$1261</definedName>
    <definedName name="ADL0109_C4">Master!$F$1261</definedName>
    <definedName name="ADL0109_C5">Master!$G$1261</definedName>
    <definedName name="ADL0110_C1">Master!$C$1262</definedName>
    <definedName name="ADL0110_C2">Master!$D$1262</definedName>
    <definedName name="ADL0110_C3">Master!$E$1262</definedName>
    <definedName name="ADL0110_C4">Master!$F$1262</definedName>
    <definedName name="ADL0110_C5">Master!$G$1262</definedName>
    <definedName name="ADL0111_C1">Master!$C$1263</definedName>
    <definedName name="ADL0111_C2">Master!$D$1263</definedName>
    <definedName name="ADL0111_C3">Master!$E$1263</definedName>
    <definedName name="ADL0111_C4">Master!$F$1263</definedName>
    <definedName name="ADL0111_C5">Master!$G$1263</definedName>
    <definedName name="ADL0113_C1">Master!$C$1264</definedName>
    <definedName name="ADL0113_C2">Master!$D$1264</definedName>
    <definedName name="ADL0113_C3">Master!$E$1264</definedName>
    <definedName name="ADL0113_C4">Master!$F$1264</definedName>
    <definedName name="ADL0113_C5">Master!$G$1264</definedName>
    <definedName name="ADL0114_C1">Master!$C$1265</definedName>
    <definedName name="ADL0114_C2">Master!$D$1265</definedName>
    <definedName name="ADL0114_C3">Master!$E$1265</definedName>
    <definedName name="ADL0114_C4">Master!$F$1265</definedName>
    <definedName name="ADL0114_C5">Master!$G$1265</definedName>
    <definedName name="ADL0115_C1">Master!$C$1266</definedName>
    <definedName name="ADL0115_C2">Master!$D$1266</definedName>
    <definedName name="ADL0115_C3">Master!$E$1266</definedName>
    <definedName name="ADL0115_C4">Master!$F$1266</definedName>
    <definedName name="ADL0115_C5">Master!$G$1266</definedName>
    <definedName name="ADL0116_C1">Master!$C$1267</definedName>
    <definedName name="ADL0116_C2">Master!$D$1267</definedName>
    <definedName name="ADL0116_C3">Master!$E$1267</definedName>
    <definedName name="ADL0116_C4">Master!$F$1267</definedName>
    <definedName name="ADL0116_C5">Master!$G$1267</definedName>
    <definedName name="ADL0117_C1">Master!$C$1268</definedName>
    <definedName name="ADL0117_C2">Master!$D$1268</definedName>
    <definedName name="ADL0117_C3">Master!$E$1268</definedName>
    <definedName name="ADL0117_C4">Master!$F$1268</definedName>
    <definedName name="ADL0117_C5">Master!$G$1268</definedName>
    <definedName name="ADL0118_C1">Master!$C$1269</definedName>
    <definedName name="ADL0118_C2">Master!$D$1269</definedName>
    <definedName name="ADL0118_C3">Master!$E$1269</definedName>
    <definedName name="ADL0118_C4">Master!$F$1269</definedName>
    <definedName name="ADL0118_C5">Master!$G$1269</definedName>
    <definedName name="ADL0120_C1">Master!$C$1270</definedName>
    <definedName name="ADL0120_C2">Master!$D$1270</definedName>
    <definedName name="ADL0120_C3">Master!$E$1270</definedName>
    <definedName name="ADL0120_C4">Master!$F$1270</definedName>
    <definedName name="ADL0120_C5">Master!$G$1270</definedName>
    <definedName name="ADL0121_C1">Master!$C$1271</definedName>
    <definedName name="ADL0121_C2">Master!$D$1271</definedName>
    <definedName name="ADL0121_C3">Master!$E$1271</definedName>
    <definedName name="ADL0121_C4">Master!$F$1271</definedName>
    <definedName name="ADL0121_C5">Master!$G$1271</definedName>
    <definedName name="ADL0122_C1">Master!$C$1272</definedName>
    <definedName name="ADL0122_C2">Master!$D$1272</definedName>
    <definedName name="ADL0122_C3">Master!$E$1272</definedName>
    <definedName name="ADL0122_C4">Master!$F$1272</definedName>
    <definedName name="ADL0122_C5">Master!$G$1272</definedName>
    <definedName name="ADL0123_C1">Master!$C$1273</definedName>
    <definedName name="ADL0123_C2">Master!$D$1273</definedName>
    <definedName name="ADL0123_C3">Master!$E$1273</definedName>
    <definedName name="ADL0123_C4">Master!$F$1273</definedName>
    <definedName name="ADL0123_C5">Master!$G$1273</definedName>
    <definedName name="ADL0124_C1">Master!$C$1274</definedName>
    <definedName name="ADL0124_C2">Master!$D$1274</definedName>
    <definedName name="ADL0124_C3">Master!$E$1274</definedName>
    <definedName name="ADL0124_C4">Master!$F$1274</definedName>
    <definedName name="ADL0124_C5">Master!$G$1274</definedName>
    <definedName name="ADL0125_C1">Master!$C$1275</definedName>
    <definedName name="ADL0125_C2">Master!$D$1275</definedName>
    <definedName name="ADL0125_C3">Master!$E$1275</definedName>
    <definedName name="ADL0125_C4">Master!$F$1275</definedName>
    <definedName name="ADL0125_C5">Master!$G$1275</definedName>
    <definedName name="ADL0127_C1">Master!$C$1276</definedName>
    <definedName name="ADL0127_C2">Master!$D$1276</definedName>
    <definedName name="ADL0127_C3">Master!$E$1276</definedName>
    <definedName name="ADL0127_C4">Master!$F$1276</definedName>
    <definedName name="ADL0127_C5">Master!$G$1276</definedName>
    <definedName name="ADL0128_C1">Master!$C$1277</definedName>
    <definedName name="ADL0128_C2">Master!$D$1277</definedName>
    <definedName name="ADL0128_C3">Master!$E$1277</definedName>
    <definedName name="ADL0128_C4">Master!$F$1277</definedName>
    <definedName name="ADL0128_C5">Master!$G$1277</definedName>
    <definedName name="ADL0129_C1">Master!$C$1278</definedName>
    <definedName name="ADL0129_C2">Master!$D$1278</definedName>
    <definedName name="ADL0129_C3">Master!$E$1278</definedName>
    <definedName name="ADL0129_C4">Master!$F$1278</definedName>
    <definedName name="ADL0129_C5">Master!$G$1278</definedName>
    <definedName name="ADL0130_C1">Master!$C$1279</definedName>
    <definedName name="ADL0130_C2">Master!$D$1279</definedName>
    <definedName name="ADL0130_C3">Master!$E$1279</definedName>
    <definedName name="ADL0130_C4">Master!$F$1279</definedName>
    <definedName name="ADL0130_C5">Master!$G$1279</definedName>
    <definedName name="ADL0131_C1">Master!$C$1280</definedName>
    <definedName name="ADL0131_C2">Master!$D$1280</definedName>
    <definedName name="ADL0131_C3">Master!$E$1280</definedName>
    <definedName name="ADL0131_C4">Master!$F$1280</definedName>
    <definedName name="ADL0131_C5">Master!$G$1280</definedName>
    <definedName name="ADL0132_C1">Master!$C$1281</definedName>
    <definedName name="ADL0132_C2">Master!$D$1281</definedName>
    <definedName name="ADL0132_C3">Master!$E$1281</definedName>
    <definedName name="ADL0132_C4">Master!$F$1281</definedName>
    <definedName name="ADL0132_C5">Master!$G$1281</definedName>
    <definedName name="ADL0134_C1">Master!$C$1282</definedName>
    <definedName name="ADL0134_C2">Master!$D$1282</definedName>
    <definedName name="ADL0134_C3">Master!$E$1282</definedName>
    <definedName name="ADL0134_C4">Master!$F$1282</definedName>
    <definedName name="ADL0134_C5">Master!$G$1282</definedName>
    <definedName name="ADL0135_C1">Master!$C$1283</definedName>
    <definedName name="ADL0135_C2">Master!$D$1283</definedName>
    <definedName name="ADL0135_C3">Master!$E$1283</definedName>
    <definedName name="ADL0135_C4">Master!$F$1283</definedName>
    <definedName name="ADL0135_C5">Master!$G$1283</definedName>
    <definedName name="ADL0136_C1">Master!$C$1284</definedName>
    <definedName name="ADL0136_C2">Master!$D$1284</definedName>
    <definedName name="ADL0136_C3">Master!$E$1284</definedName>
    <definedName name="ADL0136_C4">Master!$F$1284</definedName>
    <definedName name="ADL0136_C5">Master!$G$1284</definedName>
    <definedName name="ADL0137_C1">Master!$C$1285</definedName>
    <definedName name="ADL0137_C2">Master!$D$1285</definedName>
    <definedName name="ADL0137_C3">Master!$E$1285</definedName>
    <definedName name="ADL0137_C4">Master!$F$1285</definedName>
    <definedName name="ADL0137_C5">Master!$G$1285</definedName>
    <definedName name="ADL0138_C1">Master!$C$1286</definedName>
    <definedName name="ADL0138_C2">Master!$D$1286</definedName>
    <definedName name="ADL0138_C3">Master!$E$1286</definedName>
    <definedName name="ADL0138_C4">Master!$F$1286</definedName>
    <definedName name="ADL0138_C5">Master!$G$1286</definedName>
    <definedName name="ADL0139_C1">Master!$C$1287</definedName>
    <definedName name="ADL0139_C2">Master!$D$1287</definedName>
    <definedName name="ADL0139_C3">Master!$E$1287</definedName>
    <definedName name="ADL0139_C4">Master!$F$1287</definedName>
    <definedName name="ADL0139_C5">Master!$G$1287</definedName>
    <definedName name="ADL0141_C1">Master!$C$1288</definedName>
    <definedName name="ADL0141_C2">Master!$D$1288</definedName>
    <definedName name="ADL0141_C3">Master!$E$1288</definedName>
    <definedName name="ADL0141_C4">Master!$F$1288</definedName>
    <definedName name="ADL0141_C5">Master!$G$1288</definedName>
    <definedName name="ADL0142_C1">Master!$C$1289</definedName>
    <definedName name="ADL0142_C2">Master!$D$1289</definedName>
    <definedName name="ADL0142_C3">Master!$E$1289</definedName>
    <definedName name="ADL0142_C4">Master!$F$1289</definedName>
    <definedName name="ADL0142_C5">Master!$G$1289</definedName>
    <definedName name="ADL0144_C1">Master!$C$1290</definedName>
    <definedName name="ADL0144_C2">Master!$D$1290</definedName>
    <definedName name="ADL0144_C3">Master!$E$1290</definedName>
    <definedName name="ADL0144_C4">Master!$F$1290</definedName>
    <definedName name="ADL0144_C5">Master!$G$1290</definedName>
    <definedName name="ADL0145_C1">Master!$C$1291</definedName>
    <definedName name="ADL0145_C2">Master!$D$1291</definedName>
    <definedName name="ADL0145_C3">Master!$E$1291</definedName>
    <definedName name="ADL0145_C4">Master!$F$1291</definedName>
    <definedName name="ADL0145_C5">Master!$G$1291</definedName>
    <definedName name="ADL0146_C1">Master!$C$1292</definedName>
    <definedName name="ADL0146_C2">Master!$D$1292</definedName>
    <definedName name="ADL0146_C3">Master!$E$1292</definedName>
    <definedName name="ADL0146_C4">Master!$F$1292</definedName>
    <definedName name="ADL0146_C5">Master!$G$1292</definedName>
    <definedName name="ADL0147_C1">Master!$C$1293</definedName>
    <definedName name="ADL0147_C2">Master!$D$1293</definedName>
    <definedName name="ADL0147_C3">Master!$E$1293</definedName>
    <definedName name="ADL0147_C4">Master!$F$1293</definedName>
    <definedName name="ADL0147_C5">Master!$G$1293</definedName>
    <definedName name="ADL0148_C1">Master!$C$1294</definedName>
    <definedName name="ADL0148_C2">Master!$D$1294</definedName>
    <definedName name="ADL0148_C3">Master!$E$1294</definedName>
    <definedName name="ADL0148_C4">Master!$F$1294</definedName>
    <definedName name="ADL0148_C5">Master!$G$1294</definedName>
    <definedName name="ADT0001_C1">Master!$C$1295</definedName>
    <definedName name="ADT0001_C2">Master!$D$1295</definedName>
    <definedName name="ADT0001_C3">Master!$E$1295</definedName>
    <definedName name="ADT0001_C4">Master!$F$1295</definedName>
    <definedName name="ADT0001_C5">Master!$G$1295</definedName>
    <definedName name="ADT0002_C1">Master!$C$1296</definedName>
    <definedName name="ADT0002_C2">Master!$D$1296</definedName>
    <definedName name="ADT0002_C3">Master!$E$1296</definedName>
    <definedName name="ADT0002_C4">Master!$F$1296</definedName>
    <definedName name="ADT0002_C5">Master!$G$1296</definedName>
    <definedName name="ADT0003_C1">Master!$C$1297</definedName>
    <definedName name="ADT0003_C2">Master!$D$1297</definedName>
    <definedName name="ADT0003_C3">Master!$E$1297</definedName>
    <definedName name="ADT0003_C4">Master!$F$1297</definedName>
    <definedName name="ADT0003_C5">Master!$G$1297</definedName>
    <definedName name="ADT0004_C1">Master!$C$1298</definedName>
    <definedName name="ADT0004_C2">Master!$D$1298</definedName>
    <definedName name="ADT0004_C3">Master!$E$1298</definedName>
    <definedName name="ADT0004_C4">Master!$F$1298</definedName>
    <definedName name="ADT0004_C5">Master!$G$1298</definedName>
    <definedName name="ADT0005_C1">Master!$C$1299</definedName>
    <definedName name="ADT0005_C2">Master!$D$1299</definedName>
    <definedName name="ADT0005_C3">Master!$E$1299</definedName>
    <definedName name="ADT0005_C4">Master!$F$1299</definedName>
    <definedName name="ADT0005_C5">Master!$G$1299</definedName>
    <definedName name="ADT0006_C1">Master!$C$1300</definedName>
    <definedName name="ADT0006_C2">Master!$D$1300</definedName>
    <definedName name="ADT0006_C3">Master!$E$1300</definedName>
    <definedName name="ADT0006_C4">Master!$F$1300</definedName>
    <definedName name="ADT0006_C5">Master!$G$1300</definedName>
    <definedName name="ADT0007_C1">Master!$C$1301</definedName>
    <definedName name="ADT0007_C2">Master!$D$1301</definedName>
    <definedName name="ADT0007_C3">Master!$E$1301</definedName>
    <definedName name="ADT0007_C4">Master!$F$1301</definedName>
    <definedName name="ADT0007_C5">Master!$G$1301</definedName>
    <definedName name="ADT0008_C1">Master!$C$1302</definedName>
    <definedName name="ADT0008_C2">Master!$D$1302</definedName>
    <definedName name="ADT0008_C3">Master!$E$1302</definedName>
    <definedName name="ADT0008_C4">Master!$F$1302</definedName>
    <definedName name="ADT0008_C5">Master!$G$1302</definedName>
    <definedName name="ADT0009_C1">Master!$C$1303</definedName>
    <definedName name="ADT0009_C2">Master!$D$1303</definedName>
    <definedName name="ADT0009_C3">Master!$E$1303</definedName>
    <definedName name="ADT0009_C4">Master!$F$1303</definedName>
    <definedName name="ADT0009_C5">Master!$G$1303</definedName>
    <definedName name="ADT0010_C1">Master!$C$1304</definedName>
    <definedName name="ADT0010_C2">Master!$D$1304</definedName>
    <definedName name="ADT0010_C3">Master!$E$1304</definedName>
    <definedName name="ADT0010_C4">Master!$F$1304</definedName>
    <definedName name="ADT0010_C5">Master!$G$1304</definedName>
    <definedName name="ADT0011_C1">Master!$C$1305</definedName>
    <definedName name="ADT0011_C2">Master!$D$1305</definedName>
    <definedName name="ADT0011_C3">Master!$E$1305</definedName>
    <definedName name="ADT0011_C4">Master!$F$1305</definedName>
    <definedName name="ADT0011_C5">Master!$G$1305</definedName>
    <definedName name="ADT0012_C1">Master!$C$1306</definedName>
    <definedName name="ADT0012_C2">Master!$D$1306</definedName>
    <definedName name="ADT0012_C3">Master!$E$1306</definedName>
    <definedName name="ADT0012_C4">Master!$F$1306</definedName>
    <definedName name="ADT0012_C5">Master!$G$1306</definedName>
    <definedName name="ADT0013_C1">Master!$C$1307</definedName>
    <definedName name="ADT0013_C2">Master!$D$1307</definedName>
    <definedName name="ADT0013_C3">Master!$E$1307</definedName>
    <definedName name="ADT0013_C4">Master!$F$1307</definedName>
    <definedName name="ADT0013_C5">Master!$G$1307</definedName>
    <definedName name="ADT0014_C1">Master!$C$1308</definedName>
    <definedName name="ADT0014_C2">Master!$D$1308</definedName>
    <definedName name="ADT0014_C3">Master!$E$1308</definedName>
    <definedName name="ADT0014_C4">Master!$F$1308</definedName>
    <definedName name="ADT0014_C5">Master!$G$1308</definedName>
    <definedName name="ADT0015_C1">Master!$C$1309</definedName>
    <definedName name="ADT0015_C2">Master!$D$1309</definedName>
    <definedName name="ADT0015_C3">Master!$E$1309</definedName>
    <definedName name="ADT0015_C4">Master!$F$1309</definedName>
    <definedName name="ADT0015_C5">Master!$G$1309</definedName>
    <definedName name="ADT0016_C1">Master!$C$1310</definedName>
    <definedName name="ADT0016_C2">Master!$D$1310</definedName>
    <definedName name="ADT0016_C3">Master!$E$1310</definedName>
    <definedName name="ADT0016_C4">Master!$F$1310</definedName>
    <definedName name="ADT0016_C5">Master!$G$1310</definedName>
    <definedName name="AEQ0009_C1">Master!$C$1311</definedName>
    <definedName name="AEQ0009_C2">Master!$D$1311</definedName>
    <definedName name="AEQ0009_C3">Master!$E$1311</definedName>
    <definedName name="AEQ0009_C4">Master!$F$1311</definedName>
    <definedName name="AEQ0009_C5">Master!$G$1311</definedName>
    <definedName name="AIN0001_C1">Master!$C$1312</definedName>
    <definedName name="AIN0001_C2">Master!$D$1312</definedName>
    <definedName name="AIN0001_C3">Master!$E$1312</definedName>
    <definedName name="AIN0001_C4">Master!$F$1312</definedName>
    <definedName name="AIN0001_C5">Master!$G$1312</definedName>
    <definedName name="AIN0002_C1">Master!$C$1313</definedName>
    <definedName name="AIN0002_C2">Master!$D$1313</definedName>
    <definedName name="AIN0002_C3">Master!$E$1313</definedName>
    <definedName name="AIN0002_C4">Master!$F$1313</definedName>
    <definedName name="AIN0002_C5">Master!$G$1313</definedName>
    <definedName name="AIN0003_C1">Master!$C$1314</definedName>
    <definedName name="AIN0003_C2">Master!$D$1314</definedName>
    <definedName name="AIN0003_C3">Master!$E$1314</definedName>
    <definedName name="AIN0003_C4">Master!$F$1314</definedName>
    <definedName name="AIN0003_C5">Master!$G$1314</definedName>
    <definedName name="AIN0004_C1">Master!$C$1315</definedName>
    <definedName name="AIN0004_C2">Master!$D$1315</definedName>
    <definedName name="AIN0004_C3">Master!$E$1315</definedName>
    <definedName name="AIN0004_C4">Master!$F$1315</definedName>
    <definedName name="AIN0004_C5">Master!$G$1315</definedName>
    <definedName name="AIN0005_C1">Master!$C$1316</definedName>
    <definedName name="AIN0005_C2">Master!$D$1316</definedName>
    <definedName name="AIN0005_C3">Master!$E$1316</definedName>
    <definedName name="AIN0005_C4">Master!$F$1316</definedName>
    <definedName name="AIN0005_C5">Master!$G$1316</definedName>
    <definedName name="AIN0006_C1">Master!$C$1317</definedName>
    <definedName name="AIN0006_C2">Master!$D$1317</definedName>
    <definedName name="AIN0006_C3">Master!$E$1317</definedName>
    <definedName name="AIN0006_C4">Master!$F$1317</definedName>
    <definedName name="AIN0006_C5">Master!$G$1317</definedName>
    <definedName name="AIN0007_C1">Master!$C$1318</definedName>
    <definedName name="AIN0007_C2">Master!$D$1318</definedName>
    <definedName name="AIN0007_C3">Master!$E$1318</definedName>
    <definedName name="AIN0007_C4">Master!$F$1318</definedName>
    <definedName name="AIN0007_C5">Master!$G$1318</definedName>
    <definedName name="AIN0008_C1">Master!$C$1319</definedName>
    <definedName name="AIN0008_C2">Master!$D$1319</definedName>
    <definedName name="AIN0008_C3">Master!$E$1319</definedName>
    <definedName name="AIN0008_C4">Master!$F$1319</definedName>
    <definedName name="AIN0008_C5">Master!$G$1319</definedName>
    <definedName name="AIS0004_C1">Master!$C$1320</definedName>
    <definedName name="AIS0004_C2">Master!$D$1320</definedName>
    <definedName name="AIS0004_C3">Master!$E$1320</definedName>
    <definedName name="AIS0004_C4">Master!$F$1320</definedName>
    <definedName name="AIS0004_C5">Master!$G$1320</definedName>
    <definedName name="AIS0005_C1">Master!$C$1321</definedName>
    <definedName name="AIS0005_C2">Master!$D$1321</definedName>
    <definedName name="AIS0005_C3">Master!$E$1321</definedName>
    <definedName name="AIS0005_C4">Master!$F$1321</definedName>
    <definedName name="AIS0005_C5">Master!$G$1321</definedName>
    <definedName name="AIS0011_C1">Master!$C$1322</definedName>
    <definedName name="AIS0011_C2">Master!$D$1322</definedName>
    <definedName name="AIS0011_C3">Master!$E$1322</definedName>
    <definedName name="AIS0011_C4">Master!$F$1322</definedName>
    <definedName name="AIS0011_C5">Master!$G$1322</definedName>
    <definedName name="AIS0017_C1">Master!$C$1323</definedName>
    <definedName name="AIS0017_C2">Master!$D$1323</definedName>
    <definedName name="AIS0017_C3">Master!$E$1323</definedName>
    <definedName name="AIS0017_C4">Master!$F$1323</definedName>
    <definedName name="AIS0017_C5">Master!$G$1323</definedName>
    <definedName name="AIS0020_C1">Master!$C$1324</definedName>
    <definedName name="AIS0020_C2">Master!$D$1324</definedName>
    <definedName name="AIS0020_C3">Master!$E$1324</definedName>
    <definedName name="AIS0020_C4">Master!$F$1324</definedName>
    <definedName name="AIS0020_C5">Master!$G$1324</definedName>
    <definedName name="AIS0021_C1">Master!$C$1325</definedName>
    <definedName name="AIS0021_C2">Master!$D$1325</definedName>
    <definedName name="AIS0021_C3">Master!$E$1325</definedName>
    <definedName name="AIS0021_C4">Master!$F$1325</definedName>
    <definedName name="AIS0021_C5">Master!$G$1325</definedName>
    <definedName name="AIS0022_C1">Master!$C$1326</definedName>
    <definedName name="AIS0022_C2">Master!$D$1326</definedName>
    <definedName name="AIS0022_C3">Master!$E$1326</definedName>
    <definedName name="AIS0022_C4">Master!$F$1326</definedName>
    <definedName name="AIS0022_C5">Master!$G$1326</definedName>
    <definedName name="AIS0026_C1">Master!$C$1327</definedName>
    <definedName name="AIS0026_C2">Master!$D$1327</definedName>
    <definedName name="AIS0026_C3">Master!$E$1327</definedName>
    <definedName name="AIS0026_C4">Master!$F$1327</definedName>
    <definedName name="AIS0026_C5">Master!$G$1327</definedName>
    <definedName name="AIS0029_C1">Master!$C$1328</definedName>
    <definedName name="AIS0029_C2">Master!$D$1328</definedName>
    <definedName name="AIS0029_C3">Master!$E$1328</definedName>
    <definedName name="AIS0029_C4">Master!$F$1328</definedName>
    <definedName name="AIS0029_C5">Master!$G$1328</definedName>
    <definedName name="AIS0030_C1">Master!$C$1329</definedName>
    <definedName name="AIS0030_C2">Master!$D$1329</definedName>
    <definedName name="AIS0030_C3">Master!$E$1329</definedName>
    <definedName name="AIS0030_C4">Master!$F$1329</definedName>
    <definedName name="AIS0030_C5">Master!$G$1329</definedName>
    <definedName name="AIS0046_C1">Master!$C$1330</definedName>
    <definedName name="AIS0046_C2">Master!$D$1330</definedName>
    <definedName name="AIS0046_C3">Master!$E$1330</definedName>
    <definedName name="AIS0046_C4">Master!$F$1330</definedName>
    <definedName name="AIS0046_C5">Master!$G$1330</definedName>
    <definedName name="AIS0047_C1">Master!$C$1331</definedName>
    <definedName name="AIS0047_C2">Master!$D$1331</definedName>
    <definedName name="AIS0047_C3">Master!$E$1331</definedName>
    <definedName name="AIS0047_C4">Master!$F$1331</definedName>
    <definedName name="AIS0047_C5">Master!$G$1331</definedName>
    <definedName name="AIS0048_C1">Master!$C$1332</definedName>
    <definedName name="AIS0048_C2">Master!$D$1332</definedName>
    <definedName name="AIS0048_C3">Master!$E$1332</definedName>
    <definedName name="AIS0048_C4">Master!$F$1332</definedName>
    <definedName name="AIS0048_C5">Master!$G$1332</definedName>
    <definedName name="AIS0049_C1">Master!$C$1333</definedName>
    <definedName name="AIS0049_C2">Master!$D$1333</definedName>
    <definedName name="AIS0049_C3">Master!$E$1333</definedName>
    <definedName name="AIS0049_C4">Master!$F$1333</definedName>
    <definedName name="AIS0049_C5">Master!$G$1333</definedName>
    <definedName name="ALC0047_C1">Master!$C$1334</definedName>
    <definedName name="ALC0047_C2">Master!$D$1334</definedName>
    <definedName name="ALC0047_C3">Master!$E$1334</definedName>
    <definedName name="ALC0047_C4">Master!$F$1334</definedName>
    <definedName name="ALC0047_C5">Master!$G$1334</definedName>
    <definedName name="ALC0047X_C1">Master!$C$1335</definedName>
    <definedName name="ALC0047X_C2">Master!$D$1335</definedName>
    <definedName name="ALC0047X_C3">Master!$E$1335</definedName>
    <definedName name="ALC0047X_C4">Master!$F$1335</definedName>
    <definedName name="ALC0047X_C5">Master!$G$1335</definedName>
    <definedName name="ALC0085_C1">Master!$C$1336</definedName>
    <definedName name="ALC0085_C2">Master!$D$1336</definedName>
    <definedName name="ALC0085_C3">Master!$E$1336</definedName>
    <definedName name="ALC0085_C4">Master!$F$1336</definedName>
    <definedName name="ALC0085_C5">Master!$G$1336</definedName>
    <definedName name="ALI0003_C1">Master!$C$1337</definedName>
    <definedName name="ALI0003_C2">Master!$D$1337</definedName>
    <definedName name="ALI0003_C3">Master!$E$1337</definedName>
    <definedName name="ALI0003_C4">Master!$F$1337</definedName>
    <definedName name="ALI0003_C5">Master!$G$1337</definedName>
    <definedName name="ALI0069_C1">Master!$C$1338</definedName>
    <definedName name="ALI0069_C2">Master!$D$1338</definedName>
    <definedName name="ALI0069_C3">Master!$E$1338</definedName>
    <definedName name="ALI0069_C4">Master!$F$1338</definedName>
    <definedName name="ALI0069_C5">Master!$G$1338</definedName>
    <definedName name="ALN0051_C1">Master!$C$1339</definedName>
    <definedName name="ALN0051_C2">Master!$D$1339</definedName>
    <definedName name="ALN0051_C3">Master!$E$1339</definedName>
    <definedName name="ALN0051_C4">Master!$F$1339</definedName>
    <definedName name="ALN0051_C5">Master!$G$1339</definedName>
    <definedName name="ALN0052_C1">Master!$C$1340</definedName>
    <definedName name="ALN0052_C2">Master!$D$1340</definedName>
    <definedName name="ALN0052_C3">Master!$E$1340</definedName>
    <definedName name="ALN0052_C4">Master!$F$1340</definedName>
    <definedName name="ALN0052_C5">Master!$G$1340</definedName>
    <definedName name="ALN0054_C1">Master!$C$1341</definedName>
    <definedName name="ALN0054_C2">Master!$D$1341</definedName>
    <definedName name="ALN0054_C3">Master!$E$1341</definedName>
    <definedName name="ALN0054_C4">Master!$F$1341</definedName>
    <definedName name="ALN0054_C5">Master!$G$1341</definedName>
    <definedName name="ALN0055_C1">Master!$C$1342</definedName>
    <definedName name="ALN0055_C2">Master!$D$1342</definedName>
    <definedName name="ALN0055_C3">Master!$E$1342</definedName>
    <definedName name="ALN0055_C4">Master!$F$1342</definedName>
    <definedName name="ALN0055_C5">Master!$G$1342</definedName>
    <definedName name="ALN0057_C1">Master!$C$1343</definedName>
    <definedName name="ALN0057_C2">Master!$D$1343</definedName>
    <definedName name="ALN0057_C3">Master!$E$1343</definedName>
    <definedName name="ALN0057_C4">Master!$F$1343</definedName>
    <definedName name="ALN0057_C5">Master!$G$1343</definedName>
    <definedName name="ALQ0013_C1">Master!$C$1344</definedName>
    <definedName name="ALQ0013_C2">Master!$D$1344</definedName>
    <definedName name="ALQ0013_C3">Master!$E$1344</definedName>
    <definedName name="ALQ0013_C4">Master!$F$1344</definedName>
    <definedName name="ALQ0013_C5">Master!$G$1344</definedName>
    <definedName name="ALQ0017_C1">Master!$C$1345</definedName>
    <definedName name="ALQ0017_C2">Master!$D$1345</definedName>
    <definedName name="ALQ0017_C3">Master!$E$1345</definedName>
    <definedName name="ALQ0017_C4">Master!$F$1345</definedName>
    <definedName name="ALQ0017_C5">Master!$G$1345</definedName>
    <definedName name="ALQ0020_C1">Master!$C$1346</definedName>
    <definedName name="ALQ0020_C2">Master!$D$1346</definedName>
    <definedName name="ALQ0020_C3">Master!$E$1346</definedName>
    <definedName name="ALQ0020_C4">Master!$F$1346</definedName>
    <definedName name="ALQ0020_C5">Master!$G$1346</definedName>
    <definedName name="ALQ0021_C1">Master!$C$1347</definedName>
    <definedName name="ALQ0021_C2">Master!$D$1347</definedName>
    <definedName name="ALQ0021_C3">Master!$E$1347</definedName>
    <definedName name="ALQ0021_C4">Master!$F$1347</definedName>
    <definedName name="ALQ0021_C5">Master!$G$1347</definedName>
    <definedName name="ALQ0022_C1">Master!$C$1348</definedName>
    <definedName name="ALQ0022_C2">Master!$D$1348</definedName>
    <definedName name="ALQ0022_C3">Master!$E$1348</definedName>
    <definedName name="ALQ0022_C4">Master!$F$1348</definedName>
    <definedName name="ALQ0022_C5">Master!$G$1348</definedName>
    <definedName name="ALQ0023_C1">Master!$C$1349</definedName>
    <definedName name="ALQ0023_C2">Master!$D$1349</definedName>
    <definedName name="ALQ0023_C3">Master!$E$1349</definedName>
    <definedName name="ALQ0023_C4">Master!$F$1349</definedName>
    <definedName name="ALQ0023_C5">Master!$G$1349</definedName>
    <definedName name="ALQ0026_C1">Master!$C$1350</definedName>
    <definedName name="ALQ0026_C2">Master!$D$1350</definedName>
    <definedName name="ALQ0026_C3">Master!$E$1350</definedName>
    <definedName name="ALQ0026_C4">Master!$F$1350</definedName>
    <definedName name="ALQ0026_C5">Master!$G$1350</definedName>
    <definedName name="ALQ0027_C1">Master!$C$1351</definedName>
    <definedName name="ALQ0027_C2">Master!$D$1351</definedName>
    <definedName name="ALQ0027_C3">Master!$E$1351</definedName>
    <definedName name="ALQ0027_C4">Master!$F$1351</definedName>
    <definedName name="ALQ0027_C5">Master!$G$1351</definedName>
    <definedName name="ALQ0028_C1">Master!$C$1352</definedName>
    <definedName name="ALQ0028_C2">Master!$D$1352</definedName>
    <definedName name="ALQ0028_C3">Master!$E$1352</definedName>
    <definedName name="ALQ0028_C4">Master!$F$1352</definedName>
    <definedName name="ALQ0028_C5">Master!$G$1352</definedName>
    <definedName name="ALQ0029_C1">Master!$C$1353</definedName>
    <definedName name="ALQ0029_C2">Master!$D$1353</definedName>
    <definedName name="ALQ0029_C3">Master!$E$1353</definedName>
    <definedName name="ALQ0029_C4">Master!$F$1353</definedName>
    <definedName name="ALQ0029_C5">Master!$G$1353</definedName>
    <definedName name="ALQ0030_C1">Master!$C$1354</definedName>
    <definedName name="ALQ0030_C2">Master!$D$1354</definedName>
    <definedName name="ALQ0030_C3">Master!$E$1354</definedName>
    <definedName name="ALQ0030_C4">Master!$F$1354</definedName>
    <definedName name="ALQ0030_C5">Master!$G$1354</definedName>
    <definedName name="ALQ0034_C1">Master!$C$1355</definedName>
    <definedName name="ALQ0034_C2">Master!$D$1355</definedName>
    <definedName name="ALQ0034_C3">Master!$E$1355</definedName>
    <definedName name="ALQ0034_C4">Master!$F$1355</definedName>
    <definedName name="ALQ0034_C5">Master!$G$1355</definedName>
    <definedName name="ALQ0035_C1">Master!$C$1356</definedName>
    <definedName name="ALQ0035_C2">Master!$D$1356</definedName>
    <definedName name="ALQ0035_C3">Master!$E$1356</definedName>
    <definedName name="ALQ0035_C4">Master!$F$1356</definedName>
    <definedName name="ALQ0035_C5">Master!$G$1356</definedName>
    <definedName name="ALQ0038_C1">Master!$C$1357</definedName>
    <definedName name="ALQ0038_C2">Master!$D$1357</definedName>
    <definedName name="ALQ0038_C3">Master!$E$1357</definedName>
    <definedName name="ALQ0038_C4">Master!$F$1357</definedName>
    <definedName name="ALQ0038_C5">Master!$G$1357</definedName>
    <definedName name="ALQ0039_C1">Master!$C$1358</definedName>
    <definedName name="ALQ0039_C2">Master!$D$1358</definedName>
    <definedName name="ALQ0039_C3">Master!$E$1358</definedName>
    <definedName name="ALQ0039_C4">Master!$F$1358</definedName>
    <definedName name="ALQ0039_C5">Master!$G$1358</definedName>
    <definedName name="ALQ0040_C1">Master!$C$1359</definedName>
    <definedName name="ALQ0040_C2">Master!$D$1359</definedName>
    <definedName name="ALQ0040_C3">Master!$E$1359</definedName>
    <definedName name="ALQ0040_C4">Master!$F$1359</definedName>
    <definedName name="ALQ0040_C5">Master!$G$1359</definedName>
    <definedName name="ALQ0042_C1">Master!$C$1360</definedName>
    <definedName name="ALQ0042_C2">Master!$D$1360</definedName>
    <definedName name="ALQ0042_C3">Master!$E$1360</definedName>
    <definedName name="ALQ0042_C4">Master!$F$1360</definedName>
    <definedName name="ALQ0042_C5">Master!$G$1360</definedName>
    <definedName name="ALQ0043_C1">Master!$C$1361</definedName>
    <definedName name="ALQ0043_C2">Master!$D$1361</definedName>
    <definedName name="ALQ0043_C3">Master!$E$1361</definedName>
    <definedName name="ALQ0043_C4">Master!$F$1361</definedName>
    <definedName name="ALQ0043_C5">Master!$G$1361</definedName>
    <definedName name="ALQ0044_C1">Master!$C$1362</definedName>
    <definedName name="ALQ0044_C2">Master!$D$1362</definedName>
    <definedName name="ALQ0044_C3">Master!$E$1362</definedName>
    <definedName name="ALQ0044_C4">Master!$F$1362</definedName>
    <definedName name="ALQ0044_C5">Master!$G$1362</definedName>
    <definedName name="ALQ0045_C1">Master!$C$1363</definedName>
    <definedName name="ALQ0045_C2">Master!$D$1363</definedName>
    <definedName name="ALQ0045_C3">Master!$E$1363</definedName>
    <definedName name="ALQ0045_C4">Master!$F$1363</definedName>
    <definedName name="ALQ0045_C5">Master!$G$1363</definedName>
    <definedName name="ALQ0046_C1">Master!$C$1364</definedName>
    <definedName name="ALQ0046_C2">Master!$D$1364</definedName>
    <definedName name="ALQ0046_C3">Master!$E$1364</definedName>
    <definedName name="ALQ0046_C4">Master!$F$1364</definedName>
    <definedName name="ALQ0046_C5">Master!$G$1364</definedName>
    <definedName name="ALQ0047_C1">Master!$C$1365</definedName>
    <definedName name="ALQ0047_C2">Master!$D$1365</definedName>
    <definedName name="ALQ0047_C3">Master!$E$1365</definedName>
    <definedName name="ALQ0047_C4">Master!$F$1365</definedName>
    <definedName name="ALQ0047_C5">Master!$G$1365</definedName>
    <definedName name="ALQ0052_C1">Master!$C$1366</definedName>
    <definedName name="ALQ0052_C2">Master!$D$1366</definedName>
    <definedName name="ALQ0052_C3">Master!$E$1366</definedName>
    <definedName name="ALQ0052_C4">Master!$F$1366</definedName>
    <definedName name="ALQ0052_C5">Master!$G$1366</definedName>
    <definedName name="ALQ0053_C1">Master!$C$1367</definedName>
    <definedName name="ALQ0053_C2">Master!$D$1367</definedName>
    <definedName name="ALQ0053_C3">Master!$E$1367</definedName>
    <definedName name="ALQ0053_C4">Master!$F$1367</definedName>
    <definedName name="ALQ0053_C5">Master!$G$1367</definedName>
    <definedName name="ALQ0056_C1">Master!$C$1368</definedName>
    <definedName name="ALQ0056_C2">Master!$D$1368</definedName>
    <definedName name="ALQ0056_C3">Master!$E$1368</definedName>
    <definedName name="ALQ0056_C4">Master!$F$1368</definedName>
    <definedName name="ALQ0056_C5">Master!$G$1368</definedName>
    <definedName name="ALQ0059_C1">Master!$C$1369</definedName>
    <definedName name="ALQ0059_C2">Master!$D$1369</definedName>
    <definedName name="ALQ0059_C3">Master!$E$1369</definedName>
    <definedName name="ALQ0059_C4">Master!$F$1369</definedName>
    <definedName name="ALQ0059_C5">Master!$G$1369</definedName>
    <definedName name="ALQ0060_C1">Master!$C$1370</definedName>
    <definedName name="ALQ0060_C2">Master!$D$1370</definedName>
    <definedName name="ALQ0060_C3">Master!$E$1370</definedName>
    <definedName name="ALQ0060_C4">Master!$F$1370</definedName>
    <definedName name="ALQ0060_C5">Master!$G$1370</definedName>
    <definedName name="ALQ0061_C1">Master!$C$1371</definedName>
    <definedName name="ALQ0061_C2">Master!$D$1371</definedName>
    <definedName name="ALQ0061_C3">Master!$E$1371</definedName>
    <definedName name="ALQ0061_C4">Master!$F$1371</definedName>
    <definedName name="ALQ0061_C5">Master!$G$1371</definedName>
    <definedName name="ALQ0062_C1">Master!$C$1372</definedName>
    <definedName name="ALQ0062_C2">Master!$D$1372</definedName>
    <definedName name="ALQ0062_C3">Master!$E$1372</definedName>
    <definedName name="ALQ0062_C4">Master!$F$1372</definedName>
    <definedName name="ALQ0062_C5">Master!$G$1372</definedName>
    <definedName name="ALQ0860_C1">Master!$C$1373</definedName>
    <definedName name="ALQ0860_C2">Master!$D$1373</definedName>
    <definedName name="ALQ0860_C3">Master!$E$1373</definedName>
    <definedName name="ALQ0860_C4">Master!$F$1373</definedName>
    <definedName name="ALQ0860_C5">Master!$G$1373</definedName>
    <definedName name="Anu_C1">Master!$C$3</definedName>
    <definedName name="Anu_C2">Master!$D$3</definedName>
    <definedName name="Anu_C3">Master!$E$3</definedName>
    <definedName name="Anu_C4">Master!$F$3</definedName>
    <definedName name="Anu_C5">Master!$G$3</definedName>
    <definedName name="ANV0001_C1">Master!$C$1374</definedName>
    <definedName name="ANV0001_C2">Master!$D$1374</definedName>
    <definedName name="ANV0001_C3">Master!$E$1374</definedName>
    <definedName name="ANV0001_C4">Master!$F$1374</definedName>
    <definedName name="ANV0001_C5">Master!$G$1374</definedName>
    <definedName name="ANV0002_C1">Master!$C$1375</definedName>
    <definedName name="ANV0002_C2">Master!$D$1375</definedName>
    <definedName name="ANV0002_C3">Master!$E$1375</definedName>
    <definedName name="ANV0002_C4">Master!$F$1375</definedName>
    <definedName name="ANV0002_C5">Master!$G$1375</definedName>
    <definedName name="ANV0003_C1">Master!$C$1376</definedName>
    <definedName name="ANV0003_C2">Master!$D$1376</definedName>
    <definedName name="ANV0003_C3">Master!$E$1376</definedName>
    <definedName name="ANV0003_C4">Master!$F$1376</definedName>
    <definedName name="ANV0003_C5">Master!$G$1376</definedName>
    <definedName name="ANV0004_C1">Master!$C$1377</definedName>
    <definedName name="ANV0004_C2">Master!$D$1377</definedName>
    <definedName name="ANV0004_C3">Master!$E$1377</definedName>
    <definedName name="ANV0004_C4">Master!$F$1377</definedName>
    <definedName name="ANV0004_C5">Master!$G$1377</definedName>
    <definedName name="ANV0013_C1">Master!$C$1378</definedName>
    <definedName name="ANV0013_C2">Master!$D$1378</definedName>
    <definedName name="ANV0013_C3">Master!$E$1378</definedName>
    <definedName name="ANV0013_C4">Master!$F$1378</definedName>
    <definedName name="ANV0013_C5">Master!$G$1378</definedName>
    <definedName name="ANV0014_C1">Master!$C$1379</definedName>
    <definedName name="ANV0014_C2">Master!$D$1379</definedName>
    <definedName name="ANV0014_C3">Master!$E$1379</definedName>
    <definedName name="ANV0014_C4">Master!$F$1379</definedName>
    <definedName name="ANV0014_C5">Master!$G$1379</definedName>
    <definedName name="ANV0015_C1">Master!$C$1380</definedName>
    <definedName name="ANV0015_C2">Master!$D$1380</definedName>
    <definedName name="ANV0015_C3">Master!$E$1380</definedName>
    <definedName name="ANV0015_C4">Master!$F$1380</definedName>
    <definedName name="ANV0015_C5">Master!$G$1380</definedName>
    <definedName name="ANV0016_C1">Master!$C$1381</definedName>
    <definedName name="ANV0016_C2">Master!$D$1381</definedName>
    <definedName name="ANV0016_C3">Master!$E$1381</definedName>
    <definedName name="ANV0016_C4">Master!$F$1381</definedName>
    <definedName name="ANV0016_C5">Master!$G$1381</definedName>
    <definedName name="ANV0017_C1">Master!$C$1382</definedName>
    <definedName name="ANV0017_C2">Master!$D$1382</definedName>
    <definedName name="ANV0017_C3">Master!$E$1382</definedName>
    <definedName name="ANV0017_C4">Master!$F$1382</definedName>
    <definedName name="ANV0017_C5">Master!$G$1382</definedName>
    <definedName name="ANV0018_C1">Master!$C$1383</definedName>
    <definedName name="ANV0018_C2">Master!$D$1383</definedName>
    <definedName name="ANV0018_C3">Master!$E$1383</definedName>
    <definedName name="ANV0018_C4">Master!$F$1383</definedName>
    <definedName name="ANV0018_C5">Master!$G$1383</definedName>
    <definedName name="ANV0019_C1">Master!$C$1384</definedName>
    <definedName name="ANV0019_C2">Master!$D$1384</definedName>
    <definedName name="ANV0019_C3">Master!$E$1384</definedName>
    <definedName name="ANV0019_C4">Master!$F$1384</definedName>
    <definedName name="ANV0019_C5">Master!$G$1384</definedName>
    <definedName name="ANV0020_C1">Master!$C$1385</definedName>
    <definedName name="ANV0020_C2">Master!$D$1385</definedName>
    <definedName name="ANV0020_C3">Master!$E$1385</definedName>
    <definedName name="ANV0020_C4">Master!$F$1385</definedName>
    <definedName name="ANV0020_C5">Master!$G$1385</definedName>
    <definedName name="ANV0033_C1">Master!$C$1386</definedName>
    <definedName name="ANV0033_C2">Master!$D$1386</definedName>
    <definedName name="ANV0033_C3">Master!$E$1386</definedName>
    <definedName name="ANV0033_C4">Master!$F$1386</definedName>
    <definedName name="ANV0033_C5">Master!$G$1386</definedName>
    <definedName name="ANV0034_C1">Master!$C$1387</definedName>
    <definedName name="ANV0034_C2">Master!$D$1387</definedName>
    <definedName name="ANV0034_C3">Master!$E$1387</definedName>
    <definedName name="ANV0034_C4">Master!$F$1387</definedName>
    <definedName name="ANV0034_C5">Master!$G$1387</definedName>
    <definedName name="ANV0035_C1">Master!$C$1388</definedName>
    <definedName name="ANV0035_C2">Master!$D$1388</definedName>
    <definedName name="ANV0035_C3">Master!$E$1388</definedName>
    <definedName name="ANV0035_C4">Master!$F$1388</definedName>
    <definedName name="ANV0035_C5">Master!$G$1388</definedName>
    <definedName name="ANV0036_C1">Master!$C$1389</definedName>
    <definedName name="ANV0036_C2">Master!$D$1389</definedName>
    <definedName name="ANV0036_C3">Master!$E$1389</definedName>
    <definedName name="ANV0036_C4">Master!$F$1389</definedName>
    <definedName name="ANV0036_C5">Master!$G$1389</definedName>
    <definedName name="ANV0049_C1">Master!$C$1390</definedName>
    <definedName name="ANV0049_C2">Master!$D$1390</definedName>
    <definedName name="ANV0049_C3">Master!$E$1390</definedName>
    <definedName name="ANV0049_C4">Master!$F$1390</definedName>
    <definedName name="ANV0049_C5">Master!$G$1390</definedName>
    <definedName name="ANV0050_C1">Master!$C$1391</definedName>
    <definedName name="ANV0050_C2">Master!$D$1391</definedName>
    <definedName name="ANV0050_C3">Master!$E$1391</definedName>
    <definedName name="ANV0050_C4">Master!$F$1391</definedName>
    <definedName name="ANV0050_C5">Master!$G$1391</definedName>
    <definedName name="ANV0051_C1">Master!$C$1392</definedName>
    <definedName name="ANV0051_C2">Master!$D$1392</definedName>
    <definedName name="ANV0051_C3">Master!$E$1392</definedName>
    <definedName name="ANV0051_C4">Master!$F$1392</definedName>
    <definedName name="ANV0051_C5">Master!$G$1392</definedName>
    <definedName name="ANV0052_C1">Master!$C$1393</definedName>
    <definedName name="ANV0052_C2">Master!$D$1393</definedName>
    <definedName name="ANV0052_C3">Master!$E$1393</definedName>
    <definedName name="ANV0052_C4">Master!$F$1393</definedName>
    <definedName name="ANV0052_C5">Master!$G$1393</definedName>
    <definedName name="ANV0065_C1">Master!$C$1394</definedName>
    <definedName name="ANV0065_C2">Master!$D$1394</definedName>
    <definedName name="ANV0065_C3">Master!$E$1394</definedName>
    <definedName name="ANV0065_C4">Master!$F$1394</definedName>
    <definedName name="ANV0065_C5">Master!$G$1394</definedName>
    <definedName name="ANV0066_C1">Master!$C$1395</definedName>
    <definedName name="ANV0066_C2">Master!$D$1395</definedName>
    <definedName name="ANV0066_C3">Master!$E$1395</definedName>
    <definedName name="ANV0066_C4">Master!$F$1395</definedName>
    <definedName name="ANV0066_C5">Master!$G$1395</definedName>
    <definedName name="ANV0067_C1">Master!$C$1396</definedName>
    <definedName name="ANV0067_C2">Master!$D$1396</definedName>
    <definedName name="ANV0067_C3">Master!$E$1396</definedName>
    <definedName name="ANV0067_C4">Master!$F$1396</definedName>
    <definedName name="ANV0067_C5">Master!$G$1396</definedName>
    <definedName name="ANV0068_C1">Master!$C$1397</definedName>
    <definedName name="ANV0068_C2">Master!$D$1397</definedName>
    <definedName name="ANV0068_C3">Master!$E$1397</definedName>
    <definedName name="ANV0068_C4">Master!$F$1397</definedName>
    <definedName name="ANV0068_C5">Master!$G$1397</definedName>
    <definedName name="ANV0069_C1">Master!$C$1398</definedName>
    <definedName name="ANV0069_C2">Master!$D$1398</definedName>
    <definedName name="ANV0069_C3">Master!$E$1398</definedName>
    <definedName name="ANV0069_C4">Master!$F$1398</definedName>
    <definedName name="ANV0069_C5">Master!$G$1398</definedName>
    <definedName name="ANV0070_C1">Master!$C$1399</definedName>
    <definedName name="ANV0070_C2">Master!$D$1399</definedName>
    <definedName name="ANV0070_C3">Master!$E$1399</definedName>
    <definedName name="ANV0070_C4">Master!$F$1399</definedName>
    <definedName name="ANV0070_C5">Master!$G$1399</definedName>
    <definedName name="ANV0071_C1">Master!$C$1400</definedName>
    <definedName name="ANV0071_C2">Master!$D$1400</definedName>
    <definedName name="ANV0071_C3">Master!$E$1400</definedName>
    <definedName name="ANV0071_C4">Master!$F$1400</definedName>
    <definedName name="ANV0071_C5">Master!$G$1400</definedName>
    <definedName name="ANV0072_C1">Master!$C$1401</definedName>
    <definedName name="ANV0072_C2">Master!$D$1401</definedName>
    <definedName name="ANV0072_C3">Master!$E$1401</definedName>
    <definedName name="ANV0072_C4">Master!$F$1401</definedName>
    <definedName name="ANV0072_C5">Master!$G$1401</definedName>
    <definedName name="ANV0073_C1">Master!$C$1402</definedName>
    <definedName name="ANV0073_C2">Master!$D$1402</definedName>
    <definedName name="ANV0073_C3">Master!$E$1402</definedName>
    <definedName name="ANV0073_C4">Master!$F$1402</definedName>
    <definedName name="ANV0073_C5">Master!$G$1402</definedName>
    <definedName name="ANV0074_C1">Master!$C$1403</definedName>
    <definedName name="ANV0074_C2">Master!$D$1403</definedName>
    <definedName name="ANV0074_C3">Master!$E$1403</definedName>
    <definedName name="ANV0074_C4">Master!$F$1403</definedName>
    <definedName name="ANV0074_C5">Master!$G$1403</definedName>
    <definedName name="ANV0075_C1">Master!$C$1404</definedName>
    <definedName name="ANV0075_C2">Master!$D$1404</definedName>
    <definedName name="ANV0075_C3">Master!$E$1404</definedName>
    <definedName name="ANV0075_C4">Master!$F$1404</definedName>
    <definedName name="ANV0075_C5">Master!$G$1404</definedName>
    <definedName name="ANV0076_C1">Master!$C$1405</definedName>
    <definedName name="ANV0076_C2">Master!$D$1405</definedName>
    <definedName name="ANV0076_C3">Master!$E$1405</definedName>
    <definedName name="ANV0076_C4">Master!$F$1405</definedName>
    <definedName name="ANV0076_C5">Master!$G$1405</definedName>
    <definedName name="ANV0077_C1">Master!$C$1406</definedName>
    <definedName name="ANV0077_C2">Master!$D$1406</definedName>
    <definedName name="ANV0077_C3">Master!$E$1406</definedName>
    <definedName name="ANV0077_C4">Master!$F$1406</definedName>
    <definedName name="ANV0077_C5">Master!$G$1406</definedName>
    <definedName name="ANV0078_C1">Master!$C$1407</definedName>
    <definedName name="ANV0078_C2">Master!$D$1407</definedName>
    <definedName name="ANV0078_C3">Master!$E$1407</definedName>
    <definedName name="ANV0078_C4">Master!$F$1407</definedName>
    <definedName name="ANV0078_C5">Master!$G$1407</definedName>
    <definedName name="ANV0079_C1">Master!$C$1408</definedName>
    <definedName name="ANV0079_C2">Master!$D$1408</definedName>
    <definedName name="ANV0079_C3">Master!$E$1408</definedName>
    <definedName name="ANV0079_C4">Master!$F$1408</definedName>
    <definedName name="ANV0079_C5">Master!$G$1408</definedName>
    <definedName name="ANV0080_C1">Master!$C$1409</definedName>
    <definedName name="ANV0080_C2">Master!$D$1409</definedName>
    <definedName name="ANV0080_C3">Master!$E$1409</definedName>
    <definedName name="ANV0080_C4">Master!$F$1409</definedName>
    <definedName name="ANV0080_C5">Master!$G$1409</definedName>
    <definedName name="ANV0081_C1">Master!$C$1410</definedName>
    <definedName name="ANV0081_C2">Master!$D$1410</definedName>
    <definedName name="ANV0081_C3">Master!$E$1410</definedName>
    <definedName name="ANV0081_C4">Master!$F$1410</definedName>
    <definedName name="ANV0081_C5">Master!$G$1410</definedName>
    <definedName name="ANV0083_C1">Master!$C$1411</definedName>
    <definedName name="ANV0083_C2">Master!$D$1411</definedName>
    <definedName name="ANV0083_C3">Master!$E$1411</definedName>
    <definedName name="ANV0083_C4">Master!$F$1411</definedName>
    <definedName name="ANV0083_C5">Master!$G$1411</definedName>
    <definedName name="ANV0084_C1">Master!$C$1412</definedName>
    <definedName name="ANV0084_C2">Master!$D$1412</definedName>
    <definedName name="ANV0084_C3">Master!$E$1412</definedName>
    <definedName name="ANV0084_C4">Master!$F$1412</definedName>
    <definedName name="ANV0084_C5">Master!$G$1412</definedName>
    <definedName name="ANV0087_C1">Master!$C$1413</definedName>
    <definedName name="ANV0087_C2">Master!$D$1413</definedName>
    <definedName name="ANV0087_C3">Master!$E$1413</definedName>
    <definedName name="ANV0087_C4">Master!$F$1413</definedName>
    <definedName name="ANV0087_C5">Master!$G$1413</definedName>
    <definedName name="ANV0088_C1">Master!$C$1414</definedName>
    <definedName name="ANV0088_C2">Master!$D$1414</definedName>
    <definedName name="ANV0088_C3">Master!$E$1414</definedName>
    <definedName name="ANV0088_C4">Master!$F$1414</definedName>
    <definedName name="ANV0088_C5">Master!$G$1414</definedName>
    <definedName name="ANV0089_C1">Master!$C$1415</definedName>
    <definedName name="ANV0089_C2">Master!$D$1415</definedName>
    <definedName name="ANV0089_C3">Master!$E$1415</definedName>
    <definedName name="ANV0089_C4">Master!$F$1415</definedName>
    <definedName name="ANV0089_C5">Master!$G$1415</definedName>
    <definedName name="ANV0093_C1">Master!$C$1416</definedName>
    <definedName name="ANV0093_C2">Master!$D$1416</definedName>
    <definedName name="ANV0093_C3">Master!$E$1416</definedName>
    <definedName name="ANV0093_C4">Master!$F$1416</definedName>
    <definedName name="ANV0093_C5">Master!$G$1416</definedName>
    <definedName name="ANV0097_C1">Master!$C$1417</definedName>
    <definedName name="ANV0097_C2">Master!$D$1417</definedName>
    <definedName name="ANV0097_C3">Master!$E$1417</definedName>
    <definedName name="ANV0097_C4">Master!$F$1417</definedName>
    <definedName name="ANV0097_C5">Master!$G$1417</definedName>
    <definedName name="ANV0101_C1">Master!$C$1418</definedName>
    <definedName name="ANV0101_C2">Master!$D$1418</definedName>
    <definedName name="ANV0101_C3">Master!$E$1418</definedName>
    <definedName name="ANV0101_C4">Master!$F$1418</definedName>
    <definedName name="ANV0101_C5">Master!$G$1418</definedName>
    <definedName name="ANV0102_C1">Master!$C$1419</definedName>
    <definedName name="ANV0102_C2">Master!$D$1419</definedName>
    <definedName name="ANV0102_C3">Master!$E$1419</definedName>
    <definedName name="ANV0102_C4">Master!$F$1419</definedName>
    <definedName name="ANV0102_C5">Master!$G$1419</definedName>
    <definedName name="ANV0103_C1">Master!$C$1420</definedName>
    <definedName name="ANV0103_C2">Master!$D$1420</definedName>
    <definedName name="ANV0103_C3">Master!$E$1420</definedName>
    <definedName name="ANV0103_C4">Master!$F$1420</definedName>
    <definedName name="ANV0103_C5">Master!$G$1420</definedName>
    <definedName name="ANV0104_C1">Master!$C$1421</definedName>
    <definedName name="ANV0104_C2">Master!$D$1421</definedName>
    <definedName name="ANV0104_C3">Master!$E$1421</definedName>
    <definedName name="ANV0104_C4">Master!$F$1421</definedName>
    <definedName name="ANV0104_C5">Master!$G$1421</definedName>
    <definedName name="ANV0105_C1">Master!$C$1422</definedName>
    <definedName name="ANV0105_C2">Master!$D$1422</definedName>
    <definedName name="ANV0105_C3">Master!$E$1422</definedName>
    <definedName name="ANV0105_C4">Master!$F$1422</definedName>
    <definedName name="ANV0105_C5">Master!$G$1422</definedName>
    <definedName name="ANV0106_C1">Master!$C$1423</definedName>
    <definedName name="ANV0106_C2">Master!$D$1423</definedName>
    <definedName name="ANV0106_C3">Master!$E$1423</definedName>
    <definedName name="ANV0106_C4">Master!$F$1423</definedName>
    <definedName name="ANV0106_C5">Master!$G$1423</definedName>
    <definedName name="ANV0107_C1">Master!$C$1424</definedName>
    <definedName name="ANV0107_C2">Master!$D$1424</definedName>
    <definedName name="ANV0107_C3">Master!$E$1424</definedName>
    <definedName name="ANV0107_C4">Master!$F$1424</definedName>
    <definedName name="ANV0107_C5">Master!$G$1424</definedName>
    <definedName name="ANV0108_C1">Master!$C$1425</definedName>
    <definedName name="ANV0108_C2">Master!$D$1425</definedName>
    <definedName name="ANV0108_C3">Master!$E$1425</definedName>
    <definedName name="ANV0108_C4">Master!$F$1425</definedName>
    <definedName name="ANV0108_C5">Master!$G$1425</definedName>
    <definedName name="ANV0111_C1">Master!$C$1426</definedName>
    <definedName name="ANV0111_C2">Master!$D$1426</definedName>
    <definedName name="ANV0111_C3">Master!$E$1426</definedName>
    <definedName name="ANV0111_C4">Master!$F$1426</definedName>
    <definedName name="ANV0111_C5">Master!$G$1426</definedName>
    <definedName name="ANV0112_C1">Master!$C$1427</definedName>
    <definedName name="ANV0112_C2">Master!$D$1427</definedName>
    <definedName name="ANV0112_C3">Master!$E$1427</definedName>
    <definedName name="ANV0112_C4">Master!$F$1427</definedName>
    <definedName name="ANV0112_C5">Master!$G$1427</definedName>
    <definedName name="ANV0113_C1">Master!$C$1428</definedName>
    <definedName name="ANV0113_C2">Master!$D$1428</definedName>
    <definedName name="ANV0113_C3">Master!$E$1428</definedName>
    <definedName name="ANV0113_C4">Master!$F$1428</definedName>
    <definedName name="ANV0113_C5">Master!$G$1428</definedName>
    <definedName name="ANV0114_C1">Master!$C$1429</definedName>
    <definedName name="ANV0114_C2">Master!$D$1429</definedName>
    <definedName name="ANV0114_C3">Master!$E$1429</definedName>
    <definedName name="ANV0114_C4">Master!$F$1429</definedName>
    <definedName name="ANV0114_C5">Master!$G$1429</definedName>
    <definedName name="ANV0115_C1">Master!$C$1430</definedName>
    <definedName name="ANV0115_C2">Master!$D$1430</definedName>
    <definedName name="ANV0115_C3">Master!$E$1430</definedName>
    <definedName name="ANV0115_C4">Master!$F$1430</definedName>
    <definedName name="ANV0115_C5">Master!$G$1430</definedName>
    <definedName name="ANV0116_C1">Master!$C$1431</definedName>
    <definedName name="ANV0116_C2">Master!$D$1431</definedName>
    <definedName name="ANV0116_C3">Master!$E$1431</definedName>
    <definedName name="ANV0116_C4">Master!$F$1431</definedName>
    <definedName name="ANV0116_C5">Master!$G$1431</definedName>
    <definedName name="ANV0122_C1">Master!$C$1432</definedName>
    <definedName name="ANV0122_C2">Master!$D$1432</definedName>
    <definedName name="ANV0122_C3">Master!$E$1432</definedName>
    <definedName name="ANV0122_C4">Master!$F$1432</definedName>
    <definedName name="ANV0122_C5">Master!$G$1432</definedName>
    <definedName name="ANV0128_C1">Master!$C$1433</definedName>
    <definedName name="ANV0128_C2">Master!$D$1433</definedName>
    <definedName name="ANV0128_C3">Master!$E$1433</definedName>
    <definedName name="ANV0128_C4">Master!$F$1433</definedName>
    <definedName name="ANV0128_C5">Master!$G$1433</definedName>
    <definedName name="ANV0134_C1">Master!$C$1434</definedName>
    <definedName name="ANV0134_C2">Master!$D$1434</definedName>
    <definedName name="ANV0134_C3">Master!$E$1434</definedName>
    <definedName name="ANV0134_C4">Master!$F$1434</definedName>
    <definedName name="ANV0134_C5">Master!$G$1434</definedName>
    <definedName name="ANV0140_C1">Master!$C$1435</definedName>
    <definedName name="ANV0140_C2">Master!$D$1435</definedName>
    <definedName name="ANV0140_C3">Master!$E$1435</definedName>
    <definedName name="ANV0140_C4">Master!$F$1435</definedName>
    <definedName name="ANV0140_C5">Master!$G$1435</definedName>
    <definedName name="ANV0141_C1">Master!$C$1436</definedName>
    <definedName name="ANV0141_C2">Master!$D$1436</definedName>
    <definedName name="ANV0141_C3">Master!$E$1436</definedName>
    <definedName name="ANV0141_C4">Master!$F$1436</definedName>
    <definedName name="ANV0141_C5">Master!$G$1436</definedName>
    <definedName name="ANV0142_C1">Master!$C$1437</definedName>
    <definedName name="ANV0142_C2">Master!$D$1437</definedName>
    <definedName name="ANV0142_C3">Master!$E$1437</definedName>
    <definedName name="ANV0142_C4">Master!$F$1437</definedName>
    <definedName name="ANV0142_C5">Master!$G$1437</definedName>
    <definedName name="ANV0143_C1">Master!$C$1438</definedName>
    <definedName name="ANV0143_C2">Master!$D$1438</definedName>
    <definedName name="ANV0143_C3">Master!$E$1438</definedName>
    <definedName name="ANV0143_C4">Master!$F$1438</definedName>
    <definedName name="ANV0143_C5">Master!$G$1438</definedName>
    <definedName name="ANV0144_C1">Master!$C$1439</definedName>
    <definedName name="ANV0144_C2">Master!$D$1439</definedName>
    <definedName name="ANV0144_C3">Master!$E$1439</definedName>
    <definedName name="ANV0144_C4">Master!$F$1439</definedName>
    <definedName name="ANV0144_C5">Master!$G$1439</definedName>
    <definedName name="ANV0145_C1">Master!$C$1440</definedName>
    <definedName name="ANV0145_C2">Master!$D$1440</definedName>
    <definedName name="ANV0145_C3">Master!$E$1440</definedName>
    <definedName name="ANV0145_C4">Master!$F$1440</definedName>
    <definedName name="ANV0145_C5">Master!$G$1440</definedName>
    <definedName name="ANV0146_C1">Master!$C$1441</definedName>
    <definedName name="ANV0146_C2">Master!$D$1441</definedName>
    <definedName name="ANV0146_C3">Master!$E$1441</definedName>
    <definedName name="ANV0146_C4">Master!$F$1441</definedName>
    <definedName name="ANV0146_C5">Master!$G$1441</definedName>
    <definedName name="ANV0153_C1">Master!$C$1442</definedName>
    <definedName name="ANV0153_C2">Master!$D$1442</definedName>
    <definedName name="ANV0153_C3">Master!$E$1442</definedName>
    <definedName name="ANV0153_C4">Master!$F$1442</definedName>
    <definedName name="ANV0153_C5">Master!$G$1442</definedName>
    <definedName name="ANV0154_C1">Master!$C$1443</definedName>
    <definedName name="ANV0154_C2">Master!$D$1443</definedName>
    <definedName name="ANV0154_C3">Master!$E$1443</definedName>
    <definedName name="ANV0154_C4">Master!$F$1443</definedName>
    <definedName name="ANV0154_C5">Master!$G$1443</definedName>
    <definedName name="ANV0155_C1">Master!$C$1444</definedName>
    <definedName name="ANV0155_C2">Master!$D$1444</definedName>
    <definedName name="ANV0155_C3">Master!$E$1444</definedName>
    <definedName name="ANV0155_C4">Master!$F$1444</definedName>
    <definedName name="ANV0155_C5">Master!$G$1444</definedName>
    <definedName name="ANV0156_C1">Master!$C$1445</definedName>
    <definedName name="ANV0156_C2">Master!$D$1445</definedName>
    <definedName name="ANV0156_C3">Master!$E$1445</definedName>
    <definedName name="ANV0156_C4">Master!$F$1445</definedName>
    <definedName name="ANV0156_C5">Master!$G$1445</definedName>
    <definedName name="ANV0157_C1">Master!$C$1446</definedName>
    <definedName name="ANV0157_C2">Master!$D$1446</definedName>
    <definedName name="ANV0157_C3">Master!$E$1446</definedName>
    <definedName name="ANV0157_C4">Master!$F$1446</definedName>
    <definedName name="ANV0157_C5">Master!$G$1446</definedName>
    <definedName name="ANV0158_C1">Master!$C$1447</definedName>
    <definedName name="ANV0158_C2">Master!$D$1447</definedName>
    <definedName name="ANV0158_C3">Master!$E$1447</definedName>
    <definedName name="ANV0158_C4">Master!$F$1447</definedName>
    <definedName name="ANV0158_C5">Master!$G$1447</definedName>
    <definedName name="ANV0159_C1">Master!$C$1448</definedName>
    <definedName name="ANV0159_C2">Master!$D$1448</definedName>
    <definedName name="ANV0159_C3">Master!$E$1448</definedName>
    <definedName name="ANV0159_C4">Master!$F$1448</definedName>
    <definedName name="ANV0159_C5">Master!$G$1448</definedName>
    <definedName name="ANV0160_C1">Master!$C$1449</definedName>
    <definedName name="ANV0160_C2">Master!$D$1449</definedName>
    <definedName name="ANV0160_C3">Master!$E$1449</definedName>
    <definedName name="ANV0160_C4">Master!$F$1449</definedName>
    <definedName name="ANV0160_C5">Master!$G$1449</definedName>
    <definedName name="ANV0161_C1">Master!$C$1450</definedName>
    <definedName name="ANV0161_C2">Master!$D$1450</definedName>
    <definedName name="ANV0161_C3">Master!$E$1450</definedName>
    <definedName name="ANV0161_C4">Master!$F$1450</definedName>
    <definedName name="ANV0161_C5">Master!$G$1450</definedName>
    <definedName name="ANV0162_C1">Master!$C$1451</definedName>
    <definedName name="ANV0162_C2">Master!$D$1451</definedName>
    <definedName name="ANV0162_C3">Master!$E$1451</definedName>
    <definedName name="ANV0162_C4">Master!$F$1451</definedName>
    <definedName name="ANV0162_C5">Master!$G$1451</definedName>
    <definedName name="ANV0169_C1">Master!$C$1452</definedName>
    <definedName name="ANV0169_C2">Master!$D$1452</definedName>
    <definedName name="ANV0169_C3">Master!$E$1452</definedName>
    <definedName name="ANV0169_C4">Master!$F$1452</definedName>
    <definedName name="ANV0169_C5">Master!$G$1452</definedName>
    <definedName name="ANV0170_C1">Master!$C$1453</definedName>
    <definedName name="ANV0170_C2">Master!$D$1453</definedName>
    <definedName name="ANV0170_C3">Master!$E$1453</definedName>
    <definedName name="ANV0170_C4">Master!$F$1453</definedName>
    <definedName name="ANV0170_C5">Master!$G$1453</definedName>
    <definedName name="ANV0172_C1">Master!$C$1454</definedName>
    <definedName name="ANV0172_C2">Master!$D$1454</definedName>
    <definedName name="ANV0172_C3">Master!$E$1454</definedName>
    <definedName name="ANV0172_C4">Master!$F$1454</definedName>
    <definedName name="ANV0172_C5">Master!$G$1454</definedName>
    <definedName name="ANV0173_C1">Master!$C$1455</definedName>
    <definedName name="ANV0173_C2">Master!$D$1455</definedName>
    <definedName name="ANV0173_C3">Master!$E$1455</definedName>
    <definedName name="ANV0173_C4">Master!$F$1455</definedName>
    <definedName name="ANV0173_C5">Master!$G$1455</definedName>
    <definedName name="ANW0001_C1">Master!$C$1456</definedName>
    <definedName name="ANW0001_C2">Master!$D$1456</definedName>
    <definedName name="ANW0001_C3">Master!$E$1456</definedName>
    <definedName name="ANW0001_C4">Master!$F$1456</definedName>
    <definedName name="ANW0001_C5">Master!$G$1456</definedName>
    <definedName name="ANW0002_C1">Master!$C$1457</definedName>
    <definedName name="ANW0002_C2">Master!$D$1457</definedName>
    <definedName name="ANW0002_C3">Master!$E$1457</definedName>
    <definedName name="ANW0002_C4">Master!$F$1457</definedName>
    <definedName name="ANW0002_C5">Master!$G$1457</definedName>
    <definedName name="ANW0004_C1">Master!$C$1458</definedName>
    <definedName name="ANW0004_C2">Master!$D$1458</definedName>
    <definedName name="ANW0004_C3">Master!$E$1458</definedName>
    <definedName name="ANW0004_C4">Master!$F$1458</definedName>
    <definedName name="ANW0004_C5">Master!$G$1458</definedName>
    <definedName name="ANW0004X_C1">Master!$C$1459</definedName>
    <definedName name="ANW0004X_C2">Master!$D$1459</definedName>
    <definedName name="ANW0004X_C3">Master!$E$1459</definedName>
    <definedName name="ANW0004X_C4">Master!$F$1459</definedName>
    <definedName name="ANW0004X_C5">Master!$G$1459</definedName>
    <definedName name="ANW0010_C1">Master!$C$1460</definedName>
    <definedName name="ANW0010_C2">Master!$D$1460</definedName>
    <definedName name="ANW0010_C3">Master!$E$1460</definedName>
    <definedName name="ANW0010_C4">Master!$F$1460</definedName>
    <definedName name="ANW0010_C5">Master!$G$1460</definedName>
    <definedName name="API0007_C1">Master!$C$1461</definedName>
    <definedName name="API0007_C2">Master!$D$1461</definedName>
    <definedName name="API0007_C3">Master!$E$1461</definedName>
    <definedName name="API0007_C4">Master!$F$1461</definedName>
    <definedName name="API0007_C5">Master!$G$1461</definedName>
    <definedName name="API0008_C1">Master!$C$1462</definedName>
    <definedName name="API0008_C2">Master!$D$1462</definedName>
    <definedName name="API0008_C3">Master!$E$1462</definedName>
    <definedName name="API0008_C4">Master!$F$1462</definedName>
    <definedName name="API0008_C5">Master!$G$1462</definedName>
    <definedName name="API0009_C1">Master!$C$1463</definedName>
    <definedName name="API0009_C2">Master!$D$1463</definedName>
    <definedName name="API0009_C3">Master!$E$1463</definedName>
    <definedName name="API0009_C4">Master!$F$1463</definedName>
    <definedName name="API0009_C5">Master!$G$1463</definedName>
    <definedName name="ARB0012_C1">Master!$C$1464</definedName>
    <definedName name="ARB0012_C2">Master!$D$1464</definedName>
    <definedName name="ARB0012_C3">Master!$E$1464</definedName>
    <definedName name="ARB0012_C4">Master!$F$1464</definedName>
    <definedName name="ARB0012_C5">Master!$G$1464</definedName>
    <definedName name="ARB0171_C1">Master!$C$1465</definedName>
    <definedName name="ARB0171_C2">Master!$D$1465</definedName>
    <definedName name="ARB0171_C3">Master!$E$1465</definedName>
    <definedName name="ARB0171_C4">Master!$F$1465</definedName>
    <definedName name="ARB0171_C5">Master!$G$1465</definedName>
    <definedName name="ARB0172_C1">Master!$C$1466</definedName>
    <definedName name="ARB0172_C2">Master!$D$1466</definedName>
    <definedName name="ARB0172_C3">Master!$E$1466</definedName>
    <definedName name="ARB0172_C4">Master!$F$1466</definedName>
    <definedName name="ARB0172_C5">Master!$G$1466</definedName>
    <definedName name="ARL0002_C1">Master!$C$1467</definedName>
    <definedName name="ARL0002_C2">Master!$D$1467</definedName>
    <definedName name="ARL0002_C3">Master!$E$1467</definedName>
    <definedName name="ARL0002_C4">Master!$F$1467</definedName>
    <definedName name="ARL0002_C5">Master!$G$1467</definedName>
    <definedName name="ARL0003_C1">Master!$C$1468</definedName>
    <definedName name="ARL0003_C2">Master!$D$1468</definedName>
    <definedName name="ARL0003_C3">Master!$E$1468</definedName>
    <definedName name="ARL0003_C4">Master!$F$1468</definedName>
    <definedName name="ARL0003_C5">Master!$G$1468</definedName>
    <definedName name="ARL0005_C1">Master!$C$1469</definedName>
    <definedName name="ARL0005_C2">Master!$D$1469</definedName>
    <definedName name="ARL0005_C3">Master!$E$1469</definedName>
    <definedName name="ARL0005_C4">Master!$F$1469</definedName>
    <definedName name="ARL0005_C5">Master!$G$1469</definedName>
    <definedName name="ARL0006_C1">Master!$C$1470</definedName>
    <definedName name="ARL0006_C2">Master!$D$1470</definedName>
    <definedName name="ARL0006_C3">Master!$E$1470</definedName>
    <definedName name="ARL0006_C4">Master!$F$1470</definedName>
    <definedName name="ARL0006_C5">Master!$G$1470</definedName>
    <definedName name="ARL0008_C1">Master!$C$1471</definedName>
    <definedName name="ARL0008_C2">Master!$D$1471</definedName>
    <definedName name="ARL0008_C3">Master!$E$1471</definedName>
    <definedName name="ARL0008_C4">Master!$F$1471</definedName>
    <definedName name="ARL0008_C5">Master!$G$1471</definedName>
    <definedName name="ARL0009_C1">Master!$C$1472</definedName>
    <definedName name="ARL0009_C2">Master!$D$1472</definedName>
    <definedName name="ARL0009_C3">Master!$E$1472</definedName>
    <definedName name="ARL0009_C4">Master!$F$1472</definedName>
    <definedName name="ARL0009_C5">Master!$G$1472</definedName>
    <definedName name="ARL0011_C1">Master!$C$1473</definedName>
    <definedName name="ARL0011_C2">Master!$D$1473</definedName>
    <definedName name="ARL0011_C3">Master!$E$1473</definedName>
    <definedName name="ARL0011_C4">Master!$F$1473</definedName>
    <definedName name="ARL0011_C5">Master!$G$1473</definedName>
    <definedName name="ARL0012_C1">Master!$C$1474</definedName>
    <definedName name="ARL0012_C2">Master!$D$1474</definedName>
    <definedName name="ARL0012_C3">Master!$E$1474</definedName>
    <definedName name="ARL0012_C4">Master!$F$1474</definedName>
    <definedName name="ARL0012_C5">Master!$G$1474</definedName>
    <definedName name="ARL0014_C1">Master!$C$1475</definedName>
    <definedName name="ARL0014_C2">Master!$D$1475</definedName>
    <definedName name="ARL0014_C3">Master!$E$1475</definedName>
    <definedName name="ARL0014_C4">Master!$F$1475</definedName>
    <definedName name="ARL0014_C5">Master!$G$1475</definedName>
    <definedName name="ARL0015_C1">Master!$C$1476</definedName>
    <definedName name="ARL0015_C2">Master!$D$1476</definedName>
    <definedName name="ARL0015_C3">Master!$E$1476</definedName>
    <definedName name="ARL0015_C4">Master!$F$1476</definedName>
    <definedName name="ARL0015_C5">Master!$G$1476</definedName>
    <definedName name="ARL0016_C1">Master!$C$1477</definedName>
    <definedName name="ARL0016_C2">Master!$D$1477</definedName>
    <definedName name="ARL0016_C3">Master!$E$1477</definedName>
    <definedName name="ARL0016_C4">Master!$F$1477</definedName>
    <definedName name="ARL0016_C5">Master!$G$1477</definedName>
    <definedName name="ARL0017_C1">Master!$C$1478</definedName>
    <definedName name="ARL0017_C2">Master!$D$1478</definedName>
    <definedName name="ARL0017_C3">Master!$E$1478</definedName>
    <definedName name="ARL0017_C4">Master!$F$1478</definedName>
    <definedName name="ARL0017_C5">Master!$G$1478</definedName>
    <definedName name="ARL0019_C1">Master!$C$1479</definedName>
    <definedName name="ARL0019_C2">Master!$D$1479</definedName>
    <definedName name="ARL0019_C3">Master!$E$1479</definedName>
    <definedName name="ARL0019_C4">Master!$F$1479</definedName>
    <definedName name="ARL0019_C5">Master!$G$1479</definedName>
    <definedName name="ARL0020_C1">Master!$C$1480</definedName>
    <definedName name="ARL0020_C2">Master!$D$1480</definedName>
    <definedName name="ARL0020_C3">Master!$E$1480</definedName>
    <definedName name="ARL0020_C4">Master!$F$1480</definedName>
    <definedName name="ARL0020_C5">Master!$G$1480</definedName>
    <definedName name="ARL0022_C1">Master!$C$1481</definedName>
    <definedName name="ARL0022_C2">Master!$D$1481</definedName>
    <definedName name="ARL0022_C3">Master!$E$1481</definedName>
    <definedName name="ARL0022_C4">Master!$F$1481</definedName>
    <definedName name="ARL0022_C5">Master!$G$1481</definedName>
    <definedName name="ARL0023_C1">Master!$C$1482</definedName>
    <definedName name="ARL0023_C2">Master!$D$1482</definedName>
    <definedName name="ARL0023_C3">Master!$E$1482</definedName>
    <definedName name="ARL0023_C4">Master!$F$1482</definedName>
    <definedName name="ARL0023_C5">Master!$G$1482</definedName>
    <definedName name="ARL0025_C1">Master!$C$1483</definedName>
    <definedName name="ARL0025_C2">Master!$D$1483</definedName>
    <definedName name="ARL0025_C3">Master!$E$1483</definedName>
    <definedName name="ARL0025_C4">Master!$F$1483</definedName>
    <definedName name="ARL0025_C5">Master!$G$1483</definedName>
    <definedName name="ARL0026_C1">Master!$C$1484</definedName>
    <definedName name="ARL0026_C2">Master!$D$1484</definedName>
    <definedName name="ARL0026_C3">Master!$E$1484</definedName>
    <definedName name="ARL0026_C4">Master!$F$1484</definedName>
    <definedName name="ARL0026_C5">Master!$G$1484</definedName>
    <definedName name="ARL0028_C1">Master!$C$1485</definedName>
    <definedName name="ARL0028_C2">Master!$D$1485</definedName>
    <definedName name="ARL0028_C3">Master!$E$1485</definedName>
    <definedName name="ARL0028_C4">Master!$F$1485</definedName>
    <definedName name="ARL0028_C5">Master!$G$1485</definedName>
    <definedName name="ARL0029_C1">Master!$C$1486</definedName>
    <definedName name="ARL0029_C2">Master!$D$1486</definedName>
    <definedName name="ARL0029_C3">Master!$E$1486</definedName>
    <definedName name="ARL0029_C4">Master!$F$1486</definedName>
    <definedName name="ARL0029_C5">Master!$G$1486</definedName>
    <definedName name="ARL0030_C1">Master!$C$1487</definedName>
    <definedName name="ARL0030_C2">Master!$D$1487</definedName>
    <definedName name="ARL0030_C3">Master!$E$1487</definedName>
    <definedName name="ARL0030_C4">Master!$F$1487</definedName>
    <definedName name="ARL0030_C5">Master!$G$1487</definedName>
    <definedName name="ARL0031_C1">Master!$C$1488</definedName>
    <definedName name="ARL0031_C2">Master!$D$1488</definedName>
    <definedName name="ARL0031_C3">Master!$E$1488</definedName>
    <definedName name="ARL0031_C4">Master!$F$1488</definedName>
    <definedName name="ARL0031_C5">Master!$G$1488</definedName>
    <definedName name="ARL0033_C1">Master!$C$1489</definedName>
    <definedName name="ARL0033_C2">Master!$D$1489</definedName>
    <definedName name="ARL0033_C3">Master!$E$1489</definedName>
    <definedName name="ARL0033_C4">Master!$F$1489</definedName>
    <definedName name="ARL0033_C5">Master!$G$1489</definedName>
    <definedName name="ARL0034_C1">Master!$C$1490</definedName>
    <definedName name="ARL0034_C2">Master!$D$1490</definedName>
    <definedName name="ARL0034_C3">Master!$E$1490</definedName>
    <definedName name="ARL0034_C4">Master!$F$1490</definedName>
    <definedName name="ARL0034_C5">Master!$G$1490</definedName>
    <definedName name="ARL0036_C1">Master!$C$1491</definedName>
    <definedName name="ARL0036_C2">Master!$D$1491</definedName>
    <definedName name="ARL0036_C3">Master!$E$1491</definedName>
    <definedName name="ARL0036_C4">Master!$F$1491</definedName>
    <definedName name="ARL0036_C5">Master!$G$1491</definedName>
    <definedName name="ARL0037_C1">Master!$C$1492</definedName>
    <definedName name="ARL0037_C2">Master!$D$1492</definedName>
    <definedName name="ARL0037_C3">Master!$E$1492</definedName>
    <definedName name="ARL0037_C4">Master!$F$1492</definedName>
    <definedName name="ARL0037_C5">Master!$G$1492</definedName>
    <definedName name="ARL0039_C1">Master!$C$1493</definedName>
    <definedName name="ARL0039_C2">Master!$D$1493</definedName>
    <definedName name="ARL0039_C3">Master!$E$1493</definedName>
    <definedName name="ARL0039_C4">Master!$F$1493</definedName>
    <definedName name="ARL0039_C5">Master!$G$1493</definedName>
    <definedName name="ARL0040_C1">Master!$C$1494</definedName>
    <definedName name="ARL0040_C2">Master!$D$1494</definedName>
    <definedName name="ARL0040_C3">Master!$E$1494</definedName>
    <definedName name="ARL0040_C4">Master!$F$1494</definedName>
    <definedName name="ARL0040_C5">Master!$G$1494</definedName>
    <definedName name="ARL0042_C1">Master!$C$1495</definedName>
    <definedName name="ARL0042_C2">Master!$D$1495</definedName>
    <definedName name="ARL0042_C3">Master!$E$1495</definedName>
    <definedName name="ARL0042_C4">Master!$F$1495</definedName>
    <definedName name="ARL0042_C5">Master!$G$1495</definedName>
    <definedName name="ARL0043_C1">Master!$C$1496</definedName>
    <definedName name="ARL0043_C2">Master!$D$1496</definedName>
    <definedName name="ARL0043_C3">Master!$E$1496</definedName>
    <definedName name="ARL0043_C4">Master!$F$1496</definedName>
    <definedName name="ARL0043_C5">Master!$G$1496</definedName>
    <definedName name="ARL0044_C1">Master!$C$1497</definedName>
    <definedName name="ARL0044_C2">Master!$D$1497</definedName>
    <definedName name="ARL0044_C3">Master!$E$1497</definedName>
    <definedName name="ARL0044_C4">Master!$F$1497</definedName>
    <definedName name="ARL0044_C5">Master!$G$1497</definedName>
    <definedName name="ARL0045_C1">Master!$C$1498</definedName>
    <definedName name="ARL0045_C2">Master!$D$1498</definedName>
    <definedName name="ARL0045_C3">Master!$E$1498</definedName>
    <definedName name="ARL0045_C4">Master!$F$1498</definedName>
    <definedName name="ARL0045_C5">Master!$G$1498</definedName>
    <definedName name="ARL0046_C1">Master!$C$1499</definedName>
    <definedName name="ARL0046_C2">Master!$D$1499</definedName>
    <definedName name="ARL0046_C3">Master!$E$1499</definedName>
    <definedName name="ARL0046_C4">Master!$F$1499</definedName>
    <definedName name="ARL0046_C5">Master!$G$1499</definedName>
    <definedName name="ARL0047_C1">Master!$C$1500</definedName>
    <definedName name="ARL0047_C2">Master!$D$1500</definedName>
    <definedName name="ARL0047_C3">Master!$E$1500</definedName>
    <definedName name="ARL0047_C4">Master!$F$1500</definedName>
    <definedName name="ARL0047_C5">Master!$G$1500</definedName>
    <definedName name="ARL0048_C1">Master!$C$1501</definedName>
    <definedName name="ARL0048_C2">Master!$D$1501</definedName>
    <definedName name="ARL0048_C3">Master!$E$1501</definedName>
    <definedName name="ARL0048_C4">Master!$F$1501</definedName>
    <definedName name="ARL0048_C5">Master!$G$1501</definedName>
    <definedName name="ARL0050_C1">Master!$C$1502</definedName>
    <definedName name="ARL0050_C2">Master!$D$1502</definedName>
    <definedName name="ARL0050_C3">Master!$E$1502</definedName>
    <definedName name="ARL0050_C4">Master!$F$1502</definedName>
    <definedName name="ARL0050_C5">Master!$G$1502</definedName>
    <definedName name="ASH0013_C1">Master!$C$1503</definedName>
    <definedName name="ASH0013_C2">Master!$D$1503</definedName>
    <definedName name="ASH0013_C3">Master!$E$1503</definedName>
    <definedName name="ASH0013_C4">Master!$F$1503</definedName>
    <definedName name="ASH0013_C5">Master!$G$1503</definedName>
    <definedName name="ASH0018_C1">Master!$C$1504</definedName>
    <definedName name="ASH0018_C2">Master!$D$1504</definedName>
    <definedName name="ASH0018_C3">Master!$E$1504</definedName>
    <definedName name="ASH0018_C4">Master!$F$1504</definedName>
    <definedName name="ASH0018_C5">Master!$G$1504</definedName>
    <definedName name="ASH0880_C1">Master!$C$1505</definedName>
    <definedName name="ASH0880_C2">Master!$D$1505</definedName>
    <definedName name="ASH0880_C3">Master!$E$1505</definedName>
    <definedName name="ASH0880_C4">Master!$F$1505</definedName>
    <definedName name="ASH0880_C5">Master!$G$1505</definedName>
    <definedName name="ASL0003_C1">Master!$C$1506</definedName>
    <definedName name="ASL0003_C2">Master!$D$1506</definedName>
    <definedName name="ASL0003_C3">Master!$E$1506</definedName>
    <definedName name="ASL0003_C4">Master!$F$1506</definedName>
    <definedName name="ASL0003_C5">Master!$G$1506</definedName>
    <definedName name="ASL0012_C1">Master!$C$1507</definedName>
    <definedName name="ASL0012_C2">Master!$D$1507</definedName>
    <definedName name="ASL0012_C3">Master!$E$1507</definedName>
    <definedName name="ASL0012_C4">Master!$F$1507</definedName>
    <definedName name="ASL0012_C5">Master!$G$1507</definedName>
    <definedName name="ASL0013_C1">Master!$C$1508</definedName>
    <definedName name="ASL0013_C2">Master!$D$1508</definedName>
    <definedName name="ASL0013_C3">Master!$E$1508</definedName>
    <definedName name="ASL0013_C4">Master!$F$1508</definedName>
    <definedName name="ASL0013_C5">Master!$G$1508</definedName>
    <definedName name="ASL0014_C1">Master!$C$1509</definedName>
    <definedName name="ASL0014_C2">Master!$D$1509</definedName>
    <definedName name="ASL0014_C3">Master!$E$1509</definedName>
    <definedName name="ASL0014_C4">Master!$F$1509</definedName>
    <definedName name="ASL0014_C5">Master!$G$1509</definedName>
    <definedName name="ASL0015_C1">Master!$C$1510</definedName>
    <definedName name="ASL0015_C2">Master!$D$1510</definedName>
    <definedName name="ASL0015_C3">Master!$E$1510</definedName>
    <definedName name="ASL0015_C4">Master!$F$1510</definedName>
    <definedName name="ASL0015_C5">Master!$G$1510</definedName>
    <definedName name="ASL0017_C1">Master!$C$1511</definedName>
    <definedName name="ASL0017_C2">Master!$D$1511</definedName>
    <definedName name="ASL0017_C3">Master!$E$1511</definedName>
    <definedName name="ASL0017_C4">Master!$F$1511</definedName>
    <definedName name="ASL0017_C5">Master!$G$1511</definedName>
    <definedName name="ASL0018_C1">Master!$C$1512</definedName>
    <definedName name="ASL0018_C2">Master!$D$1512</definedName>
    <definedName name="ASL0018_C3">Master!$E$1512</definedName>
    <definedName name="ASL0018_C4">Master!$F$1512</definedName>
    <definedName name="ASL0018_C5">Master!$G$1512</definedName>
    <definedName name="ASL0019_C1">Master!$C$1513</definedName>
    <definedName name="ASL0019_C2">Master!$D$1513</definedName>
    <definedName name="ASL0019_C3">Master!$E$1513</definedName>
    <definedName name="ASL0019_C4">Master!$F$1513</definedName>
    <definedName name="ASL0019_C5">Master!$G$1513</definedName>
    <definedName name="ASL0020_C1">Master!$C$1514</definedName>
    <definedName name="ASL0020_C2">Master!$D$1514</definedName>
    <definedName name="ASL0020_C3">Master!$E$1514</definedName>
    <definedName name="ASL0020_C4">Master!$F$1514</definedName>
    <definedName name="ASL0020_C5">Master!$G$1514</definedName>
    <definedName name="ASL0021_C1">Master!$C$1515</definedName>
    <definedName name="ASL0021_C2">Master!$D$1515</definedName>
    <definedName name="ASL0021_C3">Master!$E$1515</definedName>
    <definedName name="ASL0021_C4">Master!$F$1515</definedName>
    <definedName name="ASL0021_C5">Master!$G$1515</definedName>
    <definedName name="ASL0022_C1">Master!$C$1516</definedName>
    <definedName name="ASL0022_C2">Master!$D$1516</definedName>
    <definedName name="ASL0022_C3">Master!$E$1516</definedName>
    <definedName name="ASL0022_C4">Master!$F$1516</definedName>
    <definedName name="ASL0022_C5">Master!$G$1516</definedName>
    <definedName name="ASL0023_C1">Master!$C$1517</definedName>
    <definedName name="ASL0023_C2">Master!$D$1517</definedName>
    <definedName name="ASL0023_C3">Master!$E$1517</definedName>
    <definedName name="ASL0023_C4">Master!$F$1517</definedName>
    <definedName name="ASL0023_C5">Master!$G$1517</definedName>
    <definedName name="ASL0024_C1">Master!$C$1518</definedName>
    <definedName name="ASL0024_C2">Master!$D$1518</definedName>
    <definedName name="ASL0024_C3">Master!$E$1518</definedName>
    <definedName name="ASL0024_C4">Master!$F$1518</definedName>
    <definedName name="ASL0024_C5">Master!$G$1518</definedName>
    <definedName name="ASL0026_C1">Master!$C$1519</definedName>
    <definedName name="ASL0026_C2">Master!$D$1519</definedName>
    <definedName name="ASL0026_C3">Master!$E$1519</definedName>
    <definedName name="ASL0026_C4">Master!$F$1519</definedName>
    <definedName name="ASL0026_C5">Master!$G$1519</definedName>
    <definedName name="ASL0028_C1">Master!$C$1520</definedName>
    <definedName name="ASL0028_C2">Master!$D$1520</definedName>
    <definedName name="ASL0028_C3">Master!$E$1520</definedName>
    <definedName name="ASL0028_C4">Master!$F$1520</definedName>
    <definedName name="ASL0028_C5">Master!$G$1520</definedName>
    <definedName name="ASL0029_C1">Master!$C$1521</definedName>
    <definedName name="ASL0029_C2">Master!$D$1521</definedName>
    <definedName name="ASL0029_C3">Master!$E$1521</definedName>
    <definedName name="ASL0029_C4">Master!$F$1521</definedName>
    <definedName name="ASL0029_C5">Master!$G$1521</definedName>
    <definedName name="ASL0030_C1">Master!$C$1522</definedName>
    <definedName name="ASL0030_C2">Master!$D$1522</definedName>
    <definedName name="ASL0030_C3">Master!$E$1522</definedName>
    <definedName name="ASL0030_C4">Master!$F$1522</definedName>
    <definedName name="ASL0030_C5">Master!$G$1522</definedName>
    <definedName name="ASL0032_C1">Master!$C$1523</definedName>
    <definedName name="ASL0032_C2">Master!$D$1523</definedName>
    <definedName name="ASL0032_C3">Master!$E$1523</definedName>
    <definedName name="ASL0032_C4">Master!$F$1523</definedName>
    <definedName name="ASL0032_C5">Master!$G$1523</definedName>
    <definedName name="ASL0033_C1">Master!$C$1524</definedName>
    <definedName name="ASL0033_C2">Master!$D$1524</definedName>
    <definedName name="ASL0033_C3">Master!$E$1524</definedName>
    <definedName name="ASL0033_C4">Master!$F$1524</definedName>
    <definedName name="ASL0033_C5">Master!$G$1524</definedName>
    <definedName name="ASL0034_C1">Master!$C$1525</definedName>
    <definedName name="ASL0034_C2">Master!$D$1525</definedName>
    <definedName name="ASL0034_C3">Master!$E$1525</definedName>
    <definedName name="ASL0034_C4">Master!$F$1525</definedName>
    <definedName name="ASL0034_C5">Master!$G$1525</definedName>
    <definedName name="ASL0035_C1">Master!$C$1526</definedName>
    <definedName name="ASL0035_C2">Master!$D$1526</definedName>
    <definedName name="ASL0035_C3">Master!$E$1526</definedName>
    <definedName name="ASL0035_C4">Master!$F$1526</definedName>
    <definedName name="ASL0035_C5">Master!$G$1526</definedName>
    <definedName name="ASL0036_C1">Master!$C$1527</definedName>
    <definedName name="ASL0036_C2">Master!$D$1527</definedName>
    <definedName name="ASL0036_C3">Master!$E$1527</definedName>
    <definedName name="ASL0036_C4">Master!$F$1527</definedName>
    <definedName name="ASL0036_C5">Master!$G$1527</definedName>
    <definedName name="ASL0037_C1">Master!$C$1528</definedName>
    <definedName name="ASL0037_C2">Master!$D$1528</definedName>
    <definedName name="ASL0037_C3">Master!$E$1528</definedName>
    <definedName name="ASL0037_C4">Master!$F$1528</definedName>
    <definedName name="ASL0037_C5">Master!$G$1528</definedName>
    <definedName name="ASL0038_C1">Master!$C$1529</definedName>
    <definedName name="ASL0038_C2">Master!$D$1529</definedName>
    <definedName name="ASL0038_C3">Master!$E$1529</definedName>
    <definedName name="ASL0038_C4">Master!$F$1529</definedName>
    <definedName name="ASL0038_C5">Master!$G$1529</definedName>
    <definedName name="ASL0039_C1">Master!$C$1530</definedName>
    <definedName name="ASL0039_C2">Master!$D$1530</definedName>
    <definedName name="ASL0039_C3">Master!$E$1530</definedName>
    <definedName name="ASL0039_C4">Master!$F$1530</definedName>
    <definedName name="ASL0039_C5">Master!$G$1530</definedName>
    <definedName name="ASL0041_C1">Master!$C$1531</definedName>
    <definedName name="ASL0041_C2">Master!$D$1531</definedName>
    <definedName name="ASL0041_C3">Master!$E$1531</definedName>
    <definedName name="ASL0041_C4">Master!$F$1531</definedName>
    <definedName name="ASL0041_C5">Master!$G$1531</definedName>
    <definedName name="ASL0043_C1">Master!$C$1532</definedName>
    <definedName name="ASL0043_C2">Master!$D$1532</definedName>
    <definedName name="ASL0043_C3">Master!$E$1532</definedName>
    <definedName name="ASL0043_C4">Master!$F$1532</definedName>
    <definedName name="ASL0043_C5">Master!$G$1532</definedName>
    <definedName name="ASL0045_C1">Master!$C$1533</definedName>
    <definedName name="ASL0045_C2">Master!$D$1533</definedName>
    <definedName name="ASL0045_C3">Master!$E$1533</definedName>
    <definedName name="ASL0045_C4">Master!$F$1533</definedName>
    <definedName name="ASL0045_C5">Master!$G$1533</definedName>
    <definedName name="ASL0047_C1">Master!$C$1534</definedName>
    <definedName name="ASL0047_C2">Master!$D$1534</definedName>
    <definedName name="ASL0047_C3">Master!$E$1534</definedName>
    <definedName name="ASL0047_C4">Master!$F$1534</definedName>
    <definedName name="ASL0047_C5">Master!$G$1534</definedName>
    <definedName name="ASL0049_C1">Master!$C$1535</definedName>
    <definedName name="ASL0049_C2">Master!$D$1535</definedName>
    <definedName name="ASL0049_C3">Master!$E$1535</definedName>
    <definedName name="ASL0049_C4">Master!$F$1535</definedName>
    <definedName name="ASL0049_C5">Master!$G$1535</definedName>
    <definedName name="ASL0051_C1">Master!$C$1536</definedName>
    <definedName name="ASL0051_C2">Master!$D$1536</definedName>
    <definedName name="ASL0051_C3">Master!$E$1536</definedName>
    <definedName name="ASL0051_C4">Master!$F$1536</definedName>
    <definedName name="ASL0051_C5">Master!$G$1536</definedName>
    <definedName name="ASL0053_C1">Master!$C$1537</definedName>
    <definedName name="ASL0053_C2">Master!$D$1537</definedName>
    <definedName name="ASL0053_C3">Master!$E$1537</definedName>
    <definedName name="ASL0053_C4">Master!$F$1537</definedName>
    <definedName name="ASL0053_C5">Master!$G$1537</definedName>
    <definedName name="ASL0055_C1">Master!$C$1538</definedName>
    <definedName name="ASL0055_C2">Master!$D$1538</definedName>
    <definedName name="ASL0055_C3">Master!$E$1538</definedName>
    <definedName name="ASL0055_C4">Master!$F$1538</definedName>
    <definedName name="ASL0055_C5">Master!$G$1538</definedName>
    <definedName name="ASL0056_C1">Master!$C$1539</definedName>
    <definedName name="ASL0056_C2">Master!$D$1539</definedName>
    <definedName name="ASL0056_C3">Master!$E$1539</definedName>
    <definedName name="ASL0056_C4">Master!$F$1539</definedName>
    <definedName name="ASL0056_C5">Master!$G$1539</definedName>
    <definedName name="ASL0057_C1">Master!$C$1540</definedName>
    <definedName name="ASL0057_C2">Master!$D$1540</definedName>
    <definedName name="ASL0057_C3">Master!$E$1540</definedName>
    <definedName name="ASL0057_C4">Master!$F$1540</definedName>
    <definedName name="ASL0057_C5">Master!$G$1540</definedName>
    <definedName name="ASL0058_C1">Master!$C$1541</definedName>
    <definedName name="ASL0058_C2">Master!$D$1541</definedName>
    <definedName name="ASL0058_C3">Master!$E$1541</definedName>
    <definedName name="ASL0058_C4">Master!$F$1541</definedName>
    <definedName name="ASL0058_C5">Master!$G$1541</definedName>
    <definedName name="ASL0059_C1">Master!$C$1542</definedName>
    <definedName name="ASL0059_C2">Master!$D$1542</definedName>
    <definedName name="ASL0059_C3">Master!$E$1542</definedName>
    <definedName name="ASL0059_C4">Master!$F$1542</definedName>
    <definedName name="ASL0059_C5">Master!$G$1542</definedName>
    <definedName name="AssetRange">Master!$P$1</definedName>
    <definedName name="City">Master!$D$1</definedName>
    <definedName name="CountCu_C1">Master!$C$1543</definedName>
    <definedName name="CountCu_C2">Master!$D$1543</definedName>
    <definedName name="CountCu_C3">Master!$E$1543</definedName>
    <definedName name="CountCu_C4">Master!$F$1543</definedName>
    <definedName name="CountCu_C5">Master!$G$1543</definedName>
    <definedName name="_xlnm.Criteria">Master!$A$2</definedName>
    <definedName name="Cu_Name">Master!$C$1</definedName>
    <definedName name="CU_NUMBER">Master!$A$1</definedName>
    <definedName name="Cu_Type">Master!$B$1</definedName>
    <definedName name="CycDat_C1">Master!$C$4</definedName>
    <definedName name="CycDat_C2">Master!$D$4</definedName>
    <definedName name="CycDat_C3">Master!$E$4</definedName>
    <definedName name="CycDat_C4">Master!$F$4</definedName>
    <definedName name="CycDat_C5">Master!$G$4</definedName>
    <definedName name="Cycle_date_C1">Master!$C$1544</definedName>
    <definedName name="Cycle_date_C2">Master!$D$1544</definedName>
    <definedName name="Cycle_date_C3">Master!$E$1544</definedName>
    <definedName name="Cycle_date_C4">Master!$F$1544</definedName>
    <definedName name="Cycle_date_C5">Master!$G$1544</definedName>
    <definedName name="Date1">Master!$C$11</definedName>
    <definedName name="Date2">Master!$D$11</definedName>
    <definedName name="DATE3">Master!$E$11</definedName>
    <definedName name="DATE4">Master!$F$11</definedName>
    <definedName name="District">Master!$J$1</definedName>
    <definedName name="DT0001_C1">Master!$C$1295</definedName>
    <definedName name="DT0001_C2">Master!$D$1295</definedName>
    <definedName name="DT0001_C3">Master!$E$1295</definedName>
    <definedName name="DT0001_C4">Master!$F$1295</definedName>
    <definedName name="DT0001_C5">Master!$G$1295</definedName>
    <definedName name="DT0002_C1">Master!$C$1296</definedName>
    <definedName name="DT0002_C2">Master!$D$1296</definedName>
    <definedName name="DT0002_C3">Master!$E$1296</definedName>
    <definedName name="DT0002_C4">Master!$F$1296</definedName>
    <definedName name="DT0002_C5">Master!$G$1296</definedName>
    <definedName name="DT0003_C1">Master!$C$1297</definedName>
    <definedName name="DT0003_C2">Master!$D$1297</definedName>
    <definedName name="DT0003_C3">Master!$E$1297</definedName>
    <definedName name="DT0003_C4">Master!$F$1297</definedName>
    <definedName name="DT0003_C5">Master!$G$1297</definedName>
    <definedName name="DT0004_C1">Master!$C$1298</definedName>
    <definedName name="DT0004_C2">Master!$D$1298</definedName>
    <definedName name="DT0004_C3">Master!$E$1298</definedName>
    <definedName name="DT0004_C4">Master!$F$1298</definedName>
    <definedName name="DT0004_C5">Master!$G$1298</definedName>
    <definedName name="DT0005_C1">Master!$C$1299</definedName>
    <definedName name="DT0005_C2">Master!$D$1299</definedName>
    <definedName name="DT0005_C3">Master!$E$1299</definedName>
    <definedName name="DT0005_C4">Master!$F$1299</definedName>
    <definedName name="DT0005_C5">Master!$G$1299</definedName>
    <definedName name="DT0006_C1">Master!$C$1300</definedName>
    <definedName name="DT0006_C2">Master!$D$1300</definedName>
    <definedName name="DT0006_C3">Master!$E$1300</definedName>
    <definedName name="DT0006_C4">Master!$F$1300</definedName>
    <definedName name="DT0006_C5">Master!$G$1300</definedName>
    <definedName name="DT0007_C1">Master!$C$1301</definedName>
    <definedName name="DT0007_C2">Master!$D$1301</definedName>
    <definedName name="DT0007_C3">Master!$E$1301</definedName>
    <definedName name="DT0007_C4">Master!$F$1301</definedName>
    <definedName name="DT0007_C5">Master!$G$1301</definedName>
    <definedName name="DT0008_C1">Master!$C$1302</definedName>
    <definedName name="DT0008_C2">Master!$D$1302</definedName>
    <definedName name="DT0008_C3">Master!$E$1302</definedName>
    <definedName name="DT0008_C4">Master!$F$1302</definedName>
    <definedName name="DT0008_C5">Master!$G$1302</definedName>
    <definedName name="DT0009_C1">Master!$C$1303</definedName>
    <definedName name="DT0009_C2">Master!$D$1303</definedName>
    <definedName name="DT0009_C3">Master!$E$1303</definedName>
    <definedName name="DT0009_C4">Master!$F$1303</definedName>
    <definedName name="DT0009_C5">Master!$G$1303</definedName>
    <definedName name="DT0010_C1">Master!$C$1304</definedName>
    <definedName name="DT0010_C1DT0010_C5">Master!$G$1304</definedName>
    <definedName name="DT0010_C2">Master!$D$1304</definedName>
    <definedName name="DT0010_C3">Master!$E$1304</definedName>
    <definedName name="DT0010_C4">Master!$F$1304</definedName>
    <definedName name="DT0011_C1">Master!$C$1305</definedName>
    <definedName name="DT0011_C2">Master!$D$1305</definedName>
    <definedName name="DT0011_C3">Master!$E$1305</definedName>
    <definedName name="DT0011_C4">Master!$F$1305</definedName>
    <definedName name="DT0011_C5">Master!$G$1305</definedName>
    <definedName name="DT0012_C1">Master!$C$1306</definedName>
    <definedName name="DT0012_C2">Master!$D$1306</definedName>
    <definedName name="DT0012_C3">Master!$E$1306</definedName>
    <definedName name="DT0012_C4">Master!$F$1306</definedName>
    <definedName name="DT0012_C5">Master!$G$1306</definedName>
    <definedName name="DT0013_C1">Master!$C$1307</definedName>
    <definedName name="DT0013_C2">Master!$D$1307</definedName>
    <definedName name="DT0013_C3">Master!$E$1307</definedName>
    <definedName name="DT0013_C4">Master!$F$1307</definedName>
    <definedName name="DT0013_C5">Master!$G$1307</definedName>
    <definedName name="DT0014_C1">Master!$C$1308</definedName>
    <definedName name="DT0014_C2">Master!$D$1308</definedName>
    <definedName name="DT0014_C3">Master!$E$1308</definedName>
    <definedName name="DT0014_C4">Master!$F$1308</definedName>
    <definedName name="DT0014_C5">Master!$G$1308</definedName>
    <definedName name="DT0015_C1">Master!$C$1309</definedName>
    <definedName name="DT0015_C2">Master!$D$1309</definedName>
    <definedName name="DT0015_C3">Master!$E$1309</definedName>
    <definedName name="DT0015_C4">Master!$F$1309</definedName>
    <definedName name="DT0015_C5">Master!$G$1309</definedName>
    <definedName name="DT0016_C1">Master!$C$1310</definedName>
    <definedName name="DT0016_C2">Master!$D$1310</definedName>
    <definedName name="DT0016_C3">Master!$E$1310</definedName>
    <definedName name="DT0016_C4">Master!$F$1310</definedName>
    <definedName name="DT0016_C5">Master!$G$1310</definedName>
    <definedName name="FPR_Criteria">Master!$A$2</definedName>
    <definedName name="interval">Master!$N$1</definedName>
    <definedName name="isArchived">Master!$B$6</definedName>
    <definedName name="Key_Ratios">'Cover Page'!$C$15</definedName>
    <definedName name="NoCu_in_Peer_Group">Master!$L$1</definedName>
    <definedName name="O20Y1_C1">Master!$C$64</definedName>
    <definedName name="O20Y1_C2">Master!$D$64</definedName>
    <definedName name="O20Y1_C3">Master!$E$64</definedName>
    <definedName name="O20Y1_C4">Master!$F$64</definedName>
    <definedName name="O20Y1_C5">Master!$G$64</definedName>
    <definedName name="pA002_C1">Master!$C$1545</definedName>
    <definedName name="pA002_C2">Master!$D$1545</definedName>
    <definedName name="pA002_C3">Master!$E$1545</definedName>
    <definedName name="pA002_C4">Master!$F$1545</definedName>
    <definedName name="pA002_C5">Master!$G$1545</definedName>
    <definedName name="pA003_C1">Master!$C$1546</definedName>
    <definedName name="pA003_C2">Master!$D$1546</definedName>
    <definedName name="pA003_C3">Master!$E$1546</definedName>
    <definedName name="pA003_C4">Master!$F$1546</definedName>
    <definedName name="pA003_C5">Master!$G$1546</definedName>
    <definedName name="pA010_C1">Master!$C$1547</definedName>
    <definedName name="pA010_C2">Master!$D$1547</definedName>
    <definedName name="pA010_C3">Master!$E$1547</definedName>
    <definedName name="pA010_C4">Master!$F$1547</definedName>
    <definedName name="pA010_C5">Master!$G$1547</definedName>
    <definedName name="pA018_C1">Master!$C$1548</definedName>
    <definedName name="pA018_C2">Master!$D$1548</definedName>
    <definedName name="pA018_C3">Master!$E$1548</definedName>
    <definedName name="pA018_C4">Master!$F$1548</definedName>
    <definedName name="pA018_C5">Master!$G$1548</definedName>
    <definedName name="pA025A_C1">Master!$C$1549</definedName>
    <definedName name="pA025A_C2">Master!$D$1549</definedName>
    <definedName name="pA025A_C3">Master!$E$1549</definedName>
    <definedName name="pA025A_C4">Master!$F$1549</definedName>
    <definedName name="pA025A_C5">Master!$G$1549</definedName>
    <definedName name="pA025B_C1">Master!$C$1550</definedName>
    <definedName name="pA025B_C2">Master!$D$1550</definedName>
    <definedName name="pA025B_C3">Master!$E$1550</definedName>
    <definedName name="pA025B_C4">Master!$F$1550</definedName>
    <definedName name="pA025B_C5">Master!$G$1550</definedName>
    <definedName name="pA042A5_C1">Master!$C$1551</definedName>
    <definedName name="pA042A5_C2">Master!$D$1551</definedName>
    <definedName name="pA042A5_C3">Master!$E$1551</definedName>
    <definedName name="pA042A5_C4">Master!$F$1551</definedName>
    <definedName name="pA042A5_C5">Master!$G$1551</definedName>
    <definedName name="pA042A6_C1">Master!$C$1552</definedName>
    <definedName name="pA042A6_C2">Master!$D$1552</definedName>
    <definedName name="pA042A6_C3">Master!$E$1552</definedName>
    <definedName name="pA042A6_C4">Master!$F$1552</definedName>
    <definedName name="pA042A6_C5">Master!$G$1552</definedName>
    <definedName name="pA042A7_C1">Master!$C$1553</definedName>
    <definedName name="pA042A7_C2">Master!$D$1553</definedName>
    <definedName name="pA042A7_C3">Master!$E$1553</definedName>
    <definedName name="pA042A7_C4">Master!$F$1553</definedName>
    <definedName name="pA042A7_C5">Master!$G$1553</definedName>
    <definedName name="pA042A8_C1">Master!$C$1554</definedName>
    <definedName name="pA042A8_C2">Master!$D$1554</definedName>
    <definedName name="pA042A8_C3">Master!$E$1554</definedName>
    <definedName name="pA042A8_C4">Master!$F$1554</definedName>
    <definedName name="pA042A8_C5">Master!$G$1554</definedName>
    <definedName name="pA083_C1">Master!$C$1555</definedName>
    <definedName name="pA083_C2">Master!$D$1555</definedName>
    <definedName name="pA083_C3">Master!$E$1555</definedName>
    <definedName name="pA083_C4">Master!$F$1555</definedName>
    <definedName name="pA083_C5">Master!$G$1555</definedName>
    <definedName name="pA1001A_C1">Master!$C$1556</definedName>
    <definedName name="pA1001A_C2">Master!$D$1556</definedName>
    <definedName name="pA1001A_C3">Master!$E$1556</definedName>
    <definedName name="pA1001A_C4">Master!$F$1556</definedName>
    <definedName name="pA1001A_C5">Master!$G$1556</definedName>
    <definedName name="pA1001B_C1">Master!$C$1557</definedName>
    <definedName name="pA1001B_C2">Master!$D$1557</definedName>
    <definedName name="pA1001B_C3">Master!$E$1557</definedName>
    <definedName name="pA1001B_C4">Master!$F$1557</definedName>
    <definedName name="pA1001B_C5">Master!$G$1557</definedName>
    <definedName name="pA1011A_C1">Master!$C$1558</definedName>
    <definedName name="pA1011A_C2">Master!$D$1558</definedName>
    <definedName name="pA1011A_C3">Master!$E$1558</definedName>
    <definedName name="pA1011A_C4">Master!$F$1558</definedName>
    <definedName name="pA1011A_C5">Master!$G$1558</definedName>
    <definedName name="pA1011B_C1">Master!$C$1559</definedName>
    <definedName name="pA1011B_C2">Master!$D$1559</definedName>
    <definedName name="pA1011B_C3">Master!$E$1559</definedName>
    <definedName name="pA1011B_C4">Master!$F$1559</definedName>
    <definedName name="pA1011B_C5">Master!$G$1559</definedName>
    <definedName name="pA143B3_C1">Master!$C$1560</definedName>
    <definedName name="pA143B3_C2">Master!$D$1560</definedName>
    <definedName name="pA143B3_C3">Master!$E$1560</definedName>
    <definedName name="pA143B3_C4">Master!$F$1560</definedName>
    <definedName name="pA143B3_C5">Master!$G$1560</definedName>
    <definedName name="pA143B4_C1">Master!$C$1561</definedName>
    <definedName name="pA143B4_C2">Master!$D$1561</definedName>
    <definedName name="pA143B4_C3">Master!$E$1561</definedName>
    <definedName name="pA143B4_C4">Master!$F$1561</definedName>
    <definedName name="pA143B4_C5">Master!$G$1561</definedName>
    <definedName name="pA370_C1">Master!$C$1562</definedName>
    <definedName name="pA370_C2">Master!$D$1562</definedName>
    <definedName name="pA370_C3">Master!$E$1562</definedName>
    <definedName name="pA370_C4">Master!$F$1562</definedName>
    <definedName name="pA370_C5">Master!$G$1562</definedName>
    <definedName name="pA385_C1">Master!$C$1563</definedName>
    <definedName name="pA385_C2">Master!$D$1563</definedName>
    <definedName name="pA385_C3">Master!$E$1563</definedName>
    <definedName name="pA385_C4">Master!$F$1563</definedName>
    <definedName name="pA385_C5">Master!$G$1563</definedName>
    <definedName name="pA386_C1">Master!$C$1564</definedName>
    <definedName name="pA386_C2">Master!$D$1564</definedName>
    <definedName name="pA386_C3">Master!$E$1564</definedName>
    <definedName name="pA386_C4">Master!$F$1564</definedName>
    <definedName name="pA386_C5">Master!$G$1564</definedName>
    <definedName name="pA386A_C1">Master!$C$1565</definedName>
    <definedName name="pA386A_C2">Master!$D$1565</definedName>
    <definedName name="pA386A_C3">Master!$E$1565</definedName>
    <definedName name="pA386A_C4">Master!$F$1565</definedName>
    <definedName name="pA386A_C5">Master!$G$1565</definedName>
    <definedName name="pA386B_C1">Master!$C$1566</definedName>
    <definedName name="pA386B_C2">Master!$D$1566</definedName>
    <definedName name="pA386B_C3">Master!$E$1566</definedName>
    <definedName name="pA386B_C4">Master!$F$1566</definedName>
    <definedName name="pA386B_C5">Master!$G$1566</definedName>
    <definedName name="pA396_C1">Master!$C$1567</definedName>
    <definedName name="pA396_C2">Master!$D$1567</definedName>
    <definedName name="pA396_C3">Master!$E$1567</definedName>
    <definedName name="pA396_C4">Master!$F$1567</definedName>
    <definedName name="pA396_C5">Master!$G$1567</definedName>
    <definedName name="pA397_C1">Master!$C$1568</definedName>
    <definedName name="pA397_C2">Master!$D$1568</definedName>
    <definedName name="pA397_C3">Master!$E$1568</definedName>
    <definedName name="pA397_C4">Master!$F$1568</definedName>
    <definedName name="pA397_C5">Master!$G$1568</definedName>
    <definedName name="pA397A_C1">Master!$C$1569</definedName>
    <definedName name="pA397A_C2">Master!$D$1569</definedName>
    <definedName name="pA397A_C3">Master!$E$1569</definedName>
    <definedName name="pA397A_C4">Master!$F$1569</definedName>
    <definedName name="pA397A_C5">Master!$G$1569</definedName>
    <definedName name="pA400A_C1">Master!$C$1570</definedName>
    <definedName name="pA400A_C2">Master!$D$1570</definedName>
    <definedName name="pA400A_C3">Master!$E$1570</definedName>
    <definedName name="pA400A_C4">Master!$F$1570</definedName>
    <definedName name="pA400A_C5">Master!$G$1570</definedName>
    <definedName name="pA400B_C1">Master!$C$1571</definedName>
    <definedName name="pA400B_C2">Master!$D$1571</definedName>
    <definedName name="pA400B_C3">Master!$E$1571</definedName>
    <definedName name="pA400B_C4">Master!$F$1571</definedName>
    <definedName name="pA400B_C5">Master!$G$1571</definedName>
    <definedName name="pA400C5_C1">Master!$C$1572</definedName>
    <definedName name="pA400C5_C2">Master!$D$1572</definedName>
    <definedName name="pA400C5_C3">Master!$E$1572</definedName>
    <definedName name="pA400C5_C4">Master!$F$1572</definedName>
    <definedName name="pA400C5_C5">Master!$G$1572</definedName>
    <definedName name="pA400C6_C1">Master!$C$1573</definedName>
    <definedName name="pA400C6_C2">Master!$D$1573</definedName>
    <definedName name="pA400C6_C3">Master!$E$1573</definedName>
    <definedName name="pA400C6_C4">Master!$F$1573</definedName>
    <definedName name="pA400C6_C5">Master!$G$1573</definedName>
    <definedName name="pA400C7_C1">Master!$C$1574</definedName>
    <definedName name="pA400C7_C2">Master!$D$1574</definedName>
    <definedName name="pA400C7_C3">Master!$E$1574</definedName>
    <definedName name="pA400C7_C4">Master!$F$1574</definedName>
    <definedName name="pA400C7_C5">Master!$G$1574</definedName>
    <definedName name="pA400C8_C1">Master!$C$1575</definedName>
    <definedName name="pA400C8_C2">Master!$D$1575</definedName>
    <definedName name="pA400C8_C3">Master!$E$1575</definedName>
    <definedName name="pA400C8_C4">Master!$F$1575</definedName>
    <definedName name="pA400C8_C5">Master!$G$1575</definedName>
    <definedName name="pA400H2_C1">Master!$C$1576</definedName>
    <definedName name="pA400H2_C2">Master!$D$1576</definedName>
    <definedName name="pA400H2_C3">Master!$E$1576</definedName>
    <definedName name="pA400H2_C4">Master!$F$1576</definedName>
    <definedName name="pA400H2_C5">Master!$G$1576</definedName>
    <definedName name="pA400H3_C1">Master!$C$1577</definedName>
    <definedName name="pA400H3_C2">Master!$D$1577</definedName>
    <definedName name="pA400H3_C3">Master!$E$1577</definedName>
    <definedName name="pA400H3_C4">Master!$F$1577</definedName>
    <definedName name="pA400H3_C5">Master!$G$1577</definedName>
    <definedName name="pA400J2_C1">Master!$C$1578</definedName>
    <definedName name="pA400J2_C2">Master!$D$1578</definedName>
    <definedName name="pA400J2_C3">Master!$E$1578</definedName>
    <definedName name="pA400J2_C4">Master!$F$1578</definedName>
    <definedName name="pA400J2_C5">Master!$G$1578</definedName>
    <definedName name="pA400J3_C1">Master!$C$1579</definedName>
    <definedName name="pA400J3_C2">Master!$D$1579</definedName>
    <definedName name="pA400J3_C3">Master!$E$1579</definedName>
    <definedName name="pA400J3_C4">Master!$F$1579</definedName>
    <definedName name="pA400J3_C5">Master!$G$1579</definedName>
    <definedName name="pA400L2_C1">Master!$C$1580</definedName>
    <definedName name="pA400L2_C2">Master!$D$1580</definedName>
    <definedName name="pA400L2_C3">Master!$E$1580</definedName>
    <definedName name="pA400L2_C4">Master!$F$1580</definedName>
    <definedName name="pA400L2_C5">Master!$G$1580</definedName>
    <definedName name="pA400L3_C1">Master!$C$1581</definedName>
    <definedName name="pA400L3_C2">Master!$D$1581</definedName>
    <definedName name="pA400L3_C3">Master!$E$1581</definedName>
    <definedName name="pA400L3_C4">Master!$F$1581</definedName>
    <definedName name="pA400L3_C5">Master!$G$1581</definedName>
    <definedName name="pA400M_C1">Master!$C$1582</definedName>
    <definedName name="pA400M_C2">Master!$D$1582</definedName>
    <definedName name="pA400M_C3">Master!$E$1582</definedName>
    <definedName name="pA400M_C4">Master!$F$1582</definedName>
    <definedName name="pA400M_C5">Master!$G$1582</definedName>
    <definedName name="pA400M1_C1">Master!$C$1583</definedName>
    <definedName name="pA400M1_C2">Master!$D$1583</definedName>
    <definedName name="pA400M1_C3">Master!$E$1583</definedName>
    <definedName name="pA400M1_C4">Master!$F$1583</definedName>
    <definedName name="pA400M1_C5">Master!$G$1583</definedName>
    <definedName name="pA400P_C1">Master!$C$1584</definedName>
    <definedName name="pA400P_C2">Master!$D$1584</definedName>
    <definedName name="pA400P_C3">Master!$E$1584</definedName>
    <definedName name="pA400P_C4">Master!$F$1584</definedName>
    <definedName name="pA400P_C5">Master!$G$1584</definedName>
    <definedName name="pA400T_C1">Master!$C$1585</definedName>
    <definedName name="pA400T_C2">Master!$D$1585</definedName>
    <definedName name="pA400T_C3">Master!$E$1585</definedName>
    <definedName name="pA400T_C4">Master!$F$1585</definedName>
    <definedName name="pA400T_C5">Master!$G$1585</definedName>
    <definedName name="pA400T1_C1">Master!$C$1586</definedName>
    <definedName name="pA400T1_C2">Master!$D$1586</definedName>
    <definedName name="pA400T1_C3">Master!$E$1586</definedName>
    <definedName name="pA400T1_C4">Master!$F$1586</definedName>
    <definedName name="pA400T1_C5">Master!$G$1586</definedName>
    <definedName name="pA550_C1">Master!$C$1587</definedName>
    <definedName name="pA550_C2">Master!$D$1587</definedName>
    <definedName name="pA550_C3">Master!$E$1587</definedName>
    <definedName name="pA550_C4">Master!$F$1587</definedName>
    <definedName name="pA550_C5">Master!$G$1587</definedName>
    <definedName name="pA551_C1">Master!$C$1588</definedName>
    <definedName name="pA551_C2">Master!$D$1588</definedName>
    <definedName name="pA551_C3">Master!$E$1588</definedName>
    <definedName name="pA551_C4">Master!$F$1588</definedName>
    <definedName name="pA551_C5">Master!$G$1588</definedName>
    <definedName name="pA618A_C1">Master!$C$1589</definedName>
    <definedName name="pA618A_C2">Master!$D$1589</definedName>
    <definedName name="pA618A_C3">Master!$E$1589</definedName>
    <definedName name="pA618A_C4">Master!$F$1589</definedName>
    <definedName name="pA618A_C5">Master!$G$1589</definedName>
    <definedName name="pA619_C1">Master!$C$1590</definedName>
    <definedName name="pA619_C2">Master!$D$1590</definedName>
    <definedName name="pA619_C3">Master!$E$1590</definedName>
    <definedName name="pA619_C4">Master!$F$1590</definedName>
    <definedName name="pA619_C5">Master!$G$1590</definedName>
    <definedName name="pA619B_C1">Master!$C$1591</definedName>
    <definedName name="pA619B_C2">Master!$D$1591</definedName>
    <definedName name="pA619B_C3">Master!$E$1591</definedName>
    <definedName name="pA619B_C4">Master!$F$1591</definedName>
    <definedName name="pA619B_C5">Master!$G$1591</definedName>
    <definedName name="pA658_C1">Master!$C$1592</definedName>
    <definedName name="pA658_C2">Master!$D$1592</definedName>
    <definedName name="pA658_C3">Master!$E$1592</definedName>
    <definedName name="pA658_C4">Master!$F$1592</definedName>
    <definedName name="pA658_C5">Master!$G$1592</definedName>
    <definedName name="pA668_C1">Master!$C$1593</definedName>
    <definedName name="pA668_C2">Master!$D$1593</definedName>
    <definedName name="pA668_C3">Master!$E$1593</definedName>
    <definedName name="pA668_C4">Master!$F$1593</definedName>
    <definedName name="pA668_C5">Master!$G$1593</definedName>
    <definedName name="pA691E_C1">Master!$C$1594</definedName>
    <definedName name="pA691E_C2">Master!$D$1594</definedName>
    <definedName name="pA691E_C3">Master!$E$1594</definedName>
    <definedName name="pA691E_C4">Master!$F$1594</definedName>
    <definedName name="pA691E_C5">Master!$G$1594</definedName>
    <definedName name="pA691L_C1">Master!$C$1595</definedName>
    <definedName name="pA691L_C2">Master!$D$1595</definedName>
    <definedName name="pA691L_C3">Master!$E$1595</definedName>
    <definedName name="pA691L_C4">Master!$F$1595</definedName>
    <definedName name="pA691L_C5">Master!$G$1595</definedName>
    <definedName name="pA691N_C1">Master!$C$1596</definedName>
    <definedName name="pA691N_C2">Master!$D$1596</definedName>
    <definedName name="pA691N_C3">Master!$E$1596</definedName>
    <definedName name="pA691N_C4">Master!$F$1596</definedName>
    <definedName name="pA691N_C5">Master!$G$1596</definedName>
    <definedName name="pA698_C1">Master!$C$1597</definedName>
    <definedName name="pA698_C2">Master!$D$1597</definedName>
    <definedName name="pA698_C3">Master!$E$1597</definedName>
    <definedName name="pA698_C4">Master!$F$1597</definedName>
    <definedName name="pA698_C5">Master!$G$1597</definedName>
    <definedName name="pA698A_C1">Master!$C$1598</definedName>
    <definedName name="pA698A_C2">Master!$D$1598</definedName>
    <definedName name="pA698A_C3">Master!$E$1598</definedName>
    <definedName name="pA698A_C4">Master!$F$1598</definedName>
    <definedName name="pA698A_C5">Master!$G$1598</definedName>
    <definedName name="pA698C_C1">Master!$C$1599</definedName>
    <definedName name="pA698C_C2">Master!$D$1599</definedName>
    <definedName name="pA698C_C3">Master!$E$1599</definedName>
    <definedName name="pA698C_C4">Master!$F$1599</definedName>
    <definedName name="pA698C_C5">Master!$G$1599</definedName>
    <definedName name="pA703_C1">Master!$C$1600</definedName>
    <definedName name="pA703_C2">Master!$D$1600</definedName>
    <definedName name="pA703_C3">Master!$E$1600</definedName>
    <definedName name="pA703_C4">Master!$F$1600</definedName>
    <definedName name="pA703_C5">Master!$G$1600</definedName>
    <definedName name="pA703A_C1">Master!$C$1601</definedName>
    <definedName name="pA703A_C2">Master!$D$1601</definedName>
    <definedName name="pA703A_C3">Master!$E$1601</definedName>
    <definedName name="pA703A_C4">Master!$F$1601</definedName>
    <definedName name="pA703A_C5">Master!$G$1601</definedName>
    <definedName name="pA704C1_C1">Master!$C$1602</definedName>
    <definedName name="pA704C1_C2">Master!$D$1602</definedName>
    <definedName name="pA704C1_C3">Master!$E$1602</definedName>
    <definedName name="pA704C1_C4">Master!$F$1602</definedName>
    <definedName name="pA704C1_C5">Master!$G$1602</definedName>
    <definedName name="pA704D2_C1">Master!$C$1603</definedName>
    <definedName name="pA704D2_C2">Master!$D$1603</definedName>
    <definedName name="pA704D2_C3">Master!$E$1603</definedName>
    <definedName name="pA704D2_C4">Master!$F$1603</definedName>
    <definedName name="pA704D2_C5">Master!$G$1603</definedName>
    <definedName name="pA710_C1">Master!$C$1604</definedName>
    <definedName name="pA710_C2">Master!$D$1604</definedName>
    <definedName name="pA710_C3">Master!$E$1604</definedName>
    <definedName name="pA710_C4">Master!$F$1604</definedName>
    <definedName name="pA710_C5">Master!$G$1604</definedName>
    <definedName name="pA718A5_C1">Master!$C$1605</definedName>
    <definedName name="pA718A5_C2">Master!$D$1605</definedName>
    <definedName name="pA718A5_C3">Master!$E$1605</definedName>
    <definedName name="pA718A5_C4">Master!$F$1605</definedName>
    <definedName name="pA718A5_C5">Master!$G$1605</definedName>
    <definedName name="pA730B_C1">Master!$C$1606</definedName>
    <definedName name="pA730B_C2">Master!$D$1606</definedName>
    <definedName name="pA730B_C3">Master!$E$1606</definedName>
    <definedName name="pA730B_C4">Master!$F$1606</definedName>
    <definedName name="pA730B_C5">Master!$G$1606</definedName>
    <definedName name="pA730C_C1">Master!$C$1607</definedName>
    <definedName name="pA730C_C2">Master!$D$1607</definedName>
    <definedName name="pA730C_C3">Master!$E$1607</definedName>
    <definedName name="pA730C_C4">Master!$F$1607</definedName>
    <definedName name="pA730C_C5">Master!$G$1607</definedName>
    <definedName name="pA781_C1">Master!$C$1608</definedName>
    <definedName name="pA781_C2">Master!$D$1608</definedName>
    <definedName name="pA781_C3">Master!$E$1608</definedName>
    <definedName name="pA781_C4">Master!$F$1608</definedName>
    <definedName name="pA781_C5">Master!$G$1608</definedName>
    <definedName name="pA799_C1">Master!$C$1609</definedName>
    <definedName name="pA799_C2">Master!$D$1609</definedName>
    <definedName name="pA799_C3">Master!$E$1609</definedName>
    <definedName name="pA799_C4">Master!$F$1609</definedName>
    <definedName name="pA799_C5">Master!$G$1609</definedName>
    <definedName name="pA799I_C1">Master!$C$1610</definedName>
    <definedName name="pA799I_C2">Master!$D$1610</definedName>
    <definedName name="pA799I_C3">Master!$E$1610</definedName>
    <definedName name="pA799I_C4">Master!$F$1610</definedName>
    <definedName name="pA799I_C5">Master!$G$1610</definedName>
    <definedName name="pA814_C1">Master!$C$1611</definedName>
    <definedName name="pA814_C2">Master!$D$1611</definedName>
    <definedName name="pA814_C3">Master!$E$1611</definedName>
    <definedName name="pA814_C4">Master!$F$1611</definedName>
    <definedName name="pA814_C5">Master!$G$1611</definedName>
    <definedName name="pA814A_C1">Master!$C$1612</definedName>
    <definedName name="pA814A_C2">Master!$D$1612</definedName>
    <definedName name="pA814A_C3">Master!$E$1612</definedName>
    <definedName name="pA814A_C4">Master!$F$1612</definedName>
    <definedName name="pA814A_C5">Master!$G$1612</definedName>
    <definedName name="pA814A1_C1">Master!$C$1613</definedName>
    <definedName name="pA814A1_C2">Master!$D$1613</definedName>
    <definedName name="pA814A1_C3">Master!$E$1613</definedName>
    <definedName name="pA814A1_C4">Master!$F$1613</definedName>
    <definedName name="pA814A1_C5">Master!$G$1613</definedName>
    <definedName name="pA814E_C1">Master!$C$1614</definedName>
    <definedName name="pA814E_C2">Master!$D$1614</definedName>
    <definedName name="pA814E_C3">Master!$E$1614</definedName>
    <definedName name="pA814E_C4">Master!$F$1614</definedName>
    <definedName name="pA814E_C5">Master!$G$1614</definedName>
    <definedName name="pA925_C1">Master!$C$1615</definedName>
    <definedName name="pA925_C2">Master!$D$1615</definedName>
    <definedName name="pA925_C3">Master!$E$1615</definedName>
    <definedName name="pA925_C4">Master!$F$1615</definedName>
    <definedName name="pA925_C5">Master!$G$1615</definedName>
    <definedName name="pA931_C1">Master!$C$1616</definedName>
    <definedName name="pA931_C2">Master!$D$1616</definedName>
    <definedName name="pA931_C3">Master!$E$1616</definedName>
    <definedName name="pA931_C4">Master!$F$1616</definedName>
    <definedName name="pA931_C5">Master!$G$1616</definedName>
    <definedName name="pA940_C1">Master!$C$1617</definedName>
    <definedName name="pA940_C2">Master!$D$1617</definedName>
    <definedName name="pA940_C3">Master!$E$1617</definedName>
    <definedName name="pA940_C4">Master!$F$1617</definedName>
    <definedName name="pA940_C5">Master!$G$1617</definedName>
    <definedName name="pA997_C1">Master!$C$1618</definedName>
    <definedName name="pA997_C2">Master!$D$1618</definedName>
    <definedName name="pA997_C3">Master!$E$1618</definedName>
    <definedName name="pA997_C4">Master!$F$1618</definedName>
    <definedName name="pA997_C5">Master!$G$1618</definedName>
    <definedName name="pAAS0007_C1">Master!$C$1619</definedName>
    <definedName name="pAAS0007_C2">Master!$D$1619</definedName>
    <definedName name="pAAS0007_C3">Master!$E$1619</definedName>
    <definedName name="pAAS0007_C4">Master!$F$1619</definedName>
    <definedName name="pAAS0007_C5">Master!$G$1619</definedName>
    <definedName name="pAAS0008_C1">Master!$C$1620</definedName>
    <definedName name="pAAS0008_C2">Master!$D$1620</definedName>
    <definedName name="pAAS0008_C3">Master!$E$1620</definedName>
    <definedName name="pAAS0008_C4">Master!$F$1620</definedName>
    <definedName name="pAAS0008_C5">Master!$G$1620</definedName>
    <definedName name="pAAS0013_C1">Master!$C$1621</definedName>
    <definedName name="pAAS0013_C2">Master!$D$1621</definedName>
    <definedName name="pAAS0013_C3">Master!$E$1621</definedName>
    <definedName name="pAAS0013_C4">Master!$F$1621</definedName>
    <definedName name="pAAS0013_C5">Master!$G$1621</definedName>
    <definedName name="pAAS0017_C1">Master!$C$1622</definedName>
    <definedName name="pAAS0017_C2">Master!$D$1622</definedName>
    <definedName name="pAAS0017_C3">Master!$E$1622</definedName>
    <definedName name="pAAS0017_C4">Master!$F$1622</definedName>
    <definedName name="pAAS0017_C5">Master!$G$1622</definedName>
    <definedName name="pANV0158_C1">Master!$C$1623</definedName>
    <definedName name="pANV0158_C2">Master!$D$1623</definedName>
    <definedName name="pANV0158_C3">Master!$E$1623</definedName>
    <definedName name="pANV0158_C4">Master!$F$1623</definedName>
    <definedName name="pANV0158_C5">Master!$G$1623</definedName>
    <definedName name="pARL0047_C1">Master!$C$1624</definedName>
    <definedName name="pARL0047_C2">Master!$D$1624</definedName>
    <definedName name="pARL0047_C3">Master!$E$1624</definedName>
    <definedName name="pARL0047_C4">Master!$F$1624</definedName>
    <definedName name="pARL0047_C5">Master!$G$1624</definedName>
    <definedName name="pASL0019_C1">Master!$C$1625</definedName>
    <definedName name="pASL0019_C2">Master!$D$1625</definedName>
    <definedName name="pASL0019_C3">Master!$E$1625</definedName>
    <definedName name="pASL0019_C4">Master!$F$1625</definedName>
    <definedName name="pASL0019_C5">Master!$G$1625</definedName>
    <definedName name="pASL0021_C1">Master!$C$1626</definedName>
    <definedName name="pASL0021_C2">Master!$D$1626</definedName>
    <definedName name="pASL0021_C3">Master!$E$1626</definedName>
    <definedName name="pASL0021_C4">Master!$F$1626</definedName>
    <definedName name="pASL0021_C5">Master!$G$1626</definedName>
    <definedName name="Peer_Group">Master!$K$1</definedName>
    <definedName name="PR_1_C1">Master!$C$1627</definedName>
    <definedName name="PR_1_C2">Master!$D$1627</definedName>
    <definedName name="PR_1_C3">Master!$E$1627</definedName>
    <definedName name="PR_1_C4">Master!$F$1627</definedName>
    <definedName name="PR_1_C5">Master!$G$1627</definedName>
    <definedName name="PR_10_C1">Master!$C$1628</definedName>
    <definedName name="PR_10_C2">Master!$D$1628</definedName>
    <definedName name="PR_10_C3">Master!$E$1628</definedName>
    <definedName name="PR_10_C4">Master!$F$1628</definedName>
    <definedName name="PR_10_C5">Master!$G$1628</definedName>
    <definedName name="PR_11_C1">Master!$C$1629</definedName>
    <definedName name="PR_11_C2">Master!$D$1629</definedName>
    <definedName name="PR_11_C3">Master!$E$1629</definedName>
    <definedName name="PR_11_C4">Master!$F$1629</definedName>
    <definedName name="PR_11_C5">Master!$G$1629</definedName>
    <definedName name="PR_12_C1">Master!$C$1630</definedName>
    <definedName name="PR_12_C2">Master!$D$1630</definedName>
    <definedName name="PR_12_C3">Master!$E$1630</definedName>
    <definedName name="PR_12_C4">Master!$F$1630</definedName>
    <definedName name="PR_12_C5">Master!$G$1630</definedName>
    <definedName name="PR_13_C1">Master!$C$1631</definedName>
    <definedName name="PR_13_C2">Master!$D$1631</definedName>
    <definedName name="PR_13_C3">Master!$E$1631</definedName>
    <definedName name="PR_13_C4">Master!$F$1631</definedName>
    <definedName name="PR_13_C5">Master!$G$1631</definedName>
    <definedName name="PR_14_C1">Master!$C$1632</definedName>
    <definedName name="PR_14_C2">Master!$D$1632</definedName>
    <definedName name="PR_14_C3">Master!$E$1632</definedName>
    <definedName name="PR_14_C4">Master!$F$1632</definedName>
    <definedName name="PR_14_C5">Master!$G$1632</definedName>
    <definedName name="PR_15_C1">Master!$C$1633</definedName>
    <definedName name="PR_15_C2">Master!$D$1633</definedName>
    <definedName name="PR_15_C3">Master!$E$1633</definedName>
    <definedName name="PR_15_C4">Master!$F$1633</definedName>
    <definedName name="PR_15_C5">Master!$G$1633</definedName>
    <definedName name="PR_16_C1">Master!$C$1634</definedName>
    <definedName name="PR_16_C2">Master!$D$1634</definedName>
    <definedName name="PR_16_C3">Master!$E$1634</definedName>
    <definedName name="PR_16_C4">Master!$F$1634</definedName>
    <definedName name="PR_16_C5">Master!$G$1634</definedName>
    <definedName name="PR_160_C1">Master!$C$1635</definedName>
    <definedName name="PR_160_C2">Master!$D$1635</definedName>
    <definedName name="PR_160_C3">Master!$E$1635</definedName>
    <definedName name="PR_160_C4">Master!$F$1635</definedName>
    <definedName name="PR_160_C5">Master!$G$1635</definedName>
    <definedName name="PR_168_C1">Master!$C$1636</definedName>
    <definedName name="PR_168_C2">Master!$D$1636</definedName>
    <definedName name="PR_168_C3">Master!$E$1636</definedName>
    <definedName name="PR_168_C4">Master!$F$1636</definedName>
    <definedName name="PR_168_C5">Master!$G$1636</definedName>
    <definedName name="PR_17_C1">Master!$C$1637</definedName>
    <definedName name="PR_17_C2">Master!$D$1637</definedName>
    <definedName name="PR_17_C3">Master!$E$1637</definedName>
    <definedName name="PR_17_C4">Master!$F$1637</definedName>
    <definedName name="PR_17_C5">Master!$G$1637</definedName>
    <definedName name="PR_173_C1">Master!$C$1638</definedName>
    <definedName name="PR_173_C2">Master!$D$1638</definedName>
    <definedName name="PR_173_C3">Master!$E$1638</definedName>
    <definedName name="PR_173_C4">Master!$F$1638</definedName>
    <definedName name="PR_173_C5">Master!$G$1638</definedName>
    <definedName name="PR_18_C1">Master!$C$1639</definedName>
    <definedName name="PR_18_C2">Master!$D$1639</definedName>
    <definedName name="PR_18_C3">Master!$E$1639</definedName>
    <definedName name="PR_18_C4">Master!$F$1639</definedName>
    <definedName name="PR_18_C5">Master!$G$1639</definedName>
    <definedName name="PR_19_C1">Master!$C$1640</definedName>
    <definedName name="PR_19_C2">Master!$D$1640</definedName>
    <definedName name="PR_19_C3">Master!$E$1640</definedName>
    <definedName name="PR_19_C4">Master!$F$1640</definedName>
    <definedName name="PR_19_C5">Master!$G$1640</definedName>
    <definedName name="PR_2_C1">Master!$C$1641</definedName>
    <definedName name="PR_2_C2">Master!$D$1641</definedName>
    <definedName name="PR_2_C3">Master!$E$1641</definedName>
    <definedName name="PR_2_C4">Master!$F$1641</definedName>
    <definedName name="PR_2_C5">Master!$G$1641</definedName>
    <definedName name="PR_20_C1">Master!$C$1642</definedName>
    <definedName name="PR_20_C2">Master!$D$1642</definedName>
    <definedName name="PR_20_C3">Master!$E$1642</definedName>
    <definedName name="PR_20_C4">Master!$F$1642</definedName>
    <definedName name="PR_20_C5">Master!$G$1642</definedName>
    <definedName name="PR_21_C1">Master!$C$1643</definedName>
    <definedName name="PR_21_C2">Master!$D$1643</definedName>
    <definedName name="PR_21_C3">Master!$E$1643</definedName>
    <definedName name="PR_21_C4">Master!$F$1643</definedName>
    <definedName name="PR_21_C5">Master!$G$1643</definedName>
    <definedName name="PR_212_C1">Master!$C$1644</definedName>
    <definedName name="PR_212_C2">Master!$D$1644</definedName>
    <definedName name="PR_212_C3">Master!$E$1644</definedName>
    <definedName name="PR_212_C4">Master!$F$1644</definedName>
    <definedName name="PR_212_C5">Master!$G$1644</definedName>
    <definedName name="PR_22_C1">Master!$C$1645</definedName>
    <definedName name="PR_22_C2">Master!$D$1645</definedName>
    <definedName name="PR_22_C3">Master!$E$1645</definedName>
    <definedName name="PR_22_C4">Master!$F$1645</definedName>
    <definedName name="PR_22_C5">Master!$G$1645</definedName>
    <definedName name="PR_222_C1">Master!$C$1646</definedName>
    <definedName name="PR_222_C2">Master!$D$1646</definedName>
    <definedName name="PR_222_C3">Master!$E$1646</definedName>
    <definedName name="PR_222_C4">Master!$F$1646</definedName>
    <definedName name="PR_222_C5">Master!$G$1646</definedName>
    <definedName name="PR_223_C1">Master!$C$1647</definedName>
    <definedName name="PR_223_C2">Master!$D$1647</definedName>
    <definedName name="PR_223_C3">Master!$E$1647</definedName>
    <definedName name="PR_223_C4">Master!$F$1647</definedName>
    <definedName name="PR_223_C5">Master!$G$1647</definedName>
    <definedName name="PR_224_C1">Master!$C$1648</definedName>
    <definedName name="PR_224_C2">Master!$D$1648</definedName>
    <definedName name="PR_224_C3">Master!$E$1648</definedName>
    <definedName name="PR_224_C4">Master!$F$1648</definedName>
    <definedName name="PR_224_C5">Master!$G$1648</definedName>
    <definedName name="PR_23_C1">Master!$C$1649</definedName>
    <definedName name="PR_23_C2">Master!$D$1649</definedName>
    <definedName name="PR_23_C3">Master!$E$1649</definedName>
    <definedName name="PR_23_C4">Master!$F$1649</definedName>
    <definedName name="PR_23_C5">Master!$G$1649</definedName>
    <definedName name="PR_239_C1">Master!$C$1650</definedName>
    <definedName name="PR_239_C2">Master!$D$1650</definedName>
    <definedName name="PR_239_C3">Master!$E$1650</definedName>
    <definedName name="PR_239_C4">Master!$F$1650</definedName>
    <definedName name="PR_239_C5">Master!$G$1650</definedName>
    <definedName name="PR_24_C1">Master!$C$1651</definedName>
    <definedName name="PR_24_C2">Master!$D$1651</definedName>
    <definedName name="PR_24_C3">Master!$E$1651</definedName>
    <definedName name="PR_24_C4">Master!$F$1651</definedName>
    <definedName name="PR_24_C5">Master!$G$1651</definedName>
    <definedName name="PR_243_C1">Master!$C$1652</definedName>
    <definedName name="PR_243_C2">Master!$D$1652</definedName>
    <definedName name="PR_243_C3">Master!$E$1652</definedName>
    <definedName name="PR_243_C4">Master!$F$1652</definedName>
    <definedName name="PR_243_C5">Master!$G$1652</definedName>
    <definedName name="PR_244_C1">Master!$C$1653</definedName>
    <definedName name="PR_244_C2">Master!$D$1653</definedName>
    <definedName name="PR_244_C3">Master!$E$1653</definedName>
    <definedName name="PR_244_C4">Master!$F$1653</definedName>
    <definedName name="PR_244_C5">Master!$G$1653</definedName>
    <definedName name="PR_245_C1">Master!$C$1654</definedName>
    <definedName name="PR_245_C2">Master!$D$1654</definedName>
    <definedName name="PR_245_C3">Master!$E$1654</definedName>
    <definedName name="PR_245_C4">Master!$F$1654</definedName>
    <definedName name="PR_245_C5">Master!$G$1654</definedName>
    <definedName name="PR_25_C1">Master!$C$1655</definedName>
    <definedName name="PR_25_C2">Master!$D$1655</definedName>
    <definedName name="PR_25_C3">Master!$E$1655</definedName>
    <definedName name="PR_25_C4">Master!$F$1655</definedName>
    <definedName name="PR_25_C5">Master!$G$1655</definedName>
    <definedName name="PR_26_C1">Master!$C$1656</definedName>
    <definedName name="PR_26_C2">Master!$D$1656</definedName>
    <definedName name="PR_26_C3">Master!$E$1656</definedName>
    <definedName name="PR_26_C4">Master!$F$1656</definedName>
    <definedName name="PR_26_C5">Master!$G$1656</definedName>
    <definedName name="PR_260_C1">Master!$C$1657</definedName>
    <definedName name="PR_260_C2">Master!$D$1657</definedName>
    <definedName name="PR_260_C3">Master!$E$1657</definedName>
    <definedName name="PR_260_C4">Master!$F$1657</definedName>
    <definedName name="PR_260_C5">Master!$G$1657</definedName>
    <definedName name="PR_261_C1">Master!$C$1658</definedName>
    <definedName name="PR_261_C2">Master!$D$1658</definedName>
    <definedName name="PR_261_C3">Master!$E$1658</definedName>
    <definedName name="PR_261_C4">Master!$F$1658</definedName>
    <definedName name="PR_261_C5">Master!$G$1658</definedName>
    <definedName name="PR_262_C1">Master!$C$1659</definedName>
    <definedName name="PR_262_C2">Master!$D$1659</definedName>
    <definedName name="PR_262_C3">Master!$E$1659</definedName>
    <definedName name="PR_262_C4">Master!$F$1659</definedName>
    <definedName name="PR_262_C5">Master!$G$1659</definedName>
    <definedName name="PR_263_C1">Master!$C$1660</definedName>
    <definedName name="PR_263_C2">Master!$D$1660</definedName>
    <definedName name="PR_263_C3">Master!$E$1660</definedName>
    <definedName name="PR_263_C4">Master!$F$1660</definedName>
    <definedName name="PR_263_C5">Master!$G$1660</definedName>
    <definedName name="PR_264_C1">Master!$C$1661</definedName>
    <definedName name="PR_264_C2">Master!$D$1661</definedName>
    <definedName name="PR_264_C3">Master!$E$1661</definedName>
    <definedName name="PR_264_C4">Master!$F$1661</definedName>
    <definedName name="PR_264_C5">Master!$G$1661</definedName>
    <definedName name="PR_265_C1">Master!$C$1662</definedName>
    <definedName name="PR_265_C2">Master!$D$1662</definedName>
    <definedName name="PR_265_C3">Master!$E$1662</definedName>
    <definedName name="PR_265_C4">Master!$F$1662</definedName>
    <definedName name="PR_265_C5">Master!$G$1662</definedName>
    <definedName name="PR_266_C1">Master!$C$1663</definedName>
    <definedName name="PR_266_C2">Master!$D$1663</definedName>
    <definedName name="PR_266_C3">Master!$E$1663</definedName>
    <definedName name="PR_266_C4">Master!$F$1663</definedName>
    <definedName name="PR_266_C5">Master!$G$1663</definedName>
    <definedName name="PR_27_C1">Master!$C$1664</definedName>
    <definedName name="PR_27_C2">Master!$D$1664</definedName>
    <definedName name="PR_27_C3">Master!$E$1664</definedName>
    <definedName name="PR_27_C4">Master!$F$1664</definedName>
    <definedName name="PR_27_C5">Master!$G$1664</definedName>
    <definedName name="PR_28_C1">Master!$C$1665</definedName>
    <definedName name="PR_28_C2">Master!$D$1665</definedName>
    <definedName name="PR_28_C3">Master!$E$1665</definedName>
    <definedName name="PR_28_C4">Master!$F$1665</definedName>
    <definedName name="PR_28_C5">Master!$G$1665</definedName>
    <definedName name="PR_29_C1">Master!$C$1666</definedName>
    <definedName name="PR_29_C2">Master!$D$1666</definedName>
    <definedName name="PR_29_C3">Master!$E$1666</definedName>
    <definedName name="PR_29_C4">Master!$F$1666</definedName>
    <definedName name="PR_29_C5">Master!$G$1666</definedName>
    <definedName name="PR_3_C1">Master!$C$1667</definedName>
    <definedName name="PR_3_C2">Master!$D$1667</definedName>
    <definedName name="PR_3_C3">Master!$E$1667</definedName>
    <definedName name="PR_3_C4">Master!$F$1667</definedName>
    <definedName name="PR_3_C5">Master!$G$1667</definedName>
    <definedName name="PR_30_C1">Master!$C$1668</definedName>
    <definedName name="PR_30_C2">Master!$D$1668</definedName>
    <definedName name="PR_30_C3">Master!$E$1668</definedName>
    <definedName name="PR_30_C4">Master!$F$1668</definedName>
    <definedName name="PR_30_C5">Master!$G$1668</definedName>
    <definedName name="PR_306_C1">Master!$C$1669</definedName>
    <definedName name="PR_306_C2">Master!$D$1669</definedName>
    <definedName name="PR_306_C3">Master!$E$1669</definedName>
    <definedName name="PR_306_C4">Master!$F$1669</definedName>
    <definedName name="PR_306_C5">Master!$G$1669</definedName>
    <definedName name="PR_307_C1">Master!$C$1670</definedName>
    <definedName name="PR_307_C2">Master!$D$1670</definedName>
    <definedName name="PR_307_C3">Master!$E$1670</definedName>
    <definedName name="PR_307_C4">Master!$F$1670</definedName>
    <definedName name="PR_307_C5">Master!$G$1670</definedName>
    <definedName name="PR_308_C1">Master!$C$1671</definedName>
    <definedName name="PR_308_C2">Master!$D$1671</definedName>
    <definedName name="PR_308_C3">Master!$E$1671</definedName>
    <definedName name="PR_308_C4">Master!$F$1671</definedName>
    <definedName name="PR_308_C5">Master!$G$1671</definedName>
    <definedName name="PR_31_C1">Master!$C$1672</definedName>
    <definedName name="PR_31_C2">Master!$D$1672</definedName>
    <definedName name="PR_31_C3">Master!$E$1672</definedName>
    <definedName name="PR_31_C4">Master!$F$1672</definedName>
    <definedName name="PR_31_C5">Master!$G$1672</definedName>
    <definedName name="PR_316_C1">Master!$C$1673</definedName>
    <definedName name="PR_316_C2">Master!$D$1673</definedName>
    <definedName name="PR_316_C3">Master!$E$1673</definedName>
    <definedName name="PR_316_C4">Master!$F$1673</definedName>
    <definedName name="PR_316_C5">Master!$G$1673</definedName>
    <definedName name="PR_319_C1">Master!$C$1674</definedName>
    <definedName name="PR_319_C2">Master!$D$1674</definedName>
    <definedName name="PR_319_C3">Master!$E$1674</definedName>
    <definedName name="PR_319_C4">Master!$F$1674</definedName>
    <definedName name="PR_319_C5">Master!$G$1674</definedName>
    <definedName name="PR_32_C1">Master!$C$1675</definedName>
    <definedName name="PR_32_C2">Master!$D$1675</definedName>
    <definedName name="PR_32_C3">Master!$E$1675</definedName>
    <definedName name="PR_32_C4">Master!$F$1675</definedName>
    <definedName name="PR_32_C5">Master!$G$1675</definedName>
    <definedName name="PR_33_C1">Master!$C$1676</definedName>
    <definedName name="PR_33_C2">Master!$D$1676</definedName>
    <definedName name="PR_33_C3">Master!$E$1676</definedName>
    <definedName name="PR_33_C4">Master!$F$1676</definedName>
    <definedName name="PR_33_C5">Master!$G$1676</definedName>
    <definedName name="PR_34_C1">Master!$C$1677</definedName>
    <definedName name="PR_34_C2">Master!$D$1677</definedName>
    <definedName name="PR_34_C3">Master!$E$1677</definedName>
    <definedName name="PR_34_C4">Master!$F$1677</definedName>
    <definedName name="PR_34_C5">Master!$G$1677</definedName>
    <definedName name="PR_35_C1">Master!$C$1678</definedName>
    <definedName name="PR_35_C2">Master!$D$1678</definedName>
    <definedName name="PR_35_C3">Master!$E$1678</definedName>
    <definedName name="PR_35_C4">Master!$F$1678</definedName>
    <definedName name="PR_35_C5">Master!$G$1678</definedName>
    <definedName name="PR_36_C1">Master!$C$1679</definedName>
    <definedName name="PR_36_C2">Master!$D$1679</definedName>
    <definedName name="PR_36_C3">Master!$E$1679</definedName>
    <definedName name="PR_36_C4">Master!$F$1679</definedName>
    <definedName name="PR_36_C5">Master!$G$1679</definedName>
    <definedName name="PR_37_C1">Master!$C$1680</definedName>
    <definedName name="PR_37_C2">Master!$D$1680</definedName>
    <definedName name="PR_37_C3">Master!$E$1680</definedName>
    <definedName name="PR_37_C4">Master!$F$1680</definedName>
    <definedName name="PR_37_C5">Master!$G$1680</definedName>
    <definedName name="PR_38_C1">Master!$C$1681</definedName>
    <definedName name="PR_38_C2">Master!$D$1681</definedName>
    <definedName name="PR_38_C3">Master!$E$1681</definedName>
    <definedName name="PR_38_C4">Master!$F$1681</definedName>
    <definedName name="PR_38_C5">Master!$G$1681</definedName>
    <definedName name="PR_39_C1">Master!$C$1682</definedName>
    <definedName name="PR_39_C2">Master!$D$1682</definedName>
    <definedName name="PR_39_C3">Master!$E$1682</definedName>
    <definedName name="PR_39_C4">Master!$F$1682</definedName>
    <definedName name="PR_39_C5">Master!$G$1682</definedName>
    <definedName name="PR_4_C1">Master!$C$1683</definedName>
    <definedName name="PR_4_C2">Master!$D$1683</definedName>
    <definedName name="PR_4_C3">Master!$E$1683</definedName>
    <definedName name="PR_4_C4">Master!$F$1683</definedName>
    <definedName name="PR_4_C5">Master!$G$1683</definedName>
    <definedName name="PR_40_C1">Master!$C$1684</definedName>
    <definedName name="PR_40_C2">Master!$D$1684</definedName>
    <definedName name="PR_40_C3">Master!$E$1684</definedName>
    <definedName name="PR_40_C4">Master!$F$1684</definedName>
    <definedName name="PR_40_C5">Master!$G$1684</definedName>
    <definedName name="PR_41_C1">Master!$C$1685</definedName>
    <definedName name="PR_41_C2">Master!$D$1685</definedName>
    <definedName name="PR_41_C3">Master!$E$1685</definedName>
    <definedName name="PR_41_C4">Master!$F$1685</definedName>
    <definedName name="PR_41_C5">Master!$G$1685</definedName>
    <definedName name="PR_42_C1">Master!$C$1686</definedName>
    <definedName name="PR_42_C2">Master!$D$1686</definedName>
    <definedName name="PR_42_C3">Master!$E$1686</definedName>
    <definedName name="PR_42_C4">Master!$F$1686</definedName>
    <definedName name="PR_42_C5">Master!$G$1686</definedName>
    <definedName name="PR_43_C1">Master!$C$1687</definedName>
    <definedName name="PR_43_C2">Master!$D$1687</definedName>
    <definedName name="PR_43_C3">Master!$E$1687</definedName>
    <definedName name="PR_43_C4">Master!$F$1687</definedName>
    <definedName name="PR_43_C5">Master!$G$1687</definedName>
    <definedName name="PR_44_C1">Master!$C$1688</definedName>
    <definedName name="PR_44_C2">Master!$D$1688</definedName>
    <definedName name="PR_44_C3">Master!$E$1688</definedName>
    <definedName name="PR_44_C4">Master!$F$1688</definedName>
    <definedName name="PR_44_C5">Master!$G$1688</definedName>
    <definedName name="PR_45_C1">Master!$C$1689</definedName>
    <definedName name="PR_45_C2">Master!$D$1689</definedName>
    <definedName name="PR_45_C3">Master!$E$1689</definedName>
    <definedName name="PR_45_C4">Master!$F$1689</definedName>
    <definedName name="PR_45_C5">Master!$G$1689</definedName>
    <definedName name="PR_46_C1">Master!$C$1690</definedName>
    <definedName name="PR_46_C2">Master!$D$1690</definedName>
    <definedName name="PR_46_C3">Master!$E$1690</definedName>
    <definedName name="PR_46_C4">Master!$F$1690</definedName>
    <definedName name="PR_46_C5">Master!$G$1690</definedName>
    <definedName name="PR_47_C1">Master!$C$1691</definedName>
    <definedName name="PR_47_C2">Master!$D$1691</definedName>
    <definedName name="PR_47_C3">Master!$E$1691</definedName>
    <definedName name="PR_47_C4">Master!$F$1691</definedName>
    <definedName name="PR_47_C5">Master!$G$1691</definedName>
    <definedName name="PR_48_C1">Master!$C$1692</definedName>
    <definedName name="PR_48_C2">Master!$D$1692</definedName>
    <definedName name="PR_48_C3">Master!$E$1692</definedName>
    <definedName name="PR_48_C4">Master!$F$1692</definedName>
    <definedName name="PR_48_C5">Master!$G$1692</definedName>
    <definedName name="PR_49_C1">Master!$C$1693</definedName>
    <definedName name="PR_49_C2">Master!$D$1693</definedName>
    <definedName name="PR_49_C3">Master!$E$1693</definedName>
    <definedName name="PR_49_C4">Master!$F$1693</definedName>
    <definedName name="PR_49_C5">Master!$G$1693</definedName>
    <definedName name="PR_5_C1">Master!$C$1694</definedName>
    <definedName name="PR_5_C2">Master!$D$1694</definedName>
    <definedName name="PR_5_C3">Master!$E$1694</definedName>
    <definedName name="PR_5_C4">Master!$F$1694</definedName>
    <definedName name="PR_5_C5">Master!$G$1694</definedName>
    <definedName name="PR_50_C1">Master!$C$1695</definedName>
    <definedName name="PR_50_C2">Master!$D$1695</definedName>
    <definedName name="PR_50_C3">Master!$E$1695</definedName>
    <definedName name="PR_50_C4">Master!$F$1695</definedName>
    <definedName name="PR_50_C5">Master!$G$1695</definedName>
    <definedName name="PR_51_C1">Master!$C$1696</definedName>
    <definedName name="PR_51_C2">Master!$D$1696</definedName>
    <definedName name="PR_51_C3">Master!$E$1696</definedName>
    <definedName name="PR_51_C4">Master!$F$1696</definedName>
    <definedName name="PR_51_C5">Master!$G$1696</definedName>
    <definedName name="PR_52_C1">Master!$C$1697</definedName>
    <definedName name="PR_52_C2">Master!$D$1697</definedName>
    <definedName name="PR_52_C3">Master!$E$1697</definedName>
    <definedName name="PR_52_C4">Master!$F$1697</definedName>
    <definedName name="PR_52_C5">Master!$G$1697</definedName>
    <definedName name="PR_53_C1">Master!$C$1698</definedName>
    <definedName name="PR_53_C2">Master!$D$1698</definedName>
    <definedName name="PR_53_C3">Master!$E$1698</definedName>
    <definedName name="PR_53_C4">Master!$F$1698</definedName>
    <definedName name="PR_53_C5">Master!$G$1698</definedName>
    <definedName name="PR_54_C1">Master!$C$1699</definedName>
    <definedName name="PR_54_C2">Master!$D$1699</definedName>
    <definedName name="PR_54_C3">Master!$E$1699</definedName>
    <definedName name="PR_54_C4">Master!$F$1699</definedName>
    <definedName name="PR_54_C5">Master!$G$1699</definedName>
    <definedName name="PR_55_C1">Master!$C$1700</definedName>
    <definedName name="PR_55_C2">Master!$D$1700</definedName>
    <definedName name="PR_55_C3">Master!$E$1700</definedName>
    <definedName name="PR_55_C4">Master!$F$1700</definedName>
    <definedName name="PR_55_C5">Master!$G$1700</definedName>
    <definedName name="PR_56_C1">Master!$C$1701</definedName>
    <definedName name="PR_56_C2">Master!$D$1701</definedName>
    <definedName name="PR_56_C3">Master!$E$1701</definedName>
    <definedName name="PR_56_C4">Master!$F$1701</definedName>
    <definedName name="PR_56_C5">Master!$G$1701</definedName>
    <definedName name="PR_57_C1">Master!$C$1702</definedName>
    <definedName name="PR_57_C2">Master!$D$1702</definedName>
    <definedName name="PR_57_C3">Master!$E$1702</definedName>
    <definedName name="PR_57_C4">Master!$F$1702</definedName>
    <definedName name="PR_57_C5">Master!$G$1702</definedName>
    <definedName name="PR_58_C1">Master!$C$1703</definedName>
    <definedName name="PR_58_C2">Master!$D$1703</definedName>
    <definedName name="PR_58_C3">Master!$E$1703</definedName>
    <definedName name="PR_58_C4">Master!$F$1703</definedName>
    <definedName name="PR_58_C5">Master!$G$1703</definedName>
    <definedName name="PR_59_C1">Master!$C$1704</definedName>
    <definedName name="PR_59_C2">Master!$D$1704</definedName>
    <definedName name="PR_59_C3">Master!$E$1704</definedName>
    <definedName name="PR_59_C4">Master!$F$1704</definedName>
    <definedName name="PR_59_C5">Master!$G$1704</definedName>
    <definedName name="PR_6_C1">Master!$C$1705</definedName>
    <definedName name="PR_6_C2">Master!$D$1705</definedName>
    <definedName name="PR_6_C3">Master!$E$1705</definedName>
    <definedName name="PR_6_C4">Master!$F$1705</definedName>
    <definedName name="PR_6_C5">Master!$G$1705</definedName>
    <definedName name="PR_60_C1">Master!$C$1706</definedName>
    <definedName name="PR_60_C2">Master!$D$1706</definedName>
    <definedName name="PR_60_C3">Master!$E$1706</definedName>
    <definedName name="PR_60_C4">Master!$F$1706</definedName>
    <definedName name="PR_60_C5">Master!$G$1706</definedName>
    <definedName name="PR_7_C1">Master!$C$1707</definedName>
    <definedName name="PR_7_C2">Master!$D$1707</definedName>
    <definedName name="PR_7_C3">Master!$E$1707</definedName>
    <definedName name="PR_7_C4">Master!$F$1707</definedName>
    <definedName name="PR_7_C5">Master!$G$1707</definedName>
    <definedName name="PR_8_C1">Master!$C$1708</definedName>
    <definedName name="PR_8_C2">Master!$D$1708</definedName>
    <definedName name="PR_8_C3">Master!$E$1708</definedName>
    <definedName name="PR_8_C4">Master!$F$1708</definedName>
    <definedName name="PR_8_C5">Master!$G$1708</definedName>
    <definedName name="PR_80_C1">Master!$C$1709</definedName>
    <definedName name="PR_80_C2">Master!$D$1709</definedName>
    <definedName name="PR_80_C3">Master!$E$1709</definedName>
    <definedName name="PR_80_C4">Master!$F$1709</definedName>
    <definedName name="PR_80_C5">Master!$G$1709</definedName>
    <definedName name="PR_9_C1">Master!$C$1710</definedName>
    <definedName name="PR_9_C2">Master!$D$1710</definedName>
    <definedName name="PR_9_C3">Master!$E$1710</definedName>
    <definedName name="PR_9_C4">Master!$F$1710</definedName>
    <definedName name="PR_9_C5">Master!$G$1710</definedName>
    <definedName name="PR_96_C1">Master!$C$1711</definedName>
    <definedName name="PR_96_C2">Master!$D$1711</definedName>
    <definedName name="PR_96_C3">Master!$E$1711</definedName>
    <definedName name="PR_96_C4">Master!$F$1711</definedName>
    <definedName name="PR_96_C5">Master!$G$1711</definedName>
    <definedName name="_xlnm.Print_Area" localSheetId="1">'1. Summary Financial'!$A$1:$J$48</definedName>
    <definedName name="_xlnm.Print_Area" localSheetId="10">'10. Delinquent Loans (con''t)'!$A$1:$J$55</definedName>
    <definedName name="_xlnm.Print_Area" localSheetId="11">'11. Delinquent RE Loans '!$A$1:$J$37</definedName>
    <definedName name="_xlnm.Print_Area" localSheetId="12">'12. Del Comm Loans'!$A$1:$J$51</definedName>
    <definedName name="_xlnm.Print_Area" localSheetId="13">'13. Del Comm Loans (con''t)'!$A$1:$J$47</definedName>
    <definedName name="_xlnm.Print_Area" localSheetId="14">'14. Loan Losses'!$A$1:$J$57</definedName>
    <definedName name="_xlnm.Print_Area" localSheetId="15">'15. Indirect Loans'!$A$1:$J$35</definedName>
    <definedName name="_xlnm.Print_Area" localSheetId="16">'16. Loans Purch or Sold 701.23'!$A$1:$J$53</definedName>
    <definedName name="_xlnm.Print_Area" localSheetId="17">'17. Participations 701.22'!$A$1:$J$58</definedName>
    <definedName name="_xlnm.Print_Area" localSheetId="18">'18. RE Loans '!$A$1:$J$57</definedName>
    <definedName name="_xlnm.Print_Area" localSheetId="19">'19. RE Loan Losses'!$A$1:$J$24</definedName>
    <definedName name="_xlnm.Print_Area" localSheetId="2">'2. Key Ratios'!$A$1:$J$100</definedName>
    <definedName name="_xlnm.Print_Area" localSheetId="20">'20. Commercial Loans'!$A$1:$J$54</definedName>
    <definedName name="_xlnm.Print_Area" localSheetId="21">'21. Comm Loan Net COs'!$A$1:$J$22</definedName>
    <definedName name="_xlnm.Print_Area" localSheetId="22">'22. Comm Loan Losses'!$A$1:$J$35</definedName>
    <definedName name="_xlnm.Print_Area" localSheetId="23">'23. Investments'!$A$1:$J$48</definedName>
    <definedName name="_xlnm.Print_Area" localSheetId="24">'24. Investments (con''t)'!$A$1:$J$48</definedName>
    <definedName name="_xlnm.Print_Area" localSheetId="25">'25. Investment Maturity'!$A$1:$J$59</definedName>
    <definedName name="_xlnm.Print_Area" localSheetId="26">'26. Investments-Memoranda'!$A$1:$J$48</definedName>
    <definedName name="_xlnm.Print_Area" localSheetId="27">'27. Derivatives'!$A$1:$J$33</definedName>
    <definedName name="_xlnm.Print_Area" localSheetId="28">'28. LIQ - Comm and OBS'!$A$1:$J$33</definedName>
    <definedName name="_xlnm.Print_Area" localSheetId="29">'29. LIQ-Borrowing Arrangements'!$A$1:$J$58</definedName>
    <definedName name="_xlnm.Print_Area" localSheetId="3">'3. Supplemental Ratios'!$A$1:$F$35</definedName>
    <definedName name="_xlnm.Print_Area" localSheetId="30">'30. Shares and Membership'!$A$1:$J$33</definedName>
    <definedName name="_xlnm.Print_Area" localSheetId="31">'31. Share &amp; Deposit Maturity'!$A$1:$J$60</definedName>
    <definedName name="_xlnm.Print_Area" localSheetId="32">'32. Supplemental Info'!$A$1:$J$25</definedName>
    <definedName name="_xlnm.Print_Area" localSheetId="33">'33. Graphs 1'!$A$1:$O$46</definedName>
    <definedName name="_xlnm.Print_Area" localSheetId="34">'34. Graphs 2'!$A$1:$O$45</definedName>
    <definedName name="_xlnm.Print_Area" localSheetId="4">'4. Historical Ratios'!$A$1:$J$52</definedName>
    <definedName name="_xlnm.Print_Area" localSheetId="5">'5. Assets'!$A$1:$J$56</definedName>
    <definedName name="_xlnm.Print_Area" localSheetId="6">'6. LiabShEquity'!$A$1:$J$39</definedName>
    <definedName name="_xlnm.Print_Area" localSheetId="7">'7. IncExp'!$A$1:$J$49</definedName>
    <definedName name="_xlnm.Print_Area" localSheetId="8">'8. Loans'!$A$1:$J$46</definedName>
    <definedName name="_xlnm.Print_Area" localSheetId="9">'9. Delinquent Loans '!$A$1:$J$47</definedName>
    <definedName name="_xlnm.Print_Area" localSheetId="0">'Cover Page'!$A$1:$H$68</definedName>
    <definedName name="qA025B_C1">Master!$C$1712</definedName>
    <definedName name="qA025B_C2">Master!$D$1712</definedName>
    <definedName name="qA025B_C3">Master!$E$1712</definedName>
    <definedName name="qA025B_C4">Master!$F$1712</definedName>
    <definedName name="qA025B_C5">Master!$G$1712</definedName>
    <definedName name="qA550_C1">Master!$C$1713</definedName>
    <definedName name="qA550_C2">Master!$D$1713</definedName>
    <definedName name="qA550_C3">Master!$E$1713</definedName>
    <definedName name="qA550_C4">Master!$F$1713</definedName>
    <definedName name="qA550_C5">Master!$G$1713</definedName>
    <definedName name="qA551_C1">Master!$C$1714</definedName>
    <definedName name="qA551_C2">Master!$D$1714</definedName>
    <definedName name="qA551_C3">Master!$E$1714</definedName>
    <definedName name="qA551_C4">Master!$F$1714</definedName>
    <definedName name="qA551_C5">Master!$G$1714</definedName>
    <definedName name="R_1_C1">Master!$C$1715</definedName>
    <definedName name="R_1_C2">Master!$D$1715</definedName>
    <definedName name="R_1_C3">Master!$E$1715</definedName>
    <definedName name="R_1_C4">Master!$F$1715</definedName>
    <definedName name="R_1_C5">Master!$G$1715</definedName>
    <definedName name="R_10_C1">Master!$C$1716</definedName>
    <definedName name="R_10_C2">Master!$D$1716</definedName>
    <definedName name="R_10_C3">Master!$E$1716</definedName>
    <definedName name="R_10_C4">Master!$F$1716</definedName>
    <definedName name="R_10_C5">Master!$G$1716</definedName>
    <definedName name="R_11_C1">Master!$C$1717</definedName>
    <definedName name="R_11_C2">Master!$D$1717</definedName>
    <definedName name="R_11_C3">Master!$E$1717</definedName>
    <definedName name="R_11_C4">Master!$F$1717</definedName>
    <definedName name="R_11_C5">Master!$G$1717</definedName>
    <definedName name="R_12_C1">Master!$C$1718</definedName>
    <definedName name="R_12_C2">Master!$D$1718</definedName>
    <definedName name="R_12_C3">Master!$E$1718</definedName>
    <definedName name="R_12_C4">Master!$F$1718</definedName>
    <definedName name="R_12_C5">Master!$G$1718</definedName>
    <definedName name="R_13_C1">Master!$C$1719</definedName>
    <definedName name="R_13_C2">Master!$D$1719</definedName>
    <definedName name="R_13_C3">Master!$E$1719</definedName>
    <definedName name="R_13_C4">Master!$F$1719</definedName>
    <definedName name="R_13_C5">Master!$G$1719</definedName>
    <definedName name="R_14_C1">Master!$C$1720</definedName>
    <definedName name="R_14_C2">Master!$D$1720</definedName>
    <definedName name="R_14_C3">Master!$E$1720</definedName>
    <definedName name="R_14_C4">Master!$F$1720</definedName>
    <definedName name="R_14_C5">Master!$G$1720</definedName>
    <definedName name="R_15_C1">Master!$C$1721</definedName>
    <definedName name="R_15_C2">Master!$D$1721</definedName>
    <definedName name="R_15_C3">Master!$E$1721</definedName>
    <definedName name="R_15_C4">Master!$F$1721</definedName>
    <definedName name="R_15_C5">Master!$G$1721</definedName>
    <definedName name="R_16_C1">Master!$C$1722</definedName>
    <definedName name="R_16_C2">Master!$D$1722</definedName>
    <definedName name="R_16_C3">Master!$E$1722</definedName>
    <definedName name="R_16_C4">Master!$F$1722</definedName>
    <definedName name="R_16_C5">Master!$G$1722</definedName>
    <definedName name="R_160_C1">Master!$C$1723</definedName>
    <definedName name="R_160_C2">Master!$D$1723</definedName>
    <definedName name="R_160_C3">Master!$E$1723</definedName>
    <definedName name="R_160_C4">Master!$F$1723</definedName>
    <definedName name="R_160_C5">Master!$G$1723</definedName>
    <definedName name="R_168_C1">Master!$C$1724</definedName>
    <definedName name="R_168_C2">Master!$D$1724</definedName>
    <definedName name="R_168_C3">Master!$E$1724</definedName>
    <definedName name="R_168_C4">Master!$F$1724</definedName>
    <definedName name="R_168_C5">Master!$G$1724</definedName>
    <definedName name="R_17_C1">Master!$C$1725</definedName>
    <definedName name="R_17_C2">Master!$D$1725</definedName>
    <definedName name="R_17_C3">Master!$E$1725</definedName>
    <definedName name="R_17_C4">Master!$F$1725</definedName>
    <definedName name="R_17_C5">Master!$G$1725</definedName>
    <definedName name="R_173_C1">Master!$C$1726</definedName>
    <definedName name="R_173_C2">Master!$D$1726</definedName>
    <definedName name="R_173_C3">Master!$E$1726</definedName>
    <definedName name="R_173_C4">Master!$F$1726</definedName>
    <definedName name="R_173_C5">Master!$G$1726</definedName>
    <definedName name="R_18_C1">Master!$C$1727</definedName>
    <definedName name="R_18_C2">Master!$D$1727</definedName>
    <definedName name="R_18_C3">Master!$E$1727</definedName>
    <definedName name="R_18_C4">Master!$F$1727</definedName>
    <definedName name="R_18_C5">Master!$G$1727</definedName>
    <definedName name="R_19_C1">Master!$C$1728</definedName>
    <definedName name="R_19_C2">Master!$D$1728</definedName>
    <definedName name="R_19_C3">Master!$E$1728</definedName>
    <definedName name="R_19_C4">Master!$F$1728</definedName>
    <definedName name="R_19_C5">Master!$G$1728</definedName>
    <definedName name="R_2_C1">Master!$C$1729</definedName>
    <definedName name="R_2_C2">Master!$D$1729</definedName>
    <definedName name="R_2_C3">Master!$E$1729</definedName>
    <definedName name="R_2_C4">Master!$F$1729</definedName>
    <definedName name="R_2_C5">Master!$G$1729</definedName>
    <definedName name="R_20_C1">Master!$C$1730</definedName>
    <definedName name="R_20_C2">Master!$D$1730</definedName>
    <definedName name="R_20_C3">Master!$E$1730</definedName>
    <definedName name="R_20_C4">Master!$F$1730</definedName>
    <definedName name="R_20_C5">Master!$G$1730</definedName>
    <definedName name="R_21_C1">Master!$C$1731</definedName>
    <definedName name="R_21_C2">Master!$D$1731</definedName>
    <definedName name="R_21_C3">Master!$E$1731</definedName>
    <definedName name="R_21_C4">Master!$F$1731</definedName>
    <definedName name="R_21_C5">Master!$G$1731</definedName>
    <definedName name="R_212_C1">Master!$C$1732</definedName>
    <definedName name="R_212_C2">Master!$D$1732</definedName>
    <definedName name="R_212_C3">Master!$E$1732</definedName>
    <definedName name="R_212_C4">Master!$F$1732</definedName>
    <definedName name="R_212_C5">Master!$G$1732</definedName>
    <definedName name="R_22_C1">Master!$C$1733</definedName>
    <definedName name="R_22_C2">Master!$D$1733</definedName>
    <definedName name="R_22_C3">Master!$E$1733</definedName>
    <definedName name="R_22_C4">Master!$F$1733</definedName>
    <definedName name="R_22_C5">Master!$G$1733</definedName>
    <definedName name="R_222_C1">Master!$C$1734</definedName>
    <definedName name="R_222_C2">Master!$D$1734</definedName>
    <definedName name="R_222_C3">Master!$E$1734</definedName>
    <definedName name="R_222_C4">Master!$F$1734</definedName>
    <definedName name="R_222_C5">Master!$G$1734</definedName>
    <definedName name="R_223_C1">Master!$C$1735</definedName>
    <definedName name="R_223_C2">Master!$D$1735</definedName>
    <definedName name="R_223_C3">Master!$E$1735</definedName>
    <definedName name="R_223_C4">Master!$F$1735</definedName>
    <definedName name="R_223_C5">Master!$G$1735</definedName>
    <definedName name="R_224_C1">Master!$C$1736</definedName>
    <definedName name="R_224_C2">Master!$D$1736</definedName>
    <definedName name="R_224_C3">Master!$E$1736</definedName>
    <definedName name="R_224_C4">Master!$F$1736</definedName>
    <definedName name="R_224_C5">Master!$G$1736</definedName>
    <definedName name="R_23_C1">Master!$C$1737</definedName>
    <definedName name="R_23_C2">Master!$D$1737</definedName>
    <definedName name="R_23_C3">Master!$E$1737</definedName>
    <definedName name="R_23_C4">Master!$F$1737</definedName>
    <definedName name="R_23_C5">Master!$G$1737</definedName>
    <definedName name="R_239_C1">Master!$C$1738</definedName>
    <definedName name="R_239_C2">Master!$D$1738</definedName>
    <definedName name="R_239_C3">Master!$E$1738</definedName>
    <definedName name="R_239_C4">Master!$F$1738</definedName>
    <definedName name="R_239_C5">Master!$G$1738</definedName>
    <definedName name="R_24_C1">Master!$C$1739</definedName>
    <definedName name="R_24_C2">Master!$D$1739</definedName>
    <definedName name="R_24_C3">Master!$E$1739</definedName>
    <definedName name="R_24_C4">Master!$F$1739</definedName>
    <definedName name="R_24_C5">Master!$G$1739</definedName>
    <definedName name="R_243_C1">Master!$C$1740</definedName>
    <definedName name="R_243_C2">Master!$D$1740</definedName>
    <definedName name="R_243_C3">Master!$E$1740</definedName>
    <definedName name="R_243_C4">Master!$F$1740</definedName>
    <definedName name="R_243_C5">Master!$G$1740</definedName>
    <definedName name="R_244_C1">Master!$C$1741</definedName>
    <definedName name="R_244_C2">Master!$D$1741</definedName>
    <definedName name="R_244_C3">Master!$E$1741</definedName>
    <definedName name="R_244_C4">Master!$F$1741</definedName>
    <definedName name="R_244_C5">Master!$G$1741</definedName>
    <definedName name="R_245_C1">Master!$C$1742</definedName>
    <definedName name="R_245_C2">Master!$D$1742</definedName>
    <definedName name="R_245_C3">Master!$E$1742</definedName>
    <definedName name="R_245_C4">Master!$F$1742</definedName>
    <definedName name="R_245_C5">Master!$G$1742</definedName>
    <definedName name="R_25_C1">Master!$C$1743</definedName>
    <definedName name="R_25_C2">Master!$D$1743</definedName>
    <definedName name="R_25_C3">Master!$E$1743</definedName>
    <definedName name="R_25_C4">Master!$F$1743</definedName>
    <definedName name="R_25_C5">Master!$G$1743</definedName>
    <definedName name="R_26_C1">Master!$C$1744</definedName>
    <definedName name="R_26_C2">Master!$D$1744</definedName>
    <definedName name="R_26_C3">Master!$E$1744</definedName>
    <definedName name="R_26_C4">Master!$F$1744</definedName>
    <definedName name="R_26_C5">Master!$G$1744</definedName>
    <definedName name="R_260_C1">Master!$C$1745</definedName>
    <definedName name="R_260_C2">Master!$D$1745</definedName>
    <definedName name="R_260_C3">Master!$E$1745</definedName>
    <definedName name="R_260_C4">Master!$F$1745</definedName>
    <definedName name="R_260_C5">Master!$G$1745</definedName>
    <definedName name="R_261_C1">Master!$C$1746</definedName>
    <definedName name="R_261_C2">Master!$D$1746</definedName>
    <definedName name="R_261_C3">Master!$E$1746</definedName>
    <definedName name="R_261_C4">Master!$F$1746</definedName>
    <definedName name="R_261_C5">Master!$G$1746</definedName>
    <definedName name="R_262_C1">Master!$C$1747</definedName>
    <definedName name="R_262_C2">Master!$D$1747</definedName>
    <definedName name="R_262_C3">Master!$E$1747</definedName>
    <definedName name="R_262_C4">Master!$F$1747</definedName>
    <definedName name="R_262_C5">Master!$G$1747</definedName>
    <definedName name="R_263_C1">Master!$C$1748</definedName>
    <definedName name="R_263_C2">Master!$D$1748</definedName>
    <definedName name="R_263_C3">Master!$E$1748</definedName>
    <definedName name="R_263_C4">Master!$F$1748</definedName>
    <definedName name="R_263_C5">Master!$G$1748</definedName>
    <definedName name="R_264_C1">Master!$C$1749</definedName>
    <definedName name="R_264_C2">Master!$D$1749</definedName>
    <definedName name="R_264_C3">Master!$E$1749</definedName>
    <definedName name="R_264_C4">Master!$F$1749</definedName>
    <definedName name="R_264_C5">Master!$G$1749</definedName>
    <definedName name="R_265_C1">Master!$C$1750</definedName>
    <definedName name="R_265_C2">Master!$D$1750</definedName>
    <definedName name="R_265_C3">Master!$E$1750</definedName>
    <definedName name="R_265_C4">Master!$F$1750</definedName>
    <definedName name="R_265_C5">Master!$G$1750</definedName>
    <definedName name="R_266_C1">Master!$C$1751</definedName>
    <definedName name="R_266_C2">Master!$D$1751</definedName>
    <definedName name="R_266_C3">Master!$E$1751</definedName>
    <definedName name="R_266_C4">Master!$F$1751</definedName>
    <definedName name="R_266_C5">Master!$G$1751</definedName>
    <definedName name="R_27_C1">Master!$C$1752</definedName>
    <definedName name="R_27_C2">Master!$D$1752</definedName>
    <definedName name="R_27_C3">Master!$E$1752</definedName>
    <definedName name="R_27_C4">Master!$F$1752</definedName>
    <definedName name="R_27_C5">Master!$G$1752</definedName>
    <definedName name="R_28_C1">Master!$C$1753</definedName>
    <definedName name="R_28_C2">Master!$D$1753</definedName>
    <definedName name="R_28_C3">Master!$E$1753</definedName>
    <definedName name="R_28_C4">Master!$F$1753</definedName>
    <definedName name="R_28_C5">Master!$G$1753</definedName>
    <definedName name="R_29_C1">Master!$C$1754</definedName>
    <definedName name="R_29_C2">Master!$D$1754</definedName>
    <definedName name="R_29_C3">Master!$E$1754</definedName>
    <definedName name="R_29_C4">Master!$F$1754</definedName>
    <definedName name="R_29_C5">Master!$G$1754</definedName>
    <definedName name="R_3_C1">Master!$C$1755</definedName>
    <definedName name="R_3_C2">Master!$D$1755</definedName>
    <definedName name="R_3_C3">Master!$E$1755</definedName>
    <definedName name="R_3_C4">Master!$F$1755</definedName>
    <definedName name="R_3_C5">Master!$G$1755</definedName>
    <definedName name="R_30_C1">Master!$C$1756</definedName>
    <definedName name="R_30_C2">Master!$D$1756</definedName>
    <definedName name="R_30_C3">Master!$E$1756</definedName>
    <definedName name="R_30_C4">Master!$F$1756</definedName>
    <definedName name="R_30_C5">Master!$G$1756</definedName>
    <definedName name="R_306_C1">Master!$C$1757</definedName>
    <definedName name="R_306_C2">Master!$D$1757</definedName>
    <definedName name="R_306_C3">Master!$E$1757</definedName>
    <definedName name="R_306_C4">Master!$F$1757</definedName>
    <definedName name="R_306_C5">Master!$G$1757</definedName>
    <definedName name="R_307_C1">Master!$C$1758</definedName>
    <definedName name="R_307_C2">Master!$D$1758</definedName>
    <definedName name="R_307_C3">Master!$E$1758</definedName>
    <definedName name="R_307_C4">Master!$F$1758</definedName>
    <definedName name="R_307_C5">Master!$G$1758</definedName>
    <definedName name="R_308_C1">Master!$C$1759</definedName>
    <definedName name="R_308_C2">Master!$D$1759</definedName>
    <definedName name="R_308_C3">Master!$E$1759</definedName>
    <definedName name="R_308_C4">Master!$F$1759</definedName>
    <definedName name="R_308_C5">Master!$G$1759</definedName>
    <definedName name="R_31_C1">Master!$C$1760</definedName>
    <definedName name="R_31_C2">Master!$D$1760</definedName>
    <definedName name="R_31_C3">Master!$E$1760</definedName>
    <definedName name="R_31_C4">Master!$F$1760</definedName>
    <definedName name="R_31_C5">Master!$G$1760</definedName>
    <definedName name="R_316_C1">Master!$C$1761</definedName>
    <definedName name="R_316_C2">Master!$D$1761</definedName>
    <definedName name="R_316_C3">Master!$E$1761</definedName>
    <definedName name="R_316_C4">Master!$F$1761</definedName>
    <definedName name="R_316_C5">Master!$G$1761</definedName>
    <definedName name="R_319_C1">Master!$C$1762</definedName>
    <definedName name="R_319_C2">Master!$D$1762</definedName>
    <definedName name="R_319_C3">Master!$E$1762</definedName>
    <definedName name="R_319_C4">Master!$F$1762</definedName>
    <definedName name="R_319_C5">Master!$G$1762</definedName>
    <definedName name="R_32_C1">Master!$C$1763</definedName>
    <definedName name="R_32_C2">Master!$D$1763</definedName>
    <definedName name="R_32_C3">Master!$E$1763</definedName>
    <definedName name="R_32_C4">Master!$F$1763</definedName>
    <definedName name="R_32_C5">Master!$G$1763</definedName>
    <definedName name="R_33_C1">Master!$C$1764</definedName>
    <definedName name="R_33_C2">Master!$D$1764</definedName>
    <definedName name="R_33_C3">Master!$E$1764</definedName>
    <definedName name="R_33_C4">Master!$F$1764</definedName>
    <definedName name="R_33_C5">Master!$G$1764</definedName>
    <definedName name="R_34_C1">Master!$C$1765</definedName>
    <definedName name="R_34_C2">Master!$D$1765</definedName>
    <definedName name="R_34_C3">Master!$E$1765</definedName>
    <definedName name="R_34_C4">Master!$F$1765</definedName>
    <definedName name="R_34_C5">Master!$G$1765</definedName>
    <definedName name="R_35_C1">Master!$C$1766</definedName>
    <definedName name="R_35_C2">Master!$D$1766</definedName>
    <definedName name="R_35_C3">Master!$E$1766</definedName>
    <definedName name="R_35_C4">Master!$F$1766</definedName>
    <definedName name="R_35_C5">Master!$G$1766</definedName>
    <definedName name="R_36_C1">Master!$C$1767</definedName>
    <definedName name="R_36_C2">Master!$D$1767</definedName>
    <definedName name="R_36_C3">Master!$E$1767</definedName>
    <definedName name="R_36_C4">Master!$F$1767</definedName>
    <definedName name="R_36_C5">Master!$G$1767</definedName>
    <definedName name="R_37_C1">Master!$C$1768</definedName>
    <definedName name="R_37_C2">Master!$D$1768</definedName>
    <definedName name="R_37_C3">Master!$E$1768</definedName>
    <definedName name="R_37_C4">Master!$F$1768</definedName>
    <definedName name="R_37_C5">Master!$G$1768</definedName>
    <definedName name="R_38_C1">Master!$C$1769</definedName>
    <definedName name="R_38_C2">Master!$D$1769</definedName>
    <definedName name="R_38_C3">Master!$E$1769</definedName>
    <definedName name="R_38_C4">Master!$F$1769</definedName>
    <definedName name="R_38_C5">Master!$G$1769</definedName>
    <definedName name="R_39_C1">Master!$C$1770</definedName>
    <definedName name="R_39_C2">Master!$D$1770</definedName>
    <definedName name="R_39_C3">Master!$E$1770</definedName>
    <definedName name="R_39_C4">Master!$F$1770</definedName>
    <definedName name="R_39_C5">Master!$G$1770</definedName>
    <definedName name="R_4_C1">Master!$C$1771</definedName>
    <definedName name="R_4_C2">Master!$D$1771</definedName>
    <definedName name="R_4_C3">Master!$E$1771</definedName>
    <definedName name="R_4_C4">Master!$F$1771</definedName>
    <definedName name="R_4_C5">Master!$G$1771</definedName>
    <definedName name="R_40_C1">Master!$C$1772</definedName>
    <definedName name="R_40_C2">Master!$D$1772</definedName>
    <definedName name="R_40_C3">Master!$E$1772</definedName>
    <definedName name="R_40_C4">Master!$F$1772</definedName>
    <definedName name="R_40_C5">Master!$G$1772</definedName>
    <definedName name="R_41_C1">Master!$C$1773</definedName>
    <definedName name="R_41_C2">Master!$D$1773</definedName>
    <definedName name="R_41_C3">Master!$E$1773</definedName>
    <definedName name="R_41_C4">Master!$F$1773</definedName>
    <definedName name="R_41_C5">Master!$G$1773</definedName>
    <definedName name="R_42_C1">Master!$C$1774</definedName>
    <definedName name="R_42_C2">Master!$D$1774</definedName>
    <definedName name="R_42_C3">Master!$E$1774</definedName>
    <definedName name="R_42_C4">Master!$F$1774</definedName>
    <definedName name="R_42_C5">Master!$G$1774</definedName>
    <definedName name="R_43_C1">Master!$C$1775</definedName>
    <definedName name="R_43_C2">Master!$D$1775</definedName>
    <definedName name="R_43_C3">Master!$E$1775</definedName>
    <definedName name="R_43_C4">Master!$F$1775</definedName>
    <definedName name="R_43_C5">Master!$G$1775</definedName>
    <definedName name="R_44_C1">Master!$C$1776</definedName>
    <definedName name="R_44_C2">Master!$D$1776</definedName>
    <definedName name="R_44_C3">Master!$E$1776</definedName>
    <definedName name="R_44_C4">Master!$F$1776</definedName>
    <definedName name="R_44_C5">Master!$G$1776</definedName>
    <definedName name="R_45_C1">Master!$C$1777</definedName>
    <definedName name="R_45_C2">Master!$D$1777</definedName>
    <definedName name="R_45_C3">Master!$E$1777</definedName>
    <definedName name="R_45_C4">Master!$F$1777</definedName>
    <definedName name="R_45_C5">Master!$G$1777</definedName>
    <definedName name="R_46_C1">Master!$C$1778</definedName>
    <definedName name="R_46_C2">Master!$D$1778</definedName>
    <definedName name="R_46_C3">Master!$E$1778</definedName>
    <definedName name="R_46_C4">Master!$F$1778</definedName>
    <definedName name="R_46_C5">Master!$G$1778</definedName>
    <definedName name="R_47_C1">Master!$C$1779</definedName>
    <definedName name="R_47_C2">Master!$D$1779</definedName>
    <definedName name="R_47_C3">Master!$E$1779</definedName>
    <definedName name="R_47_C4">Master!$F$1779</definedName>
    <definedName name="R_47_C5">Master!$G$1779</definedName>
    <definedName name="R_48_C1">Master!$C$1780</definedName>
    <definedName name="R_48_C2">Master!$D$1780</definedName>
    <definedName name="R_48_C3">Master!$E$1780</definedName>
    <definedName name="R_48_C4">Master!$F$1780</definedName>
    <definedName name="R_48_C5">Master!$G$1780</definedName>
    <definedName name="R_49_C1">Master!$C$1781</definedName>
    <definedName name="R_49_C2">Master!$D$1781</definedName>
    <definedName name="R_49_C3">Master!$E$1781</definedName>
    <definedName name="R_49_C4">Master!$F$1781</definedName>
    <definedName name="R_49_C5">Master!$G$1781</definedName>
    <definedName name="R_5_C1">Master!$C$1782</definedName>
    <definedName name="R_5_C2">Master!$D$1782</definedName>
    <definedName name="R_5_C3">Master!$E$1782</definedName>
    <definedName name="R_5_C4">Master!$F$1782</definedName>
    <definedName name="R_5_C5">Master!$G$1782</definedName>
    <definedName name="R_50_C1">Master!$C$1783</definedName>
    <definedName name="R_50_C2">Master!$D$1783</definedName>
    <definedName name="R_50_C3">Master!$E$1783</definedName>
    <definedName name="R_50_C4">Master!$F$1783</definedName>
    <definedName name="R_50_C5">Master!$G$1783</definedName>
    <definedName name="R_51_C1">Master!$C$1784</definedName>
    <definedName name="R_51_C2">Master!$D$1784</definedName>
    <definedName name="R_51_C3">Master!$E$1784</definedName>
    <definedName name="R_51_C4">Master!$F$1784</definedName>
    <definedName name="R_51_C5">Master!$G$1784</definedName>
    <definedName name="R_52_C1">Master!$C$1785</definedName>
    <definedName name="R_52_C2">Master!$D$1785</definedName>
    <definedName name="R_52_C3">Master!$E$1785</definedName>
    <definedName name="R_52_C4">Master!$F$1785</definedName>
    <definedName name="R_52_C5">Master!$G$1785</definedName>
    <definedName name="R_53_C1">Master!$C$1786</definedName>
    <definedName name="R_53_C2">Master!$D$1786</definedName>
    <definedName name="R_53_C3">Master!$E$1786</definedName>
    <definedName name="R_53_C4">Master!$F$1786</definedName>
    <definedName name="R_53_C5">Master!$G$1786</definedName>
    <definedName name="R_54_C1">Master!$C$1787</definedName>
    <definedName name="R_54_C2">Master!$D$1787</definedName>
    <definedName name="R_54_C3">Master!$E$1787</definedName>
    <definedName name="R_54_C4">Master!$F$1787</definedName>
    <definedName name="R_54_C5">Master!$G$1787</definedName>
    <definedName name="R_55_C1">Master!$C$1788</definedName>
    <definedName name="R_55_C2">Master!$D$1788</definedName>
    <definedName name="R_55_C3">Master!$E$1788</definedName>
    <definedName name="R_55_C4">Master!$F$1788</definedName>
    <definedName name="R_55_C5">Master!$G$1788</definedName>
    <definedName name="R_56_C1">Master!$C$1789</definedName>
    <definedName name="R_56_C2">Master!$D$1789</definedName>
    <definedName name="R_56_C3">Master!$E$1789</definedName>
    <definedName name="R_56_C4">Master!$F$1789</definedName>
    <definedName name="R_56_C5">Master!$G$1789</definedName>
    <definedName name="R_57_C1">Master!$C$1790</definedName>
    <definedName name="R_57_C2">Master!$D$1790</definedName>
    <definedName name="R_57_C3">Master!$E$1790</definedName>
    <definedName name="R_57_C4">Master!$F$1790</definedName>
    <definedName name="R_57_C5">Master!$G$1790</definedName>
    <definedName name="R_58_C1">Master!$C$1791</definedName>
    <definedName name="R_58_C2">Master!$D$1791</definedName>
    <definedName name="R_58_C3">Master!$E$1791</definedName>
    <definedName name="R_58_C4">Master!$F$1791</definedName>
    <definedName name="R_58_C5">Master!$G$1791</definedName>
    <definedName name="R_59_C1">Master!$C$1792</definedName>
    <definedName name="R_59_C2">Master!$D$1792</definedName>
    <definedName name="R_59_C3">Master!$E$1792</definedName>
    <definedName name="R_59_C4">Master!$F$1792</definedName>
    <definedName name="R_59_C5">Master!$G$1792</definedName>
    <definedName name="R_6_C1">Master!$C$1793</definedName>
    <definedName name="R_6_C2">Master!$D$1793</definedName>
    <definedName name="R_6_C3">Master!$E$1793</definedName>
    <definedName name="R_6_C4">Master!$F$1793</definedName>
    <definedName name="R_6_C5">Master!$G$1793</definedName>
    <definedName name="R_60_C1">Master!$C$1794</definedName>
    <definedName name="R_60_C2">Master!$D$1794</definedName>
    <definedName name="R_60_C3">Master!$E$1794</definedName>
    <definedName name="R_60_C4">Master!$F$1794</definedName>
    <definedName name="R_60_C5">Master!$G$1794</definedName>
    <definedName name="R_7_C1">Master!$C$1795</definedName>
    <definedName name="R_7_C2">Master!$D$1795</definedName>
    <definedName name="R_7_C3">Master!$E$1795</definedName>
    <definedName name="R_7_C4">Master!$F$1795</definedName>
    <definedName name="R_7_C5">Master!$G$1795</definedName>
    <definedName name="R_8_C1">Master!$C$1796</definedName>
    <definedName name="R_8_C2">Master!$D$1796</definedName>
    <definedName name="R_8_C3">Master!$E$1796</definedName>
    <definedName name="R_8_C4">Master!$F$1796</definedName>
    <definedName name="R_8_C5">Master!$G$1796</definedName>
    <definedName name="R_80_C1">Master!$C$1797</definedName>
    <definedName name="R_80_C2">Master!$D$1797</definedName>
    <definedName name="R_80_C3">Master!$E$1797</definedName>
    <definedName name="R_80_C4">Master!$F$1797</definedName>
    <definedName name="R_80_C5">Master!$G$1797</definedName>
    <definedName name="R_9_C1">Master!$C$1798</definedName>
    <definedName name="R_9_C2">Master!$D$1798</definedName>
    <definedName name="R_9_C3">Master!$E$1798</definedName>
    <definedName name="R_9_C4">Master!$F$1798</definedName>
    <definedName name="R_9_C5">Master!$G$1798</definedName>
    <definedName name="R_96_C1">Master!$C$1799</definedName>
    <definedName name="R_96_C2">Master!$D$1799</definedName>
    <definedName name="R_96_C3">Master!$E$1799</definedName>
    <definedName name="R_96_C4">Master!$F$1799</definedName>
    <definedName name="R_96_C5">Master!$G$1799</definedName>
    <definedName name="Region">Master!$H$1</definedName>
    <definedName name="ReportSource">Master!$C$6</definedName>
    <definedName name="ReportSrcExplanation">Master!$C$8</definedName>
    <definedName name="ReportSrcText">Master!$D$6</definedName>
    <definedName name="ReportTitle">Master!$Q$1</definedName>
    <definedName name="Request_Date">Master!$C$5</definedName>
    <definedName name="RetPop">Master!$O$1</definedName>
    <definedName name="RptExp" comment="Report Explanation text">Master!$H$6</definedName>
    <definedName name="RptText">Master!$D$7</definedName>
    <definedName name="Run_Date">Master!$M$1</definedName>
    <definedName name="SE">Master!$I$1</definedName>
    <definedName name="State">Master!$E$1</definedName>
    <definedName name="Street">Master!$G$1</definedName>
    <definedName name="Validated">Master!$B$2</definedName>
    <definedName name="Zip_Code">Master!$F$1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30" l="1"/>
  <c r="G12" i="30"/>
  <c r="F13" i="30"/>
  <c r="D48" i="30"/>
  <c r="D49" i="30"/>
  <c r="E50" i="30"/>
  <c r="E51" i="30"/>
  <c r="E52" i="30"/>
  <c r="E53" i="30"/>
  <c r="F54" i="30"/>
  <c r="F56" i="30"/>
  <c r="F57" i="30"/>
  <c r="E58" i="30"/>
  <c r="B61" i="30"/>
  <c r="B67" i="30"/>
  <c r="D2" i="29"/>
  <c r="A3" i="29"/>
  <c r="D3" i="29"/>
  <c r="A4" i="29"/>
  <c r="A5" i="29"/>
  <c r="D5" i="29"/>
  <c r="D6" i="29"/>
  <c r="E6" i="29"/>
  <c r="B12" i="29"/>
  <c r="C12" i="29"/>
  <c r="D12" i="29"/>
  <c r="E12" i="29"/>
  <c r="F12" i="29" s="1"/>
  <c r="G12" i="29"/>
  <c r="I12" i="29"/>
  <c r="J12" i="29" s="1"/>
  <c r="B13" i="29"/>
  <c r="D13" i="29" s="1"/>
  <c r="C13" i="29"/>
  <c r="E13" i="29"/>
  <c r="F13" i="29"/>
  <c r="G13" i="29"/>
  <c r="H13" i="29" s="1"/>
  <c r="I13" i="29"/>
  <c r="J13" i="29"/>
  <c r="B15" i="29"/>
  <c r="C15" i="29"/>
  <c r="F15" i="29" s="1"/>
  <c r="E15" i="29"/>
  <c r="G15" i="29"/>
  <c r="H15" i="29"/>
  <c r="I15" i="29"/>
  <c r="J15" i="29" s="1"/>
  <c r="B16" i="29"/>
  <c r="D16" i="29" s="1"/>
  <c r="C16" i="29"/>
  <c r="F16" i="29" s="1"/>
  <c r="E16" i="29"/>
  <c r="G16" i="29"/>
  <c r="H16" i="29"/>
  <c r="I16" i="29"/>
  <c r="J16" i="29" s="1"/>
  <c r="B17" i="29"/>
  <c r="C17" i="29"/>
  <c r="D17" i="29" s="1"/>
  <c r="E17" i="29"/>
  <c r="H17" i="29" s="1"/>
  <c r="G17" i="29"/>
  <c r="I17" i="29"/>
  <c r="J17" i="29"/>
  <c r="B19" i="29"/>
  <c r="C19" i="29"/>
  <c r="D19" i="29" s="1"/>
  <c r="E19" i="29"/>
  <c r="H19" i="29" s="1"/>
  <c r="G19" i="29"/>
  <c r="J19" i="29" s="1"/>
  <c r="I19" i="29"/>
  <c r="B23" i="29"/>
  <c r="C23" i="29"/>
  <c r="E23" i="29"/>
  <c r="G23" i="29"/>
  <c r="H23" i="29"/>
  <c r="I23" i="29"/>
  <c r="J23" i="29" s="1"/>
  <c r="B24" i="29"/>
  <c r="C24" i="29"/>
  <c r="D24" i="29"/>
  <c r="E24" i="29"/>
  <c r="H24" i="29" s="1"/>
  <c r="F24" i="29"/>
  <c r="G24" i="29"/>
  <c r="I24" i="29"/>
  <c r="J24" i="29"/>
  <c r="B26" i="29"/>
  <c r="C26" i="29"/>
  <c r="D26" i="29" s="1"/>
  <c r="E26" i="29"/>
  <c r="F26" i="29"/>
  <c r="G26" i="29"/>
  <c r="J26" i="29" s="1"/>
  <c r="I26" i="29"/>
  <c r="B31" i="29"/>
  <c r="C31" i="29"/>
  <c r="D31" i="29" s="1"/>
  <c r="E31" i="29"/>
  <c r="F31" i="29" s="1"/>
  <c r="G31" i="29"/>
  <c r="I31" i="29"/>
  <c r="B34" i="29"/>
  <c r="C34" i="29"/>
  <c r="E34" i="29"/>
  <c r="G34" i="29"/>
  <c r="I34" i="29"/>
  <c r="B35" i="29"/>
  <c r="C35" i="29"/>
  <c r="E35" i="29"/>
  <c r="G35" i="29"/>
  <c r="I35" i="29"/>
  <c r="B36" i="29"/>
  <c r="C36" i="29"/>
  <c r="E36" i="29"/>
  <c r="G36" i="29"/>
  <c r="I36" i="29"/>
  <c r="B38" i="29"/>
  <c r="C38" i="29"/>
  <c r="E38" i="29"/>
  <c r="G38" i="29"/>
  <c r="I38" i="29"/>
  <c r="B39" i="29"/>
  <c r="C39" i="29"/>
  <c r="E39" i="29"/>
  <c r="G39" i="29"/>
  <c r="I39" i="29"/>
  <c r="B40" i="29"/>
  <c r="C40" i="29"/>
  <c r="E40" i="29"/>
  <c r="G40" i="29"/>
  <c r="I40" i="29"/>
  <c r="B42" i="29"/>
  <c r="C42" i="29"/>
  <c r="E42" i="29"/>
  <c r="H42" i="29" s="1"/>
  <c r="G42" i="29"/>
  <c r="I42" i="29"/>
  <c r="J42" i="29" s="1"/>
  <c r="D2" i="65"/>
  <c r="A3" i="65"/>
  <c r="D3" i="65"/>
  <c r="A4" i="65"/>
  <c r="A5" i="65"/>
  <c r="D5" i="65"/>
  <c r="D6" i="65"/>
  <c r="E6" i="65"/>
  <c r="F11" i="65" a="1"/>
  <c r="F11" i="65"/>
  <c r="G11" i="65" a="1"/>
  <c r="G11" i="65"/>
  <c r="I11" i="65" a="1"/>
  <c r="I11" i="65"/>
  <c r="J11" i="65" a="1"/>
  <c r="J11" i="65"/>
  <c r="F12" i="65"/>
  <c r="G12" i="65"/>
  <c r="I12" i="65"/>
  <c r="J12" i="65"/>
  <c r="F13" i="65"/>
  <c r="G13" i="65"/>
  <c r="I13" i="65"/>
  <c r="J13" i="65"/>
  <c r="F14" i="65"/>
  <c r="G14" i="65"/>
  <c r="I14" i="65"/>
  <c r="J14" i="65"/>
  <c r="F15" i="65"/>
  <c r="G15" i="65"/>
  <c r="I15" i="65"/>
  <c r="J15" i="65"/>
  <c r="F18" i="65"/>
  <c r="G18" i="65"/>
  <c r="I18" i="65"/>
  <c r="J18" i="65"/>
  <c r="B19" i="65"/>
  <c r="C19" i="65"/>
  <c r="D19" i="65"/>
  <c r="E19" i="65"/>
  <c r="F19" i="65"/>
  <c r="G19" i="65"/>
  <c r="H19" i="65"/>
  <c r="I19" i="65"/>
  <c r="J19" i="65"/>
  <c r="F20" i="65"/>
  <c r="G20" i="65"/>
  <c r="I20" i="65"/>
  <c r="J20" i="65"/>
  <c r="F21" i="65"/>
  <c r="G21" i="65"/>
  <c r="I21" i="65"/>
  <c r="J21" i="65"/>
  <c r="F22" i="65"/>
  <c r="G22" i="65"/>
  <c r="I22" i="65"/>
  <c r="J22" i="65"/>
  <c r="F25" i="65"/>
  <c r="G25" i="65"/>
  <c r="I25" i="65"/>
  <c r="J25" i="65"/>
  <c r="F26" i="65"/>
  <c r="G26" i="65"/>
  <c r="I26" i="65"/>
  <c r="J26" i="65"/>
  <c r="F27" i="65"/>
  <c r="G27" i="65"/>
  <c r="I27" i="65"/>
  <c r="J27" i="65"/>
  <c r="F28" i="65"/>
  <c r="G28" i="65"/>
  <c r="I28" i="65"/>
  <c r="J28" i="65"/>
  <c r="F29" i="65"/>
  <c r="G29" i="65"/>
  <c r="I29" i="65"/>
  <c r="J29" i="65"/>
  <c r="F30" i="65"/>
  <c r="G30" i="65"/>
  <c r="I30" i="65"/>
  <c r="J30" i="65"/>
  <c r="F33" i="65"/>
  <c r="G33" i="65"/>
  <c r="I33" i="65"/>
  <c r="J33" i="65"/>
  <c r="F34" i="65"/>
  <c r="G34" i="65"/>
  <c r="I34" i="65"/>
  <c r="J34" i="65"/>
  <c r="F35" i="65"/>
  <c r="G35" i="65"/>
  <c r="I35" i="65"/>
  <c r="J35" i="65"/>
  <c r="F36" i="65"/>
  <c r="G36" i="65"/>
  <c r="I36" i="65"/>
  <c r="J36" i="65"/>
  <c r="F39" i="65"/>
  <c r="G39" i="65"/>
  <c r="I39" i="65"/>
  <c r="J39" i="65"/>
  <c r="F40" i="65"/>
  <c r="G40" i="65"/>
  <c r="I40" i="65"/>
  <c r="J40" i="65"/>
  <c r="B43" i="65"/>
  <c r="C43" i="65"/>
  <c r="D43" i="65"/>
  <c r="E43" i="65"/>
  <c r="F43" i="65"/>
  <c r="G43" i="65"/>
  <c r="H43" i="65"/>
  <c r="I43" i="65"/>
  <c r="J43" i="65"/>
  <c r="B44" i="65"/>
  <c r="C44" i="65"/>
  <c r="D44" i="65"/>
  <c r="E44" i="65"/>
  <c r="F44" i="65"/>
  <c r="G44" i="65"/>
  <c r="H44" i="65"/>
  <c r="I44" i="65"/>
  <c r="J44" i="65"/>
  <c r="D2" i="66"/>
  <c r="A3" i="66"/>
  <c r="D3" i="66"/>
  <c r="A4" i="66"/>
  <c r="A5" i="66"/>
  <c r="D5" i="66"/>
  <c r="D6" i="66"/>
  <c r="E6" i="66"/>
  <c r="B19" i="66"/>
  <c r="C19" i="66"/>
  <c r="D19" i="66"/>
  <c r="E19" i="66"/>
  <c r="F19" i="66"/>
  <c r="B29" i="66"/>
  <c r="C29" i="66"/>
  <c r="D29" i="66"/>
  <c r="E29" i="66"/>
  <c r="F29" i="66"/>
  <c r="D2" i="67"/>
  <c r="A3" i="67"/>
  <c r="D3" i="67"/>
  <c r="A4" i="67"/>
  <c r="A5" i="67"/>
  <c r="D5" i="67"/>
  <c r="D6" i="67"/>
  <c r="E6" i="67"/>
  <c r="F10" i="67"/>
  <c r="G10" i="67"/>
  <c r="I10" i="67"/>
  <c r="J10" i="67"/>
  <c r="B11" i="67"/>
  <c r="C11" i="67"/>
  <c r="D11" i="67"/>
  <c r="E11" i="67"/>
  <c r="F11" i="67"/>
  <c r="G11" i="67"/>
  <c r="H11" i="67"/>
  <c r="I11" i="67"/>
  <c r="J11" i="67"/>
  <c r="F12" i="67"/>
  <c r="G12" i="67"/>
  <c r="I12" i="67"/>
  <c r="J12" i="67"/>
  <c r="B13" i="67"/>
  <c r="C13" i="67"/>
  <c r="D13" i="67"/>
  <c r="E13" i="67"/>
  <c r="F13" i="67"/>
  <c r="G13" i="67"/>
  <c r="H13" i="67"/>
  <c r="I13" i="67"/>
  <c r="J13" i="67"/>
  <c r="F14" i="67"/>
  <c r="G14" i="67"/>
  <c r="I14" i="67"/>
  <c r="J14" i="67"/>
  <c r="B15" i="67" a="1"/>
  <c r="C15" i="67" a="1"/>
  <c r="D15" i="67" a="1"/>
  <c r="E15" i="67" a="1"/>
  <c r="F15" i="67"/>
  <c r="G15" i="67"/>
  <c r="H15" i="67" a="1"/>
  <c r="I15" i="67"/>
  <c r="J15" i="67"/>
  <c r="F16" i="67"/>
  <c r="G16" i="67"/>
  <c r="I16" i="67"/>
  <c r="J16" i="67"/>
  <c r="F18" i="67"/>
  <c r="G18" i="67"/>
  <c r="I18" i="67"/>
  <c r="J18" i="67"/>
  <c r="F19" i="67"/>
  <c r="G19" i="67"/>
  <c r="I19" i="67"/>
  <c r="J19" i="67"/>
  <c r="F20" i="67"/>
  <c r="G20" i="67"/>
  <c r="I20" i="67"/>
  <c r="J20" i="67"/>
  <c r="B21" i="67"/>
  <c r="C21" i="67"/>
  <c r="D21" i="67"/>
  <c r="E21" i="67"/>
  <c r="F21" i="67"/>
  <c r="G21" i="67"/>
  <c r="H21" i="67"/>
  <c r="I21" i="67"/>
  <c r="J21" i="67"/>
  <c r="F23" i="67"/>
  <c r="G23" i="67"/>
  <c r="I23" i="67"/>
  <c r="J23" i="67"/>
  <c r="F24" i="67"/>
  <c r="G24" i="67"/>
  <c r="I24" i="67"/>
  <c r="J24" i="67"/>
  <c r="F25" i="67"/>
  <c r="G25" i="67"/>
  <c r="I25" i="67"/>
  <c r="J25" i="67"/>
  <c r="F26" i="67"/>
  <c r="G26" i="67"/>
  <c r="I26" i="67"/>
  <c r="J26" i="67"/>
  <c r="F27" i="67"/>
  <c r="G27" i="67"/>
  <c r="I27" i="67"/>
  <c r="J27" i="67"/>
  <c r="F28" i="67"/>
  <c r="G28" i="67"/>
  <c r="I28" i="67"/>
  <c r="J28" i="67"/>
  <c r="F29" i="67"/>
  <c r="G29" i="67"/>
  <c r="I29" i="67"/>
  <c r="J29" i="67"/>
  <c r="F30" i="67"/>
  <c r="G30" i="67"/>
  <c r="I30" i="67"/>
  <c r="J30" i="67"/>
  <c r="F31" i="67"/>
  <c r="G31" i="67"/>
  <c r="I31" i="67"/>
  <c r="J31" i="67"/>
  <c r="F32" i="67"/>
  <c r="G32" i="67"/>
  <c r="I32" i="67"/>
  <c r="J32" i="67"/>
  <c r="F34" i="67"/>
  <c r="G34" i="67"/>
  <c r="I34" i="67"/>
  <c r="J34" i="67"/>
  <c r="F35" i="67"/>
  <c r="G35" i="67"/>
  <c r="I35" i="67"/>
  <c r="J35" i="67"/>
  <c r="B36" i="67"/>
  <c r="C36" i="67"/>
  <c r="D36" i="67"/>
  <c r="E36" i="67"/>
  <c r="F36" i="67"/>
  <c r="G36" i="67"/>
  <c r="H36" i="67"/>
  <c r="I36" i="67"/>
  <c r="J36" i="67"/>
  <c r="F37" i="67"/>
  <c r="G37" i="67"/>
  <c r="I37" i="67"/>
  <c r="J37" i="67"/>
  <c r="F38" i="67"/>
  <c r="G38" i="67"/>
  <c r="I38" i="67"/>
  <c r="J38" i="67"/>
  <c r="F39" i="67"/>
  <c r="G39" i="67"/>
  <c r="I39" i="67"/>
  <c r="J39" i="67"/>
  <c r="B41" i="67"/>
  <c r="C41" i="67"/>
  <c r="D41" i="67"/>
  <c r="E41" i="67"/>
  <c r="F41" i="67"/>
  <c r="G41" i="67"/>
  <c r="H41" i="67"/>
  <c r="I41" i="67"/>
  <c r="J41" i="67"/>
  <c r="B42" i="67"/>
  <c r="C42" i="67"/>
  <c r="D42" i="67"/>
  <c r="E42" i="67"/>
  <c r="F42" i="67"/>
  <c r="G42" i="67"/>
  <c r="H42" i="67"/>
  <c r="I42" i="67"/>
  <c r="J42" i="67"/>
  <c r="B43" i="67"/>
  <c r="C43" i="67"/>
  <c r="D43" i="67"/>
  <c r="E43" i="67"/>
  <c r="F43" i="67"/>
  <c r="G43" i="67"/>
  <c r="H43" i="67"/>
  <c r="I43" i="67"/>
  <c r="J43" i="67"/>
  <c r="B44" i="67"/>
  <c r="C44" i="67"/>
  <c r="D44" i="67"/>
  <c r="E44" i="67"/>
  <c r="F44" i="67"/>
  <c r="G44" i="67"/>
  <c r="H44" i="67"/>
  <c r="I44" i="67"/>
  <c r="J44" i="67"/>
  <c r="B45" i="67"/>
  <c r="C45" i="67"/>
  <c r="D45" i="67"/>
  <c r="E45" i="67"/>
  <c r="F45" i="67"/>
  <c r="G45" i="67"/>
  <c r="H45" i="67"/>
  <c r="I45" i="67"/>
  <c r="J45" i="67"/>
  <c r="F46" i="67"/>
  <c r="G46" i="67"/>
  <c r="I46" i="67"/>
  <c r="J46" i="67"/>
  <c r="D2" i="26"/>
  <c r="A3" i="26"/>
  <c r="D3" i="26"/>
  <c r="A4" i="26"/>
  <c r="A5" i="26"/>
  <c r="D5" i="26"/>
  <c r="D6" i="26"/>
  <c r="E6" i="26"/>
  <c r="B13" i="26"/>
  <c r="C13" i="26"/>
  <c r="D13" i="26" s="1"/>
  <c r="E13" i="26"/>
  <c r="G13" i="26"/>
  <c r="I13" i="26"/>
  <c r="J13" i="26"/>
  <c r="B15" i="26"/>
  <c r="C15" i="26"/>
  <c r="E15" i="26"/>
  <c r="G15" i="26"/>
  <c r="H15" i="26" s="1"/>
  <c r="I15" i="26"/>
  <c r="J15" i="26"/>
  <c r="B17" i="26"/>
  <c r="C17" i="26"/>
  <c r="D17" i="26"/>
  <c r="E17" i="26"/>
  <c r="F17" i="26" s="1"/>
  <c r="G17" i="26"/>
  <c r="H17" i="26" s="1"/>
  <c r="I17" i="26"/>
  <c r="B18" i="26"/>
  <c r="C18" i="26"/>
  <c r="D18" i="26" s="1"/>
  <c r="E18" i="26"/>
  <c r="F18" i="26"/>
  <c r="G18" i="26"/>
  <c r="H18" i="26" s="1"/>
  <c r="I18" i="26"/>
  <c r="J18" i="26" s="1"/>
  <c r="B30" i="26"/>
  <c r="C30" i="26"/>
  <c r="D30" i="26"/>
  <c r="E30" i="26"/>
  <c r="G30" i="26"/>
  <c r="I30" i="26"/>
  <c r="J30" i="26" s="1"/>
  <c r="B31" i="26"/>
  <c r="C31" i="26"/>
  <c r="E31" i="26"/>
  <c r="G31" i="26"/>
  <c r="H31" i="26" s="1"/>
  <c r="I31" i="26"/>
  <c r="B36" i="26"/>
  <c r="C36" i="26"/>
  <c r="D36" i="26" s="1"/>
  <c r="E36" i="26"/>
  <c r="F36" i="26" s="1"/>
  <c r="G36" i="26"/>
  <c r="H36" i="26" s="1"/>
  <c r="I36" i="26"/>
  <c r="B37" i="26"/>
  <c r="C37" i="26"/>
  <c r="D37" i="26"/>
  <c r="E37" i="26"/>
  <c r="F37" i="26" s="1"/>
  <c r="G37" i="26"/>
  <c r="I37" i="26"/>
  <c r="J37" i="26"/>
  <c r="B38" i="26"/>
  <c r="C38" i="26"/>
  <c r="E38" i="26"/>
  <c r="F38" i="26" s="1"/>
  <c r="G38" i="26"/>
  <c r="I38" i="26"/>
  <c r="B39" i="26"/>
  <c r="C39" i="26"/>
  <c r="D39" i="26"/>
  <c r="E39" i="26"/>
  <c r="F39" i="26" s="1"/>
  <c r="G39" i="26"/>
  <c r="H39" i="26"/>
  <c r="I39" i="26"/>
  <c r="J39" i="26"/>
  <c r="B40" i="26"/>
  <c r="D40" i="26" s="1"/>
  <c r="C40" i="26"/>
  <c r="E40" i="26"/>
  <c r="F40" i="26" s="1"/>
  <c r="G40" i="26"/>
  <c r="H40" i="26"/>
  <c r="I40" i="26"/>
  <c r="J40" i="26" s="1"/>
  <c r="B41" i="26"/>
  <c r="C41" i="26"/>
  <c r="D41" i="26"/>
  <c r="E41" i="26"/>
  <c r="F41" i="26"/>
  <c r="G41" i="26"/>
  <c r="H41" i="26"/>
  <c r="I41" i="26"/>
  <c r="J41" i="26" s="1"/>
  <c r="B44" i="26"/>
  <c r="D44" i="26" s="1"/>
  <c r="C44" i="26"/>
  <c r="E44" i="26"/>
  <c r="F44" i="26" s="1"/>
  <c r="G44" i="26"/>
  <c r="H44" i="26"/>
  <c r="I44" i="26"/>
  <c r="B45" i="26"/>
  <c r="C45" i="26"/>
  <c r="E45" i="26"/>
  <c r="F45" i="26"/>
  <c r="G45" i="26"/>
  <c r="H45" i="26" s="1"/>
  <c r="I45" i="26"/>
  <c r="B46" i="26"/>
  <c r="C46" i="26"/>
  <c r="D46" i="26" s="1"/>
  <c r="E46" i="26"/>
  <c r="F46" i="26"/>
  <c r="G46" i="26"/>
  <c r="H46" i="26" s="1"/>
  <c r="I46" i="26"/>
  <c r="J46" i="26" s="1"/>
  <c r="B47" i="26"/>
  <c r="C47" i="26"/>
  <c r="D47" i="26" s="1"/>
  <c r="E47" i="26"/>
  <c r="G47" i="26"/>
  <c r="I47" i="26"/>
  <c r="J47" i="26"/>
  <c r="B51" i="26"/>
  <c r="C51" i="26"/>
  <c r="D51" i="26" s="1"/>
  <c r="E51" i="26"/>
  <c r="F51" i="26"/>
  <c r="G51" i="26"/>
  <c r="H51" i="26" s="1"/>
  <c r="I51" i="26"/>
  <c r="J51" i="26"/>
  <c r="B52" i="26"/>
  <c r="D52" i="26" s="1"/>
  <c r="C52" i="26"/>
  <c r="E52" i="26"/>
  <c r="G52" i="26"/>
  <c r="I52" i="26"/>
  <c r="J52" i="26"/>
  <c r="D2" i="25"/>
  <c r="A3" i="25"/>
  <c r="D3" i="25"/>
  <c r="A4" i="25"/>
  <c r="A5" i="25"/>
  <c r="D5" i="25"/>
  <c r="D6" i="25"/>
  <c r="E6" i="25"/>
  <c r="B12" i="25"/>
  <c r="C12" i="25"/>
  <c r="D12" i="25" s="1"/>
  <c r="E12" i="25"/>
  <c r="F12" i="25"/>
  <c r="G12" i="25"/>
  <c r="H12" i="25"/>
  <c r="I12" i="25"/>
  <c r="J12" i="25"/>
  <c r="B16" i="25"/>
  <c r="C16" i="25"/>
  <c r="E16" i="25"/>
  <c r="G16" i="25"/>
  <c r="I16" i="25"/>
  <c r="J16" i="25"/>
  <c r="B18" i="25"/>
  <c r="D18" i="25" s="1"/>
  <c r="C18" i="25"/>
  <c r="E18" i="25"/>
  <c r="F18" i="25"/>
  <c r="G18" i="25"/>
  <c r="H18" i="25" s="1"/>
  <c r="I18" i="25"/>
  <c r="J18" i="25" s="1"/>
  <c r="B22" i="25"/>
  <c r="C22" i="25"/>
  <c r="D22" i="25"/>
  <c r="E22" i="25"/>
  <c r="F22" i="25" s="1"/>
  <c r="G22" i="25"/>
  <c r="I22" i="25"/>
  <c r="J22" i="25" s="1"/>
  <c r="B23" i="25"/>
  <c r="C23" i="25"/>
  <c r="D23" i="25" s="1"/>
  <c r="E23" i="25"/>
  <c r="F23" i="25" s="1"/>
  <c r="G23" i="25"/>
  <c r="H23" i="25"/>
  <c r="I23" i="25"/>
  <c r="J23" i="25" s="1"/>
  <c r="B24" i="25"/>
  <c r="D24" i="25" s="1"/>
  <c r="C24" i="25"/>
  <c r="F24" i="25" s="1"/>
  <c r="E24" i="25"/>
  <c r="G24" i="25"/>
  <c r="H24" i="25"/>
  <c r="I24" i="25"/>
  <c r="J24" i="25"/>
  <c r="B25" i="25"/>
  <c r="D25" i="25" s="1"/>
  <c r="C25" i="25"/>
  <c r="E25" i="25"/>
  <c r="F25" i="25"/>
  <c r="G25" i="25"/>
  <c r="H25" i="25"/>
  <c r="I25" i="25"/>
  <c r="J25" i="25"/>
  <c r="B26" i="25"/>
  <c r="C26" i="25"/>
  <c r="D26" i="25" s="1"/>
  <c r="E26" i="25"/>
  <c r="G26" i="25"/>
  <c r="I26" i="25"/>
  <c r="J26" i="25" s="1"/>
  <c r="B28" i="25"/>
  <c r="D28" i="25" s="1"/>
  <c r="C28" i="25"/>
  <c r="E28" i="25"/>
  <c r="F28" i="25" s="1"/>
  <c r="G28" i="25"/>
  <c r="J28" i="25" s="1"/>
  <c r="H28" i="25"/>
  <c r="I28" i="25"/>
  <c r="B30" i="25"/>
  <c r="C30" i="25"/>
  <c r="D30" i="25" s="1"/>
  <c r="E30" i="25"/>
  <c r="G30" i="25"/>
  <c r="H30" i="25"/>
  <c r="I30" i="25"/>
  <c r="J30" i="25"/>
  <c r="B31" i="25"/>
  <c r="C31" i="25"/>
  <c r="D31" i="25" s="1"/>
  <c r="E31" i="25"/>
  <c r="F31" i="25" s="1"/>
  <c r="G31" i="25"/>
  <c r="I31" i="25"/>
  <c r="J31" i="25"/>
  <c r="B33" i="25"/>
  <c r="C33" i="25"/>
  <c r="D33" i="25" s="1"/>
  <c r="E33" i="25"/>
  <c r="G33" i="25"/>
  <c r="I33" i="25"/>
  <c r="J33" i="25" s="1"/>
  <c r="B35" i="25"/>
  <c r="C35" i="25"/>
  <c r="E35" i="25"/>
  <c r="H35" i="25" s="1"/>
  <c r="G35" i="25"/>
  <c r="I35" i="25"/>
  <c r="J35" i="25" s="1"/>
  <c r="D2" i="24"/>
  <c r="A3" i="24"/>
  <c r="D3" i="24"/>
  <c r="A4" i="24"/>
  <c r="A5" i="24"/>
  <c r="D5" i="24"/>
  <c r="D6" i="24"/>
  <c r="E6" i="24"/>
  <c r="B10" i="24"/>
  <c r="C10" i="24"/>
  <c r="E10" i="24"/>
  <c r="G10" i="24"/>
  <c r="I10" i="24"/>
  <c r="B11" i="24"/>
  <c r="C11" i="24"/>
  <c r="E11" i="24"/>
  <c r="G11" i="24"/>
  <c r="I11" i="24"/>
  <c r="B12" i="24"/>
  <c r="C12" i="24"/>
  <c r="E12" i="24"/>
  <c r="G12" i="24"/>
  <c r="I12" i="24"/>
  <c r="B14" i="24"/>
  <c r="C14" i="24"/>
  <c r="E14" i="24"/>
  <c r="G14" i="24"/>
  <c r="I14" i="24"/>
  <c r="B16" i="24"/>
  <c r="C16" i="24"/>
  <c r="E16" i="24"/>
  <c r="G16" i="24"/>
  <c r="I16" i="24"/>
  <c r="B17" i="24"/>
  <c r="C17" i="24"/>
  <c r="E17" i="24"/>
  <c r="G17" i="24"/>
  <c r="I17" i="24"/>
  <c r="B18" i="24"/>
  <c r="C18" i="24"/>
  <c r="E18" i="24"/>
  <c r="G18" i="24"/>
  <c r="I18" i="24"/>
  <c r="B19" i="24"/>
  <c r="C19" i="24"/>
  <c r="E19" i="24"/>
  <c r="G19" i="24"/>
  <c r="I19" i="24"/>
  <c r="B20" i="24"/>
  <c r="C20" i="24"/>
  <c r="E20" i="24"/>
  <c r="G20" i="24"/>
  <c r="I20" i="24"/>
  <c r="B23" i="24"/>
  <c r="C23" i="24"/>
  <c r="E23" i="24"/>
  <c r="G23" i="24"/>
  <c r="I23" i="24"/>
  <c r="B27" i="24"/>
  <c r="C27" i="24"/>
  <c r="E27" i="24"/>
  <c r="G27" i="24"/>
  <c r="I27" i="24"/>
  <c r="B28" i="24"/>
  <c r="C28" i="24"/>
  <c r="E28" i="24"/>
  <c r="G28" i="24"/>
  <c r="I28" i="24"/>
  <c r="B31" i="24"/>
  <c r="C31" i="24"/>
  <c r="E31" i="24"/>
  <c r="G31" i="24"/>
  <c r="B33" i="24"/>
  <c r="C33" i="24"/>
  <c r="E33" i="24"/>
  <c r="G33" i="24"/>
  <c r="I33" i="24"/>
  <c r="B35" i="24"/>
  <c r="C35" i="24"/>
  <c r="E35" i="24"/>
  <c r="G35" i="24"/>
  <c r="I35" i="24"/>
  <c r="B36" i="24"/>
  <c r="C36" i="24"/>
  <c r="E36" i="24"/>
  <c r="G36" i="24"/>
  <c r="I36" i="24"/>
  <c r="B37" i="24"/>
  <c r="C37" i="24"/>
  <c r="E37" i="24"/>
  <c r="G37" i="24"/>
  <c r="I37" i="24"/>
  <c r="B38" i="24"/>
  <c r="C38" i="24"/>
  <c r="E38" i="24"/>
  <c r="G38" i="24"/>
  <c r="I38" i="24"/>
  <c r="B39" i="24"/>
  <c r="C39" i="24"/>
  <c r="E39" i="24"/>
  <c r="G39" i="24"/>
  <c r="I39" i="24"/>
  <c r="B40" i="24"/>
  <c r="C40" i="24"/>
  <c r="E40" i="24"/>
  <c r="G40" i="24"/>
  <c r="I40" i="24"/>
  <c r="B41" i="24"/>
  <c r="C41" i="24"/>
  <c r="E41" i="24"/>
  <c r="G41" i="24"/>
  <c r="I41" i="24"/>
  <c r="B42" i="24"/>
  <c r="C42" i="24"/>
  <c r="E42" i="24"/>
  <c r="G42" i="24"/>
  <c r="I42" i="24"/>
  <c r="B43" i="24"/>
  <c r="C43" i="24"/>
  <c r="E43" i="24"/>
  <c r="G43" i="24"/>
  <c r="I43" i="24"/>
  <c r="B44" i="24"/>
  <c r="C44" i="24"/>
  <c r="E44" i="24"/>
  <c r="G44" i="24"/>
  <c r="I44" i="24"/>
  <c r="B45" i="24"/>
  <c r="C45" i="24"/>
  <c r="E45" i="24"/>
  <c r="G45" i="24"/>
  <c r="I45" i="24"/>
  <c r="B46" i="24"/>
  <c r="C46" i="24"/>
  <c r="E46" i="24"/>
  <c r="G46" i="24"/>
  <c r="I46" i="24"/>
  <c r="D2" i="60"/>
  <c r="A3" i="60"/>
  <c r="D3" i="60"/>
  <c r="A4" i="60"/>
  <c r="A5" i="60"/>
  <c r="D5" i="60"/>
  <c r="D6" i="60"/>
  <c r="E6" i="60"/>
  <c r="B10" i="60"/>
  <c r="D10" i="60" s="1"/>
  <c r="C10" i="60"/>
  <c r="E10" i="60"/>
  <c r="H10" i="60" s="1"/>
  <c r="G10" i="60"/>
  <c r="I10" i="60"/>
  <c r="J10" i="60" s="1"/>
  <c r="B11" i="60"/>
  <c r="C11" i="60"/>
  <c r="F11" i="60" s="1"/>
  <c r="E11" i="60"/>
  <c r="G11" i="60"/>
  <c r="H11" i="60" s="1"/>
  <c r="I11" i="60"/>
  <c r="J11" i="60" s="1"/>
  <c r="B12" i="60"/>
  <c r="C12" i="60"/>
  <c r="D12" i="60"/>
  <c r="E12" i="60"/>
  <c r="F12" i="60"/>
  <c r="G12" i="60"/>
  <c r="H12" i="60"/>
  <c r="I12" i="60"/>
  <c r="J12" i="60"/>
  <c r="B13" i="60"/>
  <c r="C13" i="60"/>
  <c r="E13" i="60"/>
  <c r="H13" i="60" s="1"/>
  <c r="F13" i="60"/>
  <c r="G13" i="60"/>
  <c r="I13" i="60"/>
  <c r="J13" i="60" s="1"/>
  <c r="B14" i="60"/>
  <c r="D14" i="60" s="1"/>
  <c r="C14" i="60"/>
  <c r="E14" i="60"/>
  <c r="F14" i="60"/>
  <c r="G14" i="60"/>
  <c r="H14" i="60"/>
  <c r="I14" i="60"/>
  <c r="J14" i="60" s="1"/>
  <c r="B15" i="60"/>
  <c r="C15" i="60"/>
  <c r="D15" i="60" s="1"/>
  <c r="E15" i="60"/>
  <c r="F15" i="60" s="1"/>
  <c r="G15" i="60"/>
  <c r="I15" i="60"/>
  <c r="B16" i="60"/>
  <c r="C16" i="60"/>
  <c r="D16" i="60" s="1"/>
  <c r="E16" i="60"/>
  <c r="F16" i="60" s="1"/>
  <c r="G16" i="60"/>
  <c r="I16" i="60"/>
  <c r="J16" i="60"/>
  <c r="B17" i="60"/>
  <c r="C17" i="60"/>
  <c r="D17" i="60" s="1"/>
  <c r="E17" i="60"/>
  <c r="G17" i="60"/>
  <c r="I17" i="60"/>
  <c r="J17" i="60"/>
  <c r="B18" i="60"/>
  <c r="D18" i="60" s="1"/>
  <c r="C18" i="60"/>
  <c r="E18" i="60"/>
  <c r="G18" i="60"/>
  <c r="I18" i="60"/>
  <c r="J18" i="60"/>
  <c r="B19" i="60"/>
  <c r="C19" i="60"/>
  <c r="D19" i="60" s="1"/>
  <c r="E19" i="60"/>
  <c r="G19" i="60"/>
  <c r="H19" i="60"/>
  <c r="I19" i="60"/>
  <c r="J19" i="60" s="1"/>
  <c r="B20" i="60"/>
  <c r="C20" i="60"/>
  <c r="D20" i="60"/>
  <c r="E20" i="60"/>
  <c r="G20" i="60"/>
  <c r="I20" i="60"/>
  <c r="J20" i="60" s="1"/>
  <c r="B21" i="60"/>
  <c r="C21" i="60"/>
  <c r="E21" i="60"/>
  <c r="F21" i="60"/>
  <c r="G21" i="60"/>
  <c r="I21" i="60"/>
  <c r="J21" i="60" s="1"/>
  <c r="B22" i="60"/>
  <c r="C22" i="60"/>
  <c r="D22" i="60"/>
  <c r="E22" i="60"/>
  <c r="F22" i="60" s="1"/>
  <c r="G22" i="60"/>
  <c r="H22" i="60"/>
  <c r="I22" i="60"/>
  <c r="J22" i="60" s="1"/>
  <c r="B23" i="60"/>
  <c r="C23" i="60"/>
  <c r="D23" i="60"/>
  <c r="E23" i="60"/>
  <c r="F23" i="60" s="1"/>
  <c r="G23" i="60"/>
  <c r="H23" i="60"/>
  <c r="I23" i="60"/>
  <c r="B25" i="60"/>
  <c r="C25" i="60"/>
  <c r="E25" i="60"/>
  <c r="G25" i="60"/>
  <c r="H25" i="60" s="1"/>
  <c r="I25" i="60"/>
  <c r="J25" i="60"/>
  <c r="B26" i="60"/>
  <c r="C26" i="60"/>
  <c r="F26" i="60" s="1"/>
  <c r="D26" i="60"/>
  <c r="E26" i="60"/>
  <c r="G26" i="60"/>
  <c r="H26" i="60" s="1"/>
  <c r="I26" i="60"/>
  <c r="J26" i="60"/>
  <c r="B27" i="60"/>
  <c r="C27" i="60"/>
  <c r="D27" i="60"/>
  <c r="E27" i="60"/>
  <c r="F27" i="60"/>
  <c r="G27" i="60"/>
  <c r="H27" i="60" s="1"/>
  <c r="I27" i="60"/>
  <c r="B28" i="60"/>
  <c r="C28" i="60"/>
  <c r="D28" i="60"/>
  <c r="E28" i="60"/>
  <c r="F28" i="60"/>
  <c r="G28" i="60"/>
  <c r="H28" i="60" s="1"/>
  <c r="I28" i="60"/>
  <c r="B30" i="60"/>
  <c r="C30" i="60"/>
  <c r="D30" i="60" s="1"/>
  <c r="E30" i="60"/>
  <c r="F30" i="60"/>
  <c r="G30" i="60"/>
  <c r="H30" i="60"/>
  <c r="I30" i="60"/>
  <c r="J30" i="60"/>
  <c r="B31" i="60"/>
  <c r="D31" i="60" s="1"/>
  <c r="C31" i="60"/>
  <c r="E31" i="60"/>
  <c r="F31" i="60"/>
  <c r="G31" i="60"/>
  <c r="H31" i="60" s="1"/>
  <c r="I31" i="60"/>
  <c r="J31" i="60"/>
  <c r="B32" i="60"/>
  <c r="C32" i="60"/>
  <c r="D32" i="60"/>
  <c r="E32" i="60"/>
  <c r="F32" i="60" s="1"/>
  <c r="G32" i="60"/>
  <c r="I32" i="60"/>
  <c r="J32" i="60"/>
  <c r="B42" i="60"/>
  <c r="C42" i="60"/>
  <c r="E42" i="60"/>
  <c r="G42" i="60"/>
  <c r="H42" i="60" s="1"/>
  <c r="I42" i="60"/>
  <c r="J42" i="60" s="1"/>
  <c r="B43" i="60"/>
  <c r="C43" i="60"/>
  <c r="D43" i="60"/>
  <c r="E43" i="60"/>
  <c r="F43" i="60"/>
  <c r="G43" i="60"/>
  <c r="J43" i="60" s="1"/>
  <c r="I43" i="60"/>
  <c r="B44" i="60"/>
  <c r="C44" i="60"/>
  <c r="D44" i="60" s="1"/>
  <c r="E44" i="60"/>
  <c r="G44" i="60"/>
  <c r="H44" i="60" s="1"/>
  <c r="I44" i="60"/>
  <c r="J44" i="60"/>
  <c r="B45" i="60"/>
  <c r="C45" i="60"/>
  <c r="D45" i="60" s="1"/>
  <c r="E45" i="60"/>
  <c r="G45" i="60"/>
  <c r="H45" i="60" s="1"/>
  <c r="I45" i="60"/>
  <c r="J45" i="60" s="1"/>
  <c r="D2" i="34"/>
  <c r="A3" i="34"/>
  <c r="D3" i="34"/>
  <c r="A4" i="34"/>
  <c r="A5" i="34"/>
  <c r="D5" i="34"/>
  <c r="D6" i="34"/>
  <c r="E6" i="34"/>
  <c r="B10" i="34"/>
  <c r="C10" i="34"/>
  <c r="D10" i="34" s="1"/>
  <c r="E10" i="34"/>
  <c r="F10" i="34" s="1"/>
  <c r="G10" i="34"/>
  <c r="I10" i="34"/>
  <c r="B12" i="34"/>
  <c r="C12" i="34"/>
  <c r="D12" i="34"/>
  <c r="E12" i="34"/>
  <c r="F12" i="34" s="1"/>
  <c r="G12" i="34"/>
  <c r="I12" i="34"/>
  <c r="J12" i="34"/>
  <c r="B13" i="34"/>
  <c r="C13" i="34"/>
  <c r="D13" i="34"/>
  <c r="E13" i="34"/>
  <c r="G13" i="34"/>
  <c r="I13" i="34"/>
  <c r="J13" i="34" s="1"/>
  <c r="B14" i="34"/>
  <c r="C14" i="34"/>
  <c r="D14" i="34"/>
  <c r="E14" i="34"/>
  <c r="F14" i="34" s="1"/>
  <c r="G14" i="34"/>
  <c r="H14" i="34" s="1"/>
  <c r="I14" i="34"/>
  <c r="B15" i="34"/>
  <c r="D15" i="34" s="1"/>
  <c r="C15" i="34"/>
  <c r="E15" i="34"/>
  <c r="F15" i="34"/>
  <c r="G15" i="34"/>
  <c r="J15" i="34" s="1"/>
  <c r="I15" i="34"/>
  <c r="B16" i="34"/>
  <c r="C16" i="34"/>
  <c r="F16" i="34" s="1"/>
  <c r="E16" i="34"/>
  <c r="G16" i="34"/>
  <c r="H16" i="34"/>
  <c r="I16" i="34"/>
  <c r="J16" i="34"/>
  <c r="B23" i="34"/>
  <c r="C23" i="34"/>
  <c r="E23" i="34"/>
  <c r="F23" i="34" s="1"/>
  <c r="G23" i="34"/>
  <c r="H23" i="34" s="1"/>
  <c r="I23" i="34"/>
  <c r="J23" i="34"/>
  <c r="B25" i="34"/>
  <c r="C25" i="34"/>
  <c r="D25" i="34" s="1"/>
  <c r="E25" i="34"/>
  <c r="G25" i="34"/>
  <c r="H25" i="34" s="1"/>
  <c r="I25" i="34"/>
  <c r="J25" i="34" s="1"/>
  <c r="B26" i="34"/>
  <c r="C26" i="34"/>
  <c r="D26" i="34"/>
  <c r="E26" i="34"/>
  <c r="F26" i="34" s="1"/>
  <c r="G26" i="34"/>
  <c r="H26" i="34" s="1"/>
  <c r="I26" i="34"/>
  <c r="J26" i="34"/>
  <c r="B27" i="34"/>
  <c r="C27" i="34"/>
  <c r="E27" i="34"/>
  <c r="G27" i="34"/>
  <c r="I27" i="34"/>
  <c r="J27" i="34" s="1"/>
  <c r="B28" i="34"/>
  <c r="C28" i="34"/>
  <c r="E28" i="34"/>
  <c r="G28" i="34"/>
  <c r="I28" i="34"/>
  <c r="J28" i="34" s="1"/>
  <c r="B29" i="34"/>
  <c r="C29" i="34"/>
  <c r="D29" i="34" s="1"/>
  <c r="E29" i="34"/>
  <c r="F29" i="34" s="1"/>
  <c r="G29" i="34"/>
  <c r="H29" i="34" s="1"/>
  <c r="I29" i="34"/>
  <c r="J29" i="34" s="1"/>
  <c r="B31" i="34"/>
  <c r="D31" i="34" s="1"/>
  <c r="C31" i="34"/>
  <c r="E31" i="34"/>
  <c r="F31" i="34"/>
  <c r="G31" i="34"/>
  <c r="I31" i="34"/>
  <c r="B33" i="34"/>
  <c r="C33" i="34"/>
  <c r="D33" i="34"/>
  <c r="E33" i="34"/>
  <c r="F33" i="34"/>
  <c r="G33" i="34"/>
  <c r="H33" i="34"/>
  <c r="I33" i="34"/>
  <c r="J33" i="34" s="1"/>
  <c r="B34" i="34"/>
  <c r="C34" i="34"/>
  <c r="D34" i="34" s="1"/>
  <c r="E34" i="34"/>
  <c r="G34" i="34"/>
  <c r="I34" i="34"/>
  <c r="B35" i="34"/>
  <c r="C35" i="34"/>
  <c r="D35" i="34"/>
  <c r="E35" i="34"/>
  <c r="F35" i="34"/>
  <c r="G35" i="34"/>
  <c r="H35" i="34"/>
  <c r="I35" i="34"/>
  <c r="J35" i="34"/>
  <c r="B36" i="34"/>
  <c r="C36" i="34"/>
  <c r="E36" i="34"/>
  <c r="G36" i="34"/>
  <c r="I36" i="34"/>
  <c r="J36" i="34" s="1"/>
  <c r="B37" i="34"/>
  <c r="C37" i="34"/>
  <c r="D37" i="34"/>
  <c r="E37" i="34"/>
  <c r="F37" i="34"/>
  <c r="G37" i="34"/>
  <c r="H37" i="34"/>
  <c r="I37" i="34"/>
  <c r="J37" i="34" s="1"/>
  <c r="B39" i="34"/>
  <c r="C39" i="34"/>
  <c r="D39" i="34"/>
  <c r="E39" i="34"/>
  <c r="F39" i="34"/>
  <c r="G39" i="34"/>
  <c r="H39" i="34"/>
  <c r="I39" i="34"/>
  <c r="B41" i="34"/>
  <c r="D41" i="34" s="1"/>
  <c r="C41" i="34"/>
  <c r="E41" i="34"/>
  <c r="F41" i="34" s="1"/>
  <c r="G41" i="34"/>
  <c r="H41" i="34" s="1"/>
  <c r="I41" i="34"/>
  <c r="J41" i="34" s="1"/>
  <c r="B42" i="34"/>
  <c r="C42" i="34"/>
  <c r="D42" i="34"/>
  <c r="E42" i="34"/>
  <c r="G42" i="34"/>
  <c r="I42" i="34"/>
  <c r="J42" i="34"/>
  <c r="B43" i="34"/>
  <c r="C43" i="34"/>
  <c r="D43" i="34"/>
  <c r="E43" i="34"/>
  <c r="G43" i="34"/>
  <c r="I43" i="34"/>
  <c r="B44" i="34"/>
  <c r="C44" i="34"/>
  <c r="D44" i="34" s="1"/>
  <c r="E44" i="34"/>
  <c r="F44" i="34" s="1"/>
  <c r="G44" i="34"/>
  <c r="J44" i="34" s="1"/>
  <c r="H44" i="34"/>
  <c r="I44" i="34"/>
  <c r="B45" i="34"/>
  <c r="C45" i="34"/>
  <c r="E45" i="34"/>
  <c r="F45" i="34" s="1"/>
  <c r="G45" i="34"/>
  <c r="H45" i="34" s="1"/>
  <c r="I45" i="34"/>
  <c r="D2" i="61"/>
  <c r="A3" i="61"/>
  <c r="D3" i="61"/>
  <c r="A4" i="61"/>
  <c r="A5" i="61"/>
  <c r="D5" i="61"/>
  <c r="D6" i="61"/>
  <c r="E6" i="61"/>
  <c r="B19" i="61"/>
  <c r="C19" i="61"/>
  <c r="D19" i="61"/>
  <c r="E19" i="61"/>
  <c r="F19" i="61"/>
  <c r="G19" i="61"/>
  <c r="H19" i="61"/>
  <c r="I19" i="61"/>
  <c r="J19" i="61"/>
  <c r="B21" i="61"/>
  <c r="C21" i="61"/>
  <c r="D21" i="61"/>
  <c r="E21" i="61"/>
  <c r="F21" i="61"/>
  <c r="G21" i="61"/>
  <c r="H21" i="61"/>
  <c r="I21" i="61"/>
  <c r="J21" i="61"/>
  <c r="B22" i="61"/>
  <c r="C22" i="61"/>
  <c r="D22" i="61" s="1"/>
  <c r="E22" i="61"/>
  <c r="G22" i="61"/>
  <c r="I22" i="61"/>
  <c r="B23" i="61"/>
  <c r="C23" i="61"/>
  <c r="D23" i="61" s="1"/>
  <c r="E23" i="61"/>
  <c r="G23" i="61"/>
  <c r="H23" i="61"/>
  <c r="I23" i="61"/>
  <c r="J23" i="61"/>
  <c r="B24" i="61"/>
  <c r="C24" i="61"/>
  <c r="D24" i="61" s="1"/>
  <c r="E24" i="61"/>
  <c r="F24" i="61" s="1"/>
  <c r="G24" i="61"/>
  <c r="H24" i="61" s="1"/>
  <c r="I24" i="61"/>
  <c r="J24" i="61" s="1"/>
  <c r="B25" i="61"/>
  <c r="C25" i="61"/>
  <c r="D25" i="61" s="1"/>
  <c r="E25" i="61"/>
  <c r="H25" i="61" s="1"/>
  <c r="F25" i="61"/>
  <c r="G25" i="61"/>
  <c r="I25" i="61"/>
  <c r="J25" i="61"/>
  <c r="B27" i="61"/>
  <c r="C27" i="61"/>
  <c r="D27" i="61" s="1"/>
  <c r="E27" i="61"/>
  <c r="F27" i="61" s="1"/>
  <c r="G27" i="61"/>
  <c r="H27" i="61" s="1"/>
  <c r="I27" i="61"/>
  <c r="J27" i="61" s="1"/>
  <c r="B29" i="61"/>
  <c r="C29" i="61"/>
  <c r="D29" i="61" s="1"/>
  <c r="E29" i="61"/>
  <c r="F29" i="61"/>
  <c r="G29" i="61"/>
  <c r="H29" i="61" s="1"/>
  <c r="I29" i="61"/>
  <c r="J29" i="61" s="1"/>
  <c r="B30" i="61"/>
  <c r="C30" i="61"/>
  <c r="D30" i="61" s="1"/>
  <c r="E30" i="61"/>
  <c r="F30" i="61"/>
  <c r="G30" i="61"/>
  <c r="H30" i="61"/>
  <c r="I30" i="61"/>
  <c r="J30" i="61"/>
  <c r="B31" i="61"/>
  <c r="C31" i="61"/>
  <c r="D31" i="61" s="1"/>
  <c r="E31" i="61"/>
  <c r="G31" i="61"/>
  <c r="I31" i="61"/>
  <c r="J31" i="61" s="1"/>
  <c r="B32" i="61"/>
  <c r="C32" i="61"/>
  <c r="D32" i="61"/>
  <c r="E32" i="61"/>
  <c r="F32" i="61"/>
  <c r="G32" i="61"/>
  <c r="H32" i="61" s="1"/>
  <c r="I32" i="61"/>
  <c r="J32" i="61"/>
  <c r="B33" i="61"/>
  <c r="C33" i="61"/>
  <c r="D33" i="61" s="1"/>
  <c r="E33" i="61"/>
  <c r="F33" i="61" s="1"/>
  <c r="G33" i="61"/>
  <c r="H33" i="61" s="1"/>
  <c r="I33" i="61"/>
  <c r="J33" i="61" s="1"/>
  <c r="B34" i="61"/>
  <c r="C34" i="61"/>
  <c r="D34" i="61" s="1"/>
  <c r="E34" i="61"/>
  <c r="G34" i="61"/>
  <c r="H34" i="61" s="1"/>
  <c r="I34" i="61"/>
  <c r="J34" i="61" s="1"/>
  <c r="B36" i="61"/>
  <c r="C36" i="61"/>
  <c r="D36" i="61" s="1"/>
  <c r="E36" i="61"/>
  <c r="G36" i="61"/>
  <c r="H36" i="61" s="1"/>
  <c r="I36" i="61"/>
  <c r="B38" i="61"/>
  <c r="C38" i="61"/>
  <c r="D38" i="61" s="1"/>
  <c r="E38" i="61"/>
  <c r="F38" i="61" s="1"/>
  <c r="G38" i="61"/>
  <c r="H38" i="61" s="1"/>
  <c r="I38" i="61"/>
  <c r="B39" i="61"/>
  <c r="C39" i="61"/>
  <c r="D39" i="61"/>
  <c r="E39" i="61"/>
  <c r="F39" i="61"/>
  <c r="G39" i="61"/>
  <c r="H39" i="61"/>
  <c r="I39" i="61"/>
  <c r="B40" i="61"/>
  <c r="C40" i="61"/>
  <c r="E40" i="61"/>
  <c r="G40" i="61"/>
  <c r="I40" i="61"/>
  <c r="J40" i="61" s="1"/>
  <c r="B41" i="61"/>
  <c r="C41" i="61"/>
  <c r="D41" i="61"/>
  <c r="E41" i="61"/>
  <c r="F41" i="61"/>
  <c r="G41" i="61"/>
  <c r="H41" i="61" s="1"/>
  <c r="I41" i="61"/>
  <c r="J41" i="61"/>
  <c r="B42" i="61"/>
  <c r="C42" i="61"/>
  <c r="D42" i="61" s="1"/>
  <c r="E42" i="61"/>
  <c r="G42" i="61"/>
  <c r="H42" i="61"/>
  <c r="I42" i="61"/>
  <c r="B45" i="61" a="1"/>
  <c r="B51" i="61"/>
  <c r="D51" i="61" s="1"/>
  <c r="C51" i="61"/>
  <c r="E51" i="61"/>
  <c r="F51" i="61"/>
  <c r="G51" i="61"/>
  <c r="I51" i="61"/>
  <c r="B52" i="61"/>
  <c r="C52" i="61"/>
  <c r="D52" i="61" s="1"/>
  <c r="E52" i="61"/>
  <c r="F52" i="61" s="1"/>
  <c r="G52" i="61"/>
  <c r="H52" i="61" s="1"/>
  <c r="I52" i="61"/>
  <c r="B53" i="61" a="1"/>
  <c r="C53" i="61" a="1"/>
  <c r="E53" i="61" a="1"/>
  <c r="G53" i="61" a="1"/>
  <c r="I53" i="61" a="1"/>
  <c r="D2" i="57"/>
  <c r="A3" i="57"/>
  <c r="D3" i="57"/>
  <c r="A4" i="57"/>
  <c r="A5" i="57"/>
  <c r="D5" i="57"/>
  <c r="D6" i="57"/>
  <c r="E6" i="57"/>
  <c r="D2" i="36"/>
  <c r="A3" i="36"/>
  <c r="D3" i="36"/>
  <c r="A4" i="36"/>
  <c r="A5" i="36"/>
  <c r="D5" i="36"/>
  <c r="D6" i="36"/>
  <c r="E6" i="36"/>
  <c r="D2" i="38"/>
  <c r="A3" i="38"/>
  <c r="D3" i="38"/>
  <c r="A4" i="38"/>
  <c r="A5" i="38"/>
  <c r="D5" i="38"/>
  <c r="D6" i="38"/>
  <c r="E6" i="38"/>
  <c r="D2" i="62"/>
  <c r="A3" i="62"/>
  <c r="D3" i="62"/>
  <c r="A4" i="62"/>
  <c r="A5" i="62"/>
  <c r="D5" i="62"/>
  <c r="D6" i="62"/>
  <c r="E6" i="62"/>
  <c r="B10" i="62"/>
  <c r="C10" i="62"/>
  <c r="E10" i="62"/>
  <c r="G10" i="62"/>
  <c r="I10" i="62"/>
  <c r="B11" i="62"/>
  <c r="C11" i="62"/>
  <c r="E11" i="62"/>
  <c r="G11" i="62"/>
  <c r="I11" i="62"/>
  <c r="B12" i="62"/>
  <c r="C12" i="62"/>
  <c r="E12" i="62"/>
  <c r="G12" i="62"/>
  <c r="I12" i="62"/>
  <c r="B14" i="62"/>
  <c r="C14" i="62"/>
  <c r="D14" i="62" s="1"/>
  <c r="E14" i="62"/>
  <c r="F14" i="62" s="1"/>
  <c r="G14" i="62"/>
  <c r="I14" i="62"/>
  <c r="J14" i="62"/>
  <c r="B17" i="62"/>
  <c r="C17" i="62"/>
  <c r="E17" i="62"/>
  <c r="G17" i="62"/>
  <c r="I17" i="62"/>
  <c r="B18" i="62"/>
  <c r="C18" i="62"/>
  <c r="E18" i="62"/>
  <c r="G18" i="62"/>
  <c r="I18" i="62"/>
  <c r="B19" i="62"/>
  <c r="C19" i="62"/>
  <c r="E19" i="62"/>
  <c r="G19" i="62"/>
  <c r="I19" i="62"/>
  <c r="B21" i="62"/>
  <c r="C21" i="62"/>
  <c r="E21" i="62"/>
  <c r="G21" i="62"/>
  <c r="I21" i="62"/>
  <c r="B22" i="62"/>
  <c r="C22" i="62"/>
  <c r="E22" i="62"/>
  <c r="G22" i="62"/>
  <c r="I22" i="62"/>
  <c r="B23" i="62"/>
  <c r="C23" i="62"/>
  <c r="D23" i="62"/>
  <c r="E23" i="62"/>
  <c r="G23" i="62"/>
  <c r="I23" i="62"/>
  <c r="B25" i="62"/>
  <c r="C25" i="62"/>
  <c r="E25" i="62"/>
  <c r="G25" i="62"/>
  <c r="I25" i="62"/>
  <c r="B26" i="62"/>
  <c r="D26" i="62" s="1"/>
  <c r="C26" i="62"/>
  <c r="E26" i="62"/>
  <c r="G26" i="62"/>
  <c r="I26" i="62"/>
  <c r="B27" i="62"/>
  <c r="C27" i="62"/>
  <c r="E27" i="62"/>
  <c r="G27" i="62"/>
  <c r="I27" i="62"/>
  <c r="B29" i="62" a="1"/>
  <c r="C29" i="62" a="1"/>
  <c r="E29" i="62" a="1"/>
  <c r="G29" i="62" a="1"/>
  <c r="I29" i="62" a="1"/>
  <c r="B30" i="62" a="1"/>
  <c r="C30" i="62" a="1"/>
  <c r="E30" i="62" a="1"/>
  <c r="G30" i="62" a="1"/>
  <c r="I30" i="62" a="1"/>
  <c r="B31" i="62" a="1"/>
  <c r="C31" i="62" a="1"/>
  <c r="E31" i="62" a="1"/>
  <c r="G31" i="62" a="1"/>
  <c r="I31" i="62" a="1"/>
  <c r="C32" i="62" a="1"/>
  <c r="E32" i="62" a="1"/>
  <c r="G32" i="62" a="1"/>
  <c r="I32" i="62" a="1"/>
  <c r="B33" i="62"/>
  <c r="C33" i="62"/>
  <c r="E33" i="62"/>
  <c r="G33" i="62"/>
  <c r="I33" i="62"/>
  <c r="B34" i="62"/>
  <c r="C34" i="62"/>
  <c r="E34" i="62"/>
  <c r="G34" i="62"/>
  <c r="I34" i="62"/>
  <c r="B35" i="62"/>
  <c r="C35" i="62"/>
  <c r="E35" i="62"/>
  <c r="G35" i="62"/>
  <c r="I35" i="62"/>
  <c r="B37" i="62"/>
  <c r="C37" i="62"/>
  <c r="E37" i="62"/>
  <c r="G37" i="62"/>
  <c r="I37" i="62"/>
  <c r="B38" i="62"/>
  <c r="C38" i="62"/>
  <c r="E38" i="62"/>
  <c r="G38" i="62"/>
  <c r="I38" i="62"/>
  <c r="B39" i="62"/>
  <c r="C39" i="62"/>
  <c r="E39" i="62"/>
  <c r="G39" i="62"/>
  <c r="I39" i="62"/>
  <c r="B42" i="62"/>
  <c r="C42" i="62"/>
  <c r="E42" i="62"/>
  <c r="G42" i="62"/>
  <c r="I42" i="62"/>
  <c r="B43" i="62"/>
  <c r="C43" i="62"/>
  <c r="E43" i="62"/>
  <c r="G43" i="62"/>
  <c r="I43" i="62"/>
  <c r="B44" i="62"/>
  <c r="C44" i="62"/>
  <c r="E44" i="62"/>
  <c r="G44" i="62"/>
  <c r="I44" i="62"/>
  <c r="B45" i="62"/>
  <c r="B46" i="62" a="1"/>
  <c r="C46" i="62" a="1"/>
  <c r="E46" i="62" a="1"/>
  <c r="G46" i="62" a="1"/>
  <c r="I46" i="62" a="1"/>
  <c r="B47" i="62" a="1"/>
  <c r="C47" i="62" a="1"/>
  <c r="E47" i="62" a="1"/>
  <c r="G47" i="62" a="1"/>
  <c r="I47" i="62" a="1"/>
  <c r="B48" i="62" a="1"/>
  <c r="C48" i="62" a="1"/>
  <c r="E48" i="62" a="1"/>
  <c r="G48" i="62" a="1"/>
  <c r="I48" i="62" a="1"/>
  <c r="B51" i="62" a="1"/>
  <c r="C51" i="62" a="1"/>
  <c r="E51" i="62" a="1"/>
  <c r="G51" i="62" a="1"/>
  <c r="I51" i="62" a="1"/>
  <c r="B52" i="62" a="1"/>
  <c r="C52" i="62" a="1"/>
  <c r="E52" i="62" a="1"/>
  <c r="G52" i="62" a="1"/>
  <c r="I52" i="62" a="1"/>
  <c r="B53" i="62" a="1"/>
  <c r="C53" i="62" a="1"/>
  <c r="E53" i="62" a="1"/>
  <c r="G53" i="62" a="1"/>
  <c r="I53" i="62" a="1"/>
  <c r="B54" i="62" a="1"/>
  <c r="C54" i="62" a="1"/>
  <c r="E54" i="62" a="1"/>
  <c r="G54" i="62" a="1"/>
  <c r="I54" i="62" a="1"/>
  <c r="B55" i="62"/>
  <c r="D55" i="62" s="1"/>
  <c r="C55" i="62"/>
  <c r="E55" i="62"/>
  <c r="F55" i="62" s="1"/>
  <c r="G55" i="62"/>
  <c r="H55" i="62" s="1"/>
  <c r="I55" i="62"/>
  <c r="J55" i="62"/>
  <c r="D2" i="63"/>
  <c r="A3" i="63"/>
  <c r="D3" i="63"/>
  <c r="A4" i="63"/>
  <c r="A5" i="63"/>
  <c r="D5" i="63"/>
  <c r="D6" i="63"/>
  <c r="E6" i="63"/>
  <c r="G8" i="63"/>
  <c r="B14" i="63"/>
  <c r="C14" i="63"/>
  <c r="D14" i="63"/>
  <c r="E14" i="63"/>
  <c r="F14" i="63" s="1"/>
  <c r="G14" i="63"/>
  <c r="H14" i="63"/>
  <c r="I14" i="63"/>
  <c r="J14" i="63"/>
  <c r="B15" i="63"/>
  <c r="C15" i="63"/>
  <c r="D15" i="63"/>
  <c r="E15" i="63"/>
  <c r="G15" i="63"/>
  <c r="I15" i="63"/>
  <c r="J15" i="63" s="1"/>
  <c r="B22" i="63"/>
  <c r="C22" i="63"/>
  <c r="E22" i="63"/>
  <c r="G22" i="63"/>
  <c r="H22" i="63"/>
  <c r="I22" i="63"/>
  <c r="J22" i="63" s="1"/>
  <c r="B25" i="63"/>
  <c r="C25" i="63"/>
  <c r="E25" i="63"/>
  <c r="G25" i="63"/>
  <c r="I25" i="63"/>
  <c r="J25" i="63"/>
  <c r="B26" i="63"/>
  <c r="D26" i="63" s="1"/>
  <c r="C26" i="63"/>
  <c r="E26" i="63"/>
  <c r="F26" i="63" s="1"/>
  <c r="G26" i="63"/>
  <c r="H26" i="63"/>
  <c r="I26" i="63"/>
  <c r="J26" i="63"/>
  <c r="B29" i="63"/>
  <c r="C29" i="63"/>
  <c r="D29" i="63" s="1"/>
  <c r="E29" i="63"/>
  <c r="G29" i="63"/>
  <c r="I29" i="63"/>
  <c r="B30" i="63"/>
  <c r="C30" i="63"/>
  <c r="E30" i="63"/>
  <c r="G30" i="63"/>
  <c r="I30" i="63"/>
  <c r="B31" i="63"/>
  <c r="C31" i="63"/>
  <c r="E31" i="63"/>
  <c r="G31" i="63"/>
  <c r="I31" i="63"/>
  <c r="J31" i="63" s="1"/>
  <c r="D2" i="77"/>
  <c r="A3" i="77"/>
  <c r="D3" i="77"/>
  <c r="A4" i="77"/>
  <c r="A5" i="77"/>
  <c r="D5" i="77"/>
  <c r="D6" i="77"/>
  <c r="E6" i="77"/>
  <c r="B12" i="77"/>
  <c r="D12" i="77" s="1"/>
  <c r="C12" i="77"/>
  <c r="E12" i="77"/>
  <c r="F12" i="77" s="1"/>
  <c r="G12" i="77"/>
  <c r="H12" i="77"/>
  <c r="I12" i="77"/>
  <c r="J12" i="77" s="1"/>
  <c r="B19" i="77" a="1"/>
  <c r="C19" i="77" a="1"/>
  <c r="E19" i="77" a="1"/>
  <c r="G19" i="77" a="1"/>
  <c r="I19" i="77" a="1"/>
  <c r="B28" i="77" a="1"/>
  <c r="B29" i="77" a="1"/>
  <c r="B34" i="77"/>
  <c r="C34" i="77"/>
  <c r="E34" i="77"/>
  <c r="G34" i="77"/>
  <c r="H34" i="77" s="1"/>
  <c r="I34" i="77"/>
  <c r="J34" i="77" s="1"/>
  <c r="B35" i="77"/>
  <c r="C35" i="77"/>
  <c r="E35" i="77"/>
  <c r="F35" i="77" s="1"/>
  <c r="G35" i="77"/>
  <c r="I35" i="77"/>
  <c r="J35" i="77" s="1"/>
  <c r="B40" i="77" a="1"/>
  <c r="B49" i="77" a="1"/>
  <c r="C49" i="77" a="1"/>
  <c r="E49" i="77" a="1"/>
  <c r="G49" i="77" a="1"/>
  <c r="I49" i="77" a="1"/>
  <c r="D2" i="70"/>
  <c r="A3" i="70"/>
  <c r="D3" i="70"/>
  <c r="A4" i="70"/>
  <c r="A5" i="70"/>
  <c r="D5" i="70"/>
  <c r="D6" i="70"/>
  <c r="E6" i="70"/>
  <c r="B13" i="70"/>
  <c r="C13" i="70"/>
  <c r="E13" i="70"/>
  <c r="F13" i="70"/>
  <c r="G13" i="70"/>
  <c r="H13" i="70"/>
  <c r="I13" i="70"/>
  <c r="J13" i="70"/>
  <c r="B14" i="70"/>
  <c r="C14" i="70"/>
  <c r="D14" i="70"/>
  <c r="E14" i="70"/>
  <c r="G14" i="70"/>
  <c r="I14" i="70"/>
  <c r="J14" i="70"/>
  <c r="B17" i="70"/>
  <c r="C17" i="70"/>
  <c r="D17" i="70"/>
  <c r="E17" i="70"/>
  <c r="G17" i="70"/>
  <c r="I17" i="70"/>
  <c r="J17" i="70"/>
  <c r="B20" i="70" a="1"/>
  <c r="E20" i="70" a="1"/>
  <c r="B27" i="70"/>
  <c r="C27" i="70"/>
  <c r="E27" i="70"/>
  <c r="G27" i="70"/>
  <c r="H27" i="70"/>
  <c r="I27" i="70"/>
  <c r="J27" i="70"/>
  <c r="B34" i="70"/>
  <c r="D34" i="70" s="1"/>
  <c r="C34" i="70"/>
  <c r="E34" i="70"/>
  <c r="G34" i="70"/>
  <c r="I34" i="70"/>
  <c r="B35" i="70"/>
  <c r="C35" i="70"/>
  <c r="E35" i="70"/>
  <c r="G35" i="70"/>
  <c r="I35" i="70"/>
  <c r="B36" i="70"/>
  <c r="C36" i="70"/>
  <c r="E36" i="70"/>
  <c r="G36" i="70"/>
  <c r="I36" i="70"/>
  <c r="B40" i="70" a="1"/>
  <c r="D2" i="22"/>
  <c r="A3" i="22"/>
  <c r="D3" i="22"/>
  <c r="A4" i="22"/>
  <c r="A5" i="22"/>
  <c r="D5" i="22"/>
  <c r="D6" i="22"/>
  <c r="E6" i="22"/>
  <c r="B51" i="22"/>
  <c r="C51" i="22"/>
  <c r="D51" i="22"/>
  <c r="E51" i="22"/>
  <c r="G51" i="22"/>
  <c r="J51" i="22" s="1"/>
  <c r="I51" i="22"/>
  <c r="B53" i="22"/>
  <c r="C53" i="22"/>
  <c r="D53" i="22"/>
  <c r="E53" i="22"/>
  <c r="F53" i="22"/>
  <c r="G53" i="22"/>
  <c r="H53" i="22" s="1"/>
  <c r="I53" i="22"/>
  <c r="D2" i="71"/>
  <c r="A3" i="71"/>
  <c r="D3" i="71"/>
  <c r="A4" i="71"/>
  <c r="D4" i="71"/>
  <c r="A5" i="71"/>
  <c r="D5" i="71"/>
  <c r="D6" i="71"/>
  <c r="E6" i="71"/>
  <c r="B10" i="71" a="1"/>
  <c r="C10" i="71" a="1"/>
  <c r="E10" i="71" a="1"/>
  <c r="G10" i="71" a="1"/>
  <c r="I10" i="71" a="1"/>
  <c r="B11" i="71" a="1"/>
  <c r="C11" i="71" a="1"/>
  <c r="E11" i="71" a="1"/>
  <c r="G11" i="71" a="1"/>
  <c r="I11" i="71" a="1"/>
  <c r="B12" i="71" a="1"/>
  <c r="C12" i="71" a="1"/>
  <c r="E12" i="71" a="1"/>
  <c r="G12" i="71" a="1"/>
  <c r="I12" i="71" a="1"/>
  <c r="B14" i="71" a="1"/>
  <c r="C14" i="71" a="1"/>
  <c r="E14" i="71" a="1"/>
  <c r="G14" i="71" a="1"/>
  <c r="I14" i="71" a="1"/>
  <c r="B15" i="71" a="1"/>
  <c r="C15" i="71" a="1"/>
  <c r="E15" i="71" a="1"/>
  <c r="G15" i="71" a="1"/>
  <c r="I15" i="71" a="1"/>
  <c r="B16" i="71" a="1"/>
  <c r="C16" i="71" a="1"/>
  <c r="E16" i="71" a="1"/>
  <c r="G16" i="71" a="1"/>
  <c r="I16" i="71" a="1"/>
  <c r="B18" i="71" a="1"/>
  <c r="C18" i="71" a="1"/>
  <c r="E18" i="71" a="1"/>
  <c r="G18" i="71" a="1"/>
  <c r="I18" i="71" a="1"/>
  <c r="B19" i="71" a="1"/>
  <c r="C19" i="71" a="1"/>
  <c r="E19" i="71" a="1"/>
  <c r="G19" i="71" a="1"/>
  <c r="I19" i="71" a="1"/>
  <c r="B20" i="71" a="1"/>
  <c r="C20" i="71" a="1"/>
  <c r="E20" i="71" a="1"/>
  <c r="G20" i="71" a="1"/>
  <c r="I20" i="71" a="1"/>
  <c r="D2" i="21"/>
  <c r="A3" i="21"/>
  <c r="D3" i="21"/>
  <c r="A4" i="21"/>
  <c r="A5" i="21"/>
  <c r="D5" i="21"/>
  <c r="D6" i="21"/>
  <c r="E6" i="21"/>
  <c r="B10" i="21"/>
  <c r="D10" i="21" s="1"/>
  <c r="C10" i="21"/>
  <c r="E10" i="21"/>
  <c r="F10" i="21"/>
  <c r="G10" i="21"/>
  <c r="H10" i="21" s="1"/>
  <c r="I10" i="21"/>
  <c r="J10" i="21" s="1"/>
  <c r="B11" i="21"/>
  <c r="C11" i="21"/>
  <c r="D11" i="21"/>
  <c r="E11" i="21"/>
  <c r="F11" i="21"/>
  <c r="G11" i="21"/>
  <c r="I11" i="21"/>
  <c r="J11" i="21"/>
  <c r="B12" i="21"/>
  <c r="C12" i="21"/>
  <c r="E12" i="21"/>
  <c r="G12" i="21"/>
  <c r="H12" i="21"/>
  <c r="I12" i="21"/>
  <c r="J12" i="21" s="1"/>
  <c r="B13" i="21"/>
  <c r="C13" i="21"/>
  <c r="D13" i="21" s="1"/>
  <c r="E13" i="21"/>
  <c r="F13" i="21"/>
  <c r="G13" i="21"/>
  <c r="H13" i="21" s="1"/>
  <c r="I13" i="21"/>
  <c r="B14" i="21"/>
  <c r="D14" i="21" s="1"/>
  <c r="C14" i="21"/>
  <c r="E14" i="21"/>
  <c r="H14" i="21" s="1"/>
  <c r="F14" i="21"/>
  <c r="G14" i="21"/>
  <c r="I14" i="21"/>
  <c r="J14" i="21"/>
  <c r="B15" i="21"/>
  <c r="C15" i="21"/>
  <c r="D15" i="21"/>
  <c r="G15" i="21"/>
  <c r="I15" i="21"/>
  <c r="J15" i="21"/>
  <c r="B17" i="21"/>
  <c r="C17" i="21"/>
  <c r="F17" i="21" s="1"/>
  <c r="E17" i="21"/>
  <c r="G17" i="21"/>
  <c r="J17" i="21" s="1"/>
  <c r="H17" i="21"/>
  <c r="I17" i="21"/>
  <c r="B18" i="21"/>
  <c r="C18" i="21"/>
  <c r="D18" i="21" s="1"/>
  <c r="E18" i="21"/>
  <c r="F18" i="21"/>
  <c r="G18" i="21"/>
  <c r="H18" i="21"/>
  <c r="I18" i="21"/>
  <c r="J18" i="21" s="1"/>
  <c r="B19" i="21"/>
  <c r="C19" i="21"/>
  <c r="D19" i="21"/>
  <c r="E19" i="21"/>
  <c r="F19" i="21" s="1"/>
  <c r="G19" i="21"/>
  <c r="H19" i="21" s="1"/>
  <c r="I19" i="21"/>
  <c r="J19" i="21"/>
  <c r="B20" i="21"/>
  <c r="C20" i="21"/>
  <c r="D20" i="21" s="1"/>
  <c r="E20" i="21"/>
  <c r="F20" i="21" s="1"/>
  <c r="G20" i="21"/>
  <c r="H20" i="21"/>
  <c r="I20" i="21"/>
  <c r="J20" i="21"/>
  <c r="B21" i="21"/>
  <c r="C21" i="21"/>
  <c r="D21" i="21"/>
  <c r="E21" i="21"/>
  <c r="G21" i="21"/>
  <c r="I21" i="21"/>
  <c r="J21" i="21" s="1"/>
  <c r="B23" i="21"/>
  <c r="C23" i="21"/>
  <c r="E23" i="21"/>
  <c r="F23" i="21" s="1"/>
  <c r="G23" i="21"/>
  <c r="H23" i="21" s="1"/>
  <c r="I23" i="21"/>
  <c r="J23" i="21"/>
  <c r="B24" i="21"/>
  <c r="C24" i="21"/>
  <c r="E24" i="21"/>
  <c r="F24" i="21" s="1"/>
  <c r="G24" i="21"/>
  <c r="H24" i="21"/>
  <c r="I24" i="21"/>
  <c r="J24" i="21"/>
  <c r="B25" i="21"/>
  <c r="C25" i="21"/>
  <c r="D25" i="21" s="1"/>
  <c r="E25" i="21"/>
  <c r="G25" i="21"/>
  <c r="H25" i="21" s="1"/>
  <c r="I25" i="21"/>
  <c r="J25" i="21" s="1"/>
  <c r="B27" i="21"/>
  <c r="C27" i="21"/>
  <c r="D27" i="21"/>
  <c r="E27" i="21"/>
  <c r="F27" i="21" s="1"/>
  <c r="G27" i="21"/>
  <c r="J27" i="21" s="1"/>
  <c r="H27" i="21"/>
  <c r="I27" i="21"/>
  <c r="B28" i="21"/>
  <c r="C28" i="21"/>
  <c r="D28" i="21"/>
  <c r="E28" i="21"/>
  <c r="F28" i="21"/>
  <c r="G28" i="21"/>
  <c r="I28" i="21"/>
  <c r="J28" i="21" s="1"/>
  <c r="B29" i="21"/>
  <c r="C29" i="21"/>
  <c r="D29" i="21" s="1"/>
  <c r="E29" i="21"/>
  <c r="G29" i="21"/>
  <c r="I29" i="21"/>
  <c r="J29" i="21"/>
  <c r="B30" i="21"/>
  <c r="C30" i="21"/>
  <c r="F30" i="21" s="1"/>
  <c r="E30" i="21"/>
  <c r="G30" i="21"/>
  <c r="H30" i="21" s="1"/>
  <c r="I30" i="21"/>
  <c r="B31" i="21"/>
  <c r="D31" i="21" s="1"/>
  <c r="C31" i="21"/>
  <c r="E31" i="21"/>
  <c r="F31" i="21" s="1"/>
  <c r="G31" i="21"/>
  <c r="I31" i="21"/>
  <c r="B32" i="21"/>
  <c r="C32" i="21"/>
  <c r="E32" i="21"/>
  <c r="G32" i="21"/>
  <c r="H32" i="21"/>
  <c r="I32" i="21"/>
  <c r="J32" i="21" s="1"/>
  <c r="B33" i="21"/>
  <c r="D33" i="21" s="1"/>
  <c r="C33" i="21"/>
  <c r="E33" i="21"/>
  <c r="F33" i="21"/>
  <c r="G33" i="21"/>
  <c r="H33" i="21" s="1"/>
  <c r="I33" i="21"/>
  <c r="J33" i="21"/>
  <c r="B34" i="21"/>
  <c r="C34" i="21"/>
  <c r="E34" i="21"/>
  <c r="G34" i="21"/>
  <c r="H34" i="21"/>
  <c r="I34" i="21"/>
  <c r="J34" i="21" s="1"/>
  <c r="B35" i="21"/>
  <c r="C35" i="21"/>
  <c r="E35" i="21"/>
  <c r="F35" i="21"/>
  <c r="G35" i="21"/>
  <c r="H35" i="21"/>
  <c r="I35" i="21"/>
  <c r="J35" i="21" s="1"/>
  <c r="B36" i="21"/>
  <c r="C36" i="21"/>
  <c r="D36" i="21" s="1"/>
  <c r="E36" i="21"/>
  <c r="F36" i="21"/>
  <c r="G36" i="21"/>
  <c r="H36" i="21" s="1"/>
  <c r="I36" i="21"/>
  <c r="B37" i="21"/>
  <c r="C37" i="21"/>
  <c r="D37" i="21" s="1"/>
  <c r="E37" i="21"/>
  <c r="H37" i="21" s="1"/>
  <c r="F37" i="21"/>
  <c r="G37" i="21"/>
  <c r="I37" i="21"/>
  <c r="J37" i="21"/>
  <c r="B39" i="21"/>
  <c r="C39" i="21"/>
  <c r="D39" i="21"/>
  <c r="E39" i="21"/>
  <c r="F39" i="21"/>
  <c r="G39" i="21"/>
  <c r="H39" i="21"/>
  <c r="I39" i="21"/>
  <c r="J39" i="21"/>
  <c r="B40" i="21"/>
  <c r="D40" i="21" s="1"/>
  <c r="C40" i="21"/>
  <c r="E40" i="21"/>
  <c r="G40" i="21"/>
  <c r="I40" i="21"/>
  <c r="J40" i="21"/>
  <c r="B41" i="21"/>
  <c r="C41" i="21"/>
  <c r="D41" i="21" s="1"/>
  <c r="E41" i="21"/>
  <c r="F41" i="21"/>
  <c r="G41" i="21"/>
  <c r="I41" i="21"/>
  <c r="B42" i="21"/>
  <c r="C42" i="21"/>
  <c r="D42" i="21" s="1"/>
  <c r="E42" i="21"/>
  <c r="G42" i="21"/>
  <c r="I42" i="21"/>
  <c r="J42" i="21"/>
  <c r="B43" i="21"/>
  <c r="C43" i="21"/>
  <c r="D43" i="21" s="1"/>
  <c r="E43" i="21"/>
  <c r="F43" i="21" s="1"/>
  <c r="G43" i="21"/>
  <c r="H43" i="21"/>
  <c r="I43" i="21"/>
  <c r="J43" i="21" s="1"/>
  <c r="B45" i="21"/>
  <c r="C45" i="21"/>
  <c r="D45" i="21" s="1"/>
  <c r="E45" i="21"/>
  <c r="G45" i="21"/>
  <c r="I45" i="21"/>
  <c r="B46" i="21"/>
  <c r="C46" i="21"/>
  <c r="E46" i="21"/>
  <c r="G46" i="21"/>
  <c r="I46" i="21"/>
  <c r="B48" i="21"/>
  <c r="C48" i="21"/>
  <c r="E48" i="21"/>
  <c r="G48" i="21"/>
  <c r="H48" i="21"/>
  <c r="I48" i="21"/>
  <c r="J48" i="21" s="1"/>
  <c r="B49" i="21"/>
  <c r="C49" i="21"/>
  <c r="D49" i="21" s="1"/>
  <c r="E49" i="21"/>
  <c r="F49" i="21" s="1"/>
  <c r="G49" i="21"/>
  <c r="H49" i="21" s="1"/>
  <c r="I49" i="21"/>
  <c r="B50" i="21"/>
  <c r="C50" i="21"/>
  <c r="E50" i="21"/>
  <c r="G50" i="21"/>
  <c r="I50" i="21"/>
  <c r="B51" i="21"/>
  <c r="C51" i="21"/>
  <c r="E51" i="21"/>
  <c r="G51" i="21"/>
  <c r="I51" i="21"/>
  <c r="B53" i="21"/>
  <c r="C53" i="21"/>
  <c r="E53" i="21"/>
  <c r="F53" i="21"/>
  <c r="G53" i="21"/>
  <c r="I53" i="21"/>
  <c r="J53" i="21"/>
  <c r="D2" i="74"/>
  <c r="A3" i="74"/>
  <c r="D3" i="74"/>
  <c r="A4" i="74"/>
  <c r="A5" i="74"/>
  <c r="D5" i="74"/>
  <c r="D6" i="74"/>
  <c r="E6" i="74"/>
  <c r="D2" i="75"/>
  <c r="A3" i="75"/>
  <c r="D3" i="75"/>
  <c r="A4" i="75"/>
  <c r="A5" i="75"/>
  <c r="D5" i="75"/>
  <c r="D6" i="75"/>
  <c r="E6" i="75"/>
  <c r="G8" i="75"/>
  <c r="G28" i="75" s="1"/>
  <c r="G15" i="75"/>
  <c r="G24" i="75"/>
  <c r="D2" i="59"/>
  <c r="A3" i="59"/>
  <c r="D3" i="59"/>
  <c r="A4" i="59"/>
  <c r="A5" i="59"/>
  <c r="D5" i="59"/>
  <c r="D6" i="59"/>
  <c r="E6" i="59"/>
  <c r="G8" i="59"/>
  <c r="G17" i="59"/>
  <c r="G24" i="59"/>
  <c r="G29" i="59"/>
  <c r="G32" i="59"/>
  <c r="G40" i="59"/>
  <c r="D2" i="20"/>
  <c r="A3" i="20"/>
  <c r="D3" i="20"/>
  <c r="A4" i="20"/>
  <c r="A5" i="20"/>
  <c r="D5" i="20"/>
  <c r="D6" i="20"/>
  <c r="E6" i="20"/>
  <c r="B37" i="20" a="1"/>
  <c r="C37" i="20" a="1"/>
  <c r="E37" i="20" a="1"/>
  <c r="G37" i="20" a="1"/>
  <c r="I37" i="20" a="1"/>
  <c r="B40" i="20"/>
  <c r="C40" i="20"/>
  <c r="D40" i="20"/>
  <c r="E40" i="20"/>
  <c r="F40" i="20" s="1"/>
  <c r="G40" i="20"/>
  <c r="J40" i="20" s="1"/>
  <c r="H40" i="20"/>
  <c r="I40" i="20"/>
  <c r="B41" i="20"/>
  <c r="D41" i="20" s="1"/>
  <c r="C41" i="20"/>
  <c r="E41" i="20"/>
  <c r="F41" i="20"/>
  <c r="G41" i="20"/>
  <c r="H41" i="20"/>
  <c r="I41" i="20"/>
  <c r="J41" i="20"/>
  <c r="D2" i="73"/>
  <c r="A3" i="73"/>
  <c r="D3" i="73"/>
  <c r="A4" i="73"/>
  <c r="A5" i="73"/>
  <c r="D5" i="73"/>
  <c r="D6" i="73"/>
  <c r="E6" i="73"/>
  <c r="B10" i="73" a="1"/>
  <c r="C10" i="73" a="1"/>
  <c r="E10" i="73" a="1"/>
  <c r="G10" i="73" a="1"/>
  <c r="I10" i="73" a="1"/>
  <c r="B22" i="73" a="1"/>
  <c r="C22" i="73" a="1"/>
  <c r="E22" i="73" a="1"/>
  <c r="G22" i="73" a="1"/>
  <c r="I22" i="73" a="1"/>
  <c r="B46" i="73" a="1"/>
  <c r="C46" i="73" a="1"/>
  <c r="E46" i="73" a="1"/>
  <c r="G46" i="73" a="1"/>
  <c r="I46" i="73" a="1"/>
  <c r="B47" i="73" a="1"/>
  <c r="C47" i="73" a="1"/>
  <c r="E47" i="73" a="1"/>
  <c r="G47" i="73" a="1"/>
  <c r="I47" i="73" a="1"/>
  <c r="D2" i="19"/>
  <c r="A3" i="19"/>
  <c r="D3" i="19"/>
  <c r="A4" i="19"/>
  <c r="D4" i="19"/>
  <c r="A5" i="19"/>
  <c r="D5" i="19"/>
  <c r="D6" i="19"/>
  <c r="E6" i="19"/>
  <c r="B10" i="19"/>
  <c r="C10" i="19"/>
  <c r="D10" i="19" s="1"/>
  <c r="E10" i="19"/>
  <c r="F10" i="19" s="1"/>
  <c r="G10" i="19"/>
  <c r="I10" i="19"/>
  <c r="B11" i="19"/>
  <c r="C11" i="19"/>
  <c r="D11" i="19" s="1"/>
  <c r="E11" i="19"/>
  <c r="G11" i="19"/>
  <c r="H11" i="19" s="1"/>
  <c r="I11" i="19"/>
  <c r="J11" i="19" s="1"/>
  <c r="B18" i="19"/>
  <c r="C18" i="19"/>
  <c r="F18" i="19" s="1"/>
  <c r="D18" i="19"/>
  <c r="E18" i="19"/>
  <c r="G18" i="19"/>
  <c r="H18" i="19"/>
  <c r="I18" i="19"/>
  <c r="J18" i="19" s="1"/>
  <c r="B19" i="19"/>
  <c r="C19" i="19"/>
  <c r="D19" i="19" s="1"/>
  <c r="E19" i="19"/>
  <c r="G19" i="19"/>
  <c r="H19" i="19"/>
  <c r="I19" i="19"/>
  <c r="J19" i="19"/>
  <c r="B20" i="19"/>
  <c r="C20" i="19"/>
  <c r="D20" i="19"/>
  <c r="E20" i="19"/>
  <c r="H20" i="19" s="1"/>
  <c r="F20" i="19"/>
  <c r="G20" i="19"/>
  <c r="I20" i="19"/>
  <c r="J20" i="19"/>
  <c r="B24" i="19"/>
  <c r="C24" i="19"/>
  <c r="D24" i="19"/>
  <c r="E24" i="19"/>
  <c r="F24" i="19" s="1"/>
  <c r="G24" i="19"/>
  <c r="I24" i="19"/>
  <c r="J24" i="19"/>
  <c r="B25" i="19"/>
  <c r="C25" i="19"/>
  <c r="D25" i="19"/>
  <c r="E25" i="19"/>
  <c r="F25" i="19"/>
  <c r="G25" i="19"/>
  <c r="H25" i="19" s="1"/>
  <c r="I25" i="19"/>
  <c r="B29" i="19"/>
  <c r="C29" i="19"/>
  <c r="D29" i="19"/>
  <c r="E29" i="19"/>
  <c r="F29" i="19" s="1"/>
  <c r="G29" i="19"/>
  <c r="H29" i="19" s="1"/>
  <c r="I29" i="19"/>
  <c r="J29" i="19"/>
  <c r="B33" i="19"/>
  <c r="C33" i="19"/>
  <c r="D33" i="19"/>
  <c r="E33" i="19"/>
  <c r="F33" i="19" s="1"/>
  <c r="G33" i="19"/>
  <c r="I33" i="19"/>
  <c r="J33" i="19"/>
  <c r="B34" i="19"/>
  <c r="D34" i="19" s="1"/>
  <c r="C34" i="19"/>
  <c r="E34" i="19"/>
  <c r="F34" i="19" s="1"/>
  <c r="G34" i="19"/>
  <c r="I34" i="19"/>
  <c r="B35" i="19"/>
  <c r="C35" i="19"/>
  <c r="E35" i="19"/>
  <c r="F35" i="19" s="1"/>
  <c r="G35" i="19"/>
  <c r="H35" i="19"/>
  <c r="I35" i="19"/>
  <c r="J35" i="19" s="1"/>
  <c r="B36" i="19"/>
  <c r="D36" i="19" s="1"/>
  <c r="C36" i="19"/>
  <c r="E36" i="19"/>
  <c r="F36" i="19" s="1"/>
  <c r="G36" i="19"/>
  <c r="H36" i="19"/>
  <c r="I36" i="19"/>
  <c r="J36" i="19" s="1"/>
  <c r="B37" i="19"/>
  <c r="C37" i="19"/>
  <c r="E37" i="19"/>
  <c r="G37" i="19"/>
  <c r="H37" i="19"/>
  <c r="I37" i="19"/>
  <c r="J37" i="19"/>
  <c r="B39" i="19"/>
  <c r="C39" i="19"/>
  <c r="D39" i="19"/>
  <c r="E39" i="19"/>
  <c r="F39" i="19"/>
  <c r="G39" i="19"/>
  <c r="H39" i="19"/>
  <c r="I39" i="19"/>
  <c r="J39" i="19" s="1"/>
  <c r="B40" i="19"/>
  <c r="C40" i="19"/>
  <c r="D40" i="19" s="1"/>
  <c r="E40" i="19"/>
  <c r="G40" i="19"/>
  <c r="I40" i="19"/>
  <c r="J40" i="19"/>
  <c r="B41" i="19"/>
  <c r="C41" i="19"/>
  <c r="E41" i="19"/>
  <c r="G41" i="19"/>
  <c r="H41" i="19"/>
  <c r="I41" i="19"/>
  <c r="J41" i="19"/>
  <c r="B42" i="19"/>
  <c r="D42" i="19" s="1"/>
  <c r="C42" i="19"/>
  <c r="E42" i="19"/>
  <c r="F42" i="19"/>
  <c r="G42" i="19"/>
  <c r="H42" i="19"/>
  <c r="I42" i="19"/>
  <c r="J42" i="19" s="1"/>
  <c r="B43" i="19"/>
  <c r="C43" i="19"/>
  <c r="D43" i="19" s="1"/>
  <c r="E43" i="19"/>
  <c r="H43" i="19" s="1"/>
  <c r="G43" i="19"/>
  <c r="I43" i="19"/>
  <c r="J43" i="19"/>
  <c r="B44" i="19"/>
  <c r="C44" i="19"/>
  <c r="D44" i="19" s="1"/>
  <c r="E44" i="19"/>
  <c r="G44" i="19"/>
  <c r="J44" i="19" s="1"/>
  <c r="H44" i="19"/>
  <c r="I44" i="19"/>
  <c r="B45" i="19"/>
  <c r="C45" i="19"/>
  <c r="D45" i="19" s="1"/>
  <c r="E45" i="19"/>
  <c r="F45" i="19" s="1"/>
  <c r="G45" i="19"/>
  <c r="H45" i="19" s="1"/>
  <c r="I45" i="19"/>
  <c r="J45" i="19"/>
  <c r="B46" i="19"/>
  <c r="C46" i="19"/>
  <c r="D46" i="19"/>
  <c r="E46" i="19"/>
  <c r="F46" i="19"/>
  <c r="G46" i="19"/>
  <c r="H46" i="19" s="1"/>
  <c r="I46" i="19"/>
  <c r="J46" i="19" s="1"/>
  <c r="D2" i="76"/>
  <c r="A3" i="76"/>
  <c r="D3" i="76"/>
  <c r="A4" i="76"/>
  <c r="A5" i="76"/>
  <c r="D5" i="76"/>
  <c r="D6" i="76"/>
  <c r="E6" i="76"/>
  <c r="E8" i="76"/>
  <c r="B12" i="76" a="1"/>
  <c r="C12" i="76" a="1"/>
  <c r="E12" i="76" a="1"/>
  <c r="G12" i="76" a="1"/>
  <c r="I12" i="76" a="1"/>
  <c r="B13" i="76" a="1"/>
  <c r="C13" i="76" a="1"/>
  <c r="E13" i="76" a="1"/>
  <c r="G13" i="76" a="1"/>
  <c r="I13" i="76" a="1"/>
  <c r="B14" i="76" a="1"/>
  <c r="C14" i="76" a="1"/>
  <c r="E14" i="76" a="1"/>
  <c r="G14" i="76" a="1"/>
  <c r="I14" i="76" a="1"/>
  <c r="B15" i="76" a="1"/>
  <c r="C15" i="76" a="1"/>
  <c r="E15" i="76" a="1"/>
  <c r="G15" i="76" a="1"/>
  <c r="I15" i="76" a="1"/>
  <c r="B16" i="76" a="1"/>
  <c r="C16" i="76" a="1"/>
  <c r="E16" i="76" a="1"/>
  <c r="G16" i="76" a="1"/>
  <c r="I16" i="76" a="1"/>
  <c r="B17" i="76" a="1"/>
  <c r="C17" i="76" a="1"/>
  <c r="E17" i="76" a="1"/>
  <c r="G17" i="76" a="1"/>
  <c r="I17" i="76" a="1"/>
  <c r="B19" i="76" a="1"/>
  <c r="C19" i="76" a="1"/>
  <c r="E19" i="76" a="1"/>
  <c r="G19" i="76" a="1"/>
  <c r="I19" i="76" a="1"/>
  <c r="B24" i="76" a="1"/>
  <c r="C24" i="76" a="1"/>
  <c r="E24" i="76" a="1"/>
  <c r="G24" i="76" a="1"/>
  <c r="I24" i="76" a="1"/>
  <c r="B25" i="76" a="1"/>
  <c r="C25" i="76" a="1"/>
  <c r="E25" i="76" a="1"/>
  <c r="G25" i="76" a="1"/>
  <c r="I25" i="76" a="1"/>
  <c r="B26" i="76" a="1"/>
  <c r="C26" i="76" a="1"/>
  <c r="E26" i="76" a="1"/>
  <c r="G26" i="76" a="1"/>
  <c r="I26" i="76" a="1"/>
  <c r="B27" i="76" a="1"/>
  <c r="C27" i="76" a="1"/>
  <c r="E27" i="76" a="1"/>
  <c r="G27" i="76" a="1"/>
  <c r="I27" i="76" a="1"/>
  <c r="B28" i="76" a="1"/>
  <c r="C28" i="76" a="1"/>
  <c r="E28" i="76" a="1"/>
  <c r="G28" i="76" a="1"/>
  <c r="I28" i="76" a="1"/>
  <c r="B29" i="76" a="1"/>
  <c r="C29" i="76" a="1"/>
  <c r="E29" i="76" a="1"/>
  <c r="G29" i="76" a="1"/>
  <c r="I29" i="76" a="1"/>
  <c r="B30" i="76" a="1"/>
  <c r="C30" i="76" a="1"/>
  <c r="E30" i="76" a="1"/>
  <c r="G30" i="76" a="1"/>
  <c r="I30" i="76" a="1"/>
  <c r="B31" i="76" a="1"/>
  <c r="C31" i="76" a="1"/>
  <c r="E31" i="76" a="1"/>
  <c r="G31" i="76" a="1"/>
  <c r="I31" i="76" a="1"/>
  <c r="D2" i="18"/>
  <c r="A3" i="18"/>
  <c r="D3" i="18"/>
  <c r="A4" i="18"/>
  <c r="A5" i="18"/>
  <c r="D5" i="18"/>
  <c r="D6" i="18"/>
  <c r="E6" i="18"/>
  <c r="C8" i="18"/>
  <c r="G8" i="18"/>
  <c r="B10" i="18"/>
  <c r="D10" i="18" s="1"/>
  <c r="C10" i="18"/>
  <c r="E10" i="18"/>
  <c r="F10" i="18" s="1"/>
  <c r="G10" i="18"/>
  <c r="H10" i="18" s="1"/>
  <c r="I10" i="18"/>
  <c r="J10" i="18"/>
  <c r="B12" i="18"/>
  <c r="C12" i="18"/>
  <c r="D12" i="18" s="1"/>
  <c r="E12" i="18"/>
  <c r="F12" i="18"/>
  <c r="G12" i="18"/>
  <c r="I12" i="18"/>
  <c r="B13" i="18"/>
  <c r="C13" i="18"/>
  <c r="D13" i="18"/>
  <c r="E13" i="18"/>
  <c r="F13" i="18" s="1"/>
  <c r="G13" i="18"/>
  <c r="I13" i="18"/>
  <c r="J13" i="18"/>
  <c r="B14" i="18"/>
  <c r="C14" i="18"/>
  <c r="E14" i="18"/>
  <c r="F14" i="18"/>
  <c r="G14" i="18"/>
  <c r="H14" i="18"/>
  <c r="I14" i="18"/>
  <c r="J14" i="18" s="1"/>
  <c r="B15" i="18"/>
  <c r="C15" i="18"/>
  <c r="D15" i="18"/>
  <c r="E15" i="18"/>
  <c r="F15" i="18"/>
  <c r="G15" i="18"/>
  <c r="H15" i="18"/>
  <c r="I15" i="18"/>
  <c r="J15" i="18" s="1"/>
  <c r="B17" i="18"/>
  <c r="C17" i="18"/>
  <c r="D17" i="18" s="1"/>
  <c r="E17" i="18"/>
  <c r="G17" i="18"/>
  <c r="H17" i="18"/>
  <c r="I17" i="18"/>
  <c r="J17" i="18"/>
  <c r="B18" i="18"/>
  <c r="D18" i="18" s="1"/>
  <c r="C18" i="18"/>
  <c r="E18" i="18"/>
  <c r="F18" i="18"/>
  <c r="G18" i="18"/>
  <c r="H18" i="18"/>
  <c r="I18" i="18"/>
  <c r="J18" i="18" s="1"/>
  <c r="G20" i="18"/>
  <c r="G21" i="18"/>
  <c r="G26" i="18"/>
  <c r="G27" i="18"/>
  <c r="B31" i="18"/>
  <c r="C31" i="18"/>
  <c r="D31" i="18"/>
  <c r="E31" i="18"/>
  <c r="F31" i="18" s="1"/>
  <c r="G31" i="18"/>
  <c r="H31" i="18"/>
  <c r="I31" i="18"/>
  <c r="J31" i="18"/>
  <c r="B32" i="18"/>
  <c r="D32" i="18" s="1"/>
  <c r="C32" i="18"/>
  <c r="E32" i="18"/>
  <c r="G32" i="18"/>
  <c r="H32" i="18"/>
  <c r="I32" i="18"/>
  <c r="J32" i="18"/>
  <c r="D2" i="43"/>
  <c r="A3" i="43"/>
  <c r="D3" i="43"/>
  <c r="A4" i="43"/>
  <c r="A5" i="43"/>
  <c r="D5" i="43"/>
  <c r="D6" i="43"/>
  <c r="E6" i="43"/>
  <c r="E8" i="43"/>
  <c r="E43" i="43" s="1"/>
  <c r="G8" i="43"/>
  <c r="G16" i="43" s="1"/>
  <c r="C15" i="43" a="1"/>
  <c r="E15" i="43" a="1"/>
  <c r="G15" i="43" a="1"/>
  <c r="I15" i="43" a="1"/>
  <c r="C16" i="43" a="1"/>
  <c r="E16" i="43" a="1"/>
  <c r="G16" i="43" a="1"/>
  <c r="I16" i="43" a="1"/>
  <c r="B17" i="43" a="1"/>
  <c r="C17" i="43" a="1"/>
  <c r="E17" i="43" a="1"/>
  <c r="G17" i="43" a="1"/>
  <c r="I17" i="43" a="1"/>
  <c r="G21" i="43"/>
  <c r="E22" i="43"/>
  <c r="G26" i="43"/>
  <c r="B30" i="43" a="1"/>
  <c r="C30" i="43" a="1"/>
  <c r="E30" i="43" a="1"/>
  <c r="G30" i="43" a="1"/>
  <c r="I30" i="43" a="1"/>
  <c r="B34" i="43" a="1"/>
  <c r="C34" i="43" a="1"/>
  <c r="E34" i="43" a="1"/>
  <c r="G34" i="43" a="1"/>
  <c r="I34" i="43" a="1"/>
  <c r="E41" i="43"/>
  <c r="B42" i="43" a="1"/>
  <c r="E42" i="43"/>
  <c r="I47" i="43" a="1"/>
  <c r="G48" i="43"/>
  <c r="G52" i="43"/>
  <c r="G53" i="43"/>
  <c r="D2" i="41"/>
  <c r="A3" i="41"/>
  <c r="D3" i="41"/>
  <c r="A4" i="41"/>
  <c r="D4" i="41"/>
  <c r="A5" i="41"/>
  <c r="D5" i="41"/>
  <c r="D6" i="41"/>
  <c r="E6" i="41"/>
  <c r="B10" i="41"/>
  <c r="D10" i="41" s="1"/>
  <c r="C10" i="41"/>
  <c r="E10" i="41"/>
  <c r="G10" i="41"/>
  <c r="H10" i="41" s="1"/>
  <c r="I10" i="41"/>
  <c r="J10" i="41"/>
  <c r="B11" i="41"/>
  <c r="C11" i="41"/>
  <c r="D11" i="41"/>
  <c r="E11" i="41"/>
  <c r="F11" i="41" s="1"/>
  <c r="G11" i="41"/>
  <c r="I11" i="41"/>
  <c r="B12" i="41"/>
  <c r="C12" i="41"/>
  <c r="F12" i="41" s="1"/>
  <c r="D12" i="41"/>
  <c r="E12" i="41"/>
  <c r="G12" i="41"/>
  <c r="I12" i="41"/>
  <c r="B15" i="41"/>
  <c r="D15" i="41" s="1"/>
  <c r="C15" i="41"/>
  <c r="E15" i="41"/>
  <c r="F15" i="41" s="1"/>
  <c r="G15" i="41"/>
  <c r="H15" i="41" s="1"/>
  <c r="I15" i="41"/>
  <c r="B16" i="41"/>
  <c r="C16" i="41"/>
  <c r="D16" i="41" s="1"/>
  <c r="E16" i="41"/>
  <c r="F16" i="41"/>
  <c r="G16" i="41"/>
  <c r="H16" i="41"/>
  <c r="I16" i="41"/>
  <c r="J16" i="41" s="1"/>
  <c r="B17" i="41"/>
  <c r="C17" i="41"/>
  <c r="D17" i="41"/>
  <c r="E17" i="41"/>
  <c r="F17" i="41"/>
  <c r="G17" i="41"/>
  <c r="H17" i="41"/>
  <c r="I17" i="41"/>
  <c r="J17" i="41"/>
  <c r="B18" i="41"/>
  <c r="C18" i="41"/>
  <c r="E18" i="41"/>
  <c r="F18" i="41" s="1"/>
  <c r="G18" i="41"/>
  <c r="H18" i="41"/>
  <c r="I18" i="41"/>
  <c r="J18" i="41" s="1"/>
  <c r="B19" i="41"/>
  <c r="C19" i="41"/>
  <c r="D19" i="41" s="1"/>
  <c r="E19" i="41"/>
  <c r="G19" i="41"/>
  <c r="H19" i="41"/>
  <c r="I19" i="41"/>
  <c r="J19" i="41"/>
  <c r="B20" i="41"/>
  <c r="C20" i="41"/>
  <c r="D20" i="41"/>
  <c r="E20" i="41"/>
  <c r="F20" i="41" s="1"/>
  <c r="G20" i="41"/>
  <c r="H20" i="41" s="1"/>
  <c r="I20" i="41"/>
  <c r="B21" i="41"/>
  <c r="C21" i="41"/>
  <c r="F21" i="41" s="1"/>
  <c r="D21" i="41"/>
  <c r="E21" i="41"/>
  <c r="G21" i="41"/>
  <c r="J21" i="41" s="1"/>
  <c r="H21" i="41"/>
  <c r="I21" i="41"/>
  <c r="B22" i="41"/>
  <c r="C22" i="41"/>
  <c r="D22" i="41" s="1"/>
  <c r="E22" i="41"/>
  <c r="F22" i="41" s="1"/>
  <c r="G22" i="41"/>
  <c r="I22" i="41"/>
  <c r="J22" i="41" s="1"/>
  <c r="B24" i="41"/>
  <c r="C24" i="41"/>
  <c r="F24" i="41" s="1"/>
  <c r="D24" i="41"/>
  <c r="E24" i="41"/>
  <c r="G24" i="41"/>
  <c r="H24" i="41" s="1"/>
  <c r="I24" i="41"/>
  <c r="J24" i="41" s="1"/>
  <c r="B25" i="41"/>
  <c r="C25" i="41"/>
  <c r="D25" i="41" s="1"/>
  <c r="E25" i="41"/>
  <c r="F25" i="41" s="1"/>
  <c r="G25" i="41"/>
  <c r="I25" i="41"/>
  <c r="J25" i="41" s="1"/>
  <c r="B26" i="41"/>
  <c r="C26" i="41"/>
  <c r="D26" i="41"/>
  <c r="E26" i="41"/>
  <c r="F26" i="41" s="1"/>
  <c r="G26" i="41"/>
  <c r="I26" i="41"/>
  <c r="B27" i="41"/>
  <c r="C27" i="41"/>
  <c r="D27" i="41" s="1"/>
  <c r="E27" i="41"/>
  <c r="F27" i="41" s="1"/>
  <c r="G27" i="41"/>
  <c r="H27" i="41"/>
  <c r="I27" i="41"/>
  <c r="J27" i="41"/>
  <c r="B30" i="41"/>
  <c r="C30" i="41"/>
  <c r="E30" i="41"/>
  <c r="F30" i="41" s="1"/>
  <c r="G30" i="41"/>
  <c r="I30" i="41"/>
  <c r="J30" i="41"/>
  <c r="B31" i="41"/>
  <c r="C31" i="41"/>
  <c r="D31" i="41" s="1"/>
  <c r="E31" i="41"/>
  <c r="G31" i="41"/>
  <c r="H31" i="41" s="1"/>
  <c r="I31" i="41"/>
  <c r="D2" i="78"/>
  <c r="A3" i="78"/>
  <c r="D3" i="78"/>
  <c r="A4" i="78"/>
  <c r="A5" i="78"/>
  <c r="D5" i="78"/>
  <c r="D6" i="78"/>
  <c r="E6" i="78"/>
  <c r="B8" i="78"/>
  <c r="B31" i="78" s="1"/>
  <c r="C8" i="78"/>
  <c r="C50" i="78" s="1"/>
  <c r="G8" i="78"/>
  <c r="G11" i="78" s="1"/>
  <c r="G13" i="78"/>
  <c r="C16" i="78"/>
  <c r="B17" i="78"/>
  <c r="G20" i="78"/>
  <c r="G25" i="78"/>
  <c r="B26" i="78"/>
  <c r="G26" i="78"/>
  <c r="G27" i="78"/>
  <c r="G31" i="78"/>
  <c r="C35" i="78" a="1"/>
  <c r="G35" i="78"/>
  <c r="G36" i="78"/>
  <c r="E41" i="78" a="1"/>
  <c r="G41" i="78" a="1"/>
  <c r="B42" i="78"/>
  <c r="G43" i="78"/>
  <c r="G44" i="78"/>
  <c r="G45" i="78"/>
  <c r="G48" i="78"/>
  <c r="G49" i="78"/>
  <c r="B51" i="78"/>
  <c r="G55" i="78"/>
  <c r="G57" i="78"/>
  <c r="D2" i="64"/>
  <c r="A3" i="64"/>
  <c r="D3" i="64"/>
  <c r="A4" i="64"/>
  <c r="D4" i="64"/>
  <c r="A5" i="64"/>
  <c r="D5" i="64"/>
  <c r="D6" i="64"/>
  <c r="E6" i="64"/>
  <c r="B8" i="64"/>
  <c r="C8" i="64"/>
  <c r="G8" i="64"/>
  <c r="B10" i="64"/>
  <c r="C10" i="64"/>
  <c r="D10" i="64"/>
  <c r="E10" i="64"/>
  <c r="F10" i="64"/>
  <c r="G10" i="64"/>
  <c r="H10" i="64"/>
  <c r="I10" i="64"/>
  <c r="J10" i="64"/>
  <c r="B11" i="64"/>
  <c r="C11" i="64"/>
  <c r="D11" i="64" s="1"/>
  <c r="E11" i="64"/>
  <c r="G11" i="64"/>
  <c r="H11" i="64" s="1"/>
  <c r="I11" i="64"/>
  <c r="J11" i="64" s="1"/>
  <c r="B13" i="64"/>
  <c r="C13" i="64"/>
  <c r="E13" i="64"/>
  <c r="G13" i="64"/>
  <c r="H13" i="64"/>
  <c r="I13" i="64"/>
  <c r="J13" i="64" s="1"/>
  <c r="B14" i="64"/>
  <c r="C14" i="64"/>
  <c r="D14" i="64"/>
  <c r="E14" i="64"/>
  <c r="F14" i="64"/>
  <c r="G14" i="64"/>
  <c r="H14" i="64"/>
  <c r="I14" i="64"/>
  <c r="J14" i="64" s="1"/>
  <c r="B16" i="64"/>
  <c r="C16" i="64"/>
  <c r="D16" i="64"/>
  <c r="E16" i="64"/>
  <c r="G16" i="64"/>
  <c r="H16" i="64"/>
  <c r="I16" i="64"/>
  <c r="J16" i="64"/>
  <c r="B18" i="64"/>
  <c r="C18" i="64"/>
  <c r="E18" i="64"/>
  <c r="F18" i="64"/>
  <c r="G18" i="64"/>
  <c r="H18" i="64"/>
  <c r="I18" i="64"/>
  <c r="J18" i="64"/>
  <c r="B19" i="64"/>
  <c r="C19" i="64"/>
  <c r="F19" i="64" s="1"/>
  <c r="D19" i="64"/>
  <c r="E19" i="64"/>
  <c r="G19" i="64"/>
  <c r="H19" i="64" s="1"/>
  <c r="I19" i="64"/>
  <c r="B20" i="64"/>
  <c r="C20" i="64"/>
  <c r="D20" i="64"/>
  <c r="E20" i="64"/>
  <c r="F20" i="64"/>
  <c r="G20" i="64"/>
  <c r="H20" i="64"/>
  <c r="I20" i="64"/>
  <c r="J20" i="64"/>
  <c r="B22" i="64"/>
  <c r="D22" i="64" s="1"/>
  <c r="C22" i="64"/>
  <c r="E22" i="64"/>
  <c r="F22" i="64"/>
  <c r="G22" i="64"/>
  <c r="H22" i="64" s="1"/>
  <c r="I22" i="64"/>
  <c r="B24" i="64"/>
  <c r="C24" i="64"/>
  <c r="D24" i="64" s="1"/>
  <c r="E24" i="64"/>
  <c r="G24" i="64"/>
  <c r="I24" i="64"/>
  <c r="J24" i="64" s="1"/>
  <c r="I2" i="17"/>
  <c r="A3" i="17"/>
  <c r="I3" i="17"/>
  <c r="A4" i="17"/>
  <c r="I4" i="17"/>
  <c r="A5" i="17"/>
  <c r="I5" i="17"/>
  <c r="I6" i="17"/>
  <c r="J6" i="17"/>
  <c r="F11" i="17"/>
  <c r="J11" i="17"/>
  <c r="J12" i="17" s="1"/>
  <c r="K11" i="17"/>
  <c r="K12" i="17" s="1"/>
  <c r="M11" i="17"/>
  <c r="M12" i="17" s="1"/>
  <c r="C12" i="17"/>
  <c r="D12" i="17"/>
  <c r="E12" i="17"/>
  <c r="F12" i="17"/>
  <c r="G12" i="17"/>
  <c r="C13" i="17"/>
  <c r="J13" i="17"/>
  <c r="K13" i="17"/>
  <c r="L13" i="17"/>
  <c r="M13" i="17"/>
  <c r="N13" i="17"/>
  <c r="C14" i="17"/>
  <c r="D14" i="17"/>
  <c r="E14" i="17"/>
  <c r="F14" i="17"/>
  <c r="G14" i="17"/>
  <c r="C15" i="17"/>
  <c r="D15" i="17"/>
  <c r="E15" i="17"/>
  <c r="F15" i="17"/>
  <c r="G15" i="17"/>
  <c r="F27" i="17"/>
  <c r="M27" i="17"/>
  <c r="C28" i="17"/>
  <c r="D28" i="17"/>
  <c r="F28" i="17"/>
  <c r="G28" i="17"/>
  <c r="J28" i="17"/>
  <c r="C29" i="17"/>
  <c r="J29" i="17"/>
  <c r="K29" i="17"/>
  <c r="L29" i="17"/>
  <c r="M29" i="17"/>
  <c r="N29" i="17"/>
  <c r="C30" i="17"/>
  <c r="D30" i="17"/>
  <c r="E30" i="17"/>
  <c r="F30" i="17"/>
  <c r="G30" i="17"/>
  <c r="C31" i="17"/>
  <c r="D31" i="17"/>
  <c r="E31" i="17"/>
  <c r="F31" i="17"/>
  <c r="G31" i="17"/>
  <c r="I2" i="16"/>
  <c r="A3" i="16"/>
  <c r="I3" i="16"/>
  <c r="A4" i="16"/>
  <c r="A5" i="16"/>
  <c r="I5" i="16"/>
  <c r="I6" i="16"/>
  <c r="J6" i="16"/>
  <c r="C10" i="16"/>
  <c r="M10" i="16"/>
  <c r="M11" i="16" s="1"/>
  <c r="C11" i="16"/>
  <c r="D11" i="16"/>
  <c r="E11" i="16"/>
  <c r="F11" i="16"/>
  <c r="G11" i="16"/>
  <c r="C12" i="16"/>
  <c r="D12" i="16"/>
  <c r="E12" i="16"/>
  <c r="F12" i="16"/>
  <c r="G12" i="16"/>
  <c r="J12" i="16"/>
  <c r="K12" i="16"/>
  <c r="L12" i="16"/>
  <c r="M12" i="16"/>
  <c r="N12" i="16"/>
  <c r="L29" i="16"/>
  <c r="L30" i="16" s="1"/>
  <c r="M29" i="16"/>
  <c r="C30" i="16"/>
  <c r="D30" i="16"/>
  <c r="G30" i="16"/>
  <c r="M30" i="16"/>
  <c r="C31" i="16"/>
  <c r="D31" i="16"/>
  <c r="E31" i="16"/>
  <c r="F31" i="16"/>
  <c r="G31" i="16"/>
  <c r="J31" i="16"/>
  <c r="K31" i="16"/>
  <c r="L31" i="16"/>
  <c r="M31" i="16"/>
  <c r="N31" i="16"/>
  <c r="P1" i="31"/>
  <c r="D4" i="18" s="1"/>
  <c r="Q1" i="31"/>
  <c r="C3" i="31"/>
  <c r="D3" i="31"/>
  <c r="D37" i="62" s="1"/>
  <c r="E3" i="31"/>
  <c r="E28" i="17" s="1"/>
  <c r="F3" i="31"/>
  <c r="G3" i="31"/>
  <c r="C4" i="31"/>
  <c r="B8" i="22" s="1"/>
  <c r="D4" i="31"/>
  <c r="C8" i="22" s="1"/>
  <c r="E4" i="31"/>
  <c r="F4" i="31"/>
  <c r="G4" i="31"/>
  <c r="N11" i="17" s="1"/>
  <c r="N12" i="17" s="1"/>
  <c r="H53" i="43" l="1"/>
  <c r="B12" i="22"/>
  <c r="B22" i="22"/>
  <c r="B47" i="22"/>
  <c r="B11" i="22"/>
  <c r="B34" i="22"/>
  <c r="B42" i="22"/>
  <c r="B50" i="22"/>
  <c r="B32" i="22"/>
  <c r="B40" i="22"/>
  <c r="B48" i="22"/>
  <c r="B55" i="22"/>
  <c r="B14" i="22"/>
  <c r="B29" i="22"/>
  <c r="B15" i="22"/>
  <c r="B49" i="22"/>
  <c r="B52" i="22"/>
  <c r="B19" i="22"/>
  <c r="B20" i="22"/>
  <c r="B25" i="22"/>
  <c r="B45" i="22"/>
  <c r="B43" i="22"/>
  <c r="B28" i="22"/>
  <c r="B35" i="22"/>
  <c r="B16" i="22"/>
  <c r="B18" i="22"/>
  <c r="B24" i="22"/>
  <c r="B21" i="22"/>
  <c r="B54" i="22"/>
  <c r="B39" i="22"/>
  <c r="B37" i="22"/>
  <c r="B41" i="22"/>
  <c r="B26" i="22"/>
  <c r="B46" i="22"/>
  <c r="B27" i="22"/>
  <c r="B33" i="22"/>
  <c r="B13" i="22"/>
  <c r="B36" i="22"/>
  <c r="C12" i="22"/>
  <c r="C36" i="22"/>
  <c r="D36" i="22" s="1"/>
  <c r="C16" i="22"/>
  <c r="C25" i="22"/>
  <c r="D25" i="22" s="1"/>
  <c r="C22" i="22"/>
  <c r="C32" i="22"/>
  <c r="D32" i="22" s="1"/>
  <c r="C40" i="22"/>
  <c r="D40" i="22" s="1"/>
  <c r="C48" i="22"/>
  <c r="D48" i="22" s="1"/>
  <c r="C55" i="22"/>
  <c r="D55" i="22" s="1"/>
  <c r="C11" i="22"/>
  <c r="D11" i="22" s="1"/>
  <c r="C26" i="22"/>
  <c r="C34" i="22"/>
  <c r="D34" i="22" s="1"/>
  <c r="C46" i="22"/>
  <c r="D46" i="22" s="1"/>
  <c r="C15" i="22"/>
  <c r="C49" i="22"/>
  <c r="D49" i="22" s="1"/>
  <c r="C52" i="22"/>
  <c r="D52" i="22" s="1"/>
  <c r="C39" i="22"/>
  <c r="C35" i="22"/>
  <c r="D35" i="22" s="1"/>
  <c r="C29" i="22"/>
  <c r="D29" i="22" s="1"/>
  <c r="C19" i="22"/>
  <c r="C41" i="22"/>
  <c r="C28" i="22"/>
  <c r="D28" i="22" s="1"/>
  <c r="C18" i="22"/>
  <c r="D18" i="22" s="1"/>
  <c r="C24" i="22"/>
  <c r="D24" i="22" s="1"/>
  <c r="C14" i="22"/>
  <c r="C42" i="22"/>
  <c r="D42" i="22" s="1"/>
  <c r="C43" i="22"/>
  <c r="C37" i="22"/>
  <c r="D37" i="22" s="1"/>
  <c r="C45" i="22"/>
  <c r="D45" i="22" s="1"/>
  <c r="C20" i="22"/>
  <c r="C21" i="22"/>
  <c r="C13" i="22"/>
  <c r="D13" i="22" s="1"/>
  <c r="C54" i="22"/>
  <c r="C47" i="22"/>
  <c r="D47" i="22" s="1"/>
  <c r="C27" i="22"/>
  <c r="C50" i="22"/>
  <c r="D50" i="22" s="1"/>
  <c r="C33" i="22"/>
  <c r="C21" i="18"/>
  <c r="C26" i="18"/>
  <c r="C22" i="18"/>
  <c r="C16" i="18"/>
  <c r="C25" i="18"/>
  <c r="C28" i="18"/>
  <c r="C23" i="18"/>
  <c r="C27" i="18"/>
  <c r="C29" i="18"/>
  <c r="D48" i="21"/>
  <c r="F48" i="21"/>
  <c r="F34" i="70"/>
  <c r="H42" i="62"/>
  <c r="C37" i="78"/>
  <c r="D37" i="78" s="1"/>
  <c r="F19" i="41"/>
  <c r="G37" i="43"/>
  <c r="H37" i="43" s="1"/>
  <c r="H21" i="21"/>
  <c r="F21" i="21"/>
  <c r="F15" i="63"/>
  <c r="H15" i="63"/>
  <c r="E8" i="29"/>
  <c r="E8" i="26"/>
  <c r="D8" i="67"/>
  <c r="E8" i="60"/>
  <c r="D9" i="65"/>
  <c r="E8" i="24"/>
  <c r="D8" i="66"/>
  <c r="E8" i="34"/>
  <c r="E8" i="61"/>
  <c r="E8" i="25"/>
  <c r="E8" i="57"/>
  <c r="E8" i="36"/>
  <c r="E8" i="38"/>
  <c r="E8" i="71"/>
  <c r="E8" i="62"/>
  <c r="E8" i="70"/>
  <c r="E8" i="75"/>
  <c r="E8" i="41"/>
  <c r="E8" i="20"/>
  <c r="E8" i="19"/>
  <c r="E8" i="21"/>
  <c r="E15" i="21" s="1"/>
  <c r="E8" i="73"/>
  <c r="E29" i="16"/>
  <c r="E11" i="17"/>
  <c r="E27" i="17"/>
  <c r="E8" i="18"/>
  <c r="E8" i="74"/>
  <c r="E8" i="22"/>
  <c r="E8" i="59"/>
  <c r="E8" i="64"/>
  <c r="L27" i="17"/>
  <c r="H24" i="64"/>
  <c r="F24" i="64"/>
  <c r="J19" i="64"/>
  <c r="F16" i="64"/>
  <c r="G50" i="78"/>
  <c r="B37" i="78"/>
  <c r="E48" i="43"/>
  <c r="I8" i="43"/>
  <c r="I8" i="76"/>
  <c r="F11" i="19"/>
  <c r="F42" i="21"/>
  <c r="H42" i="21"/>
  <c r="F29" i="21"/>
  <c r="H29" i="21"/>
  <c r="F10" i="62"/>
  <c r="C8" i="66"/>
  <c r="C8" i="24"/>
  <c r="C9" i="65"/>
  <c r="C8" i="60"/>
  <c r="C8" i="26"/>
  <c r="C8" i="29"/>
  <c r="C8" i="61"/>
  <c r="C8" i="38"/>
  <c r="C8" i="67"/>
  <c r="C8" i="25"/>
  <c r="C8" i="34"/>
  <c r="C8" i="36"/>
  <c r="C8" i="62"/>
  <c r="C8" i="74"/>
  <c r="C8" i="57"/>
  <c r="C8" i="70"/>
  <c r="C8" i="77"/>
  <c r="D11" i="17"/>
  <c r="D27" i="17"/>
  <c r="C8" i="21"/>
  <c r="C8" i="63"/>
  <c r="C8" i="19"/>
  <c r="C8" i="59"/>
  <c r="C32" i="78"/>
  <c r="C27" i="78"/>
  <c r="C23" i="78"/>
  <c r="D23" i="78" s="1"/>
  <c r="G27" i="43"/>
  <c r="H27" i="43" s="1"/>
  <c r="G14" i="43"/>
  <c r="G51" i="43"/>
  <c r="G42" i="43"/>
  <c r="H42" i="43" s="1"/>
  <c r="G49" i="43"/>
  <c r="H49" i="43" s="1"/>
  <c r="G56" i="43"/>
  <c r="G22" i="43"/>
  <c r="H22" i="43" s="1"/>
  <c r="G30" i="43"/>
  <c r="H30" i="43" s="1"/>
  <c r="G54" i="43"/>
  <c r="G33" i="43"/>
  <c r="H33" i="43" s="1"/>
  <c r="G44" i="43"/>
  <c r="G47" i="43"/>
  <c r="H47" i="43" s="1"/>
  <c r="G55" i="43"/>
  <c r="G13" i="43"/>
  <c r="H13" i="43" s="1"/>
  <c r="G24" i="43"/>
  <c r="H24" i="43" s="1"/>
  <c r="G45" i="43"/>
  <c r="G15" i="43"/>
  <c r="H15" i="43" s="1"/>
  <c r="G12" i="43"/>
  <c r="G39" i="43"/>
  <c r="G43" i="43"/>
  <c r="H43" i="43" s="1"/>
  <c r="G46" i="43"/>
  <c r="H46" i="43" s="1"/>
  <c r="G28" i="43"/>
  <c r="H28" i="43" s="1"/>
  <c r="G17" i="43"/>
  <c r="G31" i="43"/>
  <c r="G38" i="43"/>
  <c r="H38" i="43" s="1"/>
  <c r="G50" i="43"/>
  <c r="G35" i="43"/>
  <c r="E24" i="76"/>
  <c r="E17" i="76"/>
  <c r="E20" i="76"/>
  <c r="E30" i="76"/>
  <c r="E15" i="76"/>
  <c r="E25" i="76"/>
  <c r="E32" i="76"/>
  <c r="E12" i="76"/>
  <c r="E14" i="76"/>
  <c r="E16" i="76"/>
  <c r="E18" i="76"/>
  <c r="E13" i="76"/>
  <c r="E27" i="76"/>
  <c r="E31" i="76"/>
  <c r="B45" i="78"/>
  <c r="B32" i="78"/>
  <c r="E14" i="43"/>
  <c r="E25" i="43"/>
  <c r="E34" i="43"/>
  <c r="E21" i="43"/>
  <c r="E28" i="43"/>
  <c r="E49" i="43"/>
  <c r="E27" i="43"/>
  <c r="E39" i="43"/>
  <c r="E47" i="43"/>
  <c r="E54" i="43"/>
  <c r="E19" i="43"/>
  <c r="E37" i="43"/>
  <c r="E45" i="43"/>
  <c r="E38" i="43"/>
  <c r="E50" i="43"/>
  <c r="E31" i="43"/>
  <c r="E26" i="43"/>
  <c r="E33" i="43"/>
  <c r="E18" i="43"/>
  <c r="E30" i="43"/>
  <c r="E36" i="43"/>
  <c r="E24" i="43"/>
  <c r="E53" i="43"/>
  <c r="E17" i="43"/>
  <c r="E46" i="43"/>
  <c r="E23" i="43"/>
  <c r="E51" i="43"/>
  <c r="E12" i="43"/>
  <c r="E32" i="43"/>
  <c r="C20" i="18"/>
  <c r="C8" i="76"/>
  <c r="J22" i="64"/>
  <c r="B50" i="78"/>
  <c r="D50" i="78" s="1"/>
  <c r="C41" i="78"/>
  <c r="H30" i="41"/>
  <c r="H11" i="41"/>
  <c r="E52" i="43"/>
  <c r="G32" i="43"/>
  <c r="H32" i="43" s="1"/>
  <c r="E16" i="43"/>
  <c r="G10" i="30"/>
  <c r="I8" i="61"/>
  <c r="I7" i="67"/>
  <c r="H8" i="67"/>
  <c r="I7" i="65"/>
  <c r="I8" i="26"/>
  <c r="I8" i="24"/>
  <c r="I8" i="34"/>
  <c r="I8" i="29"/>
  <c r="I8" i="62"/>
  <c r="H9" i="65"/>
  <c r="F8" i="66"/>
  <c r="I8" i="25"/>
  <c r="I8" i="57"/>
  <c r="I8" i="60"/>
  <c r="I8" i="36"/>
  <c r="I8" i="38"/>
  <c r="I8" i="77"/>
  <c r="I8" i="19"/>
  <c r="I8" i="71"/>
  <c r="I8" i="70"/>
  <c r="I8" i="74"/>
  <c r="I8" i="21"/>
  <c r="I8" i="22"/>
  <c r="E7" i="31"/>
  <c r="D6" i="31" s="1"/>
  <c r="F58" i="30" s="1"/>
  <c r="I8" i="73"/>
  <c r="G11" i="17"/>
  <c r="G27" i="17"/>
  <c r="I8" i="63"/>
  <c r="G29" i="16"/>
  <c r="I8" i="41"/>
  <c r="N29" i="16"/>
  <c r="N30" i="16" s="1"/>
  <c r="I8" i="18"/>
  <c r="I8" i="78"/>
  <c r="H52" i="43"/>
  <c r="B8" i="61"/>
  <c r="B8" i="24"/>
  <c r="B8" i="34"/>
  <c r="B8" i="26"/>
  <c r="B8" i="29"/>
  <c r="B9" i="65"/>
  <c r="B8" i="57"/>
  <c r="B8" i="25"/>
  <c r="B8" i="66"/>
  <c r="B8" i="38"/>
  <c r="B8" i="67"/>
  <c r="B8" i="63"/>
  <c r="B8" i="60"/>
  <c r="B8" i="36"/>
  <c r="B8" i="62"/>
  <c r="B8" i="71"/>
  <c r="B8" i="76"/>
  <c r="B8" i="70"/>
  <c r="B8" i="18"/>
  <c r="J29" i="16"/>
  <c r="J30" i="16" s="1"/>
  <c r="B8" i="21"/>
  <c r="B8" i="74"/>
  <c r="B8" i="59"/>
  <c r="B8" i="43"/>
  <c r="B8" i="73"/>
  <c r="F11" i="64"/>
  <c r="B11" i="78"/>
  <c r="H25" i="65"/>
  <c r="H30" i="65"/>
  <c r="H35" i="65"/>
  <c r="H32" i="67"/>
  <c r="H33" i="65"/>
  <c r="J40" i="29"/>
  <c r="H29" i="67"/>
  <c r="J12" i="24"/>
  <c r="J37" i="24"/>
  <c r="H18" i="67"/>
  <c r="J16" i="24"/>
  <c r="J40" i="24"/>
  <c r="H46" i="67"/>
  <c r="J19" i="24"/>
  <c r="J10" i="24"/>
  <c r="J38" i="24"/>
  <c r="H27" i="67"/>
  <c r="J17" i="24"/>
  <c r="J10" i="62"/>
  <c r="I41" i="62"/>
  <c r="I13" i="62"/>
  <c r="I32" i="63"/>
  <c r="J32" i="63" s="1"/>
  <c r="I24" i="62"/>
  <c r="I36" i="62"/>
  <c r="J36" i="62" s="1"/>
  <c r="J20" i="24"/>
  <c r="J27" i="62"/>
  <c r="I20" i="62"/>
  <c r="J20" i="62" s="1"/>
  <c r="I45" i="62"/>
  <c r="I28" i="62"/>
  <c r="J35" i="70"/>
  <c r="I47" i="70"/>
  <c r="I15" i="62"/>
  <c r="J15" i="62" s="1"/>
  <c r="G13" i="17"/>
  <c r="G29" i="17"/>
  <c r="J41" i="24"/>
  <c r="J17" i="62"/>
  <c r="J45" i="21"/>
  <c r="N28" i="17"/>
  <c r="B21" i="78"/>
  <c r="G16" i="78"/>
  <c r="G56" i="78"/>
  <c r="G15" i="78"/>
  <c r="G24" i="78"/>
  <c r="G32" i="78"/>
  <c r="G12" i="78"/>
  <c r="G21" i="78"/>
  <c r="G30" i="78"/>
  <c r="G38" i="78"/>
  <c r="G17" i="78"/>
  <c r="G41" i="78"/>
  <c r="G54" i="78"/>
  <c r="G29" i="78"/>
  <c r="G39" i="78"/>
  <c r="G33" i="78"/>
  <c r="G53" i="78"/>
  <c r="G23" i="78"/>
  <c r="H25" i="41"/>
  <c r="C8" i="43"/>
  <c r="J50" i="21"/>
  <c r="I40" i="62"/>
  <c r="E35" i="65"/>
  <c r="E25" i="65"/>
  <c r="E32" i="67"/>
  <c r="E46" i="67"/>
  <c r="E33" i="65"/>
  <c r="H40" i="29"/>
  <c r="H35" i="24"/>
  <c r="H17" i="24"/>
  <c r="H34" i="29"/>
  <c r="E29" i="67"/>
  <c r="E18" i="67"/>
  <c r="H12" i="24"/>
  <c r="H16" i="24"/>
  <c r="E27" i="67"/>
  <c r="E30" i="65"/>
  <c r="G15" i="62"/>
  <c r="G32" i="63"/>
  <c r="G41" i="62"/>
  <c r="G13" i="62"/>
  <c r="G28" i="62"/>
  <c r="H14" i="24"/>
  <c r="H41" i="24"/>
  <c r="G20" i="62"/>
  <c r="H28" i="24"/>
  <c r="H11" i="62"/>
  <c r="G36" i="62"/>
  <c r="H27" i="62"/>
  <c r="G45" i="62"/>
  <c r="H45" i="62" s="1"/>
  <c r="H10" i="62"/>
  <c r="G24" i="62"/>
  <c r="H24" i="62" s="1"/>
  <c r="H34" i="62"/>
  <c r="H19" i="62"/>
  <c r="H35" i="62"/>
  <c r="H33" i="62"/>
  <c r="G47" i="70"/>
  <c r="H47" i="70" s="1"/>
  <c r="G13" i="41"/>
  <c r="H26" i="62"/>
  <c r="H29" i="63"/>
  <c r="M28" i="17"/>
  <c r="G40" i="62"/>
  <c r="H40" i="62" s="1"/>
  <c r="F29" i="17"/>
  <c r="F30" i="16"/>
  <c r="H35" i="70"/>
  <c r="F13" i="17"/>
  <c r="H36" i="70"/>
  <c r="L28" i="17"/>
  <c r="L11" i="17"/>
  <c r="L12" i="17" s="1"/>
  <c r="B41" i="78"/>
  <c r="E8" i="78"/>
  <c r="G36" i="43"/>
  <c r="H36" i="43" s="1"/>
  <c r="E19" i="76"/>
  <c r="H10" i="19"/>
  <c r="J10" i="19"/>
  <c r="G12" i="75"/>
  <c r="H12" i="18"/>
  <c r="J12" i="18"/>
  <c r="H45" i="21"/>
  <c r="J36" i="70"/>
  <c r="H31" i="21"/>
  <c r="J31" i="21"/>
  <c r="F14" i="70"/>
  <c r="H14" i="70"/>
  <c r="D39" i="62"/>
  <c r="F39" i="62"/>
  <c r="J25" i="62"/>
  <c r="H25" i="62"/>
  <c r="G41" i="43"/>
  <c r="H41" i="43" s="1"/>
  <c r="G19" i="43"/>
  <c r="H19" i="43" s="1"/>
  <c r="C11" i="17"/>
  <c r="E56" i="43"/>
  <c r="E35" i="43"/>
  <c r="E15" i="43"/>
  <c r="C30" i="18"/>
  <c r="F44" i="19"/>
  <c r="B8" i="19"/>
  <c r="F45" i="21"/>
  <c r="J12" i="62"/>
  <c r="I8" i="75"/>
  <c r="D27" i="70"/>
  <c r="F27" i="70"/>
  <c r="N10" i="16"/>
  <c r="N11" i="16" s="1"/>
  <c r="D29" i="67"/>
  <c r="D30" i="65"/>
  <c r="D33" i="65"/>
  <c r="D35" i="65"/>
  <c r="D25" i="65"/>
  <c r="D46" i="67"/>
  <c r="D18" i="67"/>
  <c r="F43" i="24"/>
  <c r="F27" i="24"/>
  <c r="F38" i="24"/>
  <c r="D27" i="67"/>
  <c r="F17" i="24"/>
  <c r="F41" i="24"/>
  <c r="F44" i="24"/>
  <c r="F36" i="29"/>
  <c r="F18" i="24"/>
  <c r="D32" i="67"/>
  <c r="E28" i="62"/>
  <c r="F28" i="62" s="1"/>
  <c r="E36" i="62"/>
  <c r="F28" i="24"/>
  <c r="F44" i="62"/>
  <c r="E15" i="62"/>
  <c r="F34" i="62"/>
  <c r="E45" i="62"/>
  <c r="E24" i="62"/>
  <c r="E13" i="62"/>
  <c r="F13" i="62" s="1"/>
  <c r="E47" i="70"/>
  <c r="E20" i="62"/>
  <c r="F20" i="62" s="1"/>
  <c r="E41" i="62"/>
  <c r="F41" i="62" s="1"/>
  <c r="F31" i="63"/>
  <c r="E32" i="63"/>
  <c r="E13" i="17"/>
  <c r="E29" i="17"/>
  <c r="F36" i="70"/>
  <c r="E40" i="62"/>
  <c r="E30" i="16"/>
  <c r="F22" i="62"/>
  <c r="F25" i="62"/>
  <c r="C11" i="78"/>
  <c r="D11" i="78" s="1"/>
  <c r="C51" i="78"/>
  <c r="D51" i="78" s="1"/>
  <c r="C38" i="78"/>
  <c r="C47" i="78"/>
  <c r="C55" i="78"/>
  <c r="C57" i="78"/>
  <c r="C29" i="78"/>
  <c r="C48" i="78"/>
  <c r="D48" i="78" s="1"/>
  <c r="C13" i="78"/>
  <c r="C21" i="78"/>
  <c r="D21" i="78" s="1"/>
  <c r="C43" i="78"/>
  <c r="D43" i="78" s="1"/>
  <c r="C17" i="78"/>
  <c r="D17" i="78" s="1"/>
  <c r="C26" i="78"/>
  <c r="D26" i="78" s="1"/>
  <c r="C30" i="78"/>
  <c r="C42" i="78"/>
  <c r="D42" i="78" s="1"/>
  <c r="C45" i="78"/>
  <c r="D45" i="78" s="1"/>
  <c r="C31" i="78"/>
  <c r="D31" i="78" s="1"/>
  <c r="C20" i="78"/>
  <c r="D20" i="78" s="1"/>
  <c r="C36" i="78"/>
  <c r="B54" i="78"/>
  <c r="C44" i="78"/>
  <c r="C15" i="78"/>
  <c r="D15" i="78" s="1"/>
  <c r="C35" i="78"/>
  <c r="C39" i="78"/>
  <c r="D39" i="78" s="1"/>
  <c r="B30" i="78"/>
  <c r="C25" i="78"/>
  <c r="G25" i="43"/>
  <c r="H25" i="43" s="1"/>
  <c r="N27" i="17"/>
  <c r="B57" i="78"/>
  <c r="B39" i="78"/>
  <c r="B35" i="78"/>
  <c r="B25" i="78"/>
  <c r="G30" i="75"/>
  <c r="F38" i="62"/>
  <c r="G25" i="59"/>
  <c r="G47" i="59"/>
  <c r="G23" i="59"/>
  <c r="G45" i="59"/>
  <c r="G31" i="59"/>
  <c r="G18" i="59"/>
  <c r="G27" i="59"/>
  <c r="G12" i="59"/>
  <c r="G38" i="59"/>
  <c r="G44" i="59"/>
  <c r="G19" i="59"/>
  <c r="G16" i="59"/>
  <c r="G22" i="59"/>
  <c r="G14" i="59"/>
  <c r="G21" i="59"/>
  <c r="G46" i="59"/>
  <c r="G39" i="59"/>
  <c r="G30" i="59"/>
  <c r="G43" i="59"/>
  <c r="G35" i="59"/>
  <c r="G33" i="59"/>
  <c r="G36" i="59"/>
  <c r="G11" i="59"/>
  <c r="G34" i="59"/>
  <c r="G13" i="59"/>
  <c r="G20" i="59"/>
  <c r="G28" i="59"/>
  <c r="B8" i="75"/>
  <c r="F40" i="21"/>
  <c r="H40" i="21"/>
  <c r="J36" i="21"/>
  <c r="E8" i="77"/>
  <c r="J29" i="63"/>
  <c r="E8" i="63"/>
  <c r="C49" i="78"/>
  <c r="I8" i="59"/>
  <c r="G13" i="63"/>
  <c r="G11" i="63"/>
  <c r="G18" i="63"/>
  <c r="G21" i="63"/>
  <c r="G10" i="63"/>
  <c r="G12" i="63"/>
  <c r="G20" i="63"/>
  <c r="G19" i="63"/>
  <c r="C29" i="16"/>
  <c r="L10" i="16"/>
  <c r="L11" i="16" s="1"/>
  <c r="C53" i="78"/>
  <c r="B43" i="78"/>
  <c r="B13" i="78"/>
  <c r="I13" i="41"/>
  <c r="J13" i="41" s="1"/>
  <c r="G34" i="43"/>
  <c r="H34" i="43" s="1"/>
  <c r="G19" i="78"/>
  <c r="H24" i="19"/>
  <c r="B8" i="77"/>
  <c r="C24" i="18"/>
  <c r="E29" i="76"/>
  <c r="K29" i="16"/>
  <c r="K30" i="16" s="1"/>
  <c r="K10" i="16"/>
  <c r="K11" i="16" s="1"/>
  <c r="K27" i="17"/>
  <c r="J10" i="16"/>
  <c r="J11" i="16" s="1"/>
  <c r="J27" i="17"/>
  <c r="D18" i="64"/>
  <c r="G51" i="78"/>
  <c r="E13" i="41"/>
  <c r="F13" i="41" s="1"/>
  <c r="F19" i="19"/>
  <c r="I8" i="20"/>
  <c r="G42" i="59"/>
  <c r="D30" i="21"/>
  <c r="D12" i="21"/>
  <c r="F12" i="21"/>
  <c r="C8" i="73"/>
  <c r="D29" i="16"/>
  <c r="C8" i="75"/>
  <c r="C54" i="78"/>
  <c r="B23" i="78"/>
  <c r="B36" i="78"/>
  <c r="B47" i="78"/>
  <c r="B55" i="78"/>
  <c r="B19" i="78"/>
  <c r="B27" i="78"/>
  <c r="B33" i="78"/>
  <c r="B44" i="78"/>
  <c r="B53" i="78"/>
  <c r="B29" i="78"/>
  <c r="B48" i="78"/>
  <c r="B38" i="78"/>
  <c r="B15" i="78"/>
  <c r="B16" i="78"/>
  <c r="D16" i="78" s="1"/>
  <c r="B20" i="78"/>
  <c r="G13" i="75"/>
  <c r="G34" i="75"/>
  <c r="G11" i="75"/>
  <c r="G32" i="75"/>
  <c r="G18" i="75"/>
  <c r="G10" i="75"/>
  <c r="G27" i="75"/>
  <c r="G29" i="75"/>
  <c r="G14" i="75"/>
  <c r="G23" i="75"/>
  <c r="G31" i="75"/>
  <c r="G33" i="75"/>
  <c r="G19" i="75"/>
  <c r="G20" i="75"/>
  <c r="G17" i="75"/>
  <c r="G25" i="75"/>
  <c r="G26" i="75"/>
  <c r="G21" i="75"/>
  <c r="E55" i="43"/>
  <c r="G18" i="43"/>
  <c r="H18" i="43" s="1"/>
  <c r="H34" i="19"/>
  <c r="J34" i="19"/>
  <c r="F34" i="21"/>
  <c r="D34" i="21"/>
  <c r="J43" i="62"/>
  <c r="G10" i="16"/>
  <c r="G42" i="78"/>
  <c r="C24" i="78"/>
  <c r="D24" i="78" s="1"/>
  <c r="C19" i="78"/>
  <c r="D19" i="78" s="1"/>
  <c r="J31" i="41"/>
  <c r="C8" i="41"/>
  <c r="E44" i="43"/>
  <c r="E26" i="76"/>
  <c r="F40" i="19"/>
  <c r="C8" i="20"/>
  <c r="E10" i="16"/>
  <c r="C27" i="17"/>
  <c r="I8" i="64"/>
  <c r="C56" i="78"/>
  <c r="G47" i="78"/>
  <c r="G37" i="78"/>
  <c r="B24" i="78"/>
  <c r="C12" i="78"/>
  <c r="D12" i="78" s="1"/>
  <c r="H26" i="41"/>
  <c r="J26" i="41"/>
  <c r="H22" i="41"/>
  <c r="B8" i="41"/>
  <c r="G23" i="43"/>
  <c r="H23" i="43" s="1"/>
  <c r="E13" i="43"/>
  <c r="B8" i="20"/>
  <c r="G41" i="59"/>
  <c r="C8" i="71"/>
  <c r="B49" i="78"/>
  <c r="D10" i="16"/>
  <c r="D13" i="64"/>
  <c r="F13" i="64"/>
  <c r="B56" i="78"/>
  <c r="C33" i="78"/>
  <c r="D33" i="78" s="1"/>
  <c r="B12" i="78"/>
  <c r="H12" i="41"/>
  <c r="J12" i="41"/>
  <c r="G23" i="18"/>
  <c r="G28" i="18"/>
  <c r="G16" i="18"/>
  <c r="G25" i="18"/>
  <c r="G29" i="18"/>
  <c r="G22" i="18"/>
  <c r="G30" i="18"/>
  <c r="G24" i="18"/>
  <c r="E28" i="76"/>
  <c r="G16" i="75"/>
  <c r="H51" i="22"/>
  <c r="D51" i="21"/>
  <c r="F51" i="21"/>
  <c r="D38" i="62"/>
  <c r="G8" i="29"/>
  <c r="G8" i="25"/>
  <c r="E8" i="67"/>
  <c r="G8" i="34"/>
  <c r="G8" i="61"/>
  <c r="F7" i="65"/>
  <c r="G8" i="26"/>
  <c r="G8" i="60"/>
  <c r="E8" i="66"/>
  <c r="G8" i="24"/>
  <c r="F7" i="67"/>
  <c r="G8" i="38"/>
  <c r="E9" i="65"/>
  <c r="G8" i="57"/>
  <c r="G8" i="70"/>
  <c r="G8" i="62"/>
  <c r="G8" i="71"/>
  <c r="G8" i="74"/>
  <c r="G8" i="36"/>
  <c r="G8" i="76"/>
  <c r="G8" i="77"/>
  <c r="G8" i="22"/>
  <c r="G8" i="21"/>
  <c r="G8" i="73"/>
  <c r="F29" i="16"/>
  <c r="G8" i="20"/>
  <c r="G8" i="41"/>
  <c r="F10" i="16"/>
  <c r="H46" i="21"/>
  <c r="J46" i="21"/>
  <c r="F33" i="62"/>
  <c r="D4" i="74"/>
  <c r="F50" i="21"/>
  <c r="H50" i="21"/>
  <c r="F37" i="62"/>
  <c r="D35" i="19"/>
  <c r="G8" i="19"/>
  <c r="D50" i="21"/>
  <c r="H41" i="21"/>
  <c r="J41" i="21"/>
  <c r="D32" i="21"/>
  <c r="D25" i="63"/>
  <c r="F25" i="63"/>
  <c r="C30" i="65"/>
  <c r="C33" i="65"/>
  <c r="C18" i="67"/>
  <c r="D38" i="24"/>
  <c r="C25" i="65"/>
  <c r="D35" i="29"/>
  <c r="C29" i="67"/>
  <c r="C27" i="67"/>
  <c r="C35" i="65"/>
  <c r="D10" i="24"/>
  <c r="D19" i="24"/>
  <c r="D35" i="24"/>
  <c r="C46" i="67"/>
  <c r="D28" i="24"/>
  <c r="D36" i="24"/>
  <c r="D36" i="29"/>
  <c r="C32" i="67"/>
  <c r="C13" i="62"/>
  <c r="C28" i="62"/>
  <c r="C24" i="62"/>
  <c r="D24" i="62" s="1"/>
  <c r="D44" i="62"/>
  <c r="D37" i="24"/>
  <c r="D33" i="24"/>
  <c r="C15" i="62"/>
  <c r="D42" i="62"/>
  <c r="D12" i="62"/>
  <c r="C36" i="62"/>
  <c r="D36" i="62" s="1"/>
  <c r="C47" i="70"/>
  <c r="C32" i="63"/>
  <c r="D35" i="70"/>
  <c r="C20" i="62"/>
  <c r="C41" i="62"/>
  <c r="D41" i="62" s="1"/>
  <c r="D31" i="63"/>
  <c r="C45" i="62"/>
  <c r="D45" i="62" s="1"/>
  <c r="D13" i="17"/>
  <c r="D29" i="17"/>
  <c r="K28" i="17"/>
  <c r="C13" i="41"/>
  <c r="C40" i="62"/>
  <c r="D40" i="62" s="1"/>
  <c r="J11" i="41"/>
  <c r="D41" i="19"/>
  <c r="F41" i="19"/>
  <c r="J13" i="21"/>
  <c r="D4" i="29"/>
  <c r="D4" i="25"/>
  <c r="F55" i="30"/>
  <c r="D4" i="61"/>
  <c r="D4" i="38"/>
  <c r="D4" i="67"/>
  <c r="D4" i="65"/>
  <c r="D4" i="66"/>
  <c r="D4" i="57"/>
  <c r="D4" i="36"/>
  <c r="D4" i="60"/>
  <c r="D4" i="26"/>
  <c r="D4" i="63"/>
  <c r="D4" i="24"/>
  <c r="D4" i="62"/>
  <c r="D4" i="34"/>
  <c r="D4" i="22"/>
  <c r="D4" i="77"/>
  <c r="D4" i="70"/>
  <c r="D4" i="59"/>
  <c r="D4" i="78"/>
  <c r="D4" i="76"/>
  <c r="D4" i="75"/>
  <c r="I4" i="16"/>
  <c r="D4" i="43"/>
  <c r="D4" i="73"/>
  <c r="D4" i="20"/>
  <c r="D4" i="21"/>
  <c r="D17" i="21"/>
  <c r="F35" i="62"/>
  <c r="D37" i="19"/>
  <c r="J26" i="62"/>
  <c r="F17" i="62"/>
  <c r="J20" i="41"/>
  <c r="D18" i="41"/>
  <c r="D14" i="18"/>
  <c r="H33" i="19"/>
  <c r="J53" i="22"/>
  <c r="J34" i="70"/>
  <c r="H34" i="70"/>
  <c r="B27" i="67"/>
  <c r="B32" i="67"/>
  <c r="B46" i="67"/>
  <c r="B33" i="65"/>
  <c r="B29" i="67"/>
  <c r="B35" i="65"/>
  <c r="B30" i="65"/>
  <c r="B18" i="67"/>
  <c r="B15" i="62"/>
  <c r="B25" i="65"/>
  <c r="B28" i="62"/>
  <c r="B24" i="62"/>
  <c r="B13" i="62"/>
  <c r="B32" i="63"/>
  <c r="B40" i="62"/>
  <c r="B47" i="70"/>
  <c r="B20" i="62"/>
  <c r="B41" i="62"/>
  <c r="B13" i="41"/>
  <c r="D30" i="41"/>
  <c r="F43" i="19"/>
  <c r="F37" i="19"/>
  <c r="F17" i="70"/>
  <c r="H17" i="70"/>
  <c r="B36" i="62"/>
  <c r="H40" i="19"/>
  <c r="J35" i="62"/>
  <c r="J11" i="62"/>
  <c r="D22" i="62"/>
  <c r="F11" i="62"/>
  <c r="D34" i="77"/>
  <c r="F34" i="77"/>
  <c r="F26" i="62"/>
  <c r="H17" i="62"/>
  <c r="D46" i="21"/>
  <c r="H11" i="21"/>
  <c r="D36" i="70"/>
  <c r="D30" i="63"/>
  <c r="J37" i="62"/>
  <c r="H53" i="21"/>
  <c r="J49" i="21"/>
  <c r="F29" i="63"/>
  <c r="F32" i="21"/>
  <c r="F10" i="41"/>
  <c r="J25" i="19"/>
  <c r="F25" i="21"/>
  <c r="H31" i="63"/>
  <c r="H43" i="62"/>
  <c r="J18" i="62"/>
  <c r="D40" i="61"/>
  <c r="F40" i="61"/>
  <c r="F31" i="41"/>
  <c r="F43" i="62"/>
  <c r="J15" i="41"/>
  <c r="H13" i="18"/>
  <c r="H28" i="21"/>
  <c r="H38" i="62"/>
  <c r="D27" i="62"/>
  <c r="F27" i="62"/>
  <c r="F42" i="62"/>
  <c r="H18" i="62"/>
  <c r="J45" i="24"/>
  <c r="D35" i="21"/>
  <c r="D23" i="21"/>
  <c r="F51" i="22"/>
  <c r="H22" i="62"/>
  <c r="F18" i="62"/>
  <c r="F17" i="60"/>
  <c r="H17" i="60"/>
  <c r="F42" i="29"/>
  <c r="D42" i="29"/>
  <c r="D53" i="21"/>
  <c r="J30" i="21"/>
  <c r="D22" i="63"/>
  <c r="F22" i="63"/>
  <c r="J38" i="62"/>
  <c r="D35" i="62"/>
  <c r="J23" i="62"/>
  <c r="J51" i="21"/>
  <c r="D24" i="21"/>
  <c r="D43" i="62"/>
  <c r="F17" i="18"/>
  <c r="H51" i="21"/>
  <c r="F23" i="62"/>
  <c r="H46" i="24"/>
  <c r="J42" i="24"/>
  <c r="H42" i="24"/>
  <c r="J34" i="62"/>
  <c r="D11" i="62"/>
  <c r="J39" i="61"/>
  <c r="F34" i="61"/>
  <c r="F31" i="61"/>
  <c r="H31" i="61"/>
  <c r="F23" i="61"/>
  <c r="J15" i="60"/>
  <c r="H15" i="60"/>
  <c r="J44" i="62"/>
  <c r="H44" i="62"/>
  <c r="D34" i="62"/>
  <c r="F42" i="61"/>
  <c r="H23" i="62"/>
  <c r="J19" i="62"/>
  <c r="D39" i="24"/>
  <c r="F32" i="18"/>
  <c r="F46" i="21"/>
  <c r="J30" i="63"/>
  <c r="H25" i="63"/>
  <c r="F35" i="70"/>
  <c r="H35" i="77"/>
  <c r="J33" i="62"/>
  <c r="J21" i="62"/>
  <c r="D10" i="62"/>
  <c r="D13" i="70"/>
  <c r="J39" i="62"/>
  <c r="F39" i="24"/>
  <c r="H39" i="24"/>
  <c r="D25" i="62"/>
  <c r="H21" i="62"/>
  <c r="D35" i="77"/>
  <c r="J42" i="62"/>
  <c r="D33" i="62"/>
  <c r="D21" i="62"/>
  <c r="F21" i="62"/>
  <c r="H51" i="61"/>
  <c r="J51" i="61"/>
  <c r="D36" i="34"/>
  <c r="F36" i="34"/>
  <c r="H43" i="60"/>
  <c r="H12" i="62"/>
  <c r="H33" i="24"/>
  <c r="H11" i="24"/>
  <c r="J11" i="24"/>
  <c r="H19" i="24"/>
  <c r="F26" i="25"/>
  <c r="H26" i="25"/>
  <c r="H37" i="62"/>
  <c r="J22" i="62"/>
  <c r="D17" i="62"/>
  <c r="H22" i="61"/>
  <c r="J22" i="61"/>
  <c r="F33" i="24"/>
  <c r="F20" i="60"/>
  <c r="H20" i="60"/>
  <c r="H39" i="62"/>
  <c r="H12" i="34"/>
  <c r="D45" i="24"/>
  <c r="F45" i="24"/>
  <c r="F11" i="24"/>
  <c r="D11" i="24"/>
  <c r="D19" i="62"/>
  <c r="F19" i="62"/>
  <c r="F37" i="24"/>
  <c r="H37" i="24"/>
  <c r="H30" i="63"/>
  <c r="F10" i="24"/>
  <c r="F30" i="63"/>
  <c r="H14" i="62"/>
  <c r="J36" i="24"/>
  <c r="D16" i="24"/>
  <c r="D42" i="24"/>
  <c r="H36" i="29"/>
  <c r="D18" i="62"/>
  <c r="F12" i="62"/>
  <c r="F22" i="61"/>
  <c r="J45" i="34"/>
  <c r="F27" i="34"/>
  <c r="F10" i="60"/>
  <c r="H45" i="24"/>
  <c r="H42" i="34"/>
  <c r="F42" i="34"/>
  <c r="H31" i="34"/>
  <c r="D27" i="34"/>
  <c r="J33" i="24"/>
  <c r="F20" i="24"/>
  <c r="F33" i="25"/>
  <c r="J14" i="34"/>
  <c r="H44" i="24"/>
  <c r="F52" i="26"/>
  <c r="H52" i="26"/>
  <c r="F14" i="24"/>
  <c r="H39" i="29"/>
  <c r="H40" i="61"/>
  <c r="F34" i="34"/>
  <c r="F18" i="60"/>
  <c r="H18" i="60"/>
  <c r="J43" i="24"/>
  <c r="F31" i="24"/>
  <c r="J18" i="24"/>
  <c r="D31" i="24"/>
  <c r="H18" i="24"/>
  <c r="J42" i="61"/>
  <c r="H36" i="34"/>
  <c r="J27" i="60"/>
  <c r="J23" i="60"/>
  <c r="H36" i="24"/>
  <c r="F30" i="26"/>
  <c r="H30" i="26"/>
  <c r="H43" i="34"/>
  <c r="J43" i="34"/>
  <c r="J39" i="24"/>
  <c r="F23" i="24"/>
  <c r="F12" i="24"/>
  <c r="D12" i="24"/>
  <c r="F43" i="34"/>
  <c r="J39" i="34"/>
  <c r="J28" i="24"/>
  <c r="D16" i="25"/>
  <c r="J36" i="29"/>
  <c r="H31" i="29"/>
  <c r="J14" i="24"/>
  <c r="H38" i="26"/>
  <c r="J38" i="26"/>
  <c r="D15" i="26"/>
  <c r="F15" i="26"/>
  <c r="J44" i="24"/>
  <c r="H20" i="24"/>
  <c r="D14" i="24"/>
  <c r="D38" i="26"/>
  <c r="F36" i="24"/>
  <c r="D20" i="24"/>
  <c r="F40" i="29"/>
  <c r="D40" i="29"/>
  <c r="J52" i="61"/>
  <c r="H47" i="26"/>
  <c r="F47" i="26"/>
  <c r="H13" i="26"/>
  <c r="F13" i="26"/>
  <c r="J36" i="61"/>
  <c r="H32" i="60"/>
  <c r="D44" i="24"/>
  <c r="H38" i="24"/>
  <c r="H31" i="24"/>
  <c r="H37" i="26"/>
  <c r="D41" i="24"/>
  <c r="H10" i="24"/>
  <c r="H31" i="25"/>
  <c r="H22" i="25"/>
  <c r="F36" i="61"/>
  <c r="F25" i="34"/>
  <c r="J10" i="34"/>
  <c r="H16" i="60"/>
  <c r="J23" i="24"/>
  <c r="D17" i="24"/>
  <c r="F35" i="25"/>
  <c r="F28" i="34"/>
  <c r="H28" i="34"/>
  <c r="D16" i="34"/>
  <c r="H10" i="34"/>
  <c r="F45" i="60"/>
  <c r="D11" i="60"/>
  <c r="J35" i="24"/>
  <c r="H27" i="24"/>
  <c r="J27" i="24"/>
  <c r="D35" i="25"/>
  <c r="D23" i="29"/>
  <c r="F23" i="29"/>
  <c r="J38" i="61"/>
  <c r="D28" i="34"/>
  <c r="H13" i="34"/>
  <c r="F13" i="34"/>
  <c r="D42" i="60"/>
  <c r="F42" i="60"/>
  <c r="H43" i="24"/>
  <c r="F19" i="24"/>
  <c r="J31" i="26"/>
  <c r="D39" i="29"/>
  <c r="J46" i="24"/>
  <c r="J31" i="34"/>
  <c r="H15" i="34"/>
  <c r="F40" i="24"/>
  <c r="H40" i="24"/>
  <c r="F35" i="24"/>
  <c r="D27" i="24"/>
  <c r="D23" i="24"/>
  <c r="J36" i="26"/>
  <c r="D43" i="24"/>
  <c r="F16" i="24"/>
  <c r="D31" i="26"/>
  <c r="F31" i="26"/>
  <c r="H38" i="29"/>
  <c r="J38" i="29"/>
  <c r="F19" i="29"/>
  <c r="H27" i="34"/>
  <c r="F25" i="60"/>
  <c r="F38" i="29"/>
  <c r="D34" i="29"/>
  <c r="H34" i="34"/>
  <c r="F44" i="60"/>
  <c r="D25" i="60"/>
  <c r="D21" i="60"/>
  <c r="D13" i="60"/>
  <c r="D46" i="24"/>
  <c r="F30" i="25"/>
  <c r="F16" i="25"/>
  <c r="J31" i="29"/>
  <c r="H26" i="29"/>
  <c r="D15" i="29"/>
  <c r="F39" i="29"/>
  <c r="J35" i="29"/>
  <c r="H35" i="29"/>
  <c r="F35" i="29"/>
  <c r="F46" i="24"/>
  <c r="D18" i="24"/>
  <c r="J45" i="26"/>
  <c r="J34" i="34"/>
  <c r="F19" i="60"/>
  <c r="H16" i="25"/>
  <c r="D38" i="29"/>
  <c r="D45" i="34"/>
  <c r="D45" i="26"/>
  <c r="F34" i="29"/>
  <c r="D23" i="34"/>
  <c r="H21" i="60"/>
  <c r="D40" i="24"/>
  <c r="H23" i="24"/>
  <c r="H33" i="25"/>
  <c r="J44" i="26"/>
  <c r="H12" i="29"/>
  <c r="J17" i="26"/>
  <c r="F17" i="29"/>
  <c r="J28" i="60"/>
  <c r="J34" i="29"/>
  <c r="F42" i="24"/>
  <c r="J39" i="29"/>
  <c r="B10" i="67" l="1"/>
  <c r="B28" i="67"/>
  <c r="B14" i="67"/>
  <c r="B25" i="67"/>
  <c r="B12" i="67"/>
  <c r="B16" i="67"/>
  <c r="B23" i="67"/>
  <c r="B31" i="67"/>
  <c r="B19" i="67"/>
  <c r="B35" i="67"/>
  <c r="B26" i="67"/>
  <c r="B20" i="67"/>
  <c r="B38" i="67"/>
  <c r="B24" i="67"/>
  <c r="B34" i="67"/>
  <c r="B37" i="67"/>
  <c r="B30" i="67"/>
  <c r="B15" i="67"/>
  <c r="B39" i="67"/>
  <c r="I21" i="24"/>
  <c r="I32" i="24"/>
  <c r="I26" i="24"/>
  <c r="I29" i="24"/>
  <c r="I30" i="24"/>
  <c r="I31" i="24"/>
  <c r="J31" i="24" s="1"/>
  <c r="I13" i="24"/>
  <c r="I24" i="24"/>
  <c r="I25" i="24"/>
  <c r="E21" i="18"/>
  <c r="E25" i="18"/>
  <c r="F25" i="18" s="1"/>
  <c r="E23" i="18"/>
  <c r="F23" i="18" s="1"/>
  <c r="E28" i="18"/>
  <c r="F28" i="18" s="1"/>
  <c r="E22" i="18"/>
  <c r="F22" i="18" s="1"/>
  <c r="E26" i="18"/>
  <c r="E27" i="18"/>
  <c r="E20" i="18"/>
  <c r="E29" i="18"/>
  <c r="F29" i="18" s="1"/>
  <c r="E24" i="18"/>
  <c r="F24" i="18" s="1"/>
  <c r="E30" i="18"/>
  <c r="F30" i="18" s="1"/>
  <c r="E16" i="18"/>
  <c r="F16" i="18" s="1"/>
  <c r="E30" i="24"/>
  <c r="E25" i="24"/>
  <c r="E29" i="24"/>
  <c r="E32" i="24"/>
  <c r="E26" i="24"/>
  <c r="E13" i="24"/>
  <c r="E24" i="24"/>
  <c r="E21" i="24"/>
  <c r="D20" i="22"/>
  <c r="C20" i="20"/>
  <c r="C18" i="20"/>
  <c r="D18" i="20" s="1"/>
  <c r="C25" i="20"/>
  <c r="C33" i="20"/>
  <c r="C46" i="20"/>
  <c r="C12" i="20"/>
  <c r="C32" i="20"/>
  <c r="C16" i="20"/>
  <c r="C29" i="20"/>
  <c r="C26" i="20"/>
  <c r="C17" i="20"/>
  <c r="C30" i="20"/>
  <c r="C35" i="20"/>
  <c r="C11" i="20"/>
  <c r="C24" i="20"/>
  <c r="C19" i="20"/>
  <c r="C28" i="20"/>
  <c r="C14" i="20"/>
  <c r="C23" i="20"/>
  <c r="C37" i="20"/>
  <c r="C42" i="20"/>
  <c r="C13" i="20"/>
  <c r="C15" i="20"/>
  <c r="C27" i="20"/>
  <c r="C43" i="20"/>
  <c r="C31" i="20"/>
  <c r="G51" i="62"/>
  <c r="G54" i="62"/>
  <c r="G47" i="62"/>
  <c r="G31" i="62"/>
  <c r="G46" i="62"/>
  <c r="G53" i="62"/>
  <c r="G30" i="62"/>
  <c r="G48" i="62"/>
  <c r="G52" i="62"/>
  <c r="G32" i="62"/>
  <c r="G49" i="62"/>
  <c r="G29" i="62"/>
  <c r="D44" i="78"/>
  <c r="F36" i="62"/>
  <c r="J24" i="62"/>
  <c r="B21" i="38"/>
  <c r="B43" i="38"/>
  <c r="B29" i="38"/>
  <c r="B16" i="38"/>
  <c r="B39" i="38"/>
  <c r="B14" i="38"/>
  <c r="B37" i="38"/>
  <c r="B27" i="38"/>
  <c r="B15" i="38"/>
  <c r="B18" i="38"/>
  <c r="B22" i="38"/>
  <c r="B38" i="38"/>
  <c r="B25" i="38"/>
  <c r="B19" i="38"/>
  <c r="B30" i="38"/>
  <c r="B23" i="38"/>
  <c r="B33" i="38"/>
  <c r="B24" i="38"/>
  <c r="B34" i="38"/>
  <c r="B44" i="38"/>
  <c r="B42" i="38"/>
  <c r="B13" i="38"/>
  <c r="B32" i="38"/>
  <c r="B45" i="38"/>
  <c r="B35" i="38"/>
  <c r="B11" i="38"/>
  <c r="B31" i="38"/>
  <c r="B40" i="38"/>
  <c r="B17" i="38"/>
  <c r="B26" i="38"/>
  <c r="B41" i="38"/>
  <c r="I40" i="73"/>
  <c r="I52" i="73"/>
  <c r="I20" i="73"/>
  <c r="I10" i="73"/>
  <c r="I18" i="73"/>
  <c r="I34" i="73"/>
  <c r="I50" i="73"/>
  <c r="I17" i="73"/>
  <c r="I28" i="73"/>
  <c r="I11" i="73"/>
  <c r="I43" i="73"/>
  <c r="I54" i="73"/>
  <c r="I22" i="73"/>
  <c r="I38" i="73"/>
  <c r="I46" i="73"/>
  <c r="I13" i="73"/>
  <c r="I21" i="73"/>
  <c r="I49" i="73"/>
  <c r="I53" i="73"/>
  <c r="I57" i="73"/>
  <c r="I14" i="73"/>
  <c r="I25" i="73"/>
  <c r="I33" i="73"/>
  <c r="I45" i="73"/>
  <c r="I19" i="73"/>
  <c r="I47" i="73"/>
  <c r="I24" i="73"/>
  <c r="I29" i="73"/>
  <c r="I15" i="73"/>
  <c r="I42" i="73"/>
  <c r="I55" i="73"/>
  <c r="I26" i="73"/>
  <c r="I32" i="73"/>
  <c r="I39" i="73"/>
  <c r="I27" i="73"/>
  <c r="I12" i="73"/>
  <c r="I35" i="73"/>
  <c r="I31" i="73"/>
  <c r="I41" i="73"/>
  <c r="I48" i="73"/>
  <c r="I36" i="73"/>
  <c r="I56" i="73"/>
  <c r="I32" i="26"/>
  <c r="I27" i="26"/>
  <c r="I50" i="26"/>
  <c r="I33" i="26"/>
  <c r="I19" i="26"/>
  <c r="I25" i="26"/>
  <c r="I11" i="26"/>
  <c r="I23" i="26"/>
  <c r="I34" i="26"/>
  <c r="I20" i="26"/>
  <c r="I24" i="26"/>
  <c r="I48" i="26"/>
  <c r="I21" i="26"/>
  <c r="I42" i="26"/>
  <c r="I49" i="26"/>
  <c r="I16" i="26"/>
  <c r="I26" i="26"/>
  <c r="I12" i="26"/>
  <c r="I28" i="26"/>
  <c r="F51" i="43"/>
  <c r="H44" i="43"/>
  <c r="D26" i="65"/>
  <c r="D20" i="65"/>
  <c r="D55" i="65"/>
  <c r="D14" i="65"/>
  <c r="D40" i="65"/>
  <c r="D56" i="65"/>
  <c r="D82" i="65"/>
  <c r="D62" i="65"/>
  <c r="D67" i="65"/>
  <c r="D71" i="65" s="1"/>
  <c r="D72" i="65"/>
  <c r="D87" i="65"/>
  <c r="D92" i="65"/>
  <c r="D68" i="65"/>
  <c r="D73" i="65"/>
  <c r="D83" i="65"/>
  <c r="D86" i="65" s="1"/>
  <c r="D93" i="65"/>
  <c r="D27" i="65"/>
  <c r="D36" i="65"/>
  <c r="D90" i="65"/>
  <c r="D28" i="65"/>
  <c r="D54" i="65"/>
  <c r="D61" i="65"/>
  <c r="D69" i="65"/>
  <c r="D18" i="65"/>
  <c r="D70" i="65"/>
  <c r="D84" i="65"/>
  <c r="D91" i="65"/>
  <c r="D11" i="65"/>
  <c r="D21" i="65"/>
  <c r="D29" i="65"/>
  <c r="D85" i="65"/>
  <c r="D57" i="65"/>
  <c r="D79" i="65"/>
  <c r="D58" i="65"/>
  <c r="D94" i="65"/>
  <c r="D22" i="65"/>
  <c r="D80" i="65"/>
  <c r="D12" i="65"/>
  <c r="D63" i="65"/>
  <c r="D81" i="65"/>
  <c r="D34" i="65"/>
  <c r="D13" i="65"/>
  <c r="D52" i="65"/>
  <c r="D53" i="65"/>
  <c r="D74" i="65"/>
  <c r="D89" i="65"/>
  <c r="D75" i="65"/>
  <c r="D60" i="65"/>
  <c r="D39" i="65"/>
  <c r="D15" i="65"/>
  <c r="H28" i="62"/>
  <c r="J40" i="62"/>
  <c r="B11" i="66"/>
  <c r="B17" i="66"/>
  <c r="B23" i="66"/>
  <c r="B9" i="66"/>
  <c r="B24" i="66"/>
  <c r="B18" i="66"/>
  <c r="B20" i="66"/>
  <c r="B30" i="66"/>
  <c r="B15" i="66"/>
  <c r="B31" i="66"/>
  <c r="B16" i="66"/>
  <c r="B25" i="66"/>
  <c r="B26" i="66"/>
  <c r="B12" i="66"/>
  <c r="E36" i="60"/>
  <c r="E38" i="60"/>
  <c r="E40" i="60"/>
  <c r="E37" i="60"/>
  <c r="E39" i="60"/>
  <c r="E33" i="60"/>
  <c r="G11" i="70"/>
  <c r="G31" i="70"/>
  <c r="G26" i="70"/>
  <c r="G46" i="70"/>
  <c r="G10" i="70"/>
  <c r="G15" i="70"/>
  <c r="G25" i="70"/>
  <c r="G51" i="70"/>
  <c r="G37" i="70"/>
  <c r="G56" i="70"/>
  <c r="G30" i="70"/>
  <c r="G20" i="70"/>
  <c r="G42" i="70"/>
  <c r="G21" i="70"/>
  <c r="G12" i="70"/>
  <c r="G22" i="70"/>
  <c r="G44" i="70"/>
  <c r="G50" i="70"/>
  <c r="G40" i="70"/>
  <c r="G23" i="70"/>
  <c r="G45" i="70"/>
  <c r="G52" i="70"/>
  <c r="G53" i="70"/>
  <c r="G54" i="70"/>
  <c r="G24" i="70"/>
  <c r="G55" i="70"/>
  <c r="G41" i="70"/>
  <c r="G43" i="70"/>
  <c r="D20" i="62"/>
  <c r="G24" i="57"/>
  <c r="G22" i="57"/>
  <c r="G11" i="57"/>
  <c r="G16" i="57"/>
  <c r="G28" i="57"/>
  <c r="G33" i="57"/>
  <c r="G14" i="57"/>
  <c r="G25" i="57"/>
  <c r="G31" i="57"/>
  <c r="G12" i="57"/>
  <c r="G17" i="57"/>
  <c r="G23" i="57"/>
  <c r="G35" i="57"/>
  <c r="G19" i="57"/>
  <c r="G32" i="57"/>
  <c r="G20" i="57"/>
  <c r="G30" i="57"/>
  <c r="G13" i="57"/>
  <c r="G27" i="57"/>
  <c r="G21" i="57"/>
  <c r="G29" i="57"/>
  <c r="G34" i="57"/>
  <c r="G15" i="57"/>
  <c r="H24" i="18"/>
  <c r="C11" i="71"/>
  <c r="C19" i="71"/>
  <c r="C12" i="71"/>
  <c r="C22" i="71"/>
  <c r="C20" i="71"/>
  <c r="C13" i="71"/>
  <c r="C15" i="71"/>
  <c r="C21" i="71"/>
  <c r="C18" i="71"/>
  <c r="C10" i="71"/>
  <c r="C16" i="71"/>
  <c r="C14" i="71"/>
  <c r="C17" i="71"/>
  <c r="D36" i="78"/>
  <c r="I15" i="75"/>
  <c r="J15" i="75" s="1"/>
  <c r="I13" i="75"/>
  <c r="J13" i="75" s="1"/>
  <c r="I34" i="75"/>
  <c r="J34" i="75" s="1"/>
  <c r="I20" i="75"/>
  <c r="J20" i="75" s="1"/>
  <c r="I29" i="75"/>
  <c r="J29" i="75" s="1"/>
  <c r="I19" i="75"/>
  <c r="J19" i="75" s="1"/>
  <c r="I23" i="75"/>
  <c r="J23" i="75" s="1"/>
  <c r="I26" i="75"/>
  <c r="J26" i="75" s="1"/>
  <c r="I32" i="75"/>
  <c r="J32" i="75" s="1"/>
  <c r="I27" i="75"/>
  <c r="J27" i="75" s="1"/>
  <c r="I11" i="75"/>
  <c r="J11" i="75" s="1"/>
  <c r="I31" i="75"/>
  <c r="J31" i="75" s="1"/>
  <c r="I28" i="75"/>
  <c r="J28" i="75" s="1"/>
  <c r="I12" i="75"/>
  <c r="J12" i="75" s="1"/>
  <c r="I16" i="75"/>
  <c r="J16" i="75" s="1"/>
  <c r="I17" i="75"/>
  <c r="J17" i="75" s="1"/>
  <c r="I10" i="75"/>
  <c r="J10" i="75" s="1"/>
  <c r="I30" i="75"/>
  <c r="J30" i="75" s="1"/>
  <c r="I18" i="75"/>
  <c r="J18" i="75" s="1"/>
  <c r="I21" i="75"/>
  <c r="J21" i="75" s="1"/>
  <c r="I33" i="75"/>
  <c r="J33" i="75" s="1"/>
  <c r="I24" i="75"/>
  <c r="J24" i="75" s="1"/>
  <c r="I14" i="75"/>
  <c r="J14" i="75" s="1"/>
  <c r="I25" i="75"/>
  <c r="J25" i="75" s="1"/>
  <c r="H13" i="62"/>
  <c r="J13" i="62"/>
  <c r="B27" i="25"/>
  <c r="B34" i="25"/>
  <c r="B21" i="25"/>
  <c r="B17" i="25"/>
  <c r="B13" i="25"/>
  <c r="B14" i="25"/>
  <c r="B32" i="25"/>
  <c r="B11" i="25"/>
  <c r="B19" i="25"/>
  <c r="B29" i="25"/>
  <c r="I19" i="22"/>
  <c r="I43" i="22"/>
  <c r="I21" i="22"/>
  <c r="J21" i="22" s="1"/>
  <c r="I13" i="22"/>
  <c r="I27" i="22"/>
  <c r="I36" i="22"/>
  <c r="I45" i="22"/>
  <c r="I52" i="22"/>
  <c r="I14" i="22"/>
  <c r="I48" i="22"/>
  <c r="I54" i="22"/>
  <c r="I11" i="22"/>
  <c r="I34" i="22"/>
  <c r="I37" i="22"/>
  <c r="I41" i="22"/>
  <c r="I26" i="22"/>
  <c r="I24" i="22"/>
  <c r="I28" i="22"/>
  <c r="I39" i="22"/>
  <c r="I15" i="22"/>
  <c r="I20" i="22"/>
  <c r="I25" i="22"/>
  <c r="I35" i="22"/>
  <c r="J35" i="22" s="1"/>
  <c r="I42" i="22"/>
  <c r="I29" i="22"/>
  <c r="I12" i="22"/>
  <c r="I18" i="22"/>
  <c r="I32" i="22"/>
  <c r="I47" i="22"/>
  <c r="I50" i="22"/>
  <c r="I55" i="22"/>
  <c r="I16" i="22"/>
  <c r="I40" i="22"/>
  <c r="I22" i="22"/>
  <c r="I46" i="22"/>
  <c r="I49" i="22"/>
  <c r="I33" i="22"/>
  <c r="H34" i="67"/>
  <c r="H16" i="67"/>
  <c r="H39" i="67"/>
  <c r="H35" i="67"/>
  <c r="H15" i="67"/>
  <c r="H19" i="67"/>
  <c r="H25" i="67"/>
  <c r="H38" i="67"/>
  <c r="H10" i="67"/>
  <c r="H28" i="67"/>
  <c r="H31" i="67"/>
  <c r="H26" i="67"/>
  <c r="H20" i="67"/>
  <c r="H14" i="67"/>
  <c r="H37" i="67"/>
  <c r="H12" i="67"/>
  <c r="H23" i="67"/>
  <c r="H30" i="67"/>
  <c r="H24" i="67"/>
  <c r="H54" i="43"/>
  <c r="C17" i="77"/>
  <c r="C19" i="77"/>
  <c r="C50" i="77"/>
  <c r="D50" i="77" s="1"/>
  <c r="C11" i="77"/>
  <c r="C20" i="77"/>
  <c r="C29" i="77"/>
  <c r="C48" i="77"/>
  <c r="C27" i="77"/>
  <c r="C44" i="77"/>
  <c r="C49" i="77"/>
  <c r="C10" i="77"/>
  <c r="C42" i="77"/>
  <c r="C36" i="77"/>
  <c r="C23" i="77"/>
  <c r="C33" i="77"/>
  <c r="C37" i="77"/>
  <c r="C47" i="77"/>
  <c r="C43" i="77"/>
  <c r="C18" i="77"/>
  <c r="C41" i="77"/>
  <c r="C40" i="77"/>
  <c r="C30" i="77"/>
  <c r="C28" i="77"/>
  <c r="D28" i="77" s="1"/>
  <c r="C24" i="77"/>
  <c r="D12" i="67"/>
  <c r="D35" i="67"/>
  <c r="D30" i="67"/>
  <c r="D19" i="67"/>
  <c r="D16" i="67"/>
  <c r="D23" i="67"/>
  <c r="D39" i="67"/>
  <c r="D28" i="67"/>
  <c r="D15" i="67"/>
  <c r="D31" i="67"/>
  <c r="D20" i="67"/>
  <c r="D38" i="67"/>
  <c r="D26" i="67"/>
  <c r="D34" i="67"/>
  <c r="D37" i="67"/>
  <c r="D10" i="67"/>
  <c r="D24" i="67"/>
  <c r="D14" i="67"/>
  <c r="D25" i="67"/>
  <c r="D43" i="22"/>
  <c r="C12" i="43"/>
  <c r="C23" i="43"/>
  <c r="F23" i="43" s="1"/>
  <c r="C31" i="43"/>
  <c r="C19" i="43"/>
  <c r="C37" i="43"/>
  <c r="D37" i="43" s="1"/>
  <c r="C45" i="43"/>
  <c r="C33" i="43"/>
  <c r="C18" i="43"/>
  <c r="C16" i="43"/>
  <c r="C48" i="43"/>
  <c r="C36" i="43"/>
  <c r="C56" i="43"/>
  <c r="C42" i="43"/>
  <c r="C49" i="43"/>
  <c r="F49" i="43" s="1"/>
  <c r="C38" i="43"/>
  <c r="C50" i="43"/>
  <c r="C15" i="43"/>
  <c r="C54" i="43"/>
  <c r="C55" i="43"/>
  <c r="C24" i="43"/>
  <c r="C44" i="43"/>
  <c r="C13" i="43"/>
  <c r="C34" i="43"/>
  <c r="C17" i="43"/>
  <c r="C25" i="43"/>
  <c r="F25" i="43" s="1"/>
  <c r="C41" i="43"/>
  <c r="C30" i="43"/>
  <c r="C39" i="43"/>
  <c r="F39" i="43" s="1"/>
  <c r="C14" i="43"/>
  <c r="C35" i="43"/>
  <c r="C46" i="43"/>
  <c r="F46" i="43" s="1"/>
  <c r="C51" i="43"/>
  <c r="C26" i="43"/>
  <c r="C21" i="43"/>
  <c r="C32" i="43"/>
  <c r="C52" i="43"/>
  <c r="C47" i="43"/>
  <c r="C27" i="43"/>
  <c r="D27" i="43" s="1"/>
  <c r="C43" i="43"/>
  <c r="C22" i="43"/>
  <c r="C28" i="43"/>
  <c r="C53" i="43"/>
  <c r="B30" i="57"/>
  <c r="B28" i="57"/>
  <c r="B14" i="57"/>
  <c r="B25" i="57"/>
  <c r="B20" i="57"/>
  <c r="B31" i="57"/>
  <c r="B29" i="57"/>
  <c r="B34" i="57"/>
  <c r="B21" i="57"/>
  <c r="B35" i="57"/>
  <c r="B19" i="57"/>
  <c r="B15" i="57"/>
  <c r="B32" i="57"/>
  <c r="B11" i="57"/>
  <c r="B13" i="57"/>
  <c r="B22" i="57"/>
  <c r="B23" i="57"/>
  <c r="B33" i="57"/>
  <c r="B24" i="57"/>
  <c r="B16" i="57"/>
  <c r="B27" i="57"/>
  <c r="B12" i="57"/>
  <c r="B17" i="57"/>
  <c r="F21" i="43"/>
  <c r="C20" i="70"/>
  <c r="C25" i="70"/>
  <c r="C42" i="70"/>
  <c r="C10" i="70"/>
  <c r="C24" i="70"/>
  <c r="C55" i="70"/>
  <c r="C15" i="70"/>
  <c r="C31" i="70"/>
  <c r="C30" i="70"/>
  <c r="C37" i="70"/>
  <c r="C23" i="70"/>
  <c r="C54" i="70"/>
  <c r="C16" i="70"/>
  <c r="C26" i="70"/>
  <c r="C22" i="70"/>
  <c r="C41" i="70"/>
  <c r="C45" i="70"/>
  <c r="C50" i="70"/>
  <c r="C51" i="70"/>
  <c r="C21" i="70"/>
  <c r="C53" i="70"/>
  <c r="C46" i="70"/>
  <c r="C43" i="70"/>
  <c r="C12" i="70"/>
  <c r="C56" i="70"/>
  <c r="C44" i="70"/>
  <c r="C52" i="70"/>
  <c r="C40" i="70"/>
  <c r="C11" i="70"/>
  <c r="E18" i="73"/>
  <c r="E35" i="73"/>
  <c r="E38" i="73"/>
  <c r="E20" i="73"/>
  <c r="E32" i="73"/>
  <c r="E48" i="73"/>
  <c r="E57" i="73"/>
  <c r="E26" i="73"/>
  <c r="E14" i="73"/>
  <c r="E41" i="73"/>
  <c r="E52" i="73"/>
  <c r="E36" i="73"/>
  <c r="E33" i="73"/>
  <c r="E25" i="73"/>
  <c r="E45" i="73"/>
  <c r="E50" i="73"/>
  <c r="E11" i="73"/>
  <c r="E21" i="73"/>
  <c r="E40" i="73"/>
  <c r="E53" i="73"/>
  <c r="E10" i="73"/>
  <c r="E15" i="73"/>
  <c r="E39" i="73"/>
  <c r="E17" i="73"/>
  <c r="E27" i="73"/>
  <c r="E22" i="73"/>
  <c r="E34" i="73"/>
  <c r="E24" i="73"/>
  <c r="E42" i="73"/>
  <c r="E56" i="73"/>
  <c r="E13" i="73"/>
  <c r="E28" i="73"/>
  <c r="E29" i="73"/>
  <c r="E31" i="73"/>
  <c r="E46" i="73"/>
  <c r="E47" i="73"/>
  <c r="E54" i="73"/>
  <c r="E55" i="73"/>
  <c r="E19" i="73"/>
  <c r="E12" i="73"/>
  <c r="E43" i="73"/>
  <c r="E49" i="73"/>
  <c r="E27" i="26"/>
  <c r="E50" i="26"/>
  <c r="E23" i="26"/>
  <c r="E33" i="26"/>
  <c r="E20" i="26"/>
  <c r="E34" i="26"/>
  <c r="E48" i="26"/>
  <c r="E24" i="26"/>
  <c r="E28" i="26"/>
  <c r="E25" i="26"/>
  <c r="E21" i="26"/>
  <c r="E12" i="26"/>
  <c r="E42" i="26"/>
  <c r="E49" i="26"/>
  <c r="E11" i="26"/>
  <c r="E26" i="26"/>
  <c r="E16" i="26"/>
  <c r="E19" i="26"/>
  <c r="E32" i="26"/>
  <c r="G16" i="19"/>
  <c r="G14" i="19"/>
  <c r="G13" i="19"/>
  <c r="H13" i="19" s="1"/>
  <c r="G15" i="19"/>
  <c r="G31" i="19"/>
  <c r="G32" i="19"/>
  <c r="H32" i="19" s="1"/>
  <c r="G27" i="19"/>
  <c r="G22" i="19"/>
  <c r="H22" i="19" s="1"/>
  <c r="G28" i="19"/>
  <c r="G12" i="71"/>
  <c r="G20" i="71"/>
  <c r="G14" i="71"/>
  <c r="G22" i="71"/>
  <c r="G13" i="71"/>
  <c r="G21" i="71"/>
  <c r="G18" i="71"/>
  <c r="G16" i="71"/>
  <c r="G10" i="71"/>
  <c r="G17" i="71"/>
  <c r="G11" i="71"/>
  <c r="H11" i="71" s="1"/>
  <c r="G19" i="71"/>
  <c r="G15" i="71"/>
  <c r="H41" i="62"/>
  <c r="J41" i="62"/>
  <c r="D32" i="63"/>
  <c r="G15" i="38"/>
  <c r="G38" i="38"/>
  <c r="G23" i="38"/>
  <c r="G45" i="38"/>
  <c r="G33" i="38"/>
  <c r="G31" i="38"/>
  <c r="G17" i="38"/>
  <c r="G21" i="38"/>
  <c r="G37" i="38"/>
  <c r="G11" i="38"/>
  <c r="G40" i="38"/>
  <c r="G43" i="38"/>
  <c r="G18" i="38"/>
  <c r="G27" i="38"/>
  <c r="G19" i="38"/>
  <c r="G32" i="38"/>
  <c r="G42" i="38"/>
  <c r="G29" i="38"/>
  <c r="G26" i="38"/>
  <c r="G35" i="38"/>
  <c r="G13" i="38"/>
  <c r="G41" i="38"/>
  <c r="G44" i="38"/>
  <c r="G14" i="38"/>
  <c r="G24" i="38"/>
  <c r="G34" i="38"/>
  <c r="G39" i="38"/>
  <c r="G25" i="38"/>
  <c r="G16" i="38"/>
  <c r="G22" i="38"/>
  <c r="G30" i="38"/>
  <c r="H22" i="18"/>
  <c r="B31" i="20"/>
  <c r="B29" i="20"/>
  <c r="B14" i="20"/>
  <c r="B30" i="20"/>
  <c r="B43" i="20"/>
  <c r="B16" i="20"/>
  <c r="B23" i="20"/>
  <c r="B33" i="20"/>
  <c r="B46" i="20"/>
  <c r="B20" i="20"/>
  <c r="B25" i="20"/>
  <c r="B12" i="20"/>
  <c r="B28" i="20"/>
  <c r="B24" i="20"/>
  <c r="B42" i="20"/>
  <c r="B26" i="20"/>
  <c r="B32" i="20"/>
  <c r="B27" i="20"/>
  <c r="B11" i="20"/>
  <c r="B13" i="20"/>
  <c r="B35" i="20"/>
  <c r="B37" i="20"/>
  <c r="B15" i="20"/>
  <c r="B17" i="20"/>
  <c r="B18" i="20"/>
  <c r="B19" i="20"/>
  <c r="F40" i="62"/>
  <c r="H32" i="63"/>
  <c r="B11" i="65"/>
  <c r="B15" i="65"/>
  <c r="B52" i="65"/>
  <c r="B56" i="65"/>
  <c r="B60" i="65"/>
  <c r="B68" i="65"/>
  <c r="B72" i="65"/>
  <c r="B80" i="65"/>
  <c r="B82" i="65" s="1"/>
  <c r="B84" i="65"/>
  <c r="B92" i="65"/>
  <c r="B28" i="65"/>
  <c r="B22" i="65"/>
  <c r="B53" i="65"/>
  <c r="B57" i="65"/>
  <c r="B61" i="65"/>
  <c r="B69" i="65"/>
  <c r="B73" i="65"/>
  <c r="B81" i="65"/>
  <c r="B85" i="65"/>
  <c r="B89" i="65"/>
  <c r="B94" i="65" s="1"/>
  <c r="B93" i="65"/>
  <c r="B18" i="65"/>
  <c r="B29" i="65"/>
  <c r="B54" i="65"/>
  <c r="B58" i="65"/>
  <c r="B62" i="65"/>
  <c r="B70" i="65"/>
  <c r="B74" i="65"/>
  <c r="B86" i="65"/>
  <c r="B90" i="65"/>
  <c r="B21" i="65"/>
  <c r="B67" i="65"/>
  <c r="B87" i="65"/>
  <c r="B12" i="65"/>
  <c r="B26" i="65"/>
  <c r="B39" i="65"/>
  <c r="B20" i="65"/>
  <c r="B91" i="65"/>
  <c r="B13" i="65"/>
  <c r="B34" i="65"/>
  <c r="B55" i="65"/>
  <c r="B63" i="65"/>
  <c r="B79" i="65"/>
  <c r="B14" i="65"/>
  <c r="B40" i="65"/>
  <c r="B27" i="65"/>
  <c r="B83" i="65"/>
  <c r="B36" i="65"/>
  <c r="B75" i="65"/>
  <c r="I13" i="74"/>
  <c r="I11" i="74"/>
  <c r="I18" i="74"/>
  <c r="I21" i="74"/>
  <c r="I16" i="74"/>
  <c r="I15" i="74"/>
  <c r="I17" i="74"/>
  <c r="I10" i="74"/>
  <c r="I14" i="74"/>
  <c r="I12" i="74"/>
  <c r="I20" i="74"/>
  <c r="I19" i="74"/>
  <c r="I28" i="61"/>
  <c r="I13" i="61"/>
  <c r="I11" i="61"/>
  <c r="I12" i="61"/>
  <c r="I15" i="61"/>
  <c r="I46" i="61"/>
  <c r="I53" i="61"/>
  <c r="I44" i="61"/>
  <c r="I49" i="61"/>
  <c r="I16" i="61"/>
  <c r="I47" i="61"/>
  <c r="I20" i="61"/>
  <c r="I48" i="61"/>
  <c r="I37" i="61"/>
  <c r="I17" i="61"/>
  <c r="I45" i="61"/>
  <c r="I14" i="61"/>
  <c r="I50" i="61"/>
  <c r="F53" i="43"/>
  <c r="F34" i="43"/>
  <c r="H35" i="43"/>
  <c r="C20" i="57"/>
  <c r="D20" i="57" s="1"/>
  <c r="C17" i="57"/>
  <c r="D17" i="57" s="1"/>
  <c r="C14" i="57"/>
  <c r="D14" i="57" s="1"/>
  <c r="C25" i="57"/>
  <c r="D25" i="57" s="1"/>
  <c r="C31" i="57"/>
  <c r="D31" i="57" s="1"/>
  <c r="C12" i="57"/>
  <c r="D12" i="57" s="1"/>
  <c r="C23" i="57"/>
  <c r="C29" i="57"/>
  <c r="D29" i="57" s="1"/>
  <c r="C15" i="57"/>
  <c r="D15" i="57" s="1"/>
  <c r="C22" i="57"/>
  <c r="C35" i="57"/>
  <c r="C28" i="57"/>
  <c r="D28" i="57" s="1"/>
  <c r="C32" i="57"/>
  <c r="D32" i="57" s="1"/>
  <c r="C11" i="57"/>
  <c r="D11" i="57" s="1"/>
  <c r="C24" i="57"/>
  <c r="D24" i="57" s="1"/>
  <c r="C16" i="57"/>
  <c r="D16" i="57" s="1"/>
  <c r="C13" i="57"/>
  <c r="D13" i="57" s="1"/>
  <c r="C33" i="57"/>
  <c r="C34" i="57"/>
  <c r="D34" i="57" s="1"/>
  <c r="C27" i="57"/>
  <c r="D27" i="57" s="1"/>
  <c r="C30" i="57"/>
  <c r="D30" i="57" s="1"/>
  <c r="C21" i="57"/>
  <c r="D21" i="57" s="1"/>
  <c r="C19" i="57"/>
  <c r="D19" i="57" s="1"/>
  <c r="H15" i="21"/>
  <c r="F15" i="21"/>
  <c r="E22" i="29"/>
  <c r="E27" i="29"/>
  <c r="E14" i="29"/>
  <c r="E30" i="29"/>
  <c r="E28" i="29"/>
  <c r="E37" i="29"/>
  <c r="E25" i="29"/>
  <c r="E10" i="29"/>
  <c r="E18" i="29"/>
  <c r="E11" i="29"/>
  <c r="E29" i="29"/>
  <c r="D14" i="22"/>
  <c r="D22" i="22"/>
  <c r="E34" i="65"/>
  <c r="E13" i="65"/>
  <c r="E20" i="65"/>
  <c r="E21" i="65"/>
  <c r="E28" i="65"/>
  <c r="E61" i="65"/>
  <c r="E14" i="65"/>
  <c r="E40" i="65"/>
  <c r="E56" i="65"/>
  <c r="E82" i="65"/>
  <c r="E36" i="65"/>
  <c r="E52" i="65"/>
  <c r="E11" i="65"/>
  <c r="E69" i="65"/>
  <c r="E79" i="65"/>
  <c r="E84" i="65"/>
  <c r="E89" i="65"/>
  <c r="E53" i="65"/>
  <c r="E75" i="65"/>
  <c r="E83" i="65"/>
  <c r="E90" i="65"/>
  <c r="E94" i="65" s="1"/>
  <c r="E54" i="65"/>
  <c r="E62" i="65"/>
  <c r="E26" i="65"/>
  <c r="E29" i="65"/>
  <c r="E85" i="65"/>
  <c r="E93" i="65"/>
  <c r="E57" i="65"/>
  <c r="E72" i="65"/>
  <c r="E58" i="65"/>
  <c r="E87" i="65"/>
  <c r="E73" i="65"/>
  <c r="E27" i="65"/>
  <c r="E39" i="65"/>
  <c r="E12" i="65"/>
  <c r="E63" i="65"/>
  <c r="E81" i="65"/>
  <c r="E18" i="65"/>
  <c r="E67" i="65"/>
  <c r="E71" i="65" s="1"/>
  <c r="E22" i="65"/>
  <c r="E86" i="65"/>
  <c r="E68" i="65"/>
  <c r="E70" i="65"/>
  <c r="E74" i="65"/>
  <c r="E55" i="65"/>
  <c r="E91" i="65"/>
  <c r="E15" i="65"/>
  <c r="E80" i="65"/>
  <c r="E60" i="65"/>
  <c r="E92" i="65"/>
  <c r="H30" i="18"/>
  <c r="D47" i="70"/>
  <c r="H29" i="18"/>
  <c r="F13" i="43"/>
  <c r="H30" i="75"/>
  <c r="B15" i="19"/>
  <c r="B28" i="19"/>
  <c r="B13" i="19"/>
  <c r="B27" i="19"/>
  <c r="B14" i="19"/>
  <c r="B22" i="19"/>
  <c r="B16" i="19"/>
  <c r="B32" i="19"/>
  <c r="B31" i="19"/>
  <c r="H13" i="41"/>
  <c r="H15" i="62"/>
  <c r="B43" i="73"/>
  <c r="B55" i="73"/>
  <c r="B15" i="73"/>
  <c r="B26" i="73"/>
  <c r="B41" i="73"/>
  <c r="B52" i="73"/>
  <c r="B35" i="73"/>
  <c r="B18" i="73"/>
  <c r="B29" i="73"/>
  <c r="B11" i="73"/>
  <c r="B25" i="73"/>
  <c r="B45" i="73"/>
  <c r="B57" i="73"/>
  <c r="B14" i="73"/>
  <c r="B50" i="73"/>
  <c r="B54" i="73"/>
  <c r="B38" i="73"/>
  <c r="B39" i="73"/>
  <c r="B31" i="73"/>
  <c r="B46" i="73"/>
  <c r="B48" i="73"/>
  <c r="B33" i="73"/>
  <c r="B47" i="73"/>
  <c r="B27" i="73"/>
  <c r="B34" i="73"/>
  <c r="B49" i="73"/>
  <c r="B12" i="73"/>
  <c r="B42" i="73"/>
  <c r="B13" i="73"/>
  <c r="B22" i="73"/>
  <c r="B17" i="73"/>
  <c r="B24" i="73"/>
  <c r="B32" i="73"/>
  <c r="B53" i="73"/>
  <c r="B40" i="73"/>
  <c r="B10" i="73"/>
  <c r="B19" i="73"/>
  <c r="B20" i="73"/>
  <c r="B56" i="73"/>
  <c r="B36" i="73"/>
  <c r="B21" i="73"/>
  <c r="B28" i="73"/>
  <c r="B11" i="29"/>
  <c r="B29" i="29"/>
  <c r="B25" i="29"/>
  <c r="B37" i="29"/>
  <c r="B22" i="29"/>
  <c r="B10" i="29"/>
  <c r="B18" i="29"/>
  <c r="B28" i="29"/>
  <c r="B30" i="29"/>
  <c r="B14" i="29"/>
  <c r="B27" i="29"/>
  <c r="I12" i="70"/>
  <c r="J12" i="70" s="1"/>
  <c r="I21" i="70"/>
  <c r="I26" i="70"/>
  <c r="J26" i="70" s="1"/>
  <c r="I37" i="70"/>
  <c r="J37" i="70" s="1"/>
  <c r="I50" i="70"/>
  <c r="J50" i="70" s="1"/>
  <c r="I22" i="70"/>
  <c r="J22" i="70" s="1"/>
  <c r="I53" i="70"/>
  <c r="J53" i="70" s="1"/>
  <c r="I15" i="70"/>
  <c r="J15" i="70" s="1"/>
  <c r="I25" i="70"/>
  <c r="J25" i="70" s="1"/>
  <c r="I44" i="70"/>
  <c r="J44" i="70" s="1"/>
  <c r="I51" i="70"/>
  <c r="J51" i="70" s="1"/>
  <c r="I56" i="70"/>
  <c r="J56" i="70" s="1"/>
  <c r="G16" i="70"/>
  <c r="I16" i="70"/>
  <c r="J16" i="70" s="1"/>
  <c r="I40" i="70"/>
  <c r="J40" i="70" s="1"/>
  <c r="I52" i="70"/>
  <c r="J52" i="70" s="1"/>
  <c r="I31" i="70"/>
  <c r="J31" i="70" s="1"/>
  <c r="I54" i="70"/>
  <c r="J54" i="70" s="1"/>
  <c r="I24" i="70"/>
  <c r="I45" i="70"/>
  <c r="J45" i="70" s="1"/>
  <c r="I41" i="70"/>
  <c r="J41" i="70" s="1"/>
  <c r="I11" i="70"/>
  <c r="J11" i="70" s="1"/>
  <c r="I23" i="70"/>
  <c r="J23" i="70" s="1"/>
  <c r="I30" i="70"/>
  <c r="J30" i="70" s="1"/>
  <c r="I42" i="70"/>
  <c r="J42" i="70" s="1"/>
  <c r="I20" i="70"/>
  <c r="J20" i="70" s="1"/>
  <c r="I10" i="70"/>
  <c r="J10" i="70" s="1"/>
  <c r="I55" i="70"/>
  <c r="J55" i="70" s="1"/>
  <c r="I43" i="70"/>
  <c r="J43" i="70" s="1"/>
  <c r="F24" i="43"/>
  <c r="H50" i="43"/>
  <c r="H56" i="43"/>
  <c r="C12" i="74"/>
  <c r="D12" i="74" s="1"/>
  <c r="C16" i="74"/>
  <c r="C19" i="74"/>
  <c r="C10" i="74"/>
  <c r="D10" i="74" s="1"/>
  <c r="C13" i="74"/>
  <c r="D13" i="74" s="1"/>
  <c r="C18" i="74"/>
  <c r="C14" i="74"/>
  <c r="C15" i="74"/>
  <c r="C17" i="74"/>
  <c r="C20" i="74"/>
  <c r="C21" i="74"/>
  <c r="D21" i="74" s="1"/>
  <c r="C11" i="74"/>
  <c r="I32" i="76"/>
  <c r="I14" i="76"/>
  <c r="I25" i="76"/>
  <c r="I15" i="76"/>
  <c r="I12" i="76"/>
  <c r="I31" i="76"/>
  <c r="I16" i="76"/>
  <c r="I18" i="76"/>
  <c r="I28" i="76"/>
  <c r="J28" i="76" s="1"/>
  <c r="I19" i="76"/>
  <c r="I30" i="76"/>
  <c r="I24" i="76"/>
  <c r="I20" i="76"/>
  <c r="I26" i="76"/>
  <c r="I17" i="76"/>
  <c r="I13" i="76"/>
  <c r="I29" i="76"/>
  <c r="I27" i="76"/>
  <c r="E15" i="19"/>
  <c r="E31" i="19"/>
  <c r="E16" i="19"/>
  <c r="E22" i="19"/>
  <c r="F22" i="19" s="1"/>
  <c r="E28" i="19"/>
  <c r="E27" i="19"/>
  <c r="E14" i="19"/>
  <c r="E13" i="19"/>
  <c r="E32" i="19"/>
  <c r="G32" i="24"/>
  <c r="H32" i="24" s="1"/>
  <c r="G13" i="24"/>
  <c r="H13" i="24" s="1"/>
  <c r="G24" i="24"/>
  <c r="H24" i="24" s="1"/>
  <c r="G21" i="24"/>
  <c r="H21" i="24" s="1"/>
  <c r="G30" i="24"/>
  <c r="H30" i="24" s="1"/>
  <c r="G26" i="24"/>
  <c r="H26" i="24" s="1"/>
  <c r="G29" i="24"/>
  <c r="H29" i="24" s="1"/>
  <c r="G25" i="24"/>
  <c r="H25" i="24" s="1"/>
  <c r="H25" i="18"/>
  <c r="B18" i="43"/>
  <c r="B26" i="43"/>
  <c r="B45" i="43"/>
  <c r="B56" i="43"/>
  <c r="B19" i="43"/>
  <c r="B37" i="43"/>
  <c r="B13" i="43"/>
  <c r="B25" i="43"/>
  <c r="B52" i="43"/>
  <c r="B17" i="43"/>
  <c r="B35" i="43"/>
  <c r="B43" i="43"/>
  <c r="B42" i="43"/>
  <c r="B53" i="43"/>
  <c r="B14" i="43"/>
  <c r="B34" i="43"/>
  <c r="B23" i="43"/>
  <c r="B21" i="43"/>
  <c r="B22" i="43"/>
  <c r="B46" i="43"/>
  <c r="B15" i="43"/>
  <c r="B27" i="43"/>
  <c r="B12" i="43"/>
  <c r="B16" i="43"/>
  <c r="B24" i="43"/>
  <c r="B44" i="43"/>
  <c r="B41" i="43"/>
  <c r="B38" i="43"/>
  <c r="B32" i="43"/>
  <c r="B30" i="43"/>
  <c r="B54" i="43"/>
  <c r="B49" i="43"/>
  <c r="B55" i="43"/>
  <c r="B39" i="43"/>
  <c r="B50" i="43"/>
  <c r="B31" i="43"/>
  <c r="B51" i="43"/>
  <c r="B36" i="43"/>
  <c r="B47" i="43"/>
  <c r="B28" i="43"/>
  <c r="B33" i="43"/>
  <c r="B48" i="43"/>
  <c r="B12" i="26"/>
  <c r="B25" i="26"/>
  <c r="B11" i="26"/>
  <c r="B23" i="26"/>
  <c r="B28" i="26"/>
  <c r="B50" i="26"/>
  <c r="B42" i="26"/>
  <c r="B32" i="26"/>
  <c r="B48" i="26"/>
  <c r="B26" i="26"/>
  <c r="B16" i="26"/>
  <c r="B19" i="26"/>
  <c r="B20" i="26"/>
  <c r="B21" i="26"/>
  <c r="B27" i="26"/>
  <c r="B33" i="26"/>
  <c r="B34" i="26"/>
  <c r="B49" i="26"/>
  <c r="B24" i="26"/>
  <c r="I17" i="71"/>
  <c r="J17" i="71" s="1"/>
  <c r="I22" i="71"/>
  <c r="J22" i="71" s="1"/>
  <c r="I12" i="71"/>
  <c r="I20" i="71"/>
  <c r="J20" i="71" s="1"/>
  <c r="I21" i="71"/>
  <c r="J21" i="71" s="1"/>
  <c r="I16" i="71"/>
  <c r="J16" i="71" s="1"/>
  <c r="I15" i="71"/>
  <c r="J15" i="71" s="1"/>
  <c r="I11" i="71"/>
  <c r="I14" i="71"/>
  <c r="J14" i="71" s="1"/>
  <c r="I13" i="71"/>
  <c r="J13" i="71" s="1"/>
  <c r="I19" i="71"/>
  <c r="J19" i="71" s="1"/>
  <c r="I18" i="71"/>
  <c r="J18" i="71" s="1"/>
  <c r="I10" i="71"/>
  <c r="J10" i="71" s="1"/>
  <c r="F16" i="43"/>
  <c r="F14" i="43"/>
  <c r="C31" i="62"/>
  <c r="C53" i="62"/>
  <c r="C46" i="62"/>
  <c r="C49" i="62"/>
  <c r="C30" i="62"/>
  <c r="C48" i="62"/>
  <c r="C32" i="62"/>
  <c r="C47" i="62"/>
  <c r="C52" i="62"/>
  <c r="C51" i="62"/>
  <c r="C29" i="62"/>
  <c r="C54" i="62"/>
  <c r="I42" i="43"/>
  <c r="J42" i="43" s="1"/>
  <c r="I53" i="43"/>
  <c r="J53" i="43" s="1"/>
  <c r="I16" i="43"/>
  <c r="J16" i="43" s="1"/>
  <c r="I32" i="43"/>
  <c r="J32" i="43" s="1"/>
  <c r="I34" i="43"/>
  <c r="J34" i="43" s="1"/>
  <c r="I22" i="43"/>
  <c r="J22" i="43" s="1"/>
  <c r="I27" i="43"/>
  <c r="J27" i="43" s="1"/>
  <c r="I39" i="43"/>
  <c r="J39" i="43" s="1"/>
  <c r="I15" i="43"/>
  <c r="J15" i="43" s="1"/>
  <c r="I17" i="43"/>
  <c r="I21" i="43"/>
  <c r="J21" i="43" s="1"/>
  <c r="I30" i="43"/>
  <c r="J30" i="43" s="1"/>
  <c r="I35" i="43"/>
  <c r="J35" i="43" s="1"/>
  <c r="I50" i="43"/>
  <c r="J50" i="43" s="1"/>
  <c r="I33" i="43"/>
  <c r="J33" i="43" s="1"/>
  <c r="I52" i="43"/>
  <c r="J52" i="43" s="1"/>
  <c r="I26" i="43"/>
  <c r="J26" i="43" s="1"/>
  <c r="I46" i="43"/>
  <c r="J46" i="43" s="1"/>
  <c r="I47" i="43"/>
  <c r="J47" i="43" s="1"/>
  <c r="I28" i="43"/>
  <c r="J28" i="43" s="1"/>
  <c r="I18" i="43"/>
  <c r="J18" i="43" s="1"/>
  <c r="I41" i="43"/>
  <c r="J41" i="43" s="1"/>
  <c r="I51" i="43"/>
  <c r="J51" i="43" s="1"/>
  <c r="I48" i="43"/>
  <c r="J48" i="43" s="1"/>
  <c r="I13" i="43"/>
  <c r="J13" i="43" s="1"/>
  <c r="I23" i="43"/>
  <c r="J23" i="43" s="1"/>
  <c r="I19" i="43"/>
  <c r="J19" i="43" s="1"/>
  <c r="I38" i="43"/>
  <c r="J38" i="43" s="1"/>
  <c r="I54" i="43"/>
  <c r="J54" i="43" s="1"/>
  <c r="I14" i="43"/>
  <c r="J14" i="43" s="1"/>
  <c r="I44" i="43"/>
  <c r="J44" i="43" s="1"/>
  <c r="I49" i="43"/>
  <c r="J49" i="43" s="1"/>
  <c r="I24" i="43"/>
  <c r="J24" i="43" s="1"/>
  <c r="I45" i="43"/>
  <c r="J45" i="43" s="1"/>
  <c r="I55" i="43"/>
  <c r="J55" i="43" s="1"/>
  <c r="I25" i="43"/>
  <c r="J25" i="43" s="1"/>
  <c r="I31" i="43"/>
  <c r="J31" i="43" s="1"/>
  <c r="I56" i="43"/>
  <c r="J56" i="43" s="1"/>
  <c r="I36" i="43"/>
  <c r="J36" i="43" s="1"/>
  <c r="I12" i="43"/>
  <c r="J12" i="43" s="1"/>
  <c r="I37" i="43"/>
  <c r="J37" i="43" s="1"/>
  <c r="I43" i="43"/>
  <c r="J43" i="43" s="1"/>
  <c r="E24" i="20"/>
  <c r="F24" i="20" s="1"/>
  <c r="E43" i="20"/>
  <c r="F43" i="20" s="1"/>
  <c r="E20" i="20"/>
  <c r="F20" i="20" s="1"/>
  <c r="E37" i="20"/>
  <c r="F37" i="20" s="1"/>
  <c r="E30" i="20"/>
  <c r="F30" i="20" s="1"/>
  <c r="E17" i="20"/>
  <c r="F17" i="20" s="1"/>
  <c r="E33" i="20"/>
  <c r="F33" i="20" s="1"/>
  <c r="E46" i="20"/>
  <c r="F46" i="20" s="1"/>
  <c r="E19" i="20"/>
  <c r="F19" i="20" s="1"/>
  <c r="E25" i="20"/>
  <c r="F25" i="20" s="1"/>
  <c r="E32" i="20"/>
  <c r="F32" i="20" s="1"/>
  <c r="E12" i="20"/>
  <c r="F12" i="20" s="1"/>
  <c r="E42" i="20"/>
  <c r="F42" i="20" s="1"/>
  <c r="E13" i="20"/>
  <c r="F13" i="20" s="1"/>
  <c r="E11" i="20"/>
  <c r="F11" i="20" s="1"/>
  <c r="E28" i="20"/>
  <c r="F28" i="20" s="1"/>
  <c r="E15" i="20"/>
  <c r="F15" i="20" s="1"/>
  <c r="E14" i="20"/>
  <c r="F14" i="20" s="1"/>
  <c r="E23" i="20"/>
  <c r="F23" i="20" s="1"/>
  <c r="E35" i="20"/>
  <c r="F35" i="20" s="1"/>
  <c r="E26" i="20"/>
  <c r="F26" i="20" s="1"/>
  <c r="E16" i="20"/>
  <c r="F16" i="20" s="1"/>
  <c r="E27" i="20"/>
  <c r="F27" i="20" s="1"/>
  <c r="E18" i="20"/>
  <c r="F18" i="20" s="1"/>
  <c r="E29" i="20"/>
  <c r="F29" i="20" s="1"/>
  <c r="E31" i="20"/>
  <c r="F31" i="20" s="1"/>
  <c r="D25" i="18"/>
  <c r="D16" i="22"/>
  <c r="E17" i="66"/>
  <c r="E30" i="66"/>
  <c r="E12" i="66"/>
  <c r="E20" i="66"/>
  <c r="E24" i="66"/>
  <c r="E16" i="66"/>
  <c r="E18" i="66"/>
  <c r="E23" i="66"/>
  <c r="E25" i="66"/>
  <c r="E26" i="66"/>
  <c r="E9" i="66"/>
  <c r="E15" i="66"/>
  <c r="E31" i="66"/>
  <c r="E11" i="66"/>
  <c r="H16" i="18"/>
  <c r="H12" i="75"/>
  <c r="B31" i="59"/>
  <c r="B29" i="59"/>
  <c r="B14" i="59"/>
  <c r="B36" i="59"/>
  <c r="B16" i="59"/>
  <c r="B24" i="59"/>
  <c r="B39" i="59"/>
  <c r="B25" i="59"/>
  <c r="B32" i="59"/>
  <c r="B35" i="59"/>
  <c r="B42" i="59"/>
  <c r="B13" i="59"/>
  <c r="B34" i="59"/>
  <c r="B43" i="59"/>
  <c r="B47" i="59"/>
  <c r="B40" i="59"/>
  <c r="B44" i="59"/>
  <c r="B28" i="59"/>
  <c r="B21" i="59"/>
  <c r="B12" i="59"/>
  <c r="B19" i="59"/>
  <c r="B11" i="59"/>
  <c r="B33" i="59"/>
  <c r="B20" i="59"/>
  <c r="B27" i="59"/>
  <c r="B41" i="59"/>
  <c r="B30" i="59"/>
  <c r="B23" i="59"/>
  <c r="B22" i="59"/>
  <c r="B45" i="59"/>
  <c r="B46" i="59"/>
  <c r="B17" i="59"/>
  <c r="B38" i="59"/>
  <c r="B18" i="59"/>
  <c r="B19" i="34"/>
  <c r="B32" i="34"/>
  <c r="B20" i="34"/>
  <c r="B11" i="34"/>
  <c r="B17" i="34"/>
  <c r="B40" i="34"/>
  <c r="B24" i="34"/>
  <c r="I32" i="19"/>
  <c r="J32" i="19" s="1"/>
  <c r="I13" i="19"/>
  <c r="J13" i="19" s="1"/>
  <c r="I22" i="19"/>
  <c r="J22" i="19" s="1"/>
  <c r="I14" i="19"/>
  <c r="J14" i="19" s="1"/>
  <c r="I31" i="19"/>
  <c r="J31" i="19" s="1"/>
  <c r="I28" i="19"/>
  <c r="J28" i="19" s="1"/>
  <c r="I15" i="19"/>
  <c r="J15" i="19" s="1"/>
  <c r="I16" i="19"/>
  <c r="J16" i="19" s="1"/>
  <c r="I27" i="19"/>
  <c r="J27" i="19" s="1"/>
  <c r="F30" i="43"/>
  <c r="H31" i="43"/>
  <c r="C25" i="36"/>
  <c r="C48" i="36"/>
  <c r="C36" i="36"/>
  <c r="C15" i="36"/>
  <c r="C33" i="36"/>
  <c r="C18" i="36"/>
  <c r="C41" i="36"/>
  <c r="C13" i="36"/>
  <c r="C29" i="36"/>
  <c r="C26" i="36"/>
  <c r="C49" i="36"/>
  <c r="C12" i="36"/>
  <c r="C38" i="36"/>
  <c r="C31" i="36"/>
  <c r="C28" i="36"/>
  <c r="C46" i="36"/>
  <c r="C21" i="36"/>
  <c r="C39" i="36"/>
  <c r="C42" i="36"/>
  <c r="C32" i="36"/>
  <c r="D32" i="36" s="1"/>
  <c r="C14" i="36"/>
  <c r="C20" i="36"/>
  <c r="C34" i="36"/>
  <c r="C22" i="36"/>
  <c r="C23" i="36"/>
  <c r="C24" i="36"/>
  <c r="C37" i="36"/>
  <c r="C30" i="36"/>
  <c r="C17" i="36"/>
  <c r="C16" i="36"/>
  <c r="C44" i="36"/>
  <c r="C47" i="36"/>
  <c r="C40" i="36"/>
  <c r="C45" i="36"/>
  <c r="F48" i="43"/>
  <c r="F29" i="76"/>
  <c r="I28" i="59"/>
  <c r="J28" i="59" s="1"/>
  <c r="I25" i="59"/>
  <c r="J25" i="59" s="1"/>
  <c r="I47" i="59"/>
  <c r="J47" i="59" s="1"/>
  <c r="I11" i="59"/>
  <c r="J11" i="59" s="1"/>
  <c r="I33" i="59"/>
  <c r="J33" i="59" s="1"/>
  <c r="I20" i="59"/>
  <c r="J20" i="59" s="1"/>
  <c r="I29" i="59"/>
  <c r="J29" i="59" s="1"/>
  <c r="I46" i="59"/>
  <c r="J46" i="59" s="1"/>
  <c r="I41" i="59"/>
  <c r="J41" i="59" s="1"/>
  <c r="I34" i="59"/>
  <c r="J34" i="59" s="1"/>
  <c r="I38" i="59"/>
  <c r="J38" i="59" s="1"/>
  <c r="I12" i="59"/>
  <c r="J12" i="59" s="1"/>
  <c r="I44" i="59"/>
  <c r="J44" i="59" s="1"/>
  <c r="I16" i="59"/>
  <c r="J16" i="59" s="1"/>
  <c r="I19" i="59"/>
  <c r="J19" i="59" s="1"/>
  <c r="I43" i="59"/>
  <c r="J43" i="59" s="1"/>
  <c r="I42" i="59"/>
  <c r="J42" i="59" s="1"/>
  <c r="I17" i="59"/>
  <c r="J17" i="59" s="1"/>
  <c r="I21" i="59"/>
  <c r="J21" i="59" s="1"/>
  <c r="I13" i="59"/>
  <c r="J13" i="59" s="1"/>
  <c r="I22" i="59"/>
  <c r="J22" i="59" s="1"/>
  <c r="I31" i="59"/>
  <c r="J31" i="59" s="1"/>
  <c r="I45" i="59"/>
  <c r="J45" i="59" s="1"/>
  <c r="I30" i="59"/>
  <c r="J30" i="59" s="1"/>
  <c r="I23" i="59"/>
  <c r="J23" i="59" s="1"/>
  <c r="I32" i="59"/>
  <c r="J32" i="59" s="1"/>
  <c r="I40" i="59"/>
  <c r="J40" i="59" s="1"/>
  <c r="I35" i="59"/>
  <c r="J35" i="59" s="1"/>
  <c r="I18" i="59"/>
  <c r="J18" i="59" s="1"/>
  <c r="I24" i="59"/>
  <c r="J24" i="59" s="1"/>
  <c r="I14" i="59"/>
  <c r="J14" i="59" s="1"/>
  <c r="I27" i="59"/>
  <c r="J27" i="59" s="1"/>
  <c r="I36" i="59"/>
  <c r="J36" i="59" s="1"/>
  <c r="I39" i="59"/>
  <c r="J39" i="59" s="1"/>
  <c r="D30" i="78"/>
  <c r="G38" i="60"/>
  <c r="H38" i="60" s="1"/>
  <c r="G39" i="60"/>
  <c r="H39" i="60" s="1"/>
  <c r="G40" i="60"/>
  <c r="H40" i="60" s="1"/>
  <c r="G37" i="60"/>
  <c r="H37" i="60" s="1"/>
  <c r="G36" i="60"/>
  <c r="H36" i="60" s="1"/>
  <c r="G33" i="60"/>
  <c r="H33" i="60" s="1"/>
  <c r="H28" i="18"/>
  <c r="H10" i="75"/>
  <c r="D49" i="78"/>
  <c r="H21" i="59"/>
  <c r="F32" i="63"/>
  <c r="F15" i="43"/>
  <c r="B16" i="74"/>
  <c r="B14" i="74"/>
  <c r="B12" i="74"/>
  <c r="B21" i="74"/>
  <c r="B11" i="74"/>
  <c r="B10" i="74"/>
  <c r="B13" i="74"/>
  <c r="B17" i="74"/>
  <c r="B18" i="74"/>
  <c r="B15" i="74"/>
  <c r="B19" i="74"/>
  <c r="B20" i="74"/>
  <c r="B24" i="24"/>
  <c r="B32" i="24"/>
  <c r="B30" i="24"/>
  <c r="B13" i="24"/>
  <c r="B26" i="24"/>
  <c r="B29" i="24"/>
  <c r="B25" i="24"/>
  <c r="B21" i="24"/>
  <c r="I24" i="77"/>
  <c r="I43" i="77"/>
  <c r="I36" i="77"/>
  <c r="J36" i="77" s="1"/>
  <c r="I29" i="77"/>
  <c r="I48" i="77"/>
  <c r="I18" i="77"/>
  <c r="I20" i="77"/>
  <c r="I50" i="77"/>
  <c r="I10" i="77"/>
  <c r="I40" i="77"/>
  <c r="J40" i="77" s="1"/>
  <c r="I44" i="77"/>
  <c r="I47" i="77"/>
  <c r="I17" i="77"/>
  <c r="J17" i="77" s="1"/>
  <c r="I23" i="77"/>
  <c r="I49" i="77"/>
  <c r="I27" i="77"/>
  <c r="I11" i="77"/>
  <c r="J11" i="77" s="1"/>
  <c r="I19" i="77"/>
  <c r="I41" i="77"/>
  <c r="I28" i="77"/>
  <c r="I30" i="77"/>
  <c r="I42" i="77"/>
  <c r="I33" i="77"/>
  <c r="I37" i="77"/>
  <c r="F52" i="43"/>
  <c r="F18" i="43"/>
  <c r="H17" i="43"/>
  <c r="H51" i="43"/>
  <c r="C24" i="34"/>
  <c r="D24" i="34" s="1"/>
  <c r="C40" i="34"/>
  <c r="D40" i="34" s="1"/>
  <c r="C20" i="34"/>
  <c r="D20" i="34" s="1"/>
  <c r="C32" i="34"/>
  <c r="C11" i="34"/>
  <c r="D11" i="34" s="1"/>
  <c r="C17" i="34"/>
  <c r="D17" i="34" s="1"/>
  <c r="C19" i="34"/>
  <c r="E11" i="75"/>
  <c r="E32" i="75"/>
  <c r="F32" i="75" s="1"/>
  <c r="E30" i="75"/>
  <c r="E16" i="75"/>
  <c r="H16" i="75" s="1"/>
  <c r="E14" i="75"/>
  <c r="H14" i="75" s="1"/>
  <c r="E17" i="75"/>
  <c r="H17" i="75" s="1"/>
  <c r="E10" i="75"/>
  <c r="E24" i="75"/>
  <c r="E15" i="75"/>
  <c r="E19" i="75"/>
  <c r="H19" i="75" s="1"/>
  <c r="E12" i="75"/>
  <c r="E20" i="75"/>
  <c r="H20" i="75" s="1"/>
  <c r="E26" i="75"/>
  <c r="E31" i="75"/>
  <c r="E29" i="75"/>
  <c r="E34" i="75"/>
  <c r="H34" i="75" s="1"/>
  <c r="E25" i="75"/>
  <c r="E27" i="75"/>
  <c r="F27" i="75" s="1"/>
  <c r="E13" i="75"/>
  <c r="H13" i="75" s="1"/>
  <c r="E28" i="75"/>
  <c r="E18" i="75"/>
  <c r="E21" i="75"/>
  <c r="H21" i="75" s="1"/>
  <c r="E33" i="75"/>
  <c r="H33" i="75" s="1"/>
  <c r="E23" i="75"/>
  <c r="D41" i="22"/>
  <c r="D12" i="22"/>
  <c r="D15" i="62"/>
  <c r="G25" i="26"/>
  <c r="H25" i="26" s="1"/>
  <c r="G48" i="26"/>
  <c r="H48" i="26" s="1"/>
  <c r="G21" i="26"/>
  <c r="H21" i="26" s="1"/>
  <c r="G27" i="26"/>
  <c r="H27" i="26" s="1"/>
  <c r="G19" i="26"/>
  <c r="H19" i="26" s="1"/>
  <c r="G42" i="26"/>
  <c r="H42" i="26" s="1"/>
  <c r="G50" i="26"/>
  <c r="H50" i="26" s="1"/>
  <c r="G20" i="26"/>
  <c r="H20" i="26" s="1"/>
  <c r="G24" i="26"/>
  <c r="H24" i="26" s="1"/>
  <c r="G11" i="26"/>
  <c r="H11" i="26" s="1"/>
  <c r="G32" i="26"/>
  <c r="H32" i="26" s="1"/>
  <c r="G49" i="26"/>
  <c r="H49" i="26" s="1"/>
  <c r="G26" i="26"/>
  <c r="H26" i="26" s="1"/>
  <c r="G12" i="26"/>
  <c r="H12" i="26" s="1"/>
  <c r="G16" i="26"/>
  <c r="H16" i="26" s="1"/>
  <c r="G23" i="26"/>
  <c r="H23" i="26" s="1"/>
  <c r="G28" i="26"/>
  <c r="H28" i="26" s="1"/>
  <c r="G33" i="26"/>
  <c r="H33" i="26" s="1"/>
  <c r="G34" i="26"/>
  <c r="H34" i="26" s="1"/>
  <c r="H23" i="18"/>
  <c r="H18" i="75"/>
  <c r="D54" i="78"/>
  <c r="B33" i="77"/>
  <c r="B48" i="77"/>
  <c r="B23" i="77"/>
  <c r="B42" i="77"/>
  <c r="C13" i="77"/>
  <c r="B40" i="77"/>
  <c r="B50" i="77"/>
  <c r="I13" i="77"/>
  <c r="J13" i="77" s="1"/>
  <c r="B41" i="77"/>
  <c r="B14" i="77"/>
  <c r="C14" i="77"/>
  <c r="D14" i="77" s="1"/>
  <c r="B44" i="77"/>
  <c r="B37" i="77"/>
  <c r="I14" i="77"/>
  <c r="G13" i="77"/>
  <c r="H13" i="77" s="1"/>
  <c r="B30" i="77"/>
  <c r="E14" i="77"/>
  <c r="F14" i="77" s="1"/>
  <c r="G14" i="77"/>
  <c r="H14" i="77" s="1"/>
  <c r="B27" i="77"/>
  <c r="B11" i="77"/>
  <c r="B10" i="77"/>
  <c r="B29" i="77"/>
  <c r="B18" i="77"/>
  <c r="B49" i="77"/>
  <c r="B13" i="77"/>
  <c r="B47" i="77"/>
  <c r="E13" i="77"/>
  <c r="B17" i="77"/>
  <c r="B36" i="77"/>
  <c r="B20" i="77"/>
  <c r="B28" i="77"/>
  <c r="B19" i="77"/>
  <c r="B24" i="77"/>
  <c r="B43" i="77"/>
  <c r="E13" i="63"/>
  <c r="E11" i="63"/>
  <c r="H11" i="63" s="1"/>
  <c r="E20" i="63"/>
  <c r="H20" i="63" s="1"/>
  <c r="E18" i="63"/>
  <c r="E10" i="63"/>
  <c r="H10" i="63" s="1"/>
  <c r="E12" i="63"/>
  <c r="E21" i="63"/>
  <c r="E19" i="63"/>
  <c r="F35" i="43"/>
  <c r="H29" i="78"/>
  <c r="B53" i="61"/>
  <c r="B16" i="61"/>
  <c r="B44" i="61"/>
  <c r="B13" i="61"/>
  <c r="B47" i="61"/>
  <c r="B20" i="61"/>
  <c r="B14" i="61"/>
  <c r="B50" i="61"/>
  <c r="B11" i="61"/>
  <c r="B37" i="61"/>
  <c r="B17" i="61"/>
  <c r="B49" i="61"/>
  <c r="B12" i="61"/>
  <c r="B28" i="61"/>
  <c r="B45" i="61"/>
  <c r="B46" i="61"/>
  <c r="B15" i="61"/>
  <c r="B48" i="61"/>
  <c r="I17" i="38"/>
  <c r="J17" i="38" s="1"/>
  <c r="I40" i="38"/>
  <c r="J40" i="38" s="1"/>
  <c r="I25" i="38"/>
  <c r="J25" i="38" s="1"/>
  <c r="I13" i="38"/>
  <c r="J13" i="38" s="1"/>
  <c r="I35" i="38"/>
  <c r="J35" i="38" s="1"/>
  <c r="I33" i="38"/>
  <c r="J33" i="38" s="1"/>
  <c r="I42" i="38"/>
  <c r="J42" i="38" s="1"/>
  <c r="I45" i="38"/>
  <c r="J45" i="38" s="1"/>
  <c r="I21" i="38"/>
  <c r="J21" i="38" s="1"/>
  <c r="I30" i="38"/>
  <c r="J30" i="38" s="1"/>
  <c r="I37" i="38"/>
  <c r="J37" i="38" s="1"/>
  <c r="I24" i="38"/>
  <c r="J24" i="38" s="1"/>
  <c r="I11" i="38"/>
  <c r="J11" i="38" s="1"/>
  <c r="I43" i="38"/>
  <c r="I27" i="38"/>
  <c r="J27" i="38" s="1"/>
  <c r="I31" i="38"/>
  <c r="J31" i="38" s="1"/>
  <c r="I44" i="38"/>
  <c r="J44" i="38" s="1"/>
  <c r="I32" i="38"/>
  <c r="J32" i="38" s="1"/>
  <c r="I18" i="38"/>
  <c r="J18" i="38" s="1"/>
  <c r="I23" i="38"/>
  <c r="J23" i="38" s="1"/>
  <c r="I38" i="38"/>
  <c r="J38" i="38" s="1"/>
  <c r="I29" i="38"/>
  <c r="J29" i="38" s="1"/>
  <c r="I14" i="38"/>
  <c r="J14" i="38" s="1"/>
  <c r="I34" i="38"/>
  <c r="J34" i="38" s="1"/>
  <c r="I39" i="38"/>
  <c r="J39" i="38" s="1"/>
  <c r="I41" i="38"/>
  <c r="J41" i="38" s="1"/>
  <c r="I26" i="38"/>
  <c r="J26" i="38" s="1"/>
  <c r="I22" i="38"/>
  <c r="J22" i="38" s="1"/>
  <c r="I15" i="38"/>
  <c r="J15" i="38" s="1"/>
  <c r="I19" i="38"/>
  <c r="J19" i="38" s="1"/>
  <c r="I16" i="38"/>
  <c r="J16" i="38" s="1"/>
  <c r="F33" i="43"/>
  <c r="H14" i="43"/>
  <c r="C17" i="25"/>
  <c r="D17" i="25" s="1"/>
  <c r="C27" i="25"/>
  <c r="D27" i="25" s="1"/>
  <c r="C11" i="25"/>
  <c r="D11" i="25" s="1"/>
  <c r="C32" i="25"/>
  <c r="D32" i="25" s="1"/>
  <c r="C19" i="25"/>
  <c r="D19" i="25" s="1"/>
  <c r="C34" i="25"/>
  <c r="D34" i="25" s="1"/>
  <c r="C13" i="25"/>
  <c r="D13" i="25" s="1"/>
  <c r="C14" i="25"/>
  <c r="D14" i="25" s="1"/>
  <c r="C29" i="25"/>
  <c r="D29" i="25" s="1"/>
  <c r="C21" i="25"/>
  <c r="D21" i="25" s="1"/>
  <c r="E37" i="70"/>
  <c r="F37" i="70" s="1"/>
  <c r="E44" i="70"/>
  <c r="F44" i="70" s="1"/>
  <c r="E22" i="70"/>
  <c r="F22" i="70" s="1"/>
  <c r="E15" i="70"/>
  <c r="F15" i="70" s="1"/>
  <c r="E51" i="70"/>
  <c r="F51" i="70" s="1"/>
  <c r="E30" i="70"/>
  <c r="F30" i="70" s="1"/>
  <c r="E20" i="70"/>
  <c r="F20" i="70" s="1"/>
  <c r="E42" i="70"/>
  <c r="F42" i="70" s="1"/>
  <c r="E23" i="70"/>
  <c r="E54" i="70"/>
  <c r="F54" i="70" s="1"/>
  <c r="E12" i="70"/>
  <c r="F12" i="70" s="1"/>
  <c r="E16" i="70"/>
  <c r="F16" i="70" s="1"/>
  <c r="E25" i="70"/>
  <c r="F25" i="70" s="1"/>
  <c r="E31" i="70"/>
  <c r="F31" i="70" s="1"/>
  <c r="E53" i="70"/>
  <c r="F53" i="70" s="1"/>
  <c r="E40" i="70"/>
  <c r="F40" i="70" s="1"/>
  <c r="E45" i="70"/>
  <c r="F45" i="70" s="1"/>
  <c r="E55" i="70"/>
  <c r="F55" i="70" s="1"/>
  <c r="E26" i="70"/>
  <c r="F26" i="70" s="1"/>
  <c r="E43" i="70"/>
  <c r="F43" i="70" s="1"/>
  <c r="E52" i="70"/>
  <c r="F52" i="70" s="1"/>
  <c r="E10" i="70"/>
  <c r="F10" i="70" s="1"/>
  <c r="E56" i="70"/>
  <c r="F56" i="70" s="1"/>
  <c r="E41" i="70"/>
  <c r="F41" i="70" s="1"/>
  <c r="E46" i="70"/>
  <c r="F46" i="70" s="1"/>
  <c r="E50" i="70"/>
  <c r="F50" i="70" s="1"/>
  <c r="E21" i="70"/>
  <c r="F21" i="70" s="1"/>
  <c r="E24" i="70"/>
  <c r="F24" i="70" s="1"/>
  <c r="E11" i="70"/>
  <c r="F11" i="70" s="1"/>
  <c r="D26" i="18"/>
  <c r="D19" i="22"/>
  <c r="I17" i="36"/>
  <c r="I15" i="36"/>
  <c r="I14" i="36"/>
  <c r="I32" i="36"/>
  <c r="I20" i="36"/>
  <c r="I42" i="36"/>
  <c r="I40" i="36"/>
  <c r="I25" i="36"/>
  <c r="I48" i="36"/>
  <c r="I36" i="36"/>
  <c r="J36" i="36" s="1"/>
  <c r="I33" i="36"/>
  <c r="J33" i="36" s="1"/>
  <c r="I23" i="36"/>
  <c r="I26" i="36"/>
  <c r="I41" i="36"/>
  <c r="I38" i="36"/>
  <c r="I31" i="36"/>
  <c r="I16" i="36"/>
  <c r="I34" i="36"/>
  <c r="I13" i="36"/>
  <c r="I28" i="36"/>
  <c r="I46" i="36"/>
  <c r="I49" i="36"/>
  <c r="I21" i="36"/>
  <c r="I39" i="36"/>
  <c r="I44" i="36"/>
  <c r="I47" i="36"/>
  <c r="I18" i="36"/>
  <c r="J18" i="36" s="1"/>
  <c r="I12" i="36"/>
  <c r="I29" i="36"/>
  <c r="I22" i="36"/>
  <c r="J22" i="36" s="1"/>
  <c r="I45" i="36"/>
  <c r="I30" i="36"/>
  <c r="I37" i="36"/>
  <c r="I24" i="36"/>
  <c r="F26" i="43"/>
  <c r="C16" i="67"/>
  <c r="C39" i="67"/>
  <c r="C23" i="67"/>
  <c r="C38" i="67"/>
  <c r="C12" i="67"/>
  <c r="C28" i="67"/>
  <c r="C26" i="67"/>
  <c r="C37" i="67"/>
  <c r="C19" i="67"/>
  <c r="C31" i="67"/>
  <c r="C35" i="67"/>
  <c r="C20" i="67"/>
  <c r="C14" i="67"/>
  <c r="C34" i="67"/>
  <c r="C30" i="67"/>
  <c r="C15" i="67"/>
  <c r="C10" i="67"/>
  <c r="C24" i="67"/>
  <c r="C25" i="67"/>
  <c r="E54" i="62"/>
  <c r="E47" i="62"/>
  <c r="F47" i="62" s="1"/>
  <c r="E31" i="62"/>
  <c r="F31" i="62" s="1"/>
  <c r="E49" i="62"/>
  <c r="F49" i="62" s="1"/>
  <c r="E53" i="62"/>
  <c r="F53" i="62" s="1"/>
  <c r="E51" i="62"/>
  <c r="F51" i="62" s="1"/>
  <c r="E48" i="62"/>
  <c r="F48" i="62" s="1"/>
  <c r="E30" i="62"/>
  <c r="F30" i="62" s="1"/>
  <c r="E46" i="62"/>
  <c r="F46" i="62" s="1"/>
  <c r="E32" i="62"/>
  <c r="F32" i="62" s="1"/>
  <c r="E29" i="62"/>
  <c r="E52" i="62"/>
  <c r="F52" i="62" s="1"/>
  <c r="D21" i="18"/>
  <c r="H26" i="43"/>
  <c r="I40" i="60"/>
  <c r="J40" i="60" s="1"/>
  <c r="I36" i="60"/>
  <c r="J36" i="60" s="1"/>
  <c r="I38" i="60"/>
  <c r="I37" i="60"/>
  <c r="I39" i="60"/>
  <c r="J39" i="60" s="1"/>
  <c r="I33" i="60"/>
  <c r="J33" i="60" s="1"/>
  <c r="F31" i="43"/>
  <c r="H21" i="43"/>
  <c r="C33" i="38"/>
  <c r="D33" i="38" s="1"/>
  <c r="C18" i="38"/>
  <c r="D18" i="38" s="1"/>
  <c r="C41" i="38"/>
  <c r="D41" i="38" s="1"/>
  <c r="C29" i="38"/>
  <c r="D29" i="38" s="1"/>
  <c r="C26" i="38"/>
  <c r="D26" i="38" s="1"/>
  <c r="C40" i="38"/>
  <c r="D40" i="38" s="1"/>
  <c r="C27" i="38"/>
  <c r="D27" i="38" s="1"/>
  <c r="C31" i="38"/>
  <c r="D31" i="38" s="1"/>
  <c r="C34" i="38"/>
  <c r="D34" i="38" s="1"/>
  <c r="C22" i="38"/>
  <c r="D22" i="38" s="1"/>
  <c r="C38" i="38"/>
  <c r="D38" i="38" s="1"/>
  <c r="C42" i="38"/>
  <c r="D42" i="38" s="1"/>
  <c r="C13" i="38"/>
  <c r="D13" i="38" s="1"/>
  <c r="C23" i="38"/>
  <c r="D23" i="38" s="1"/>
  <c r="C14" i="38"/>
  <c r="D14" i="38" s="1"/>
  <c r="C19" i="38"/>
  <c r="D19" i="38" s="1"/>
  <c r="C24" i="38"/>
  <c r="D24" i="38" s="1"/>
  <c r="C39" i="38"/>
  <c r="D39" i="38" s="1"/>
  <c r="C43" i="38"/>
  <c r="D43" i="38" s="1"/>
  <c r="C11" i="38"/>
  <c r="D11" i="38" s="1"/>
  <c r="C35" i="38"/>
  <c r="D35" i="38" s="1"/>
  <c r="C21" i="38"/>
  <c r="D21" i="38" s="1"/>
  <c r="C44" i="38"/>
  <c r="D44" i="38" s="1"/>
  <c r="C25" i="38"/>
  <c r="D25" i="38" s="1"/>
  <c r="C17" i="38"/>
  <c r="D17" i="38" s="1"/>
  <c r="C30" i="38"/>
  <c r="D30" i="38" s="1"/>
  <c r="C15" i="38"/>
  <c r="D15" i="38" s="1"/>
  <c r="C32" i="38"/>
  <c r="D32" i="38" s="1"/>
  <c r="C45" i="38"/>
  <c r="D45" i="38" s="1"/>
  <c r="C16" i="38"/>
  <c r="D16" i="38" s="1"/>
  <c r="C37" i="38"/>
  <c r="D37" i="38" s="1"/>
  <c r="E13" i="71"/>
  <c r="F13" i="71" s="1"/>
  <c r="E16" i="71"/>
  <c r="F16" i="71" s="1"/>
  <c r="E11" i="71"/>
  <c r="F11" i="71" s="1"/>
  <c r="E19" i="71"/>
  <c r="F19" i="71" s="1"/>
  <c r="E12" i="71"/>
  <c r="F12" i="71" s="1"/>
  <c r="E21" i="71"/>
  <c r="F21" i="71" s="1"/>
  <c r="E10" i="71"/>
  <c r="F10" i="71" s="1"/>
  <c r="E18" i="71"/>
  <c r="F18" i="71" s="1"/>
  <c r="E20" i="71"/>
  <c r="F20" i="71" s="1"/>
  <c r="E14" i="71"/>
  <c r="F14" i="71" s="1"/>
  <c r="E17" i="71"/>
  <c r="F17" i="71" s="1"/>
  <c r="E15" i="71"/>
  <c r="F15" i="71" s="1"/>
  <c r="E22" i="71"/>
  <c r="F22" i="71" s="1"/>
  <c r="H48" i="43"/>
  <c r="F56" i="43"/>
  <c r="H11" i="75"/>
  <c r="H41" i="78"/>
  <c r="B28" i="18"/>
  <c r="D28" i="18" s="1"/>
  <c r="B23" i="18"/>
  <c r="D23" i="18" s="1"/>
  <c r="B30" i="18"/>
  <c r="D30" i="18" s="1"/>
  <c r="B16" i="18"/>
  <c r="D16" i="18" s="1"/>
  <c r="B25" i="18"/>
  <c r="B22" i="18"/>
  <c r="D22" i="18" s="1"/>
  <c r="B29" i="18"/>
  <c r="D29" i="18" s="1"/>
  <c r="B24" i="18"/>
  <c r="D24" i="18" s="1"/>
  <c r="B26" i="18"/>
  <c r="B20" i="18"/>
  <c r="B21" i="18"/>
  <c r="B27" i="18"/>
  <c r="D27" i="18" s="1"/>
  <c r="G20" i="73"/>
  <c r="H20" i="73" s="1"/>
  <c r="G38" i="73"/>
  <c r="H38" i="73" s="1"/>
  <c r="G49" i="73"/>
  <c r="G10" i="73"/>
  <c r="H10" i="73" s="1"/>
  <c r="G31" i="73"/>
  <c r="H31" i="73" s="1"/>
  <c r="G39" i="73"/>
  <c r="H39" i="73" s="1"/>
  <c r="G48" i="73"/>
  <c r="H48" i="73" s="1"/>
  <c r="G56" i="73"/>
  <c r="H56" i="73" s="1"/>
  <c r="G28" i="73"/>
  <c r="H28" i="73" s="1"/>
  <c r="G36" i="73"/>
  <c r="H36" i="73" s="1"/>
  <c r="G45" i="73"/>
  <c r="H45" i="73" s="1"/>
  <c r="G54" i="73"/>
  <c r="H54" i="73" s="1"/>
  <c r="G11" i="73"/>
  <c r="H11" i="73" s="1"/>
  <c r="G43" i="73"/>
  <c r="H43" i="73" s="1"/>
  <c r="G46" i="73"/>
  <c r="H46" i="73" s="1"/>
  <c r="G22" i="73"/>
  <c r="H22" i="73" s="1"/>
  <c r="G32" i="73"/>
  <c r="H32" i="73" s="1"/>
  <c r="G57" i="73"/>
  <c r="H57" i="73" s="1"/>
  <c r="G13" i="73"/>
  <c r="H13" i="73" s="1"/>
  <c r="G18" i="73"/>
  <c r="H18" i="73" s="1"/>
  <c r="G40" i="73"/>
  <c r="H40" i="73" s="1"/>
  <c r="G29" i="73"/>
  <c r="H29" i="73" s="1"/>
  <c r="G41" i="73"/>
  <c r="H41" i="73" s="1"/>
  <c r="G15" i="73"/>
  <c r="G55" i="73"/>
  <c r="H55" i="73" s="1"/>
  <c r="G35" i="73"/>
  <c r="G53" i="73"/>
  <c r="H53" i="73" s="1"/>
  <c r="G17" i="73"/>
  <c r="H17" i="73" s="1"/>
  <c r="G19" i="73"/>
  <c r="H19" i="73" s="1"/>
  <c r="G50" i="73"/>
  <c r="H50" i="73" s="1"/>
  <c r="G21" i="73"/>
  <c r="H21" i="73" s="1"/>
  <c r="G14" i="73"/>
  <c r="H14" i="73" s="1"/>
  <c r="G52" i="73"/>
  <c r="H52" i="73" s="1"/>
  <c r="G24" i="73"/>
  <c r="H24" i="73" s="1"/>
  <c r="G33" i="73"/>
  <c r="H33" i="73" s="1"/>
  <c r="G25" i="73"/>
  <c r="H25" i="73" s="1"/>
  <c r="G42" i="73"/>
  <c r="H42" i="73" s="1"/>
  <c r="G34" i="73"/>
  <c r="H34" i="73" s="1"/>
  <c r="G26" i="73"/>
  <c r="H26" i="73" s="1"/>
  <c r="G47" i="73"/>
  <c r="H47" i="73" s="1"/>
  <c r="G27" i="73"/>
  <c r="H27" i="73" s="1"/>
  <c r="G12" i="73"/>
  <c r="H12" i="73" s="1"/>
  <c r="G17" i="34"/>
  <c r="G40" i="34"/>
  <c r="G19" i="34"/>
  <c r="G24" i="34"/>
  <c r="G32" i="34"/>
  <c r="G20" i="34"/>
  <c r="G11" i="34"/>
  <c r="C15" i="73"/>
  <c r="D15" i="73" s="1"/>
  <c r="C33" i="73"/>
  <c r="D33" i="73" s="1"/>
  <c r="C13" i="73"/>
  <c r="D13" i="73" s="1"/>
  <c r="C21" i="73"/>
  <c r="D21" i="73" s="1"/>
  <c r="C14" i="73"/>
  <c r="D14" i="73" s="1"/>
  <c r="C57" i="73"/>
  <c r="D57" i="73" s="1"/>
  <c r="C26" i="73"/>
  <c r="D26" i="73" s="1"/>
  <c r="C41" i="73"/>
  <c r="D41" i="73" s="1"/>
  <c r="C52" i="73"/>
  <c r="D52" i="73" s="1"/>
  <c r="C35" i="73"/>
  <c r="C17" i="73"/>
  <c r="D17" i="73" s="1"/>
  <c r="C47" i="73"/>
  <c r="D47" i="73" s="1"/>
  <c r="C25" i="73"/>
  <c r="D25" i="73" s="1"/>
  <c r="C29" i="73"/>
  <c r="D29" i="73" s="1"/>
  <c r="C45" i="73"/>
  <c r="D45" i="73" s="1"/>
  <c r="C22" i="73"/>
  <c r="D22" i="73" s="1"/>
  <c r="C55" i="73"/>
  <c r="D55" i="73" s="1"/>
  <c r="C12" i="73"/>
  <c r="D12" i="73" s="1"/>
  <c r="C31" i="73"/>
  <c r="D31" i="73" s="1"/>
  <c r="C42" i="73"/>
  <c r="D42" i="73" s="1"/>
  <c r="C19" i="73"/>
  <c r="D19" i="73" s="1"/>
  <c r="C11" i="73"/>
  <c r="D11" i="73" s="1"/>
  <c r="C40" i="73"/>
  <c r="D40" i="73" s="1"/>
  <c r="C46" i="73"/>
  <c r="D46" i="73" s="1"/>
  <c r="C28" i="73"/>
  <c r="D28" i="73" s="1"/>
  <c r="C38" i="73"/>
  <c r="D38" i="73" s="1"/>
  <c r="C50" i="73"/>
  <c r="D50" i="73" s="1"/>
  <c r="C24" i="73"/>
  <c r="D24" i="73" s="1"/>
  <c r="C53" i="73"/>
  <c r="D53" i="73" s="1"/>
  <c r="C39" i="73"/>
  <c r="D39" i="73" s="1"/>
  <c r="C32" i="73"/>
  <c r="D32" i="73" s="1"/>
  <c r="C18" i="73"/>
  <c r="D18" i="73" s="1"/>
  <c r="C54" i="73"/>
  <c r="D54" i="73" s="1"/>
  <c r="C10" i="73"/>
  <c r="D10" i="73" s="1"/>
  <c r="C34" i="73"/>
  <c r="D34" i="73" s="1"/>
  <c r="C43" i="73"/>
  <c r="D43" i="73" s="1"/>
  <c r="C20" i="73"/>
  <c r="D20" i="73" s="1"/>
  <c r="C27" i="73"/>
  <c r="D27" i="73" s="1"/>
  <c r="C48" i="73"/>
  <c r="D48" i="73" s="1"/>
  <c r="C56" i="73"/>
  <c r="D56" i="73" s="1"/>
  <c r="C36" i="73"/>
  <c r="D36" i="73" s="1"/>
  <c r="C49" i="73"/>
  <c r="D49" i="73" s="1"/>
  <c r="D25" i="78"/>
  <c r="D13" i="78"/>
  <c r="F47" i="70"/>
  <c r="E13" i="78"/>
  <c r="E41" i="78"/>
  <c r="F41" i="78" s="1"/>
  <c r="E54" i="78"/>
  <c r="F54" i="78" s="1"/>
  <c r="E49" i="78"/>
  <c r="E57" i="78"/>
  <c r="E12" i="78"/>
  <c r="F12" i="78" s="1"/>
  <c r="E21" i="78"/>
  <c r="F21" i="78" s="1"/>
  <c r="E30" i="78"/>
  <c r="F30" i="78" s="1"/>
  <c r="E38" i="78"/>
  <c r="F38" i="78" s="1"/>
  <c r="E47" i="78"/>
  <c r="F47" i="78" s="1"/>
  <c r="E55" i="78"/>
  <c r="E25" i="78"/>
  <c r="E44" i="78"/>
  <c r="E11" i="78"/>
  <c r="E35" i="78"/>
  <c r="E50" i="78"/>
  <c r="F50" i="78" s="1"/>
  <c r="E23" i="78"/>
  <c r="F23" i="78" s="1"/>
  <c r="E19" i="78"/>
  <c r="F19" i="78" s="1"/>
  <c r="E42" i="78"/>
  <c r="F42" i="78" s="1"/>
  <c r="E45" i="78"/>
  <c r="E17" i="78"/>
  <c r="F17" i="78" s="1"/>
  <c r="E37" i="78"/>
  <c r="F37" i="78" s="1"/>
  <c r="E31" i="78"/>
  <c r="E36" i="78"/>
  <c r="E51" i="78"/>
  <c r="F51" i="78" s="1"/>
  <c r="E29" i="78"/>
  <c r="F29" i="78" s="1"/>
  <c r="E33" i="78"/>
  <c r="F33" i="78" s="1"/>
  <c r="E56" i="78"/>
  <c r="F56" i="78" s="1"/>
  <c r="E24" i="78"/>
  <c r="F24" i="78" s="1"/>
  <c r="E48" i="78"/>
  <c r="E53" i="78"/>
  <c r="F53" i="78" s="1"/>
  <c r="E43" i="78"/>
  <c r="E39" i="78"/>
  <c r="F39" i="78" s="1"/>
  <c r="E20" i="78"/>
  <c r="E15" i="78"/>
  <c r="F15" i="78" s="1"/>
  <c r="E26" i="78"/>
  <c r="E16" i="78"/>
  <c r="F16" i="78" s="1"/>
  <c r="E27" i="78"/>
  <c r="E32" i="78"/>
  <c r="F32" i="78" s="1"/>
  <c r="H17" i="78"/>
  <c r="J47" i="70"/>
  <c r="B16" i="70"/>
  <c r="B12" i="70"/>
  <c r="B10" i="70"/>
  <c r="B15" i="70"/>
  <c r="B31" i="70"/>
  <c r="B42" i="70"/>
  <c r="B53" i="70"/>
  <c r="B20" i="70"/>
  <c r="B54" i="70"/>
  <c r="B26" i="70"/>
  <c r="B45" i="70"/>
  <c r="B44" i="70"/>
  <c r="B56" i="70"/>
  <c r="B23" i="70"/>
  <c r="B51" i="70"/>
  <c r="B55" i="70"/>
  <c r="B37" i="70"/>
  <c r="B25" i="70"/>
  <c r="B41" i="70"/>
  <c r="B11" i="70"/>
  <c r="B21" i="70"/>
  <c r="I46" i="70"/>
  <c r="J46" i="70" s="1"/>
  <c r="B30" i="70"/>
  <c r="B22" i="70"/>
  <c r="B43" i="70"/>
  <c r="B46" i="70"/>
  <c r="B52" i="70"/>
  <c r="B24" i="70"/>
  <c r="B40" i="70"/>
  <c r="B50" i="70"/>
  <c r="I19" i="78"/>
  <c r="J19" i="78" s="1"/>
  <c r="I35" i="78"/>
  <c r="J35" i="78" s="1"/>
  <c r="I43" i="78"/>
  <c r="J43" i="78" s="1"/>
  <c r="I51" i="78"/>
  <c r="J51" i="78" s="1"/>
  <c r="I31" i="78"/>
  <c r="J31" i="78" s="1"/>
  <c r="I41" i="78"/>
  <c r="J41" i="78" s="1"/>
  <c r="I50" i="78"/>
  <c r="J50" i="78" s="1"/>
  <c r="I57" i="78"/>
  <c r="J57" i="78" s="1"/>
  <c r="I11" i="78"/>
  <c r="J11" i="78" s="1"/>
  <c r="I12" i="78"/>
  <c r="J12" i="78" s="1"/>
  <c r="I44" i="78"/>
  <c r="J44" i="78" s="1"/>
  <c r="I48" i="78"/>
  <c r="J48" i="78" s="1"/>
  <c r="I17" i="78"/>
  <c r="J17" i="78" s="1"/>
  <c r="I37" i="78"/>
  <c r="J37" i="78" s="1"/>
  <c r="I49" i="78"/>
  <c r="J49" i="78" s="1"/>
  <c r="I53" i="78"/>
  <c r="J53" i="78" s="1"/>
  <c r="I54" i="78"/>
  <c r="J54" i="78" s="1"/>
  <c r="I23" i="78"/>
  <c r="J23" i="78" s="1"/>
  <c r="I20" i="78"/>
  <c r="J20" i="78" s="1"/>
  <c r="I39" i="78"/>
  <c r="J39" i="78" s="1"/>
  <c r="I47" i="78"/>
  <c r="J47" i="78" s="1"/>
  <c r="I38" i="78"/>
  <c r="J38" i="78" s="1"/>
  <c r="I42" i="78"/>
  <c r="J42" i="78" s="1"/>
  <c r="I56" i="78"/>
  <c r="J56" i="78" s="1"/>
  <c r="I24" i="78"/>
  <c r="J24" i="78" s="1"/>
  <c r="I29" i="78"/>
  <c r="J29" i="78" s="1"/>
  <c r="I33" i="78"/>
  <c r="J33" i="78" s="1"/>
  <c r="I13" i="78"/>
  <c r="J13" i="78" s="1"/>
  <c r="I32" i="78"/>
  <c r="J32" i="78" s="1"/>
  <c r="I25" i="78"/>
  <c r="J25" i="78" s="1"/>
  <c r="I30" i="78"/>
  <c r="J30" i="78" s="1"/>
  <c r="I27" i="78"/>
  <c r="J27" i="78" s="1"/>
  <c r="I15" i="78"/>
  <c r="J15" i="78" s="1"/>
  <c r="I21" i="78"/>
  <c r="J21" i="78" s="1"/>
  <c r="I26" i="78"/>
  <c r="J26" i="78" s="1"/>
  <c r="I36" i="78"/>
  <c r="J36" i="78" s="1"/>
  <c r="I16" i="78"/>
  <c r="J16" i="78" s="1"/>
  <c r="I45" i="78"/>
  <c r="J45" i="78" s="1"/>
  <c r="I55" i="78"/>
  <c r="J55" i="78" s="1"/>
  <c r="I27" i="57"/>
  <c r="J27" i="57" s="1"/>
  <c r="I24" i="57"/>
  <c r="J24" i="57" s="1"/>
  <c r="I19" i="57"/>
  <c r="J19" i="57" s="1"/>
  <c r="I30" i="57"/>
  <c r="J30" i="57" s="1"/>
  <c r="I35" i="57"/>
  <c r="J35" i="57" s="1"/>
  <c r="I11" i="57"/>
  <c r="J11" i="57" s="1"/>
  <c r="I22" i="57"/>
  <c r="I14" i="57"/>
  <c r="J14" i="57" s="1"/>
  <c r="I20" i="57"/>
  <c r="J20" i="57" s="1"/>
  <c r="I31" i="57"/>
  <c r="J31" i="57" s="1"/>
  <c r="I12" i="57"/>
  <c r="J12" i="57" s="1"/>
  <c r="I13" i="57"/>
  <c r="J13" i="57" s="1"/>
  <c r="I23" i="57"/>
  <c r="J23" i="57" s="1"/>
  <c r="I28" i="57"/>
  <c r="J28" i="57" s="1"/>
  <c r="I32" i="57"/>
  <c r="J32" i="57" s="1"/>
  <c r="I15" i="57"/>
  <c r="J15" i="57" s="1"/>
  <c r="I29" i="57"/>
  <c r="J29" i="57" s="1"/>
  <c r="I33" i="57"/>
  <c r="J33" i="57" s="1"/>
  <c r="I21" i="57"/>
  <c r="J21" i="57" s="1"/>
  <c r="I25" i="57"/>
  <c r="J25" i="57" s="1"/>
  <c r="I34" i="57"/>
  <c r="J34" i="57" s="1"/>
  <c r="I16" i="57"/>
  <c r="J16" i="57" s="1"/>
  <c r="I17" i="57"/>
  <c r="J17" i="57" s="1"/>
  <c r="D41" i="78"/>
  <c r="F50" i="43"/>
  <c r="F13" i="76"/>
  <c r="H39" i="43"/>
  <c r="C13" i="61"/>
  <c r="C44" i="61"/>
  <c r="D44" i="61" s="1"/>
  <c r="C11" i="61"/>
  <c r="D11" i="61" s="1"/>
  <c r="C16" i="61"/>
  <c r="D16" i="61" s="1"/>
  <c r="C53" i="61"/>
  <c r="D53" i="61" s="1"/>
  <c r="C20" i="61"/>
  <c r="D20" i="61" s="1"/>
  <c r="C17" i="61"/>
  <c r="D17" i="61" s="1"/>
  <c r="C28" i="61"/>
  <c r="D28" i="61" s="1"/>
  <c r="C45" i="61"/>
  <c r="D45" i="61" s="1"/>
  <c r="C48" i="61"/>
  <c r="D48" i="61" s="1"/>
  <c r="C49" i="61"/>
  <c r="C12" i="61"/>
  <c r="C14" i="61"/>
  <c r="C46" i="61"/>
  <c r="D46" i="61" s="1"/>
  <c r="C37" i="61"/>
  <c r="D37" i="61" s="1"/>
  <c r="C47" i="61"/>
  <c r="D47" i="61" s="1"/>
  <c r="C15" i="61"/>
  <c r="D15" i="61" s="1"/>
  <c r="C50" i="61"/>
  <c r="D50" i="61" s="1"/>
  <c r="E13" i="38"/>
  <c r="F13" i="38" s="1"/>
  <c r="E35" i="38"/>
  <c r="E21" i="38"/>
  <c r="E43" i="38"/>
  <c r="F43" i="38" s="1"/>
  <c r="E31" i="38"/>
  <c r="F31" i="38" s="1"/>
  <c r="E29" i="38"/>
  <c r="E24" i="38"/>
  <c r="F24" i="38" s="1"/>
  <c r="E11" i="38"/>
  <c r="F11" i="38" s="1"/>
  <c r="E27" i="38"/>
  <c r="F27" i="38" s="1"/>
  <c r="E15" i="38"/>
  <c r="F15" i="38" s="1"/>
  <c r="E18" i="38"/>
  <c r="E34" i="38"/>
  <c r="E22" i="38"/>
  <c r="E16" i="38"/>
  <c r="E23" i="38"/>
  <c r="F23" i="38" s="1"/>
  <c r="E26" i="38"/>
  <c r="F26" i="38" s="1"/>
  <c r="E17" i="38"/>
  <c r="F17" i="38" s="1"/>
  <c r="E38" i="38"/>
  <c r="F38" i="38" s="1"/>
  <c r="E42" i="38"/>
  <c r="E14" i="38"/>
  <c r="F14" i="38" s="1"/>
  <c r="E33" i="38"/>
  <c r="F33" i="38" s="1"/>
  <c r="E39" i="38"/>
  <c r="F39" i="38" s="1"/>
  <c r="E44" i="38"/>
  <c r="F44" i="38" s="1"/>
  <c r="E19" i="38"/>
  <c r="F19" i="38" s="1"/>
  <c r="E32" i="38"/>
  <c r="F32" i="38" s="1"/>
  <c r="E25" i="38"/>
  <c r="E30" i="38"/>
  <c r="F30" i="38" s="1"/>
  <c r="E37" i="38"/>
  <c r="F37" i="38" s="1"/>
  <c r="E41" i="38"/>
  <c r="F41" i="38" s="1"/>
  <c r="E45" i="38"/>
  <c r="E40" i="38"/>
  <c r="F40" i="38" s="1"/>
  <c r="D33" i="22"/>
  <c r="D39" i="22"/>
  <c r="H38" i="78"/>
  <c r="B13" i="76"/>
  <c r="B31" i="76"/>
  <c r="B30" i="76"/>
  <c r="B24" i="76"/>
  <c r="B27" i="76"/>
  <c r="B12" i="76"/>
  <c r="B19" i="76"/>
  <c r="B29" i="76"/>
  <c r="B14" i="76"/>
  <c r="B16" i="76"/>
  <c r="B28" i="76"/>
  <c r="B32" i="76"/>
  <c r="B15" i="76"/>
  <c r="B18" i="76"/>
  <c r="B25" i="76"/>
  <c r="B17" i="76"/>
  <c r="B20" i="76"/>
  <c r="B26" i="76"/>
  <c r="I25" i="18"/>
  <c r="J25" i="18" s="1"/>
  <c r="I20" i="18"/>
  <c r="J20" i="18" s="1"/>
  <c r="I30" i="18"/>
  <c r="J30" i="18" s="1"/>
  <c r="I27" i="18"/>
  <c r="J27" i="18" s="1"/>
  <c r="I28" i="18"/>
  <c r="J28" i="18" s="1"/>
  <c r="I26" i="18"/>
  <c r="J26" i="18" s="1"/>
  <c r="I23" i="18"/>
  <c r="J23" i="18" s="1"/>
  <c r="I16" i="18"/>
  <c r="J16" i="18" s="1"/>
  <c r="I21" i="18"/>
  <c r="J21" i="18" s="1"/>
  <c r="I29" i="18"/>
  <c r="J29" i="18" s="1"/>
  <c r="I22" i="18"/>
  <c r="J22" i="18" s="1"/>
  <c r="I24" i="18"/>
  <c r="J24" i="18" s="1"/>
  <c r="I29" i="25"/>
  <c r="I13" i="25"/>
  <c r="J13" i="25" s="1"/>
  <c r="I19" i="25"/>
  <c r="J19" i="25" s="1"/>
  <c r="I32" i="25"/>
  <c r="I34" i="25"/>
  <c r="I21" i="25"/>
  <c r="I27" i="25"/>
  <c r="J27" i="25" s="1"/>
  <c r="I17" i="25"/>
  <c r="I11" i="25"/>
  <c r="I14" i="25"/>
  <c r="F38" i="43"/>
  <c r="H12" i="43"/>
  <c r="C37" i="29"/>
  <c r="D37" i="29" s="1"/>
  <c r="C18" i="29"/>
  <c r="D18" i="29" s="1"/>
  <c r="C14" i="29"/>
  <c r="D14" i="29" s="1"/>
  <c r="C25" i="29"/>
  <c r="D25" i="29" s="1"/>
  <c r="C27" i="29"/>
  <c r="D27" i="29" s="1"/>
  <c r="C30" i="29"/>
  <c r="D30" i="29" s="1"/>
  <c r="C22" i="29"/>
  <c r="D22" i="29" s="1"/>
  <c r="C29" i="29"/>
  <c r="D29" i="29" s="1"/>
  <c r="C11" i="29"/>
  <c r="D11" i="29" s="1"/>
  <c r="C10" i="29"/>
  <c r="D10" i="29" s="1"/>
  <c r="C28" i="29"/>
  <c r="D28" i="29" s="1"/>
  <c r="E13" i="36"/>
  <c r="F13" i="36" s="1"/>
  <c r="E12" i="36"/>
  <c r="F12" i="36" s="1"/>
  <c r="E28" i="36"/>
  <c r="F28" i="36" s="1"/>
  <c r="E17" i="36"/>
  <c r="F17" i="36" s="1"/>
  <c r="E38" i="36"/>
  <c r="F38" i="36" s="1"/>
  <c r="E36" i="36"/>
  <c r="F36" i="36" s="1"/>
  <c r="E21" i="36"/>
  <c r="E44" i="36"/>
  <c r="F44" i="36" s="1"/>
  <c r="E31" i="36"/>
  <c r="F31" i="36" s="1"/>
  <c r="E29" i="36"/>
  <c r="F29" i="36" s="1"/>
  <c r="E20" i="36"/>
  <c r="F20" i="36" s="1"/>
  <c r="E16" i="36"/>
  <c r="F16" i="36" s="1"/>
  <c r="E34" i="36"/>
  <c r="F34" i="36" s="1"/>
  <c r="E24" i="36"/>
  <c r="F24" i="36" s="1"/>
  <c r="E46" i="36"/>
  <c r="F46" i="36" s="1"/>
  <c r="E39" i="36"/>
  <c r="F39" i="36" s="1"/>
  <c r="E42" i="36"/>
  <c r="F42" i="36" s="1"/>
  <c r="E32" i="36"/>
  <c r="E37" i="36"/>
  <c r="F37" i="36" s="1"/>
  <c r="E40" i="36"/>
  <c r="F40" i="36" s="1"/>
  <c r="E33" i="36"/>
  <c r="F33" i="36" s="1"/>
  <c r="E26" i="36"/>
  <c r="F26" i="36" s="1"/>
  <c r="E41" i="36"/>
  <c r="F41" i="36" s="1"/>
  <c r="E49" i="36"/>
  <c r="F49" i="36" s="1"/>
  <c r="E22" i="36"/>
  <c r="E45" i="36"/>
  <c r="F45" i="36" s="1"/>
  <c r="E23" i="36"/>
  <c r="F23" i="36" s="1"/>
  <c r="E14" i="36"/>
  <c r="F14" i="36" s="1"/>
  <c r="E48" i="36"/>
  <c r="F48" i="36" s="1"/>
  <c r="E18" i="36"/>
  <c r="F18" i="36" s="1"/>
  <c r="E25" i="36"/>
  <c r="F25" i="36" s="1"/>
  <c r="E47" i="36"/>
  <c r="F47" i="36" s="1"/>
  <c r="E15" i="36"/>
  <c r="E30" i="36"/>
  <c r="F30" i="36" s="1"/>
  <c r="G16" i="22"/>
  <c r="H16" i="22" s="1"/>
  <c r="G41" i="22"/>
  <c r="G21" i="22"/>
  <c r="G29" i="22"/>
  <c r="G27" i="22"/>
  <c r="G36" i="22"/>
  <c r="G45" i="22"/>
  <c r="G52" i="22"/>
  <c r="G19" i="22"/>
  <c r="G11" i="22"/>
  <c r="G25" i="22"/>
  <c r="G34" i="22"/>
  <c r="G42" i="22"/>
  <c r="G50" i="22"/>
  <c r="H50" i="22" s="1"/>
  <c r="G22" i="22"/>
  <c r="G55" i="22"/>
  <c r="G46" i="22"/>
  <c r="H46" i="22" s="1"/>
  <c r="G49" i="22"/>
  <c r="H49" i="22" s="1"/>
  <c r="G43" i="22"/>
  <c r="G48" i="22"/>
  <c r="G15" i="22"/>
  <c r="H15" i="22" s="1"/>
  <c r="G20" i="22"/>
  <c r="G35" i="22"/>
  <c r="G40" i="22"/>
  <c r="G33" i="22"/>
  <c r="G54" i="22"/>
  <c r="G47" i="22"/>
  <c r="G24" i="22"/>
  <c r="G26" i="22"/>
  <c r="G13" i="22"/>
  <c r="G39" i="22"/>
  <c r="G32" i="22"/>
  <c r="G12" i="22"/>
  <c r="G37" i="22"/>
  <c r="G14" i="22"/>
  <c r="G18" i="22"/>
  <c r="G28" i="22"/>
  <c r="H28" i="22" s="1"/>
  <c r="G34" i="25"/>
  <c r="H34" i="25" s="1"/>
  <c r="G27" i="25"/>
  <c r="H27" i="25" s="1"/>
  <c r="G19" i="25"/>
  <c r="H19" i="25" s="1"/>
  <c r="G17" i="25"/>
  <c r="G21" i="25"/>
  <c r="G13" i="25"/>
  <c r="G11" i="25"/>
  <c r="G32" i="25"/>
  <c r="G29" i="25"/>
  <c r="G14" i="25"/>
  <c r="H14" i="25" s="1"/>
  <c r="H47" i="78"/>
  <c r="D29" i="78"/>
  <c r="H30" i="78"/>
  <c r="F16" i="66"/>
  <c r="F9" i="66"/>
  <c r="F17" i="66"/>
  <c r="F30" i="66"/>
  <c r="F18" i="66"/>
  <c r="F31" i="66"/>
  <c r="F12" i="66"/>
  <c r="F20" i="66"/>
  <c r="F24" i="66"/>
  <c r="F23" i="66"/>
  <c r="F25" i="66"/>
  <c r="F26" i="66"/>
  <c r="F11" i="66"/>
  <c r="F15" i="66"/>
  <c r="F45" i="43"/>
  <c r="D27" i="78"/>
  <c r="C25" i="26"/>
  <c r="D25" i="26" s="1"/>
  <c r="C48" i="26"/>
  <c r="D48" i="26" s="1"/>
  <c r="C20" i="26"/>
  <c r="C19" i="26"/>
  <c r="D19" i="26" s="1"/>
  <c r="C11" i="26"/>
  <c r="D11" i="26" s="1"/>
  <c r="C23" i="26"/>
  <c r="D23" i="26" s="1"/>
  <c r="C28" i="26"/>
  <c r="D28" i="26" s="1"/>
  <c r="C50" i="26"/>
  <c r="D50" i="26" s="1"/>
  <c r="C32" i="26"/>
  <c r="D32" i="26" s="1"/>
  <c r="C21" i="26"/>
  <c r="D21" i="26" s="1"/>
  <c r="C42" i="26"/>
  <c r="D42" i="26" s="1"/>
  <c r="C16" i="26"/>
  <c r="D16" i="26" s="1"/>
  <c r="C26" i="26"/>
  <c r="D26" i="26" s="1"/>
  <c r="C12" i="26"/>
  <c r="D12" i="26" s="1"/>
  <c r="C27" i="26"/>
  <c r="D27" i="26" s="1"/>
  <c r="C33" i="26"/>
  <c r="D33" i="26" s="1"/>
  <c r="C34" i="26"/>
  <c r="D34" i="26" s="1"/>
  <c r="C24" i="26"/>
  <c r="D24" i="26" s="1"/>
  <c r="C49" i="26"/>
  <c r="D49" i="26" s="1"/>
  <c r="E22" i="57"/>
  <c r="F22" i="57" s="1"/>
  <c r="E20" i="57"/>
  <c r="F20" i="57" s="1"/>
  <c r="E16" i="57"/>
  <c r="F16" i="57" s="1"/>
  <c r="E28" i="57"/>
  <c r="F28" i="57" s="1"/>
  <c r="E33" i="57"/>
  <c r="F33" i="57" s="1"/>
  <c r="E17" i="57"/>
  <c r="F17" i="57" s="1"/>
  <c r="E29" i="57"/>
  <c r="F29" i="57" s="1"/>
  <c r="E27" i="57"/>
  <c r="F27" i="57" s="1"/>
  <c r="E31" i="57"/>
  <c r="F31" i="57" s="1"/>
  <c r="E23" i="57"/>
  <c r="F23" i="57" s="1"/>
  <c r="E35" i="57"/>
  <c r="F35" i="57" s="1"/>
  <c r="E19" i="57"/>
  <c r="F19" i="57" s="1"/>
  <c r="E15" i="57"/>
  <c r="F15" i="57" s="1"/>
  <c r="E32" i="57"/>
  <c r="F32" i="57" s="1"/>
  <c r="E11" i="57"/>
  <c r="F11" i="57" s="1"/>
  <c r="E21" i="57"/>
  <c r="F21" i="57" s="1"/>
  <c r="E25" i="57"/>
  <c r="F25" i="57" s="1"/>
  <c r="E12" i="57"/>
  <c r="F12" i="57" s="1"/>
  <c r="E13" i="57"/>
  <c r="F13" i="57" s="1"/>
  <c r="E14" i="57"/>
  <c r="F14" i="57" s="1"/>
  <c r="E24" i="57"/>
  <c r="F24" i="57" s="1"/>
  <c r="E30" i="57"/>
  <c r="F30" i="57" s="1"/>
  <c r="E34" i="57"/>
  <c r="F34" i="57" s="1"/>
  <c r="D27" i="22"/>
  <c r="C30" i="75"/>
  <c r="C28" i="75"/>
  <c r="C14" i="75"/>
  <c r="C13" i="75"/>
  <c r="D13" i="75" s="1"/>
  <c r="C21" i="75"/>
  <c r="C11" i="75"/>
  <c r="D11" i="75" s="1"/>
  <c r="C17" i="75"/>
  <c r="C24" i="75"/>
  <c r="D24" i="75" s="1"/>
  <c r="C20" i="75"/>
  <c r="C33" i="75"/>
  <c r="C15" i="75"/>
  <c r="D15" i="75" s="1"/>
  <c r="C19" i="75"/>
  <c r="D19" i="75" s="1"/>
  <c r="C32" i="75"/>
  <c r="C16" i="75"/>
  <c r="C25" i="75"/>
  <c r="D25" i="75" s="1"/>
  <c r="C12" i="75"/>
  <c r="C29" i="75"/>
  <c r="D29" i="75" s="1"/>
  <c r="C27" i="75"/>
  <c r="C18" i="75"/>
  <c r="D18" i="75" s="1"/>
  <c r="C10" i="75"/>
  <c r="C31" i="75"/>
  <c r="C23" i="75"/>
  <c r="C34" i="75"/>
  <c r="D34" i="75" s="1"/>
  <c r="C26" i="75"/>
  <c r="D26" i="75" s="1"/>
  <c r="H16" i="59"/>
  <c r="D28" i="62"/>
  <c r="H38" i="59"/>
  <c r="F24" i="62"/>
  <c r="J28" i="62"/>
  <c r="B11" i="71"/>
  <c r="B19" i="71"/>
  <c r="B16" i="71"/>
  <c r="B18" i="71"/>
  <c r="B17" i="71"/>
  <c r="B14" i="71"/>
  <c r="B12" i="71"/>
  <c r="B13" i="71"/>
  <c r="B20" i="71"/>
  <c r="B21" i="71"/>
  <c r="B10" i="71"/>
  <c r="B15" i="71"/>
  <c r="B22" i="71"/>
  <c r="D13" i="41"/>
  <c r="D13" i="62"/>
  <c r="G20" i="77"/>
  <c r="G41" i="77"/>
  <c r="H41" i="77" s="1"/>
  <c r="G10" i="77"/>
  <c r="H10" i="77" s="1"/>
  <c r="G36" i="77"/>
  <c r="G43" i="77"/>
  <c r="G18" i="77"/>
  <c r="H18" i="77" s="1"/>
  <c r="G48" i="77"/>
  <c r="H48" i="77" s="1"/>
  <c r="G50" i="77"/>
  <c r="G11" i="77"/>
  <c r="G27" i="77"/>
  <c r="G19" i="77"/>
  <c r="H19" i="77" s="1"/>
  <c r="G24" i="77"/>
  <c r="G40" i="77"/>
  <c r="G44" i="77"/>
  <c r="G30" i="77"/>
  <c r="G47" i="77"/>
  <c r="G17" i="77"/>
  <c r="G23" i="77"/>
  <c r="G29" i="77"/>
  <c r="H29" i="77" s="1"/>
  <c r="G42" i="77"/>
  <c r="G28" i="77"/>
  <c r="H28" i="77" s="1"/>
  <c r="G37" i="77"/>
  <c r="H37" i="77" s="1"/>
  <c r="G33" i="77"/>
  <c r="H33" i="77" s="1"/>
  <c r="G49" i="77"/>
  <c r="G28" i="29"/>
  <c r="H28" i="29" s="1"/>
  <c r="G18" i="29"/>
  <c r="H18" i="29" s="1"/>
  <c r="G29" i="29"/>
  <c r="H29" i="29" s="1"/>
  <c r="G11" i="29"/>
  <c r="H11" i="29" s="1"/>
  <c r="G14" i="29"/>
  <c r="H14" i="29" s="1"/>
  <c r="G37" i="29"/>
  <c r="H37" i="29" s="1"/>
  <c r="G27" i="29"/>
  <c r="H27" i="29" s="1"/>
  <c r="G10" i="29"/>
  <c r="H10" i="29" s="1"/>
  <c r="G22" i="29"/>
  <c r="H22" i="29" s="1"/>
  <c r="G25" i="29"/>
  <c r="H25" i="29" s="1"/>
  <c r="G30" i="29"/>
  <c r="H30" i="29" s="1"/>
  <c r="D56" i="78"/>
  <c r="F55" i="43"/>
  <c r="B18" i="75"/>
  <c r="B16" i="75"/>
  <c r="B24" i="75"/>
  <c r="B25" i="75"/>
  <c r="B33" i="75"/>
  <c r="B17" i="75"/>
  <c r="B20" i="75"/>
  <c r="B27" i="75"/>
  <c r="B23" i="75"/>
  <c r="B26" i="75"/>
  <c r="B11" i="75"/>
  <c r="B19" i="75"/>
  <c r="B28" i="75"/>
  <c r="B12" i="75"/>
  <c r="B10" i="75"/>
  <c r="B14" i="75"/>
  <c r="B32" i="75"/>
  <c r="B13" i="75"/>
  <c r="B34" i="75"/>
  <c r="B29" i="75"/>
  <c r="B15" i="75"/>
  <c r="B30" i="75"/>
  <c r="B21" i="75"/>
  <c r="B31" i="75"/>
  <c r="H12" i="59"/>
  <c r="D57" i="78"/>
  <c r="F45" i="62"/>
  <c r="H36" i="62"/>
  <c r="H21" i="78"/>
  <c r="J45" i="62"/>
  <c r="B53" i="62"/>
  <c r="B49" i="62"/>
  <c r="B30" i="62"/>
  <c r="B32" i="62"/>
  <c r="B48" i="62"/>
  <c r="B46" i="62"/>
  <c r="B29" i="62"/>
  <c r="B52" i="62"/>
  <c r="B54" i="62"/>
  <c r="B51" i="62"/>
  <c r="B31" i="62"/>
  <c r="B47" i="62"/>
  <c r="H36" i="65"/>
  <c r="H26" i="65"/>
  <c r="H53" i="65"/>
  <c r="H57" i="65"/>
  <c r="H61" i="65"/>
  <c r="H69" i="65"/>
  <c r="H73" i="65"/>
  <c r="H81" i="65"/>
  <c r="H85" i="65"/>
  <c r="H89" i="65"/>
  <c r="H93" i="65"/>
  <c r="H39" i="65"/>
  <c r="H60" i="65"/>
  <c r="H91" i="65"/>
  <c r="H56" i="65"/>
  <c r="H15" i="65"/>
  <c r="H22" i="65"/>
  <c r="H29" i="65"/>
  <c r="H74" i="65"/>
  <c r="H68" i="65"/>
  <c r="H12" i="65"/>
  <c r="H75" i="65"/>
  <c r="H83" i="65"/>
  <c r="H90" i="65"/>
  <c r="H20" i="65"/>
  <c r="H54" i="65"/>
  <c r="H62" i="65"/>
  <c r="H28" i="65"/>
  <c r="H55" i="65"/>
  <c r="H63" i="65"/>
  <c r="H92" i="65"/>
  <c r="H13" i="65"/>
  <c r="H18" i="65"/>
  <c r="H34" i="65"/>
  <c r="H21" i="65"/>
  <c r="H72" i="65"/>
  <c r="H79" i="65"/>
  <c r="H86" i="65"/>
  <c r="H11" i="65"/>
  <c r="H58" i="65"/>
  <c r="H87" i="65"/>
  <c r="H94" i="65"/>
  <c r="H82" i="65"/>
  <c r="H27" i="65"/>
  <c r="H84" i="65"/>
  <c r="H67" i="65"/>
  <c r="H40" i="65"/>
  <c r="H52" i="65"/>
  <c r="H70" i="65"/>
  <c r="H14" i="65"/>
  <c r="H80" i="65"/>
  <c r="F37" i="43"/>
  <c r="H45" i="43"/>
  <c r="D32" i="78"/>
  <c r="C37" i="60"/>
  <c r="C38" i="60"/>
  <c r="D38" i="60" s="1"/>
  <c r="C33" i="60"/>
  <c r="C39" i="60"/>
  <c r="C40" i="60"/>
  <c r="D40" i="60" s="1"/>
  <c r="C36" i="60"/>
  <c r="D36" i="60" s="1"/>
  <c r="E19" i="25"/>
  <c r="F19" i="25" s="1"/>
  <c r="E11" i="25"/>
  <c r="F11" i="25" s="1"/>
  <c r="E17" i="25"/>
  <c r="F17" i="25" s="1"/>
  <c r="E21" i="25"/>
  <c r="F21" i="25" s="1"/>
  <c r="E13" i="25"/>
  <c r="F13" i="25" s="1"/>
  <c r="E27" i="25"/>
  <c r="F27" i="25" s="1"/>
  <c r="E34" i="25"/>
  <c r="F34" i="25" s="1"/>
  <c r="E14" i="25"/>
  <c r="F14" i="25" s="1"/>
  <c r="E32" i="25"/>
  <c r="F32" i="25" s="1"/>
  <c r="E29" i="25"/>
  <c r="D15" i="22"/>
  <c r="G29" i="76"/>
  <c r="H29" i="76" s="1"/>
  <c r="G31" i="76"/>
  <c r="H31" i="76" s="1"/>
  <c r="G28" i="76"/>
  <c r="H28" i="76" s="1"/>
  <c r="G13" i="76"/>
  <c r="H13" i="76" s="1"/>
  <c r="G18" i="76"/>
  <c r="H18" i="76" s="1"/>
  <c r="G20" i="76"/>
  <c r="H20" i="76" s="1"/>
  <c r="G15" i="76"/>
  <c r="H15" i="76" s="1"/>
  <c r="G16" i="76"/>
  <c r="H16" i="76" s="1"/>
  <c r="G24" i="76"/>
  <c r="H24" i="76" s="1"/>
  <c r="G30" i="76"/>
  <c r="H30" i="76" s="1"/>
  <c r="G19" i="76"/>
  <c r="H19" i="76" s="1"/>
  <c r="G12" i="76"/>
  <c r="H12" i="76" s="1"/>
  <c r="G17" i="76"/>
  <c r="H17" i="76" s="1"/>
  <c r="G26" i="76"/>
  <c r="H26" i="76" s="1"/>
  <c r="G27" i="76"/>
  <c r="H27" i="76" s="1"/>
  <c r="G32" i="76"/>
  <c r="H32" i="76" s="1"/>
  <c r="G25" i="76"/>
  <c r="H25" i="76" s="1"/>
  <c r="G14" i="76"/>
  <c r="H14" i="76" s="1"/>
  <c r="D53" i="78"/>
  <c r="D35" i="78"/>
  <c r="D55" i="78"/>
  <c r="H12" i="78"/>
  <c r="B18" i="36"/>
  <c r="B36" i="36"/>
  <c r="B23" i="36"/>
  <c r="B46" i="36"/>
  <c r="B21" i="36"/>
  <c r="B44" i="36"/>
  <c r="B13" i="36"/>
  <c r="B29" i="36"/>
  <c r="B39" i="36"/>
  <c r="B16" i="36"/>
  <c r="B37" i="36"/>
  <c r="B31" i="36"/>
  <c r="B49" i="36"/>
  <c r="B24" i="36"/>
  <c r="B42" i="36"/>
  <c r="B32" i="36"/>
  <c r="B17" i="36"/>
  <c r="B47" i="36"/>
  <c r="B22" i="36"/>
  <c r="B33" i="36"/>
  <c r="B26" i="36"/>
  <c r="B30" i="36"/>
  <c r="B48" i="36"/>
  <c r="B34" i="36"/>
  <c r="B12" i="36"/>
  <c r="B28" i="36"/>
  <c r="B14" i="36"/>
  <c r="B45" i="36"/>
  <c r="B20" i="36"/>
  <c r="B38" i="36"/>
  <c r="B25" i="36"/>
  <c r="B15" i="36"/>
  <c r="B41" i="36"/>
  <c r="B40" i="36"/>
  <c r="I29" i="62"/>
  <c r="J29" i="62" s="1"/>
  <c r="I48" i="62"/>
  <c r="J48" i="62" s="1"/>
  <c r="I51" i="62"/>
  <c r="J51" i="62" s="1"/>
  <c r="I54" i="62"/>
  <c r="J54" i="62" s="1"/>
  <c r="I46" i="62"/>
  <c r="J46" i="62" s="1"/>
  <c r="I32" i="62"/>
  <c r="J32" i="62" s="1"/>
  <c r="I47" i="62"/>
  <c r="J47" i="62" s="1"/>
  <c r="I53" i="62"/>
  <c r="J53" i="62" s="1"/>
  <c r="I30" i="62"/>
  <c r="J30" i="62" s="1"/>
  <c r="I49" i="62"/>
  <c r="J49" i="62" s="1"/>
  <c r="I31" i="62"/>
  <c r="J31" i="62" s="1"/>
  <c r="I52" i="62"/>
  <c r="J52" i="62" s="1"/>
  <c r="C28" i="76"/>
  <c r="D28" i="76" s="1"/>
  <c r="C19" i="76"/>
  <c r="D19" i="76" s="1"/>
  <c r="C24" i="76"/>
  <c r="D24" i="76" s="1"/>
  <c r="C27" i="76"/>
  <c r="D27" i="76" s="1"/>
  <c r="C32" i="76"/>
  <c r="D32" i="76" s="1"/>
  <c r="C12" i="76"/>
  <c r="D12" i="76" s="1"/>
  <c r="C17" i="76"/>
  <c r="D17" i="76" s="1"/>
  <c r="C25" i="76"/>
  <c r="D25" i="76" s="1"/>
  <c r="C13" i="76"/>
  <c r="D13" i="76" s="1"/>
  <c r="C26" i="76"/>
  <c r="D26" i="76" s="1"/>
  <c r="C30" i="76"/>
  <c r="D30" i="76" s="1"/>
  <c r="C31" i="76"/>
  <c r="D31" i="76" s="1"/>
  <c r="C15" i="76"/>
  <c r="D15" i="76" s="1"/>
  <c r="C18" i="76"/>
  <c r="D18" i="76" s="1"/>
  <c r="C29" i="76"/>
  <c r="D29" i="76" s="1"/>
  <c r="C16" i="76"/>
  <c r="D16" i="76" s="1"/>
  <c r="C14" i="76"/>
  <c r="D14" i="76" s="1"/>
  <c r="C20" i="76"/>
  <c r="D20" i="76" s="1"/>
  <c r="F19" i="43"/>
  <c r="F12" i="76"/>
  <c r="C21" i="59"/>
  <c r="D21" i="59" s="1"/>
  <c r="C43" i="59"/>
  <c r="D43" i="59" s="1"/>
  <c r="C19" i="59"/>
  <c r="D19" i="59" s="1"/>
  <c r="C41" i="59"/>
  <c r="D41" i="59" s="1"/>
  <c r="C27" i="59"/>
  <c r="D27" i="59" s="1"/>
  <c r="C12" i="59"/>
  <c r="D12" i="59" s="1"/>
  <c r="C30" i="59"/>
  <c r="D30" i="59" s="1"/>
  <c r="C25" i="59"/>
  <c r="D25" i="59" s="1"/>
  <c r="C29" i="59"/>
  <c r="D29" i="59" s="1"/>
  <c r="C32" i="59"/>
  <c r="C39" i="59"/>
  <c r="D39" i="59" s="1"/>
  <c r="C35" i="59"/>
  <c r="D35" i="59" s="1"/>
  <c r="C42" i="59"/>
  <c r="D42" i="59" s="1"/>
  <c r="C31" i="59"/>
  <c r="D31" i="59" s="1"/>
  <c r="C34" i="59"/>
  <c r="D34" i="59" s="1"/>
  <c r="C13" i="59"/>
  <c r="D13" i="59" s="1"/>
  <c r="C40" i="59"/>
  <c r="D40" i="59" s="1"/>
  <c r="C23" i="59"/>
  <c r="D23" i="59" s="1"/>
  <c r="C36" i="59"/>
  <c r="D36" i="59" s="1"/>
  <c r="C28" i="59"/>
  <c r="D28" i="59" s="1"/>
  <c r="C16" i="59"/>
  <c r="D16" i="59" s="1"/>
  <c r="C38" i="59"/>
  <c r="D38" i="59" s="1"/>
  <c r="C24" i="59"/>
  <c r="D24" i="59" s="1"/>
  <c r="C18" i="59"/>
  <c r="D18" i="59" s="1"/>
  <c r="C47" i="59"/>
  <c r="D47" i="59" s="1"/>
  <c r="C33" i="59"/>
  <c r="D33" i="59" s="1"/>
  <c r="C20" i="59"/>
  <c r="D20" i="59" s="1"/>
  <c r="C44" i="59"/>
  <c r="D44" i="59" s="1"/>
  <c r="C11" i="59"/>
  <c r="D11" i="59" s="1"/>
  <c r="C22" i="59"/>
  <c r="C45" i="59"/>
  <c r="D45" i="59" s="1"/>
  <c r="C14" i="59"/>
  <c r="D14" i="59" s="1"/>
  <c r="C46" i="59"/>
  <c r="D46" i="59" s="1"/>
  <c r="C17" i="59"/>
  <c r="D17" i="59" s="1"/>
  <c r="C11" i="65"/>
  <c r="C15" i="65"/>
  <c r="C52" i="65"/>
  <c r="C56" i="65"/>
  <c r="C60" i="65"/>
  <c r="C39" i="65"/>
  <c r="C18" i="65"/>
  <c r="C81" i="65"/>
  <c r="C91" i="65"/>
  <c r="C62" i="65"/>
  <c r="C67" i="65"/>
  <c r="C72" i="65"/>
  <c r="C87" i="65"/>
  <c r="C92" i="65"/>
  <c r="C12" i="65"/>
  <c r="C22" i="65"/>
  <c r="C29" i="65"/>
  <c r="C58" i="65"/>
  <c r="C63" i="65"/>
  <c r="C13" i="65"/>
  <c r="C20" i="65"/>
  <c r="C54" i="65"/>
  <c r="C28" i="65"/>
  <c r="C61" i="65"/>
  <c r="C83" i="65"/>
  <c r="C69" i="65"/>
  <c r="C70" i="65"/>
  <c r="C84" i="65"/>
  <c r="C57" i="65"/>
  <c r="C93" i="65"/>
  <c r="C79" i="65"/>
  <c r="C86" i="65"/>
  <c r="C14" i="65"/>
  <c r="C40" i="65"/>
  <c r="C73" i="65"/>
  <c r="C80" i="65"/>
  <c r="C82" i="65" s="1"/>
  <c r="C27" i="65"/>
  <c r="C21" i="65"/>
  <c r="C34" i="65"/>
  <c r="C85" i="65"/>
  <c r="C68" i="65"/>
  <c r="C53" i="65"/>
  <c r="C74" i="65"/>
  <c r="C89" i="65"/>
  <c r="C55" i="65"/>
  <c r="C90" i="65"/>
  <c r="C26" i="65"/>
  <c r="C94" i="65"/>
  <c r="C75" i="65"/>
  <c r="C36" i="65"/>
  <c r="E23" i="59"/>
  <c r="F23" i="59" s="1"/>
  <c r="E45" i="59"/>
  <c r="E21" i="59"/>
  <c r="E43" i="59"/>
  <c r="F43" i="59" s="1"/>
  <c r="E29" i="59"/>
  <c r="E32" i="59"/>
  <c r="E16" i="59"/>
  <c r="E19" i="59"/>
  <c r="F19" i="59" s="1"/>
  <c r="E47" i="59"/>
  <c r="F47" i="59" s="1"/>
  <c r="E22" i="59"/>
  <c r="F22" i="59" s="1"/>
  <c r="E25" i="59"/>
  <c r="F25" i="59" s="1"/>
  <c r="E39" i="59"/>
  <c r="F39" i="59" s="1"/>
  <c r="E30" i="59"/>
  <c r="F30" i="59" s="1"/>
  <c r="E34" i="59"/>
  <c r="E18" i="59"/>
  <c r="E35" i="59"/>
  <c r="F35" i="59" s="1"/>
  <c r="E31" i="59"/>
  <c r="E14" i="59"/>
  <c r="F14" i="59" s="1"/>
  <c r="E33" i="59"/>
  <c r="H33" i="59" s="1"/>
  <c r="E28" i="59"/>
  <c r="H28" i="59" s="1"/>
  <c r="E40" i="59"/>
  <c r="E24" i="59"/>
  <c r="E17" i="59"/>
  <c r="E11" i="59"/>
  <c r="H11" i="59" s="1"/>
  <c r="E13" i="59"/>
  <c r="E42" i="59"/>
  <c r="F42" i="59" s="1"/>
  <c r="E41" i="59"/>
  <c r="E44" i="59"/>
  <c r="F44" i="59" s="1"/>
  <c r="E20" i="59"/>
  <c r="F20" i="59" s="1"/>
  <c r="E12" i="59"/>
  <c r="E36" i="59"/>
  <c r="F36" i="59" s="1"/>
  <c r="E46" i="59"/>
  <c r="F46" i="59" s="1"/>
  <c r="E27" i="59"/>
  <c r="H27" i="59" s="1"/>
  <c r="E38" i="59"/>
  <c r="F38" i="59" s="1"/>
  <c r="E13" i="61"/>
  <c r="F13" i="61" s="1"/>
  <c r="E44" i="61"/>
  <c r="E11" i="61"/>
  <c r="F11" i="61" s="1"/>
  <c r="E49" i="61"/>
  <c r="F49" i="61" s="1"/>
  <c r="E16" i="61"/>
  <c r="F16" i="61" s="1"/>
  <c r="E47" i="61"/>
  <c r="F47" i="61" s="1"/>
  <c r="E14" i="61"/>
  <c r="F14" i="61" s="1"/>
  <c r="E50" i="61"/>
  <c r="E15" i="61"/>
  <c r="F15" i="61" s="1"/>
  <c r="E37" i="61"/>
  <c r="E17" i="61"/>
  <c r="F17" i="61" s="1"/>
  <c r="E28" i="61"/>
  <c r="F28" i="61" s="1"/>
  <c r="E45" i="61"/>
  <c r="F45" i="61" s="1"/>
  <c r="E12" i="61"/>
  <c r="F12" i="61" s="1"/>
  <c r="E53" i="61"/>
  <c r="F53" i="61" s="1"/>
  <c r="E46" i="61"/>
  <c r="F46" i="61" s="1"/>
  <c r="E48" i="61"/>
  <c r="F48" i="61" s="1"/>
  <c r="E20" i="61"/>
  <c r="F20" i="61" s="1"/>
  <c r="D54" i="22"/>
  <c r="H16" i="43"/>
  <c r="E10" i="77"/>
  <c r="F10" i="77" s="1"/>
  <c r="E17" i="77"/>
  <c r="F17" i="77" s="1"/>
  <c r="E50" i="77"/>
  <c r="F50" i="77" s="1"/>
  <c r="E18" i="77"/>
  <c r="F18" i="77" s="1"/>
  <c r="E29" i="77"/>
  <c r="F29" i="77" s="1"/>
  <c r="E27" i="77"/>
  <c r="F27" i="77" s="1"/>
  <c r="E41" i="77"/>
  <c r="F41" i="77" s="1"/>
  <c r="E19" i="77"/>
  <c r="F19" i="77" s="1"/>
  <c r="E43" i="77"/>
  <c r="F43" i="77" s="1"/>
  <c r="E44" i="77"/>
  <c r="F44" i="77" s="1"/>
  <c r="E30" i="77"/>
  <c r="F30" i="77" s="1"/>
  <c r="E49" i="77"/>
  <c r="F49" i="77" s="1"/>
  <c r="E23" i="77"/>
  <c r="F23" i="77" s="1"/>
  <c r="E11" i="77"/>
  <c r="F11" i="77" s="1"/>
  <c r="E42" i="77"/>
  <c r="F42" i="77" s="1"/>
  <c r="E48" i="77"/>
  <c r="F48" i="77" s="1"/>
  <c r="E20" i="77"/>
  <c r="F20" i="77" s="1"/>
  <c r="E33" i="77"/>
  <c r="F33" i="77" s="1"/>
  <c r="E37" i="77"/>
  <c r="F37" i="77" s="1"/>
  <c r="E28" i="77"/>
  <c r="F28" i="77" s="1"/>
  <c r="E24" i="77"/>
  <c r="F24" i="77" s="1"/>
  <c r="E36" i="77"/>
  <c r="F36" i="77" s="1"/>
  <c r="E40" i="77"/>
  <c r="F40" i="77" s="1"/>
  <c r="E47" i="77"/>
  <c r="F47" i="77" s="1"/>
  <c r="E19" i="67"/>
  <c r="E25" i="67"/>
  <c r="E20" i="67"/>
  <c r="E14" i="67"/>
  <c r="E30" i="67"/>
  <c r="E12" i="67"/>
  <c r="E16" i="67"/>
  <c r="E23" i="67"/>
  <c r="E34" i="67"/>
  <c r="E10" i="67"/>
  <c r="E28" i="67"/>
  <c r="E37" i="67"/>
  <c r="E15" i="67"/>
  <c r="E31" i="67"/>
  <c r="E24" i="67"/>
  <c r="E26" i="67"/>
  <c r="E35" i="67"/>
  <c r="E38" i="67"/>
  <c r="E39" i="67"/>
  <c r="H37" i="78"/>
  <c r="H26" i="75"/>
  <c r="I28" i="20"/>
  <c r="I26" i="20"/>
  <c r="J26" i="20" s="1"/>
  <c r="I11" i="20"/>
  <c r="I32" i="20"/>
  <c r="I24" i="20"/>
  <c r="J24" i="20" s="1"/>
  <c r="I27" i="20"/>
  <c r="J27" i="20" s="1"/>
  <c r="I14" i="20"/>
  <c r="I13" i="20"/>
  <c r="I15" i="20"/>
  <c r="J15" i="20" s="1"/>
  <c r="I12" i="20"/>
  <c r="I16" i="20"/>
  <c r="I20" i="20"/>
  <c r="J20" i="20" s="1"/>
  <c r="I33" i="20"/>
  <c r="J33" i="20" s="1"/>
  <c r="I42" i="20"/>
  <c r="I29" i="20"/>
  <c r="I46" i="20"/>
  <c r="J46" i="20" s="1"/>
  <c r="I17" i="20"/>
  <c r="J17" i="20" s="1"/>
  <c r="I35" i="20"/>
  <c r="J35" i="20" s="1"/>
  <c r="I19" i="20"/>
  <c r="J19" i="20" s="1"/>
  <c r="I18" i="20"/>
  <c r="I30" i="20"/>
  <c r="I23" i="20"/>
  <c r="I31" i="20"/>
  <c r="J31" i="20" s="1"/>
  <c r="I25" i="20"/>
  <c r="I37" i="20"/>
  <c r="J37" i="20" s="1"/>
  <c r="I43" i="20"/>
  <c r="J43" i="20" s="1"/>
  <c r="E40" i="34"/>
  <c r="F40" i="34" s="1"/>
  <c r="E11" i="34"/>
  <c r="F11" i="34" s="1"/>
  <c r="E19" i="34"/>
  <c r="F19" i="34" s="1"/>
  <c r="E32" i="34"/>
  <c r="F32" i="34" s="1"/>
  <c r="E17" i="34"/>
  <c r="F17" i="34" s="1"/>
  <c r="E20" i="34"/>
  <c r="F20" i="34" s="1"/>
  <c r="E24" i="34"/>
  <c r="F24" i="34" s="1"/>
  <c r="G26" i="20"/>
  <c r="H26" i="20" s="1"/>
  <c r="G24" i="20"/>
  <c r="H24" i="20" s="1"/>
  <c r="G27" i="20"/>
  <c r="H27" i="20" s="1"/>
  <c r="G18" i="20"/>
  <c r="H18" i="20" s="1"/>
  <c r="G11" i="20"/>
  <c r="H11" i="20" s="1"/>
  <c r="G14" i="20"/>
  <c r="H14" i="20" s="1"/>
  <c r="G37" i="20"/>
  <c r="H37" i="20" s="1"/>
  <c r="G30" i="20"/>
  <c r="H30" i="20" s="1"/>
  <c r="G17" i="20"/>
  <c r="H17" i="20" s="1"/>
  <c r="G33" i="20"/>
  <c r="H33" i="20" s="1"/>
  <c r="G29" i="20"/>
  <c r="H29" i="20" s="1"/>
  <c r="G15" i="20"/>
  <c r="H15" i="20" s="1"/>
  <c r="G25" i="20"/>
  <c r="H25" i="20" s="1"/>
  <c r="G19" i="20"/>
  <c r="H19" i="20" s="1"/>
  <c r="G32" i="20"/>
  <c r="H32" i="20" s="1"/>
  <c r="G16" i="20"/>
  <c r="H16" i="20" s="1"/>
  <c r="G20" i="20"/>
  <c r="H20" i="20" s="1"/>
  <c r="G12" i="20"/>
  <c r="H12" i="20" s="1"/>
  <c r="G13" i="20"/>
  <c r="H13" i="20" s="1"/>
  <c r="G35" i="20"/>
  <c r="H35" i="20" s="1"/>
  <c r="G31" i="20"/>
  <c r="H31" i="20" s="1"/>
  <c r="G23" i="20"/>
  <c r="H23" i="20" s="1"/>
  <c r="G42" i="20"/>
  <c r="H42" i="20" s="1"/>
  <c r="G28" i="20"/>
  <c r="H28" i="20" s="1"/>
  <c r="G43" i="20"/>
  <c r="H43" i="20" s="1"/>
  <c r="G46" i="20"/>
  <c r="H46" i="20" s="1"/>
  <c r="H22" i="59"/>
  <c r="H54" i="78"/>
  <c r="G13" i="61"/>
  <c r="G44" i="61"/>
  <c r="G16" i="61"/>
  <c r="H16" i="61" s="1"/>
  <c r="G46" i="61"/>
  <c r="H46" i="61" s="1"/>
  <c r="G49" i="61"/>
  <c r="H49" i="61" s="1"/>
  <c r="G20" i="61"/>
  <c r="G11" i="61"/>
  <c r="H11" i="61" s="1"/>
  <c r="G37" i="61"/>
  <c r="H37" i="61" s="1"/>
  <c r="G48" i="61"/>
  <c r="G17" i="61"/>
  <c r="G28" i="61"/>
  <c r="H28" i="61" s="1"/>
  <c r="G45" i="61"/>
  <c r="H45" i="61" s="1"/>
  <c r="G50" i="61"/>
  <c r="G14" i="61"/>
  <c r="G15" i="61"/>
  <c r="H15" i="61" s="1"/>
  <c r="G47" i="61"/>
  <c r="H47" i="61" s="1"/>
  <c r="G53" i="61"/>
  <c r="G12" i="61"/>
  <c r="H19" i="78"/>
  <c r="G15" i="36"/>
  <c r="H15" i="36" s="1"/>
  <c r="G13" i="36"/>
  <c r="G30" i="36"/>
  <c r="H30" i="36" s="1"/>
  <c r="G40" i="36"/>
  <c r="H40" i="36" s="1"/>
  <c r="G12" i="36"/>
  <c r="H12" i="36" s="1"/>
  <c r="G17" i="36"/>
  <c r="H17" i="36" s="1"/>
  <c r="G38" i="36"/>
  <c r="H38" i="36" s="1"/>
  <c r="G23" i="36"/>
  <c r="H23" i="36" s="1"/>
  <c r="G46" i="36"/>
  <c r="H46" i="36" s="1"/>
  <c r="G33" i="36"/>
  <c r="G31" i="36"/>
  <c r="H31" i="36" s="1"/>
  <c r="G45" i="36"/>
  <c r="H45" i="36" s="1"/>
  <c r="G16" i="36"/>
  <c r="G34" i="36"/>
  <c r="H34" i="36" s="1"/>
  <c r="G49" i="36"/>
  <c r="H49" i="36" s="1"/>
  <c r="G28" i="36"/>
  <c r="H28" i="36" s="1"/>
  <c r="G21" i="36"/>
  <c r="H21" i="36" s="1"/>
  <c r="G24" i="36"/>
  <c r="H24" i="36" s="1"/>
  <c r="G39" i="36"/>
  <c r="H39" i="36" s="1"/>
  <c r="G36" i="36"/>
  <c r="H36" i="36" s="1"/>
  <c r="G14" i="36"/>
  <c r="G18" i="36"/>
  <c r="H18" i="36" s="1"/>
  <c r="G22" i="36"/>
  <c r="H22" i="36" s="1"/>
  <c r="G26" i="36"/>
  <c r="H26" i="36" s="1"/>
  <c r="G48" i="36"/>
  <c r="H48" i="36" s="1"/>
  <c r="G41" i="36"/>
  <c r="H41" i="36" s="1"/>
  <c r="G20" i="36"/>
  <c r="G42" i="36"/>
  <c r="H42" i="36" s="1"/>
  <c r="G44" i="36"/>
  <c r="H44" i="36" s="1"/>
  <c r="G32" i="36"/>
  <c r="H32" i="36" s="1"/>
  <c r="G29" i="36"/>
  <c r="H29" i="36" s="1"/>
  <c r="G47" i="36"/>
  <c r="H47" i="36" s="1"/>
  <c r="G25" i="36"/>
  <c r="G37" i="36"/>
  <c r="H18" i="59"/>
  <c r="D47" i="78"/>
  <c r="F15" i="62"/>
  <c r="B39" i="60"/>
  <c r="B36" i="60"/>
  <c r="B37" i="60"/>
  <c r="B38" i="60"/>
  <c r="B40" i="60"/>
  <c r="B33" i="60"/>
  <c r="I19" i="63"/>
  <c r="J19" i="63" s="1"/>
  <c r="I13" i="63"/>
  <c r="J13" i="63" s="1"/>
  <c r="I18" i="63"/>
  <c r="J18" i="63" s="1"/>
  <c r="I12" i="63"/>
  <c r="J12" i="63" s="1"/>
  <c r="I20" i="63"/>
  <c r="J20" i="63" s="1"/>
  <c r="I21" i="63"/>
  <c r="J21" i="63" s="1"/>
  <c r="I10" i="63"/>
  <c r="J10" i="63" s="1"/>
  <c r="I11" i="63"/>
  <c r="J11" i="63" s="1"/>
  <c r="I30" i="29"/>
  <c r="I22" i="29"/>
  <c r="J22" i="29" s="1"/>
  <c r="I29" i="29"/>
  <c r="J29" i="29" s="1"/>
  <c r="I11" i="29"/>
  <c r="J11" i="29" s="1"/>
  <c r="I14" i="29"/>
  <c r="J14" i="29" s="1"/>
  <c r="I37" i="29"/>
  <c r="J37" i="29" s="1"/>
  <c r="I28" i="29"/>
  <c r="J28" i="29" s="1"/>
  <c r="I10" i="29"/>
  <c r="J10" i="29" s="1"/>
  <c r="I25" i="29"/>
  <c r="J25" i="29" s="1"/>
  <c r="I27" i="29"/>
  <c r="I18" i="29"/>
  <c r="D20" i="18"/>
  <c r="F54" i="43"/>
  <c r="C13" i="19"/>
  <c r="D13" i="19" s="1"/>
  <c r="C28" i="19"/>
  <c r="D28" i="19" s="1"/>
  <c r="C16" i="19"/>
  <c r="D16" i="19" s="1"/>
  <c r="C22" i="19"/>
  <c r="D22" i="19" s="1"/>
  <c r="C27" i="19"/>
  <c r="D27" i="19" s="1"/>
  <c r="C31" i="19"/>
  <c r="D31" i="19" s="1"/>
  <c r="C14" i="19"/>
  <c r="D14" i="19" s="1"/>
  <c r="C15" i="19"/>
  <c r="D15" i="19" s="1"/>
  <c r="C32" i="19"/>
  <c r="D32" i="19" s="1"/>
  <c r="C32" i="24"/>
  <c r="D32" i="24" s="1"/>
  <c r="C30" i="24"/>
  <c r="D30" i="24" s="1"/>
  <c r="C29" i="24"/>
  <c r="D29" i="24" s="1"/>
  <c r="C24" i="24"/>
  <c r="D24" i="24" s="1"/>
  <c r="C13" i="24"/>
  <c r="D13" i="24" s="1"/>
  <c r="C25" i="24"/>
  <c r="D25" i="24" s="1"/>
  <c r="C21" i="24"/>
  <c r="D21" i="24" s="1"/>
  <c r="C26" i="24"/>
  <c r="D26" i="24" s="1"/>
  <c r="E14" i="22"/>
  <c r="F14" i="22" s="1"/>
  <c r="E39" i="22"/>
  <c r="F39" i="22" s="1"/>
  <c r="E36" i="22"/>
  <c r="F36" i="22" s="1"/>
  <c r="E45" i="22"/>
  <c r="F45" i="22" s="1"/>
  <c r="E52" i="22"/>
  <c r="F52" i="22" s="1"/>
  <c r="E11" i="22"/>
  <c r="F11" i="22" s="1"/>
  <c r="E25" i="22"/>
  <c r="F25" i="22" s="1"/>
  <c r="E34" i="22"/>
  <c r="F34" i="22" s="1"/>
  <c r="E42" i="22"/>
  <c r="F42" i="22" s="1"/>
  <c r="E50" i="22"/>
  <c r="F50" i="22" s="1"/>
  <c r="E16" i="22"/>
  <c r="F16" i="22" s="1"/>
  <c r="E41" i="22"/>
  <c r="F41" i="22" s="1"/>
  <c r="E26" i="22"/>
  <c r="F26" i="22" s="1"/>
  <c r="E29" i="22"/>
  <c r="F29" i="22" s="1"/>
  <c r="E32" i="22"/>
  <c r="F32" i="22" s="1"/>
  <c r="E15" i="22"/>
  <c r="F15" i="22" s="1"/>
  <c r="E35" i="22"/>
  <c r="F35" i="22" s="1"/>
  <c r="E40" i="22"/>
  <c r="F40" i="22" s="1"/>
  <c r="E49" i="22"/>
  <c r="F49" i="22" s="1"/>
  <c r="E21" i="22"/>
  <c r="F21" i="22" s="1"/>
  <c r="E47" i="22"/>
  <c r="F47" i="22" s="1"/>
  <c r="E22" i="22"/>
  <c r="F22" i="22" s="1"/>
  <c r="E28" i="22"/>
  <c r="F28" i="22" s="1"/>
  <c r="E12" i="22"/>
  <c r="F12" i="22" s="1"/>
  <c r="E43" i="22"/>
  <c r="F43" i="22" s="1"/>
  <c r="E13" i="22"/>
  <c r="F13" i="22" s="1"/>
  <c r="E46" i="22"/>
  <c r="F46" i="22" s="1"/>
  <c r="E20" i="22"/>
  <c r="F20" i="22" s="1"/>
  <c r="E33" i="22"/>
  <c r="F33" i="22" s="1"/>
  <c r="E55" i="22"/>
  <c r="F55" i="22" s="1"/>
  <c r="E19" i="22"/>
  <c r="F19" i="22" s="1"/>
  <c r="E48" i="22"/>
  <c r="F48" i="22" s="1"/>
  <c r="E37" i="22"/>
  <c r="F37" i="22" s="1"/>
  <c r="E18" i="22"/>
  <c r="F18" i="22" s="1"/>
  <c r="E24" i="22"/>
  <c r="F24" i="22" s="1"/>
  <c r="E54" i="22"/>
  <c r="F54" i="22" s="1"/>
  <c r="E27" i="22"/>
  <c r="F27" i="22" s="1"/>
  <c r="G11" i="74"/>
  <c r="G16" i="74"/>
  <c r="G19" i="74"/>
  <c r="H19" i="74" s="1"/>
  <c r="G18" i="74"/>
  <c r="H18" i="74" s="1"/>
  <c r="G20" i="74"/>
  <c r="G17" i="74"/>
  <c r="G21" i="74"/>
  <c r="G15" i="74"/>
  <c r="H15" i="74" s="1"/>
  <c r="G12" i="74"/>
  <c r="G13" i="74"/>
  <c r="H13" i="74" s="1"/>
  <c r="G14" i="74"/>
  <c r="H14" i="74" s="1"/>
  <c r="G10" i="74"/>
  <c r="H25" i="75"/>
  <c r="H31" i="59"/>
  <c r="D38" i="78"/>
  <c r="H20" i="62"/>
  <c r="H24" i="78"/>
  <c r="B11" i="63"/>
  <c r="B20" i="63"/>
  <c r="B18" i="63"/>
  <c r="B10" i="63"/>
  <c r="B13" i="63"/>
  <c r="B19" i="63"/>
  <c r="B21" i="63"/>
  <c r="B12" i="63"/>
  <c r="I20" i="34"/>
  <c r="J20" i="34" s="1"/>
  <c r="I40" i="34"/>
  <c r="J40" i="34" s="1"/>
  <c r="I11" i="34"/>
  <c r="J11" i="34" s="1"/>
  <c r="I19" i="34"/>
  <c r="J19" i="34" s="1"/>
  <c r="I24" i="34"/>
  <c r="J24" i="34" s="1"/>
  <c r="I32" i="34"/>
  <c r="J32" i="34" s="1"/>
  <c r="I17" i="34"/>
  <c r="J17" i="34" s="1"/>
  <c r="F32" i="43"/>
  <c r="F47" i="43"/>
  <c r="F25" i="76"/>
  <c r="H55" i="43"/>
  <c r="C11" i="63"/>
  <c r="C20" i="63"/>
  <c r="D20" i="63" s="1"/>
  <c r="C18" i="63"/>
  <c r="D18" i="63" s="1"/>
  <c r="C21" i="63"/>
  <c r="C10" i="63"/>
  <c r="D10" i="63" s="1"/>
  <c r="C13" i="63"/>
  <c r="D13" i="63" s="1"/>
  <c r="C19" i="63"/>
  <c r="C12" i="63"/>
  <c r="D12" i="63" s="1"/>
  <c r="C15" i="66"/>
  <c r="C25" i="66"/>
  <c r="C31" i="66"/>
  <c r="C9" i="66"/>
  <c r="C16" i="66"/>
  <c r="C20" i="66"/>
  <c r="C26" i="66"/>
  <c r="C11" i="66"/>
  <c r="C24" i="66"/>
  <c r="C12" i="66"/>
  <c r="C30" i="66"/>
  <c r="C23" i="66"/>
  <c r="C18" i="66"/>
  <c r="C17" i="66"/>
  <c r="E14" i="74"/>
  <c r="F14" i="74" s="1"/>
  <c r="E13" i="74"/>
  <c r="F13" i="74" s="1"/>
  <c r="E19" i="74"/>
  <c r="F19" i="74" s="1"/>
  <c r="E16" i="74"/>
  <c r="F16" i="74" s="1"/>
  <c r="E10" i="74"/>
  <c r="F10" i="74" s="1"/>
  <c r="E12" i="74"/>
  <c r="F12" i="74" s="1"/>
  <c r="E11" i="74"/>
  <c r="F11" i="74" s="1"/>
  <c r="E15" i="74"/>
  <c r="F15" i="74" s="1"/>
  <c r="E20" i="74"/>
  <c r="F20" i="74" s="1"/>
  <c r="E17" i="74"/>
  <c r="F17" i="74" s="1"/>
  <c r="E18" i="74"/>
  <c r="F18" i="74" s="1"/>
  <c r="E21" i="74"/>
  <c r="F21" i="74" s="1"/>
  <c r="D23" i="66"/>
  <c r="D30" i="66"/>
  <c r="D11" i="66"/>
  <c r="D24" i="66"/>
  <c r="D25" i="66"/>
  <c r="D12" i="66"/>
  <c r="D20" i="66"/>
  <c r="D15" i="66"/>
  <c r="D31" i="66"/>
  <c r="D16" i="66"/>
  <c r="D17" i="66"/>
  <c r="D18" i="66"/>
  <c r="D26" i="66"/>
  <c r="D9" i="66"/>
  <c r="D21" i="22"/>
  <c r="D26" i="22"/>
  <c r="H35" i="78" l="1"/>
  <c r="F35" i="78"/>
  <c r="J24" i="76"/>
  <c r="J46" i="61"/>
  <c r="H19" i="38"/>
  <c r="F28" i="76"/>
  <c r="F23" i="26"/>
  <c r="F27" i="73"/>
  <c r="F32" i="73"/>
  <c r="D26" i="70"/>
  <c r="D28" i="43"/>
  <c r="D44" i="43"/>
  <c r="D12" i="43"/>
  <c r="D29" i="77"/>
  <c r="J12" i="22"/>
  <c r="J36" i="22"/>
  <c r="D11" i="71"/>
  <c r="H28" i="57"/>
  <c r="H50" i="70"/>
  <c r="F37" i="60"/>
  <c r="J50" i="26"/>
  <c r="J19" i="73"/>
  <c r="J18" i="73"/>
  <c r="H23" i="59"/>
  <c r="D27" i="20"/>
  <c r="D33" i="20"/>
  <c r="J13" i="20"/>
  <c r="H17" i="74"/>
  <c r="F32" i="76"/>
  <c r="H20" i="36"/>
  <c r="H20" i="61"/>
  <c r="J14" i="20"/>
  <c r="F41" i="59"/>
  <c r="F16" i="59"/>
  <c r="D39" i="60"/>
  <c r="H20" i="77"/>
  <c r="H18" i="22"/>
  <c r="H55" i="22"/>
  <c r="F42" i="38"/>
  <c r="F20" i="78"/>
  <c r="H20" i="78"/>
  <c r="F11" i="78"/>
  <c r="H11" i="78"/>
  <c r="J29" i="36"/>
  <c r="J48" i="36"/>
  <c r="H50" i="78"/>
  <c r="F13" i="77"/>
  <c r="F25" i="75"/>
  <c r="D32" i="34"/>
  <c r="J47" i="77"/>
  <c r="D42" i="36"/>
  <c r="J30" i="76"/>
  <c r="D19" i="74"/>
  <c r="J15" i="61"/>
  <c r="H27" i="38"/>
  <c r="H15" i="71"/>
  <c r="H14" i="19"/>
  <c r="F50" i="26"/>
  <c r="F17" i="73"/>
  <c r="F20" i="73"/>
  <c r="D16" i="70"/>
  <c r="D22" i="43"/>
  <c r="F22" i="43"/>
  <c r="D24" i="43"/>
  <c r="D20" i="77"/>
  <c r="J29" i="22"/>
  <c r="J27" i="22"/>
  <c r="H16" i="57"/>
  <c r="H44" i="70"/>
  <c r="F40" i="60"/>
  <c r="H16" i="78"/>
  <c r="F30" i="76"/>
  <c r="J27" i="26"/>
  <c r="J45" i="73"/>
  <c r="J10" i="73"/>
  <c r="D15" i="20"/>
  <c r="D25" i="20"/>
  <c r="F32" i="59"/>
  <c r="H32" i="59"/>
  <c r="D33" i="60"/>
  <c r="H42" i="77"/>
  <c r="D21" i="75"/>
  <c r="H14" i="22"/>
  <c r="H22" i="22"/>
  <c r="F44" i="78"/>
  <c r="H44" i="78"/>
  <c r="H11" i="34"/>
  <c r="J12" i="36"/>
  <c r="J25" i="36"/>
  <c r="F34" i="75"/>
  <c r="J44" i="77"/>
  <c r="D39" i="36"/>
  <c r="D54" i="62"/>
  <c r="J11" i="71"/>
  <c r="J19" i="76"/>
  <c r="D16" i="74"/>
  <c r="J12" i="61"/>
  <c r="H18" i="38"/>
  <c r="H19" i="71"/>
  <c r="H16" i="19"/>
  <c r="F27" i="26"/>
  <c r="F39" i="73"/>
  <c r="F38" i="73"/>
  <c r="D54" i="70"/>
  <c r="D43" i="43"/>
  <c r="F43" i="43"/>
  <c r="D55" i="43"/>
  <c r="D24" i="77"/>
  <c r="D11" i="77"/>
  <c r="J42" i="22"/>
  <c r="J13" i="22"/>
  <c r="H15" i="57"/>
  <c r="H11" i="57"/>
  <c r="H22" i="70"/>
  <c r="F38" i="60"/>
  <c r="F27" i="43"/>
  <c r="J32" i="26"/>
  <c r="J33" i="73"/>
  <c r="J20" i="73"/>
  <c r="D13" i="20"/>
  <c r="F13" i="59"/>
  <c r="H37" i="22"/>
  <c r="F43" i="78"/>
  <c r="H43" i="78"/>
  <c r="F25" i="78"/>
  <c r="H25" i="78"/>
  <c r="H20" i="34"/>
  <c r="J40" i="36"/>
  <c r="D13" i="77"/>
  <c r="F29" i="75"/>
  <c r="D21" i="36"/>
  <c r="D29" i="62"/>
  <c r="H30" i="59"/>
  <c r="J11" i="61"/>
  <c r="H43" i="38"/>
  <c r="F49" i="73"/>
  <c r="F15" i="73"/>
  <c r="F35" i="73"/>
  <c r="D23" i="70"/>
  <c r="D54" i="43"/>
  <c r="H25" i="59"/>
  <c r="H34" i="57"/>
  <c r="H22" i="57"/>
  <c r="H12" i="70"/>
  <c r="F36" i="60"/>
  <c r="J56" i="73"/>
  <c r="J25" i="73"/>
  <c r="J52" i="73"/>
  <c r="H51" i="78"/>
  <c r="D42" i="20"/>
  <c r="D20" i="20"/>
  <c r="H20" i="74"/>
  <c r="D19" i="63"/>
  <c r="J32" i="20"/>
  <c r="F37" i="61"/>
  <c r="F11" i="59"/>
  <c r="D37" i="60"/>
  <c r="H88" i="65"/>
  <c r="H23" i="77"/>
  <c r="D14" i="75"/>
  <c r="H12" i="22"/>
  <c r="H42" i="22"/>
  <c r="F21" i="36"/>
  <c r="F55" i="78"/>
  <c r="H55" i="78"/>
  <c r="H32" i="34"/>
  <c r="F29" i="62"/>
  <c r="J47" i="36"/>
  <c r="J42" i="36"/>
  <c r="F31" i="75"/>
  <c r="J10" i="77"/>
  <c r="D46" i="36"/>
  <c r="D51" i="62"/>
  <c r="J18" i="76"/>
  <c r="H16" i="70"/>
  <c r="E77" i="65"/>
  <c r="J13" i="61"/>
  <c r="H30" i="38"/>
  <c r="H40" i="38"/>
  <c r="H17" i="71"/>
  <c r="F32" i="26"/>
  <c r="F43" i="73"/>
  <c r="F10" i="73"/>
  <c r="F18" i="73"/>
  <c r="D37" i="70"/>
  <c r="D47" i="43"/>
  <c r="D15" i="43"/>
  <c r="D30" i="77"/>
  <c r="D19" i="77"/>
  <c r="J25" i="22"/>
  <c r="J43" i="22"/>
  <c r="H29" i="57"/>
  <c r="H24" i="57"/>
  <c r="H21" i="70"/>
  <c r="F20" i="76"/>
  <c r="J28" i="26"/>
  <c r="J36" i="73"/>
  <c r="J14" i="73"/>
  <c r="J40" i="73"/>
  <c r="D37" i="20"/>
  <c r="F21" i="18"/>
  <c r="H21" i="18"/>
  <c r="F29" i="59"/>
  <c r="H29" i="59"/>
  <c r="J27" i="29"/>
  <c r="J11" i="20"/>
  <c r="F21" i="59"/>
  <c r="H76" i="65"/>
  <c r="H17" i="77"/>
  <c r="D23" i="75"/>
  <c r="D28" i="75"/>
  <c r="H32" i="22"/>
  <c r="H34" i="22"/>
  <c r="J14" i="25"/>
  <c r="D14" i="61"/>
  <c r="F48" i="78"/>
  <c r="H48" i="78"/>
  <c r="H24" i="34"/>
  <c r="H35" i="73"/>
  <c r="J44" i="36"/>
  <c r="J20" i="36"/>
  <c r="H14" i="59"/>
  <c r="F26" i="75"/>
  <c r="J50" i="77"/>
  <c r="D28" i="36"/>
  <c r="D52" i="62"/>
  <c r="F32" i="19"/>
  <c r="J16" i="76"/>
  <c r="J28" i="61"/>
  <c r="B88" i="65"/>
  <c r="B76" i="65"/>
  <c r="H22" i="38"/>
  <c r="H11" i="38"/>
  <c r="H10" i="71"/>
  <c r="F19" i="26"/>
  <c r="F12" i="73"/>
  <c r="F53" i="73"/>
  <c r="D11" i="70"/>
  <c r="D30" i="70"/>
  <c r="D52" i="43"/>
  <c r="D50" i="43"/>
  <c r="D40" i="77"/>
  <c r="D17" i="77"/>
  <c r="J20" i="22"/>
  <c r="J19" i="22"/>
  <c r="H21" i="57"/>
  <c r="H42" i="70"/>
  <c r="D88" i="65"/>
  <c r="J12" i="26"/>
  <c r="J48" i="73"/>
  <c r="J57" i="73"/>
  <c r="D23" i="20"/>
  <c r="F21" i="24"/>
  <c r="F15" i="76"/>
  <c r="F18" i="76"/>
  <c r="J18" i="29"/>
  <c r="J25" i="20"/>
  <c r="H16" i="74"/>
  <c r="H44" i="61"/>
  <c r="F17" i="59"/>
  <c r="H17" i="59"/>
  <c r="D21" i="63"/>
  <c r="H11" i="74"/>
  <c r="H13" i="36"/>
  <c r="H13" i="61"/>
  <c r="J23" i="20"/>
  <c r="F50" i="61"/>
  <c r="F24" i="59"/>
  <c r="H24" i="59"/>
  <c r="F45" i="59"/>
  <c r="D22" i="59"/>
  <c r="D32" i="59"/>
  <c r="H47" i="77"/>
  <c r="D31" i="75"/>
  <c r="D30" i="75"/>
  <c r="H39" i="22"/>
  <c r="H25" i="22"/>
  <c r="F22" i="36"/>
  <c r="J11" i="25"/>
  <c r="F19" i="76"/>
  <c r="F16" i="38"/>
  <c r="D12" i="61"/>
  <c r="H19" i="34"/>
  <c r="H32" i="75"/>
  <c r="J39" i="36"/>
  <c r="J32" i="36"/>
  <c r="F19" i="63"/>
  <c r="F20" i="75"/>
  <c r="J20" i="77"/>
  <c r="D45" i="36"/>
  <c r="D31" i="36"/>
  <c r="D47" i="62"/>
  <c r="F13" i="19"/>
  <c r="J31" i="76"/>
  <c r="J19" i="74"/>
  <c r="H16" i="38"/>
  <c r="H37" i="38"/>
  <c r="H16" i="71"/>
  <c r="F16" i="26"/>
  <c r="F19" i="73"/>
  <c r="F40" i="73"/>
  <c r="D40" i="70"/>
  <c r="D31" i="70"/>
  <c r="D32" i="43"/>
  <c r="D38" i="43"/>
  <c r="D41" i="77"/>
  <c r="J15" i="22"/>
  <c r="H27" i="57"/>
  <c r="H47" i="59"/>
  <c r="H20" i="70"/>
  <c r="J26" i="26"/>
  <c r="J41" i="73"/>
  <c r="J53" i="73"/>
  <c r="H29" i="62"/>
  <c r="D14" i="20"/>
  <c r="F24" i="24"/>
  <c r="H14" i="36"/>
  <c r="J30" i="20"/>
  <c r="J28" i="20"/>
  <c r="F40" i="59"/>
  <c r="H40" i="59"/>
  <c r="F14" i="76"/>
  <c r="H30" i="77"/>
  <c r="D10" i="75"/>
  <c r="D20" i="26"/>
  <c r="H13" i="22"/>
  <c r="H11" i="22"/>
  <c r="J17" i="25"/>
  <c r="F22" i="38"/>
  <c r="D49" i="61"/>
  <c r="H40" i="34"/>
  <c r="H15" i="73"/>
  <c r="J21" i="36"/>
  <c r="J14" i="36"/>
  <c r="F21" i="63"/>
  <c r="F12" i="75"/>
  <c r="J18" i="77"/>
  <c r="H33" i="78"/>
  <c r="D40" i="36"/>
  <c r="D38" i="36"/>
  <c r="D32" i="62"/>
  <c r="J12" i="71"/>
  <c r="F14" i="19"/>
  <c r="J12" i="76"/>
  <c r="D33" i="57"/>
  <c r="J20" i="74"/>
  <c r="B59" i="65"/>
  <c r="B64" i="65"/>
  <c r="H25" i="38"/>
  <c r="H21" i="38"/>
  <c r="H18" i="71"/>
  <c r="F26" i="26"/>
  <c r="F55" i="73"/>
  <c r="F21" i="73"/>
  <c r="D52" i="70"/>
  <c r="D15" i="70"/>
  <c r="D21" i="43"/>
  <c r="D49" i="43"/>
  <c r="D18" i="77"/>
  <c r="F17" i="76"/>
  <c r="J39" i="22"/>
  <c r="F44" i="43"/>
  <c r="H13" i="57"/>
  <c r="H36" i="59"/>
  <c r="H30" i="70"/>
  <c r="J16" i="26"/>
  <c r="J31" i="73"/>
  <c r="J49" i="73"/>
  <c r="H49" i="62"/>
  <c r="D28" i="20"/>
  <c r="F13" i="24"/>
  <c r="F12" i="43"/>
  <c r="J18" i="20"/>
  <c r="F28" i="59"/>
  <c r="C88" i="65"/>
  <c r="C76" i="65"/>
  <c r="H42" i="59"/>
  <c r="H44" i="77"/>
  <c r="H26" i="22"/>
  <c r="H19" i="22"/>
  <c r="F34" i="38"/>
  <c r="H17" i="34"/>
  <c r="H49" i="73"/>
  <c r="J49" i="36"/>
  <c r="J15" i="36"/>
  <c r="F12" i="63"/>
  <c r="F19" i="75"/>
  <c r="J48" i="77"/>
  <c r="D47" i="36"/>
  <c r="D12" i="36"/>
  <c r="D48" i="62"/>
  <c r="F27" i="19"/>
  <c r="J15" i="76"/>
  <c r="J50" i="61"/>
  <c r="J12" i="74"/>
  <c r="H39" i="38"/>
  <c r="H17" i="38"/>
  <c r="H21" i="71"/>
  <c r="F11" i="26"/>
  <c r="F54" i="73"/>
  <c r="F11" i="73"/>
  <c r="D44" i="70"/>
  <c r="D55" i="70"/>
  <c r="D26" i="43"/>
  <c r="D42" i="43"/>
  <c r="F42" i="43"/>
  <c r="D43" i="77"/>
  <c r="F28" i="43"/>
  <c r="J28" i="22"/>
  <c r="D17" i="71"/>
  <c r="H30" i="57"/>
  <c r="H12" i="63"/>
  <c r="H56" i="70"/>
  <c r="J49" i="26"/>
  <c r="J35" i="73"/>
  <c r="J21" i="73"/>
  <c r="H32" i="62"/>
  <c r="D19" i="20"/>
  <c r="F26" i="24"/>
  <c r="J25" i="24"/>
  <c r="H21" i="74"/>
  <c r="D11" i="63"/>
  <c r="H32" i="78"/>
  <c r="H12" i="61"/>
  <c r="H44" i="59"/>
  <c r="F33" i="59"/>
  <c r="C71" i="65"/>
  <c r="F29" i="25"/>
  <c r="H64" i="65"/>
  <c r="H40" i="77"/>
  <c r="D27" i="75"/>
  <c r="H24" i="22"/>
  <c r="H52" i="22"/>
  <c r="J21" i="25"/>
  <c r="F18" i="38"/>
  <c r="J46" i="36"/>
  <c r="J17" i="36"/>
  <c r="F10" i="63"/>
  <c r="F15" i="75"/>
  <c r="H15" i="75"/>
  <c r="J37" i="77"/>
  <c r="J29" i="77"/>
  <c r="D44" i="36"/>
  <c r="D49" i="36"/>
  <c r="D30" i="62"/>
  <c r="F28" i="19"/>
  <c r="J25" i="76"/>
  <c r="H31" i="75"/>
  <c r="F29" i="29"/>
  <c r="J14" i="61"/>
  <c r="J14" i="74"/>
  <c r="H34" i="38"/>
  <c r="H31" i="38"/>
  <c r="H13" i="71"/>
  <c r="F49" i="26"/>
  <c r="F47" i="73"/>
  <c r="F50" i="73"/>
  <c r="D56" i="70"/>
  <c r="D24" i="70"/>
  <c r="D51" i="43"/>
  <c r="D56" i="43"/>
  <c r="D47" i="77"/>
  <c r="J33" i="22"/>
  <c r="J24" i="22"/>
  <c r="D14" i="71"/>
  <c r="H20" i="57"/>
  <c r="F26" i="76"/>
  <c r="H37" i="70"/>
  <c r="D64" i="65"/>
  <c r="D76" i="65"/>
  <c r="D77" i="65" s="1"/>
  <c r="J42" i="26"/>
  <c r="J12" i="73"/>
  <c r="J13" i="73"/>
  <c r="H52" i="62"/>
  <c r="D24" i="20"/>
  <c r="F32" i="24"/>
  <c r="J24" i="24"/>
  <c r="D17" i="75"/>
  <c r="H24" i="77"/>
  <c r="H47" i="22"/>
  <c r="H45" i="22"/>
  <c r="J34" i="25"/>
  <c r="F45" i="38"/>
  <c r="F57" i="78"/>
  <c r="H57" i="78"/>
  <c r="J28" i="36"/>
  <c r="F18" i="63"/>
  <c r="F24" i="75"/>
  <c r="H24" i="75"/>
  <c r="J33" i="77"/>
  <c r="D16" i="36"/>
  <c r="D26" i="36"/>
  <c r="D49" i="62"/>
  <c r="J14" i="76"/>
  <c r="H23" i="78"/>
  <c r="H41" i="59"/>
  <c r="F11" i="29"/>
  <c r="J45" i="61"/>
  <c r="J10" i="74"/>
  <c r="H24" i="38"/>
  <c r="H33" i="38"/>
  <c r="H22" i="71"/>
  <c r="F42" i="26"/>
  <c r="F46" i="73"/>
  <c r="F45" i="73"/>
  <c r="D12" i="70"/>
  <c r="D10" i="70"/>
  <c r="D46" i="43"/>
  <c r="D36" i="43"/>
  <c r="D37" i="77"/>
  <c r="J49" i="22"/>
  <c r="J26" i="22"/>
  <c r="D16" i="71"/>
  <c r="H32" i="57"/>
  <c r="H43" i="70"/>
  <c r="H51" i="70"/>
  <c r="J21" i="26"/>
  <c r="J27" i="73"/>
  <c r="J46" i="73"/>
  <c r="H48" i="62"/>
  <c r="D11" i="20"/>
  <c r="F29" i="24"/>
  <c r="J13" i="24"/>
  <c r="H53" i="61"/>
  <c r="F31" i="59"/>
  <c r="D12" i="75"/>
  <c r="F16" i="76"/>
  <c r="H29" i="25"/>
  <c r="H54" i="22"/>
  <c r="H36" i="22"/>
  <c r="J32" i="25"/>
  <c r="F36" i="78"/>
  <c r="H36" i="78"/>
  <c r="F49" i="78"/>
  <c r="H49" i="78"/>
  <c r="D35" i="73"/>
  <c r="J13" i="36"/>
  <c r="J43" i="38"/>
  <c r="F20" i="63"/>
  <c r="F10" i="75"/>
  <c r="J42" i="77"/>
  <c r="J43" i="77"/>
  <c r="D17" i="36"/>
  <c r="D29" i="36"/>
  <c r="D46" i="62"/>
  <c r="H53" i="78"/>
  <c r="F16" i="19"/>
  <c r="J32" i="76"/>
  <c r="E88" i="65"/>
  <c r="F18" i="29"/>
  <c r="J17" i="61"/>
  <c r="J17" i="74"/>
  <c r="H14" i="38"/>
  <c r="H45" i="38"/>
  <c r="H14" i="71"/>
  <c r="F12" i="26"/>
  <c r="F31" i="73"/>
  <c r="F25" i="73"/>
  <c r="D43" i="70"/>
  <c r="D42" i="70"/>
  <c r="D35" i="43"/>
  <c r="D48" i="43"/>
  <c r="D33" i="77"/>
  <c r="J46" i="22"/>
  <c r="J41" i="22"/>
  <c r="D10" i="71"/>
  <c r="H19" i="57"/>
  <c r="H41" i="70"/>
  <c r="H25" i="70"/>
  <c r="J48" i="26"/>
  <c r="J39" i="73"/>
  <c r="J38" i="73"/>
  <c r="H30" i="62"/>
  <c r="D35" i="20"/>
  <c r="F25" i="24"/>
  <c r="F44" i="61"/>
  <c r="H59" i="65"/>
  <c r="H65" i="65" s="1"/>
  <c r="H66" i="65" s="1"/>
  <c r="H27" i="77"/>
  <c r="H32" i="25"/>
  <c r="H33" i="22"/>
  <c r="H27" i="22"/>
  <c r="F31" i="78"/>
  <c r="H31" i="78"/>
  <c r="J34" i="36"/>
  <c r="F23" i="70"/>
  <c r="F11" i="63"/>
  <c r="F17" i="75"/>
  <c r="J30" i="77"/>
  <c r="J24" i="77"/>
  <c r="D30" i="36"/>
  <c r="D13" i="36"/>
  <c r="D53" i="62"/>
  <c r="H39" i="59"/>
  <c r="F31" i="19"/>
  <c r="D11" i="74"/>
  <c r="F10" i="29"/>
  <c r="J37" i="61"/>
  <c r="J15" i="74"/>
  <c r="H44" i="38"/>
  <c r="H23" i="38"/>
  <c r="H20" i="71"/>
  <c r="F21" i="26"/>
  <c r="F29" i="73"/>
  <c r="F33" i="73"/>
  <c r="D46" i="70"/>
  <c r="D25" i="70"/>
  <c r="D14" i="43"/>
  <c r="D16" i="43"/>
  <c r="D23" i="77"/>
  <c r="J22" i="22"/>
  <c r="J37" i="22"/>
  <c r="D18" i="71"/>
  <c r="H35" i="57"/>
  <c r="H55" i="70"/>
  <c r="H15" i="70"/>
  <c r="J24" i="26"/>
  <c r="J32" i="73"/>
  <c r="J22" i="73"/>
  <c r="H53" i="62"/>
  <c r="D30" i="20"/>
  <c r="F30" i="24"/>
  <c r="J30" i="24"/>
  <c r="H13" i="59"/>
  <c r="H20" i="59"/>
  <c r="H14" i="61"/>
  <c r="J29" i="20"/>
  <c r="F18" i="59"/>
  <c r="D16" i="75"/>
  <c r="H11" i="25"/>
  <c r="H40" i="22"/>
  <c r="H29" i="22"/>
  <c r="F32" i="36"/>
  <c r="F27" i="76"/>
  <c r="J16" i="36"/>
  <c r="F13" i="63"/>
  <c r="F14" i="75"/>
  <c r="J28" i="77"/>
  <c r="H39" i="78"/>
  <c r="D37" i="36"/>
  <c r="D41" i="36"/>
  <c r="D31" i="62"/>
  <c r="H13" i="63"/>
  <c r="F15" i="19"/>
  <c r="F25" i="29"/>
  <c r="J48" i="61"/>
  <c r="J16" i="74"/>
  <c r="H41" i="38"/>
  <c r="H38" i="38"/>
  <c r="H12" i="71"/>
  <c r="F25" i="26"/>
  <c r="F28" i="73"/>
  <c r="F36" i="73"/>
  <c r="D53" i="70"/>
  <c r="D20" i="70"/>
  <c r="D39" i="43"/>
  <c r="D18" i="43"/>
  <c r="D36" i="77"/>
  <c r="J40" i="22"/>
  <c r="J34" i="22"/>
  <c r="D21" i="71"/>
  <c r="H23" i="57"/>
  <c r="H24" i="70"/>
  <c r="H10" i="70"/>
  <c r="J20" i="26"/>
  <c r="J26" i="73"/>
  <c r="J54" i="73"/>
  <c r="H46" i="62"/>
  <c r="D17" i="20"/>
  <c r="J29" i="24"/>
  <c r="H11" i="77"/>
  <c r="J30" i="29"/>
  <c r="H37" i="36"/>
  <c r="H50" i="61"/>
  <c r="J42" i="20"/>
  <c r="F34" i="59"/>
  <c r="C59" i="65"/>
  <c r="H71" i="65"/>
  <c r="H77" i="65" s="1"/>
  <c r="H50" i="77"/>
  <c r="D32" i="75"/>
  <c r="H13" i="25"/>
  <c r="H35" i="22"/>
  <c r="H21" i="22"/>
  <c r="J29" i="25"/>
  <c r="F25" i="38"/>
  <c r="F29" i="38"/>
  <c r="F13" i="78"/>
  <c r="H13" i="78"/>
  <c r="F54" i="62"/>
  <c r="F31" i="76"/>
  <c r="J31" i="36"/>
  <c r="J14" i="77"/>
  <c r="F23" i="75"/>
  <c r="F16" i="75"/>
  <c r="J41" i="77"/>
  <c r="D24" i="36"/>
  <c r="D18" i="36"/>
  <c r="H46" i="59"/>
  <c r="H29" i="75"/>
  <c r="J27" i="76"/>
  <c r="D20" i="74"/>
  <c r="E64" i="65"/>
  <c r="F37" i="29"/>
  <c r="D35" i="57"/>
  <c r="J20" i="61"/>
  <c r="J21" i="74"/>
  <c r="H43" i="59"/>
  <c r="H13" i="38"/>
  <c r="H15" i="38"/>
  <c r="H28" i="19"/>
  <c r="F28" i="26"/>
  <c r="F13" i="73"/>
  <c r="F52" i="73"/>
  <c r="D21" i="70"/>
  <c r="F24" i="76"/>
  <c r="D30" i="43"/>
  <c r="D33" i="43"/>
  <c r="D42" i="77"/>
  <c r="J16" i="22"/>
  <c r="J11" i="22"/>
  <c r="D15" i="71"/>
  <c r="H17" i="57"/>
  <c r="H54" i="70"/>
  <c r="H46" i="70"/>
  <c r="J34" i="26"/>
  <c r="J55" i="73"/>
  <c r="J43" i="73"/>
  <c r="H31" i="62"/>
  <c r="D26" i="20"/>
  <c r="J26" i="24"/>
  <c r="H10" i="74"/>
  <c r="H25" i="36"/>
  <c r="H16" i="36"/>
  <c r="F27" i="59"/>
  <c r="H21" i="25"/>
  <c r="H20" i="22"/>
  <c r="H41" i="22"/>
  <c r="F45" i="78"/>
  <c r="H45" i="78"/>
  <c r="J38" i="36"/>
  <c r="F33" i="75"/>
  <c r="F30" i="75"/>
  <c r="J19" i="77"/>
  <c r="D23" i="36"/>
  <c r="D33" i="36"/>
  <c r="H27" i="75"/>
  <c r="F36" i="43"/>
  <c r="J29" i="76"/>
  <c r="D17" i="74"/>
  <c r="J21" i="70"/>
  <c r="E76" i="65"/>
  <c r="F28" i="29"/>
  <c r="D22" i="57"/>
  <c r="J47" i="61"/>
  <c r="J18" i="74"/>
  <c r="H18" i="63"/>
  <c r="H35" i="38"/>
  <c r="F24" i="26"/>
  <c r="F56" i="73"/>
  <c r="F41" i="73"/>
  <c r="D51" i="70"/>
  <c r="D41" i="43"/>
  <c r="F41" i="43"/>
  <c r="D45" i="43"/>
  <c r="D10" i="77"/>
  <c r="J55" i="22"/>
  <c r="J54" i="22"/>
  <c r="D13" i="71"/>
  <c r="H12" i="57"/>
  <c r="H53" i="70"/>
  <c r="H26" i="70"/>
  <c r="J23" i="26"/>
  <c r="J42" i="73"/>
  <c r="J11" i="73"/>
  <c r="H47" i="62"/>
  <c r="D29" i="20"/>
  <c r="J32" i="24"/>
  <c r="J24" i="36"/>
  <c r="J41" i="36"/>
  <c r="F21" i="75"/>
  <c r="D22" i="36"/>
  <c r="D15" i="36"/>
  <c r="H42" i="78"/>
  <c r="J13" i="76"/>
  <c r="D15" i="74"/>
  <c r="F30" i="29"/>
  <c r="J16" i="61"/>
  <c r="J11" i="74"/>
  <c r="B71" i="65"/>
  <c r="B77" i="65" s="1"/>
  <c r="H23" i="75"/>
  <c r="H26" i="38"/>
  <c r="H27" i="19"/>
  <c r="F48" i="26"/>
  <c r="F42" i="73"/>
  <c r="F14" i="73"/>
  <c r="D50" i="70"/>
  <c r="D25" i="43"/>
  <c r="D49" i="77"/>
  <c r="J50" i="22"/>
  <c r="J48" i="22"/>
  <c r="D20" i="71"/>
  <c r="H31" i="57"/>
  <c r="H52" i="70"/>
  <c r="H31" i="70"/>
  <c r="J11" i="26"/>
  <c r="J15" i="73"/>
  <c r="J28" i="73"/>
  <c r="H54" i="62"/>
  <c r="D16" i="20"/>
  <c r="J21" i="24"/>
  <c r="H15" i="78"/>
  <c r="H17" i="25"/>
  <c r="J16" i="20"/>
  <c r="C64" i="65"/>
  <c r="H43" i="77"/>
  <c r="D33" i="75"/>
  <c r="H48" i="22"/>
  <c r="F21" i="38"/>
  <c r="D13" i="61"/>
  <c r="F27" i="78"/>
  <c r="H27" i="78"/>
  <c r="J37" i="60"/>
  <c r="J37" i="36"/>
  <c r="J26" i="36"/>
  <c r="F18" i="75"/>
  <c r="F11" i="75"/>
  <c r="J27" i="77"/>
  <c r="D34" i="36"/>
  <c r="D36" i="36"/>
  <c r="J17" i="76"/>
  <c r="D14" i="74"/>
  <c r="F14" i="29"/>
  <c r="J49" i="61"/>
  <c r="J13" i="74"/>
  <c r="H29" i="38"/>
  <c r="F34" i="26"/>
  <c r="F24" i="73"/>
  <c r="F26" i="73"/>
  <c r="D45" i="70"/>
  <c r="D19" i="43"/>
  <c r="D44" i="77"/>
  <c r="J47" i="22"/>
  <c r="J14" i="22"/>
  <c r="D22" i="71"/>
  <c r="H25" i="57"/>
  <c r="H45" i="70"/>
  <c r="H11" i="70"/>
  <c r="D59" i="65"/>
  <c r="J25" i="26"/>
  <c r="J29" i="73"/>
  <c r="J17" i="73"/>
  <c r="H56" i="78"/>
  <c r="H51" i="62"/>
  <c r="D32" i="20"/>
  <c r="F20" i="18"/>
  <c r="H20" i="18"/>
  <c r="H45" i="59"/>
  <c r="H17" i="61"/>
  <c r="H12" i="74"/>
  <c r="H33" i="36"/>
  <c r="H48" i="61"/>
  <c r="J12" i="20"/>
  <c r="F12" i="59"/>
  <c r="H49" i="77"/>
  <c r="H36" i="77"/>
  <c r="D20" i="75"/>
  <c r="H43" i="22"/>
  <c r="F15" i="36"/>
  <c r="F35" i="38"/>
  <c r="J22" i="57"/>
  <c r="H19" i="59"/>
  <c r="J38" i="60"/>
  <c r="J30" i="36"/>
  <c r="J23" i="36"/>
  <c r="F28" i="75"/>
  <c r="H28" i="75"/>
  <c r="D19" i="34"/>
  <c r="J49" i="77"/>
  <c r="D20" i="36"/>
  <c r="D48" i="36"/>
  <c r="J26" i="76"/>
  <c r="D18" i="74"/>
  <c r="J24" i="70"/>
  <c r="E59" i="65"/>
  <c r="E65" i="65" s="1"/>
  <c r="E66" i="65" s="1"/>
  <c r="F27" i="29"/>
  <c r="D23" i="57"/>
  <c r="J44" i="61"/>
  <c r="H42" i="38"/>
  <c r="H35" i="59"/>
  <c r="H31" i="19"/>
  <c r="F20" i="26"/>
  <c r="F34" i="73"/>
  <c r="F57" i="73"/>
  <c r="D41" i="70"/>
  <c r="D34" i="43"/>
  <c r="D31" i="43"/>
  <c r="D27" i="77"/>
  <c r="J32" i="22"/>
  <c r="J52" i="22"/>
  <c r="D12" i="71"/>
  <c r="H14" i="57"/>
  <c r="H23" i="70"/>
  <c r="F33" i="60"/>
  <c r="J19" i="26"/>
  <c r="J24" i="73"/>
  <c r="J50" i="73"/>
  <c r="D31" i="20"/>
  <c r="D12" i="20"/>
  <c r="F27" i="18"/>
  <c r="H27" i="18"/>
  <c r="H34" i="59"/>
  <c r="F26" i="78"/>
  <c r="H26" i="78"/>
  <c r="J45" i="36"/>
  <c r="F13" i="75"/>
  <c r="J23" i="77"/>
  <c r="D14" i="36"/>
  <c r="D25" i="36"/>
  <c r="J20" i="76"/>
  <c r="F22" i="29"/>
  <c r="J53" i="61"/>
  <c r="H32" i="38"/>
  <c r="H21" i="63"/>
  <c r="H15" i="19"/>
  <c r="F33" i="26"/>
  <c r="F22" i="73"/>
  <c r="F48" i="73"/>
  <c r="D22" i="70"/>
  <c r="D53" i="43"/>
  <c r="D13" i="43"/>
  <c r="D23" i="43"/>
  <c r="D48" i="77"/>
  <c r="J18" i="22"/>
  <c r="J45" i="22"/>
  <c r="D19" i="71"/>
  <c r="H33" i="57"/>
  <c r="H40" i="70"/>
  <c r="F39" i="60"/>
  <c r="J33" i="26"/>
  <c r="J47" i="73"/>
  <c r="J34" i="73"/>
  <c r="D43" i="20"/>
  <c r="D46" i="20"/>
  <c r="F26" i="18"/>
  <c r="H26" i="18"/>
  <c r="H19" i="63"/>
  <c r="D78" i="65" l="1"/>
  <c r="H95" i="65"/>
  <c r="H96" i="65"/>
  <c r="C65" i="65"/>
  <c r="C66" i="65" s="1"/>
  <c r="E78" i="65"/>
  <c r="C95" i="65"/>
  <c r="C96" i="65" s="1"/>
  <c r="H78" i="65"/>
  <c r="H97" i="65"/>
  <c r="B95" i="65"/>
  <c r="B96" i="65"/>
  <c r="B78" i="65"/>
  <c r="B97" i="65"/>
  <c r="E95" i="65"/>
  <c r="E97" i="65" s="1"/>
  <c r="E96" i="65"/>
  <c r="D65" i="65"/>
  <c r="D66" i="65" s="1"/>
  <c r="D95" i="65"/>
  <c r="D97" i="65" s="1"/>
  <c r="B65" i="65"/>
  <c r="B66" i="65" s="1"/>
  <c r="C77" i="65"/>
  <c r="D96" i="65" l="1"/>
  <c r="C78" i="65"/>
  <c r="C97" i="6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<sst xmlns="http://schemas.openxmlformats.org/spreadsheetml/2006/main" count="3528" uniqueCount="2975">
  <si>
    <t>Cycle Date:</t>
  </si>
  <si>
    <t>Run Date:</t>
  </si>
  <si>
    <t>Interval:</t>
  </si>
  <si>
    <t>Page</t>
  </si>
  <si>
    <t>Click on links below to jump to FPR contents</t>
  </si>
  <si>
    <t>Summary Financial Information</t>
  </si>
  <si>
    <t>Key Ratios</t>
  </si>
  <si>
    <t>Supplemental Ratios</t>
  </si>
  <si>
    <t>Historical Ratios</t>
  </si>
  <si>
    <t>Assets</t>
  </si>
  <si>
    <t>Liabilities, Shares &amp; Equity</t>
  </si>
  <si>
    <t>Income Statement</t>
  </si>
  <si>
    <t>Loans</t>
  </si>
  <si>
    <t>Delinquent Loan Information 1</t>
  </si>
  <si>
    <t>Delinquent Loan Information 2</t>
  </si>
  <si>
    <t>Delinquent Real Estate Loans</t>
  </si>
  <si>
    <t>Delinquent Commercial Loans 1</t>
  </si>
  <si>
    <t>Delinquent Commercial Loans 2</t>
  </si>
  <si>
    <t xml:space="preserve">Loan Losses </t>
  </si>
  <si>
    <t>Indirect Loans</t>
  </si>
  <si>
    <t>Loans Purchased or Sold 701.23</t>
  </si>
  <si>
    <t>Participation Loans 701.22</t>
  </si>
  <si>
    <t xml:space="preserve">Real Estate(Non-Commercial) Loans </t>
  </si>
  <si>
    <t>Real Estate(Non-Commercial) Loans Losses</t>
  </si>
  <si>
    <t>Commercial Loans</t>
  </si>
  <si>
    <t>Commercial Loan Net Charge Offs</t>
  </si>
  <si>
    <t>Commercial Loan Losses</t>
  </si>
  <si>
    <t>Investments</t>
  </si>
  <si>
    <t>Investments Continued</t>
  </si>
  <si>
    <t>Investment Maturity</t>
  </si>
  <si>
    <t>Other Investment Information</t>
  </si>
  <si>
    <t>Derivatives</t>
  </si>
  <si>
    <t>Liquidity - Unfunded Commitments and Off-Balance Sheet Exposures</t>
  </si>
  <si>
    <t>Liquidity - Borrowing Arrangements</t>
  </si>
  <si>
    <t>Shares and Membership</t>
  </si>
  <si>
    <t>Share and Deposit Maturity</t>
  </si>
  <si>
    <t>Supplemental Information</t>
  </si>
  <si>
    <t>Graphs 1</t>
  </si>
  <si>
    <t>(Delinquency &amp; Net Charge-offs, Loan &amp; Share Growth, Net Worth, Return on Average Assets)</t>
  </si>
  <si>
    <t>Graphs 2</t>
  </si>
  <si>
    <t>(Loans/Assets, Net Long-Term Assets, Net Interest Margin, Cash &amp; Short Term Investments)</t>
  </si>
  <si>
    <t>Parameters:</t>
  </si>
  <si>
    <t>Count of CU :</t>
  </si>
  <si>
    <t>Asset Range :</t>
  </si>
  <si>
    <t>Peer Group Number :</t>
  </si>
  <si>
    <t>Count of CU in Peer Group :</t>
  </si>
  <si>
    <t>Charter-Region-SE-District:</t>
  </si>
  <si>
    <t>Note to Users:  The peer groups and resulting peer average ratios are based upon all federally insured credit unions within the asset range.  Peer average ratios are not available for aggregate reports.</t>
  </si>
  <si>
    <t>The ratios on aggregate FPRs are consolidated ratios for the group of credit unions included in the report and do not represent a peer average for that group.</t>
  </si>
  <si>
    <t>Return to cover</t>
  </si>
  <si>
    <t>For Charter :</t>
  </si>
  <si>
    <t>Criteria :</t>
  </si>
  <si>
    <t>% Chg</t>
  </si>
  <si>
    <t>ASSETS:</t>
  </si>
  <si>
    <t>Amount</t>
  </si>
  <si>
    <r>
      <rPr>
        <u/>
        <sz val="9"/>
        <color indexed="12"/>
        <rFont val="Arial"/>
        <family val="2"/>
      </rPr>
      <t>Cash &amp; Other Deposits</t>
    </r>
    <r>
      <rPr>
        <u/>
        <vertAlign val="superscript"/>
        <sz val="9"/>
        <color indexed="12"/>
        <rFont val="Arial"/>
        <family val="2"/>
      </rPr>
      <t>1</t>
    </r>
  </si>
  <si>
    <t>Total Investments</t>
  </si>
  <si>
    <t>Loans Held for Sale</t>
  </si>
  <si>
    <t>Total Loans</t>
  </si>
  <si>
    <t>(Allowance for Loan &amp; Lease Losses or Allowance for Credit Losses on Loans &amp; Leases)</t>
  </si>
  <si>
    <t>Land And Building</t>
  </si>
  <si>
    <t>Other Fixed Assets</t>
  </si>
  <si>
    <t>NCUSIF Deposit</t>
  </si>
  <si>
    <t>All Other Assets</t>
  </si>
  <si>
    <r>
      <rPr>
        <u/>
        <sz val="9"/>
        <color indexed="12"/>
        <rFont val="Arial"/>
        <family val="2"/>
      </rPr>
      <t xml:space="preserve">        </t>
    </r>
    <r>
      <rPr>
        <u/>
        <sz val="9"/>
        <color indexed="12"/>
        <rFont val="Arial"/>
        <family val="2"/>
      </rPr>
      <t>TOTAL ASSETS</t>
    </r>
  </si>
  <si>
    <t>LIABILITIES, SHARES &amp; EQUITY:</t>
  </si>
  <si>
    <r>
      <rPr>
        <sz val="9"/>
        <color rgb="FF000000"/>
        <rFont val="Arial"/>
        <family val="2"/>
      </rPr>
      <t>Accounts Payable, Accrued Interest on Borrowings, &amp; Other Liabilities</t>
    </r>
    <r>
      <rPr>
        <vertAlign val="superscript"/>
        <sz val="9"/>
        <color rgb="FF000000"/>
        <rFont val="Arial"/>
        <family val="2"/>
      </rPr>
      <t>2</t>
    </r>
  </si>
  <si>
    <t>Accrued Dividends &amp; Interest Payable on Shares &amp; Deposits</t>
  </si>
  <si>
    <t>Allowance for Credit Losses on Off-Balance Sheet Credit Exposures</t>
  </si>
  <si>
    <t>Borrowings Notes &amp; Interest Payable</t>
  </si>
  <si>
    <t>Total Shares &amp; Deposits</t>
  </si>
  <si>
    <t xml:space="preserve">        TOTAL LIABILITIES</t>
  </si>
  <si>
    <t>Undivided Earnings</t>
  </si>
  <si>
    <t>Other Reserves</t>
  </si>
  <si>
    <t xml:space="preserve">        TOTAL EQUITY</t>
  </si>
  <si>
    <t xml:space="preserve">        TOTAL LIABILITIES, SHARES, &amp; EQUITY</t>
  </si>
  <si>
    <t>INCOME &amp; EXPENSE</t>
  </si>
  <si>
    <t>Interest Income*</t>
  </si>
  <si>
    <t>Interest Expense*</t>
  </si>
  <si>
    <t>Net Interest Income*</t>
  </si>
  <si>
    <t>Provision for Loan/Lease Losses or Total Credit Loss 
Expense*</t>
  </si>
  <si>
    <t>Non-Interest Income*</t>
  </si>
  <si>
    <t>Non-Interest Expense*</t>
  </si>
  <si>
    <t xml:space="preserve">        NET INCOME (LOSS)*</t>
  </si>
  <si>
    <t>TOTAL CU's</t>
  </si>
  <si>
    <t>* Income/Expense items are year-to-date while the related %change ratios are annualized.</t>
  </si>
  <si>
    <t>#  Means the number is too large to display in the cell</t>
  </si>
  <si>
    <r>
      <rPr>
        <vertAlign val="superscript"/>
        <sz val="8"/>
        <color rgb="FF000000"/>
        <rFont val="Arial"/>
        <family val="2"/>
      </rPr>
      <t xml:space="preserve">1 </t>
    </r>
    <r>
      <rPr>
        <sz val="8"/>
        <color rgb="FF000000"/>
        <rFont val="Arial"/>
        <family val="2"/>
      </rPr>
      <t>Prior to March 2022, Time and Other Deposits were included in Investments</t>
    </r>
  </si>
  <si>
    <r>
      <rPr>
        <vertAlign val="superscript"/>
        <sz val="8"/>
        <color rgb="FF000000"/>
        <rFont val="Arial"/>
        <family val="2"/>
      </rPr>
      <t xml:space="preserve">2 </t>
    </r>
    <r>
      <rPr>
        <sz val="8"/>
        <color rgb="FF000000"/>
        <rFont val="Arial"/>
        <family val="2"/>
      </rPr>
      <t>Prior to 3/31/22 includes "Subordinated Debt Included in Net Worth" and  "Non-Trading Derivative Liabilities"</t>
    </r>
  </si>
  <si>
    <t>1. Summary Financial</t>
  </si>
  <si>
    <r>
      <rPr>
        <b/>
        <sz val="9"/>
        <color rgb="FF000000"/>
        <rFont val="Arial"/>
        <family val="2"/>
      </rPr>
      <t>Key Ratios</t>
    </r>
    <r>
      <rPr>
        <b/>
        <vertAlign val="superscript"/>
        <sz val="9"/>
        <color rgb="FF000000"/>
        <rFont val="Arial"/>
        <family val="2"/>
      </rPr>
      <t>5</t>
    </r>
  </si>
  <si>
    <t>PEER Avg.**</t>
  </si>
  <si>
    <t>Percentile**</t>
  </si>
  <si>
    <t>CAPITAL ADEQUACY RATIOS</t>
  </si>
  <si>
    <r>
      <rPr>
        <sz val="9"/>
        <color rgb="FF000000"/>
        <rFont val="Arial"/>
        <family val="2"/>
      </rPr>
      <t>Net Worth/Total Assets for Prompt Corrective Action</t>
    </r>
    <r>
      <rPr>
        <vertAlign val="superscript"/>
        <sz val="9"/>
        <color rgb="FF000000"/>
        <rFont val="Arial"/>
        <family val="2"/>
      </rPr>
      <t>6</t>
    </r>
  </si>
  <si>
    <t>Net Worth + ALLL or ACL / Total Assets + ALLL or ACL</t>
  </si>
  <si>
    <t>Risk-Based Capital Ratio</t>
  </si>
  <si>
    <t>GAAP Equity / Total Assets</t>
  </si>
  <si>
    <t xml:space="preserve">Loss Coverage </t>
  </si>
  <si>
    <t>ASSET QUALITY RATIOS</t>
  </si>
  <si>
    <t>Delinquent Loans / Total Loans</t>
  </si>
  <si>
    <t>Delinquent Loans / Net Worth</t>
  </si>
  <si>
    <r>
      <rPr>
        <sz val="9"/>
        <color rgb="FF000000"/>
        <rFont val="Arial"/>
        <family val="2"/>
      </rPr>
      <t>Rolling 12 Month Net Charge Offs / Average Loans</t>
    </r>
    <r>
      <rPr>
        <vertAlign val="superscript"/>
        <sz val="9"/>
        <color rgb="FF000000"/>
        <rFont val="Arial"/>
        <family val="2"/>
      </rPr>
      <t>2</t>
    </r>
  </si>
  <si>
    <t>Delinquent Loans + Net Charge-Offs / Average Loans</t>
  </si>
  <si>
    <t>Other Non-Performing Assets / Total Assets</t>
  </si>
  <si>
    <t xml:space="preserve">MANAGEMENT RATIOS </t>
  </si>
  <si>
    <r>
      <rPr>
        <sz val="9"/>
        <color rgb="FF000000"/>
        <rFont val="Arial"/>
        <family val="2"/>
      </rPr>
      <t>Net Worth Growth</t>
    </r>
    <r>
      <rPr>
        <vertAlign val="superscript"/>
        <sz val="9"/>
        <color rgb="FF000000"/>
        <rFont val="Arial"/>
        <family val="2"/>
      </rPr>
      <t xml:space="preserve">1 </t>
    </r>
  </si>
  <si>
    <r>
      <rPr>
        <sz val="9"/>
        <color rgb="FF000000"/>
        <rFont val="Arial"/>
        <family val="2"/>
      </rPr>
      <t>Share Growth</t>
    </r>
    <r>
      <rPr>
        <vertAlign val="superscript"/>
        <sz val="9"/>
        <color rgb="FF000000"/>
        <rFont val="Arial"/>
        <family val="2"/>
      </rPr>
      <t>1</t>
    </r>
    <r>
      <rPr>
        <sz val="9"/>
        <color rgb="FF000000"/>
        <rFont val="Arial"/>
        <family val="2"/>
      </rPr>
      <t xml:space="preserve">  </t>
    </r>
  </si>
  <si>
    <r>
      <rPr>
        <sz val="9"/>
        <color rgb="FF000000"/>
        <rFont val="Arial"/>
        <family val="2"/>
      </rPr>
      <t>Loan Growth</t>
    </r>
    <r>
      <rPr>
        <vertAlign val="superscript"/>
        <sz val="9"/>
        <color rgb="FF000000"/>
        <rFont val="Arial"/>
        <family val="2"/>
      </rPr>
      <t>1</t>
    </r>
    <r>
      <rPr>
        <sz val="9"/>
        <color rgb="FF000000"/>
        <rFont val="Arial"/>
        <family val="2"/>
      </rPr>
      <t xml:space="preserve">  </t>
    </r>
  </si>
  <si>
    <r>
      <rPr>
        <sz val="9"/>
        <color rgb="FF000000"/>
        <rFont val="Arial"/>
        <family val="2"/>
      </rPr>
      <t>Asset Growth</t>
    </r>
    <r>
      <rPr>
        <vertAlign val="superscript"/>
        <sz val="9"/>
        <color rgb="FF000000"/>
        <rFont val="Arial"/>
        <family val="2"/>
      </rPr>
      <t>1</t>
    </r>
  </si>
  <si>
    <r>
      <rPr>
        <sz val="9"/>
        <color rgb="FF000000"/>
        <rFont val="Arial"/>
        <family val="2"/>
      </rPr>
      <t>Investment Growth</t>
    </r>
    <r>
      <rPr>
        <vertAlign val="superscript"/>
        <sz val="9"/>
        <color rgb="FF000000"/>
        <rFont val="Arial"/>
        <family val="2"/>
      </rPr>
      <t>1</t>
    </r>
  </si>
  <si>
    <r>
      <rPr>
        <sz val="9"/>
        <color rgb="FF000000"/>
        <rFont val="Arial"/>
        <family val="2"/>
      </rPr>
      <t>Membership Growth</t>
    </r>
    <r>
      <rPr>
        <vertAlign val="superscript"/>
        <sz val="9"/>
        <color rgb="FF000000"/>
        <rFont val="Arial"/>
        <family val="2"/>
      </rPr>
      <t>1</t>
    </r>
  </si>
  <si>
    <t xml:space="preserve">EARNINGS RATIOS </t>
  </si>
  <si>
    <r>
      <rPr>
        <sz val="9"/>
        <color rgb="FF000000"/>
        <rFont val="Arial"/>
        <family val="2"/>
      </rPr>
      <t>Net Income / Average Assets (ROAA)</t>
    </r>
    <r>
      <rPr>
        <vertAlign val="superscript"/>
        <sz val="9"/>
        <color rgb="FF000000"/>
        <rFont val="Arial"/>
        <family val="2"/>
      </rPr>
      <t>1</t>
    </r>
  </si>
  <si>
    <r>
      <rPr>
        <sz val="9"/>
        <color rgb="FF000000"/>
        <rFont val="Arial"/>
        <family val="2"/>
      </rPr>
      <t>Net Income - Extraordinary Gains (Losses) / Average Assets</t>
    </r>
    <r>
      <rPr>
        <vertAlign val="superscript"/>
        <sz val="9"/>
        <color rgb="FF000000"/>
        <rFont val="Arial"/>
        <family val="2"/>
      </rPr>
      <t>1</t>
    </r>
  </si>
  <si>
    <r>
      <rPr>
        <sz val="9"/>
        <color rgb="FF000000"/>
        <rFont val="Arial"/>
        <family val="2"/>
      </rPr>
      <t>Non-Interest Expense / Average Assets</t>
    </r>
    <r>
      <rPr>
        <vertAlign val="superscript"/>
        <sz val="9"/>
        <color rgb="FF000000"/>
        <rFont val="Arial"/>
        <family val="2"/>
      </rPr>
      <t>1</t>
    </r>
  </si>
  <si>
    <r>
      <rPr>
        <sz val="9"/>
        <color rgb="FF000000"/>
        <rFont val="Arial"/>
        <family val="2"/>
      </rPr>
      <t>PLLL or Credit Loss Expense / Average Assets</t>
    </r>
    <r>
      <rPr>
        <vertAlign val="superscript"/>
        <sz val="9"/>
        <color rgb="FF000000"/>
        <rFont val="Arial"/>
        <family val="2"/>
      </rPr>
      <t>1</t>
    </r>
  </si>
  <si>
    <t>LIQUIDITY</t>
  </si>
  <si>
    <t>Total Loans / Total Assets</t>
  </si>
  <si>
    <r>
      <rPr>
        <sz val="9"/>
        <color rgb="FF000000"/>
        <rFont val="Arial"/>
        <family val="2"/>
      </rPr>
      <t>Cash + Short-Term Investments / Assets</t>
    </r>
    <r>
      <rPr>
        <vertAlign val="superscript"/>
        <sz val="9"/>
        <color rgb="FF000000"/>
        <rFont val="Arial"/>
        <family val="2"/>
      </rPr>
      <t>3</t>
    </r>
  </si>
  <si>
    <t>SENSITIVITY TO MARKET RISK</t>
  </si>
  <si>
    <r>
      <rPr>
        <sz val="9"/>
        <color rgb="FF000000"/>
        <rFont val="Arial"/>
        <family val="2"/>
      </rPr>
      <t>Est. NEV Tool Post Shock Ratio</t>
    </r>
    <r>
      <rPr>
        <vertAlign val="superscript"/>
        <sz val="9"/>
        <color rgb="FF000000"/>
        <rFont val="Arial"/>
        <family val="2"/>
      </rPr>
      <t xml:space="preserve">4 </t>
    </r>
  </si>
  <si>
    <r>
      <rPr>
        <sz val="9"/>
        <color rgb="FF000000"/>
        <rFont val="Arial"/>
        <family val="2"/>
      </rPr>
      <t>Est. NEV Tool Post Shock Sensitivity</t>
    </r>
    <r>
      <rPr>
        <vertAlign val="superscript"/>
        <sz val="9"/>
        <color rgb="FF000000"/>
        <rFont val="Arial"/>
        <family val="2"/>
      </rPr>
      <t>4</t>
    </r>
  </si>
  <si>
    <r>
      <rPr>
        <vertAlign val="superscript"/>
        <sz val="8"/>
        <color rgb="FF000000"/>
        <rFont val="Arial"/>
        <family val="2"/>
      </rPr>
      <t xml:space="preserve">1 </t>
    </r>
    <r>
      <rPr>
        <sz val="8"/>
        <color rgb="FF000000"/>
        <rFont val="Arial"/>
        <family val="2"/>
      </rPr>
      <t xml:space="preserve">Exam date ratios are annualized. </t>
    </r>
  </si>
  <si>
    <r>
      <rPr>
        <vertAlign val="superscript"/>
        <sz val="8"/>
        <color rgb="FF000000"/>
        <rFont val="Arial"/>
        <family val="2"/>
      </rPr>
      <t>2</t>
    </r>
    <r>
      <rPr>
        <sz val="8"/>
        <color rgb="FF000000"/>
        <rFont val="Arial"/>
        <family val="2"/>
      </rPr>
      <t xml:space="preserve"> Exam Date Ratio is based on Net Charge Offs over the last 12 months</t>
    </r>
  </si>
  <si>
    <r>
      <rPr>
        <vertAlign val="superscript"/>
        <sz val="8"/>
        <color rgb="FF000000"/>
        <rFont val="Arial"/>
        <family val="2"/>
      </rPr>
      <t>3</t>
    </r>
    <r>
      <rPr>
        <sz val="8"/>
        <color rgb="FF000000"/>
        <rFont val="Arial"/>
        <family val="2"/>
      </rPr>
      <t xml:space="preserve"> This ratio relies on maturity distribution of investments reported per 5300 instructions.  Thus, the maturity distribution could be based on the repricing interval and not the actual maturity of the investment. </t>
    </r>
  </si>
  <si>
    <r>
      <rPr>
        <vertAlign val="superscript"/>
        <sz val="8"/>
        <color rgb="FF000000"/>
        <rFont val="Arial"/>
        <family val="2"/>
      </rPr>
      <t>4</t>
    </r>
    <r>
      <rPr>
        <sz val="8"/>
        <color rgb="FF000000"/>
        <rFont val="Arial"/>
        <family val="2"/>
      </rPr>
      <t xml:space="preserve"> Applicable for credit unions under $500 million. </t>
    </r>
  </si>
  <si>
    <r>
      <rPr>
        <vertAlign val="superscript"/>
        <sz val="8"/>
        <color rgb="FF000000"/>
        <rFont val="Arial"/>
        <family val="2"/>
      </rPr>
      <t>5</t>
    </r>
    <r>
      <rPr>
        <sz val="8"/>
        <color rgb="FF000000"/>
        <rFont val="Arial"/>
        <family val="2"/>
      </rPr>
      <t xml:space="preserve"> The FPR was recently reorganized resulting in some ratios being relocated but not deleted. The ratio you are looking for may be on the Historical Ratios tab. </t>
    </r>
  </si>
  <si>
    <r>
      <rPr>
        <vertAlign val="superscript"/>
        <sz val="8"/>
        <color rgb="FF000000"/>
        <rFont val="Arial"/>
        <family val="2"/>
      </rPr>
      <t>6</t>
    </r>
    <r>
      <rPr>
        <sz val="8"/>
        <color rgb="FF000000"/>
        <rFont val="Arial"/>
        <family val="2"/>
      </rPr>
      <t xml:space="preserve"> The net worth ratio is calculated according to NCUA regulations part 702. This ratio considers optional assets elections, SBA PPP loans pledged as collateral to the FRB PPP Lending Facility, 
and the CECL Transition Provision, as applicable. The calculation may be found on Schedule G of the Call Report, see Account 998.</t>
    </r>
  </si>
  <si>
    <t>2. Key Ratios</t>
  </si>
  <si>
    <t>MPUandNMDtoPIUCandSurplus)</t>
  </si>
  <si>
    <t>Ratio_ID267</t>
  </si>
  <si>
    <t>MPUandNMDandBorrowingstoPIUC)</t>
  </si>
  <si>
    <t>Ratio_ID268</t>
  </si>
  <si>
    <t>TotalMPUandNMD)</t>
  </si>
  <si>
    <t xml:space="preserve">Ratio_ID269 </t>
  </si>
  <si>
    <t>ENTBookCash</t>
  </si>
  <si>
    <t>Ratio_ID270</t>
  </si>
  <si>
    <t>ENTBookInvestments</t>
  </si>
  <si>
    <t xml:space="preserve">Ratio_ID271 </t>
  </si>
  <si>
    <t>ENTBookLoans</t>
  </si>
  <si>
    <t xml:space="preserve">Ratio_ID272 </t>
  </si>
  <si>
    <t>ENTBookOtherAssets</t>
  </si>
  <si>
    <t xml:space="preserve">Ratio_ID273 </t>
  </si>
  <si>
    <t>ENTBookTotalAssets</t>
  </si>
  <si>
    <t xml:space="preserve">Ratio_ID274 </t>
  </si>
  <si>
    <t>ENTBookBorrowings</t>
  </si>
  <si>
    <t xml:space="preserve">Ratio_ID275 </t>
  </si>
  <si>
    <t>ENTBookOtherLiabilities</t>
  </si>
  <si>
    <t xml:space="preserve">Ratio_ID276 </t>
  </si>
  <si>
    <t>ENTBookNonMaturityShares</t>
  </si>
  <si>
    <t xml:space="preserve">Ratio_ID277 </t>
  </si>
  <si>
    <t>ENTBookCertificatesandOtherShares</t>
  </si>
  <si>
    <t xml:space="preserve">Ratio_ID278 </t>
  </si>
  <si>
    <t>ENTBookTotalLiabilities</t>
  </si>
  <si>
    <t xml:space="preserve">Ratio_ID279 </t>
  </si>
  <si>
    <t>ENTBookNEV</t>
  </si>
  <si>
    <t>Ratio_ID280</t>
  </si>
  <si>
    <t>ENTBookNEVRatio</t>
  </si>
  <si>
    <t xml:space="preserve">Ratio_ID281 </t>
  </si>
  <si>
    <t>ENTBaseCash</t>
  </si>
  <si>
    <t>Ratio_ID282</t>
  </si>
  <si>
    <t>ENTBaseInvestments</t>
  </si>
  <si>
    <t xml:space="preserve">Ratio_ID283 </t>
  </si>
  <si>
    <t>ENTBaseLoans</t>
  </si>
  <si>
    <t xml:space="preserve">Ratio_ID284 </t>
  </si>
  <si>
    <t>ENTBaseOtherAsssets</t>
  </si>
  <si>
    <t xml:space="preserve">Ratio_ID285 </t>
  </si>
  <si>
    <t>ENTBaseTotalAssets</t>
  </si>
  <si>
    <t xml:space="preserve">Ratio_ID286 </t>
  </si>
  <si>
    <t>ENTBaseBorrowings</t>
  </si>
  <si>
    <t>Ratio_ID287</t>
  </si>
  <si>
    <t>ENTBaseOtherLiabilities</t>
  </si>
  <si>
    <t xml:space="preserve">Ratio_ID288 </t>
  </si>
  <si>
    <t>ENTBaseNonMaturityShares</t>
  </si>
  <si>
    <t>Ratio_ID289</t>
  </si>
  <si>
    <t>ENTBaseCertificatesandOtherShares</t>
  </si>
  <si>
    <t xml:space="preserve">Ratio_ID290 </t>
  </si>
  <si>
    <t>ENTBaseTotalLiabilities</t>
  </si>
  <si>
    <t xml:space="preserve">Ratio_ID291 </t>
  </si>
  <si>
    <t>ENTBaseNEV</t>
  </si>
  <si>
    <t xml:space="preserve">Ratio_ID292 </t>
  </si>
  <si>
    <t>ENTBaseNEVRatio</t>
  </si>
  <si>
    <t>Ratio_ID293</t>
  </si>
  <si>
    <t>ENTShockCash</t>
  </si>
  <si>
    <t>Ratio_ID294</t>
  </si>
  <si>
    <t>ENTShockInvestments1</t>
  </si>
  <si>
    <t xml:space="preserve">Ratio_ID295 </t>
  </si>
  <si>
    <t>ENTShockInvestments2</t>
  </si>
  <si>
    <t>ENTShockInvestments3</t>
  </si>
  <si>
    <t>ENTShockLoans1</t>
  </si>
  <si>
    <t xml:space="preserve">Ratio_ID296 </t>
  </si>
  <si>
    <t>ENTShockLoans2</t>
  </si>
  <si>
    <t>ENTShockLoans3</t>
  </si>
  <si>
    <t>ENTShockLoans4</t>
  </si>
  <si>
    <t>ENTShockOtherAssets</t>
  </si>
  <si>
    <t xml:space="preserve">Ratio_ID297 </t>
  </si>
  <si>
    <t>ENTShockTotalAssets</t>
  </si>
  <si>
    <t>Ratio_ID298</t>
  </si>
  <si>
    <t>ENTShockBorrowings</t>
  </si>
  <si>
    <t xml:space="preserve">Ratio_ID299 </t>
  </si>
  <si>
    <t>ENTShockOtherLiabilities</t>
  </si>
  <si>
    <t>Ratio_ID300</t>
  </si>
  <si>
    <t>ENTShockNonMaturityShares</t>
  </si>
  <si>
    <t>Ratio_ID301</t>
  </si>
  <si>
    <t>ENTShockCertificatesandOtherShares</t>
  </si>
  <si>
    <t>Ratio_ID302</t>
  </si>
  <si>
    <t>ENTShockDerivatives</t>
  </si>
  <si>
    <t>Ratio_ID303</t>
  </si>
  <si>
    <t>ENTShockTotalLiabilites</t>
  </si>
  <si>
    <t xml:space="preserve">Ratio_ID304 </t>
  </si>
  <si>
    <t>ENTShockNEV</t>
  </si>
  <si>
    <t xml:space="preserve">Ratio_ID305 </t>
  </si>
  <si>
    <t>ENTShockNEVRatio</t>
  </si>
  <si>
    <t xml:space="preserve">Ratio_ID306 </t>
  </si>
  <si>
    <t>ENTShockNEVSensitivity</t>
  </si>
  <si>
    <t xml:space="preserve">Ratio_ID307 </t>
  </si>
  <si>
    <t xml:space="preserve"> </t>
  </si>
  <si>
    <t>Supplemental Ratios**</t>
  </si>
  <si>
    <t>Allowance for Loan &amp; Lease Losses or Allowance for Credit Losses to Delinquent Loans</t>
  </si>
  <si>
    <t>ALL REAL ESTATE LOAN DELINQUENCY (COMMERCIAL AND NON-COMMERCIAL)</t>
  </si>
  <si>
    <t>All Real Estate Loans DQ &gt;= 30 Days / All Real Estate Loans</t>
  </si>
  <si>
    <t>All Real Estate Loans DQ &gt;= 60 Days / All Real Estate Loans</t>
  </si>
  <si>
    <t>SPECIALIZED LENDING RATIOS</t>
  </si>
  <si>
    <t>Indirect Loans Outstanding / Total Loans</t>
  </si>
  <si>
    <t>Participation Loans Outstanding / Total Loans</t>
  </si>
  <si>
    <t>Participation Loans Purchased YTD / Total Loans Granted YTD</t>
  </si>
  <si>
    <t>Participation Loans Sold YTD / Total Assets *</t>
  </si>
  <si>
    <t>Total Commercial Loans / Total Assets</t>
  </si>
  <si>
    <t>Loans Purchased From Other Financial Institutions and Other Sources YTD / Loans Granted YTD</t>
  </si>
  <si>
    <t>REAL ESTATE LENDING RATIOS</t>
  </si>
  <si>
    <t>Total Fixed Rate 1- to 4-Family and Other Non-Commercial RE / Total Assets</t>
  </si>
  <si>
    <t>Total Fixed Rate 1- to 4-Family and Other Non-Commercial RE / Total Loans</t>
  </si>
  <si>
    <t>Total Fixed Rate 1- to 4-Family and Other Non-Commercial RE Granted YTD / Total Loans Granted YTD</t>
  </si>
  <si>
    <t>1- to 4-Family RE Loans secured by First Lien Sold YTD/ 1- to 4-Family RE Loans secured by First Lien Granted YTD</t>
  </si>
  <si>
    <t>MISCELLANEOUS RATIOS</t>
  </si>
  <si>
    <t>Mortgage Servicing Assets / Net Worth</t>
  </si>
  <si>
    <t>Unused Commitments / Cash &amp; ST Investments</t>
  </si>
  <si>
    <t>Short Term Liabilities / Total Shares and Deposits plus Borrowings</t>
  </si>
  <si>
    <t>* Annualization factor: March = 4; June = 2; September =4/3; December = 1 (or no annualizing)</t>
  </si>
  <si>
    <t>**Percentile Rankings and Peer Average Ratios are not calculated for Supplemental Ratios.</t>
  </si>
  <si>
    <t>3. Supplemental Ratios</t>
  </si>
  <si>
    <r>
      <rPr>
        <b/>
        <sz val="9"/>
        <color rgb="FF000000"/>
        <rFont val="Arial"/>
        <family val="2"/>
      </rPr>
      <t>Historical Ratios</t>
    </r>
    <r>
      <rPr>
        <b/>
        <vertAlign val="superscript"/>
        <sz val="9"/>
        <color rgb="FF000000"/>
        <rFont val="Arial"/>
        <family val="2"/>
      </rPr>
      <t>3</t>
    </r>
  </si>
  <si>
    <t>PEER Avg</t>
  </si>
  <si>
    <t>CAPITAL ADEQUACY</t>
  </si>
  <si>
    <t xml:space="preserve">   Has the credit union adopted ASC topic 326 (CECL)? If aggregate FPR, number of adopters</t>
  </si>
  <si>
    <t xml:space="preserve">    Effective date of adoption of ASC Topic 326 - Financial Instruments - Credit 
    Losses (CECL)</t>
  </si>
  <si>
    <r>
      <rPr>
        <sz val="9"/>
        <color rgb="FF000000"/>
        <rFont val="Arial"/>
        <family val="2"/>
      </rPr>
      <t xml:space="preserve">    Net Worth / Total Assets excluding CECL Transition Provision</t>
    </r>
    <r>
      <rPr>
        <vertAlign val="superscript"/>
        <sz val="9"/>
        <color rgb="FF000000"/>
        <rFont val="Arial"/>
        <family val="2"/>
      </rPr>
      <t>3</t>
    </r>
  </si>
  <si>
    <t xml:space="preserve">    Net Worth / PCA Opt. Total Assets (if applies)</t>
  </si>
  <si>
    <r>
      <rPr>
        <sz val="9"/>
        <color rgb="FF000000"/>
        <rFont val="Arial"/>
        <family val="2"/>
      </rPr>
      <t xml:space="preserve">   Net Worth/Total Assets excluding one time adjustment to undivided earnings for the adoption of ASC topic 326 (CECL)</t>
    </r>
    <r>
      <rPr>
        <vertAlign val="superscript"/>
        <sz val="9"/>
        <color rgb="FF000000"/>
        <rFont val="Arial"/>
        <family val="2"/>
      </rPr>
      <t xml:space="preserve"> 1</t>
    </r>
  </si>
  <si>
    <t xml:space="preserve">    Solvency Evaluation (Estimated)</t>
  </si>
  <si>
    <t xml:space="preserve">    Classified Assets (Estimated) / Net Worth</t>
  </si>
  <si>
    <t>ASSET QUALITY</t>
  </si>
  <si>
    <t xml:space="preserve">    Net Charge-Offs / Average Loans* </t>
  </si>
  <si>
    <t xml:space="preserve">    Fair (Market) HTM Invest Value/Book Value HTM Invest.</t>
  </si>
  <si>
    <t xml:space="preserve">    Accum Unreal G/L On AFS/Cost Of AFS</t>
  </si>
  <si>
    <t xml:space="preserve">    Delinquent Loans / Assets</t>
  </si>
  <si>
    <t>EARNINGS</t>
  </si>
  <si>
    <t xml:space="preserve">    Gross Income/Average Assets* </t>
  </si>
  <si>
    <t xml:space="preserve">    Yield on Average Loans*</t>
  </si>
  <si>
    <t xml:space="preserve">    Yield on Average Investments* </t>
  </si>
  <si>
    <t xml:space="preserve">    Fee &amp; Other Op.Income / Avg. Assets* </t>
  </si>
  <si>
    <t xml:space="preserve">    Cost of Funds / Avg. Assets* </t>
  </si>
  <si>
    <t xml:space="preserve">    Net Margin / Avg. Assets* </t>
  </si>
  <si>
    <t xml:space="preserve">    Net Interest Margin/Avg. Assets* </t>
  </si>
  <si>
    <t xml:space="preserve">    Non-Interest Expense /Gross Income</t>
  </si>
  <si>
    <t xml:space="preserve">    Fixed Assets &amp; Foreclosed &amp; Repossessed Assets / Total Assets</t>
  </si>
  <si>
    <t xml:space="preserve">    Net Operating Exp. /Avg. Assets* </t>
  </si>
  <si>
    <t>ASSET / LIABILITY MANAGEMENT</t>
  </si>
  <si>
    <t xml:space="preserve">    Net Long-Term Assets / Total Assets</t>
  </si>
  <si>
    <t xml:space="preserve">    Reg. Shares / Total Shares &amp; Borrowings</t>
  </si>
  <si>
    <t xml:space="preserve">    Total Loans / Total Shares</t>
  </si>
  <si>
    <t xml:space="preserve">    Total Shares, Dep. &amp; Borrs / Earning Assets</t>
  </si>
  <si>
    <t xml:space="preserve">    Reg Shares + Share Drafts / Total Shares &amp; Borrs</t>
  </si>
  <si>
    <t xml:space="preserve">    Borrowings / Total Shares &amp; Net Worth</t>
  </si>
  <si>
    <t>PRODUCTIVITY</t>
  </si>
  <si>
    <t xml:space="preserve">    Members / Potential Members</t>
  </si>
  <si>
    <t xml:space="preserve">    Borrowers / Members</t>
  </si>
  <si>
    <t xml:space="preserve">    Members / Full-Time Empl.</t>
  </si>
  <si>
    <t xml:space="preserve">    Avg. Shares Per Member</t>
  </si>
  <si>
    <t xml:space="preserve">    Avg. Loan Balance</t>
  </si>
  <si>
    <t xml:space="preserve">    Salary And Benefits / Full-Time Empl.*</t>
  </si>
  <si>
    <t>**Percentile Rankings and Peer Average Ratios are produced once a quarter after the data collection is complete. Subsequent corrections to data after this date are not reflected in the Percentile Rank or the Peer Average Ratios until the next cycle. Percentile Rankings show where the credit union stands in relation to its peers in key areas of performance.  To arrive at the percentile ranking, all data for all credit unions in a peer group are arranged in order from highest (100) to lowest (0) value. The percentile ranking assigned to the credit union is a measure of the relative standing of that ratio in the entire range of ratios.  A high or low ranking does not imply good or bad performance. However, when reviewed in relation to other available data, users may draw conclusions as to the importance of the percentile rank to the credit union's financial performance.</t>
  </si>
  <si>
    <r>
      <rPr>
        <vertAlign val="superscript"/>
        <sz val="8"/>
        <color rgb="FF000000"/>
        <rFont val="Arial"/>
        <family val="2"/>
      </rPr>
      <t>1</t>
    </r>
    <r>
      <rPr>
        <sz val="8"/>
        <color rgb="FF000000"/>
        <rFont val="Arial"/>
        <family val="2"/>
      </rPr>
      <t xml:space="preserve"> For periods after March 2020, Assets in the denominator excludes Small Business Administration Paycheck Protection Program loans pledged as collateral to the Federal Reserve Bank Paycheck Protection Program Lending Facility.</t>
    </r>
  </si>
  <si>
    <r>
      <rPr>
        <vertAlign val="superscript"/>
        <sz val="8"/>
        <color rgb="FF000000"/>
        <rFont val="Arial"/>
        <family val="2"/>
      </rPr>
      <t>2</t>
    </r>
    <r>
      <rPr>
        <sz val="8"/>
        <color rgb="FF000000"/>
        <rFont val="Arial"/>
        <family val="2"/>
      </rPr>
      <t xml:space="preserve"> The FPR was recently reorganized resulting in some ratios being relocated but not deleted. The ratio you are looking for may be on the Key Ratios tab. </t>
    </r>
  </si>
  <si>
    <r>
      <rPr>
        <vertAlign val="superscript"/>
        <sz val="8"/>
        <color rgb="FF000000"/>
        <rFont val="Arial"/>
        <family val="2"/>
      </rPr>
      <t>3</t>
    </r>
    <r>
      <rPr>
        <sz val="8"/>
        <color rgb="FF000000"/>
        <rFont val="Arial"/>
        <family val="2"/>
      </rPr>
      <t xml:space="preserve"> For periods after March 2020, Assets in the denominator excludes Small Business Administration Paycheck Protection Program loans pledged as collateral to the Federal Reserve Bank Paycheck Protection Program Lending Facility. For periods after December 2022, the CECL Transition Provision is not included in either Net Worth or Assets.</t>
    </r>
  </si>
  <si>
    <t>4. Historical Ratios</t>
  </si>
  <si>
    <t xml:space="preserve">                  Assets</t>
  </si>
  <si>
    <t>ASSETS</t>
  </si>
  <si>
    <t>CASH AND DEPOSITS</t>
  </si>
  <si>
    <t xml:space="preserve">    Coin and Currency</t>
  </si>
  <si>
    <t xml:space="preserve">    Cash Items in Process of Collection</t>
  </si>
  <si>
    <t xml:space="preserve">    Total Cash On Hand</t>
  </si>
  <si>
    <t xml:space="preserve">    Cash On Deposit</t>
  </si>
  <si>
    <t xml:space="preserve">        Cash on Deposit in Corporate Credit Unions</t>
  </si>
  <si>
    <t xml:space="preserve">        Cash on Deposit in a Federal Reserve Bank</t>
  </si>
  <si>
    <t xml:space="preserve">        Cash on Deposit in Other Financial Institutions</t>
  </si>
  <si>
    <t xml:space="preserve">     Total Cash on Deposit</t>
  </si>
  <si>
    <t xml:space="preserve">     Time deposits in commercial banks, S&amp;Ls, savings banks, natural person credit unions, or corporate credit unions</t>
  </si>
  <si>
    <r>
      <rPr>
        <sz val="9"/>
        <color rgb="FF000000"/>
        <rFont val="Arial"/>
        <family val="2"/>
      </rPr>
      <t xml:space="preserve">     All other deposits</t>
    </r>
    <r>
      <rPr>
        <vertAlign val="superscript"/>
        <sz val="9"/>
        <color rgb="FF000000"/>
        <rFont val="Arial"/>
        <family val="2"/>
      </rPr>
      <t>1</t>
    </r>
  </si>
  <si>
    <t>TOTAL CASH AND OTHER DEPOSITS</t>
  </si>
  <si>
    <t>INVESTMENT SECURITIES</t>
  </si>
  <si>
    <t xml:space="preserve">    Equity Securities</t>
  </si>
  <si>
    <t xml:space="preserve">    Trading Debt Securities</t>
  </si>
  <si>
    <t xml:space="preserve">    Available-for-Sale Debt Securities</t>
  </si>
  <si>
    <t xml:space="preserve">    Held-to-Maturity Debt Securities</t>
  </si>
  <si>
    <t xml:space="preserve">    Allowance for Credit Losses on HTM Debt Securities</t>
  </si>
  <si>
    <t>TOTAL INVESTMENT SECURITIES</t>
  </si>
  <si>
    <t>OTHER INVESTMENTS</t>
  </si>
  <si>
    <t xml:space="preserve">    Nonperpetual Contributed Capital</t>
  </si>
  <si>
    <t xml:space="preserve">    Perpetual Contributed Capital</t>
  </si>
  <si>
    <r>
      <rPr>
        <sz val="9"/>
        <color rgb="FF000000"/>
        <rFont val="Arial"/>
        <family val="2"/>
      </rPr>
      <t xml:space="preserve">    All Other Investments </t>
    </r>
    <r>
      <rPr>
        <vertAlign val="superscript"/>
        <sz val="9"/>
        <color rgb="FF000000"/>
        <rFont val="Arial"/>
        <family val="2"/>
      </rPr>
      <t>2</t>
    </r>
  </si>
  <si>
    <t>TOTAL OTHER INVESTMENTS</t>
  </si>
  <si>
    <t>LOANS HELD FOR SALE</t>
  </si>
  <si>
    <t>LOANS AND LEASES</t>
  </si>
  <si>
    <t xml:space="preserve">     Consumer Loans (Non-Residential, Non-Commercial)</t>
  </si>
  <si>
    <t xml:space="preserve">     1- to 4-Family Residential Property Loans/Lines of Credit </t>
  </si>
  <si>
    <t xml:space="preserve">     All Other (Non-Commercial) Real Estate Loans/Lines of Credit </t>
  </si>
  <si>
    <t xml:space="preserve">     Commercial Loans/Lines of Credit Real Estate Secured </t>
  </si>
  <si>
    <t xml:space="preserve">     Commercial Loans/Lines of Credit Not Real Estate Secured </t>
  </si>
  <si>
    <t>TOTAL LOANS &amp; LEASES</t>
  </si>
  <si>
    <t>(ALLOWANCE FOR LOAN &amp; LEASE LOSSES OR ALLOWANCE FOR CREDIT LOSSES ON LOAN &amp; LEASES)</t>
  </si>
  <si>
    <t>OTHER ASSETS</t>
  </si>
  <si>
    <t xml:space="preserve">     Foreclosed and Repossessed Assets</t>
  </si>
  <si>
    <t xml:space="preserve">     Land and Building</t>
  </si>
  <si>
    <t xml:space="preserve">     Other Fixed Assets</t>
  </si>
  <si>
    <t xml:space="preserve">     NCUA Share Insurance Capitalization Deposit</t>
  </si>
  <si>
    <t xml:space="preserve">     Intangible Assets</t>
  </si>
  <si>
    <t xml:space="preserve">     Other Assets</t>
  </si>
  <si>
    <t>TOTAL OTHER ASSETS</t>
  </si>
  <si>
    <t>TOTAL ASSETS</t>
  </si>
  <si>
    <r>
      <rPr>
        <vertAlign val="superscript"/>
        <sz val="8"/>
        <color rgb="FF000000"/>
        <rFont val="Arial"/>
        <family val="2"/>
      </rPr>
      <t>1</t>
    </r>
    <r>
      <rPr>
        <sz val="8"/>
        <color rgb="FF000000"/>
        <rFont val="Arial"/>
        <family val="2"/>
      </rPr>
      <t xml:space="preserve"> Prior to 3/31/22, this amount includes Cash Equivalents, Deposits in commercial banks, S&amp;Ls, savings banks, Loans to and investments in natural person credit unions, and All other investments in corporate credit unions.</t>
    </r>
  </si>
  <si>
    <r>
      <rPr>
        <vertAlign val="superscript"/>
        <sz val="8"/>
        <color rgb="FF000000"/>
        <rFont val="Arial"/>
        <family val="2"/>
      </rPr>
      <t>2</t>
    </r>
    <r>
      <rPr>
        <sz val="8"/>
        <color rgb="FF000000"/>
        <rFont val="Arial"/>
        <family val="2"/>
      </rPr>
      <t xml:space="preserve"> Prior to March 2022, Loans to, deposits in, and investments in natural person credit unions are included in All Other Investments. March 2022 and forward, loans to natural person credit unions are included in Loans and deposits and investments in natural person credit unions are included in Cash and Other Deposits. </t>
    </r>
  </si>
  <si>
    <t>5. Assets</t>
  </si>
  <si>
    <t>LIABILITIES, SHARES AND EQUITY</t>
  </si>
  <si>
    <t>LIABILITIES</t>
  </si>
  <si>
    <r>
      <rPr>
        <sz val="9"/>
        <color rgb="FF000000"/>
        <rFont val="Arial"/>
        <family val="2"/>
      </rPr>
      <t xml:space="preserve">    Accounts Payable, Accrued Interest on Borrowings, &amp; Other 
    Liabilities</t>
    </r>
    <r>
      <rPr>
        <vertAlign val="superscript"/>
        <sz val="9"/>
        <color rgb="FF000000"/>
        <rFont val="Arial"/>
        <family val="2"/>
      </rPr>
      <t>1</t>
    </r>
  </si>
  <si>
    <t xml:space="preserve">    Accrued Dividends and Interest Payable</t>
  </si>
  <si>
    <t xml:space="preserve">    Other Borrowings</t>
  </si>
  <si>
    <t xml:space="preserve">    Allowance for Credit Losses on Off-Balance Sheet Credit 
    Exposures</t>
  </si>
  <si>
    <t>SHARES AND DEPOSITS</t>
  </si>
  <si>
    <t xml:space="preserve">    Member Shares of All Types</t>
  </si>
  <si>
    <t xml:space="preserve">    Non-Member Deposits</t>
  </si>
  <si>
    <t>TOTAL SHARES AND DEPOSITS</t>
  </si>
  <si>
    <r>
      <rPr>
        <b/>
        <sz val="9"/>
        <color rgb="FF000000"/>
        <rFont val="Arial"/>
        <family val="2"/>
      </rPr>
      <t>TOTAL LIABILITIES</t>
    </r>
    <r>
      <rPr>
        <b/>
        <vertAlign val="superscript"/>
        <sz val="9"/>
        <color rgb="FF000000"/>
        <rFont val="Arial"/>
        <family val="2"/>
      </rPr>
      <t>2</t>
    </r>
  </si>
  <si>
    <t>EQUITY:</t>
  </si>
  <si>
    <r>
      <rPr>
        <sz val="9"/>
        <color rgb="FF000000"/>
        <rFont val="Arial"/>
        <family val="2"/>
      </rPr>
      <t xml:space="preserve">    Undivided Earnings</t>
    </r>
    <r>
      <rPr>
        <vertAlign val="superscript"/>
        <sz val="9"/>
        <color rgb="FF000000"/>
        <rFont val="Arial"/>
        <family val="2"/>
      </rPr>
      <t>3</t>
    </r>
  </si>
  <si>
    <t xml:space="preserve">    Other Reserves</t>
  </si>
  <si>
    <t xml:space="preserve">    Appropriation For Non-Conforming Investments (SCU Only)</t>
  </si>
  <si>
    <t xml:space="preserve">    Equity Acquired in Merger</t>
  </si>
  <si>
    <t xml:space="preserve">    Noncontrolling Interest in Consolidated Subsidiaries</t>
  </si>
  <si>
    <t xml:space="preserve">    Accumulated Unrealized G/L on Cash Flow Hedges</t>
  </si>
  <si>
    <t xml:space="preserve">    Accumulated Unrealized G/L on AFS Securities</t>
  </si>
  <si>
    <t>Accumulated Unrealized Losses for OTTI (due to other factors) on HTM Debt Securities</t>
  </si>
  <si>
    <r>
      <rPr>
        <sz val="9"/>
        <color rgb="FF000000"/>
        <rFont val="Arial"/>
        <family val="2"/>
      </rPr>
      <t xml:space="preserve">    Accumulated Unrealized Gains (Losses) on Available for Sale 
    Debt Securities</t>
    </r>
    <r>
      <rPr>
        <vertAlign val="superscript"/>
        <sz val="9"/>
        <color rgb="FF000000"/>
        <rFont val="Arial"/>
        <family val="2"/>
      </rPr>
      <t>4</t>
    </r>
  </si>
  <si>
    <t xml:space="preserve">    Other Comprehensive Income</t>
  </si>
  <si>
    <t xml:space="preserve">    Net Income</t>
  </si>
  <si>
    <t>EQUITY TOTAL</t>
  </si>
  <si>
    <t>TOTAL LIABILITIES, SHARES, &amp; EQUITY</t>
  </si>
  <si>
    <r>
      <rPr>
        <b/>
        <sz val="9"/>
        <color rgb="FF000000"/>
        <rFont val="Arial"/>
        <family val="2"/>
      </rPr>
      <t xml:space="preserve">    </t>
    </r>
    <r>
      <rPr>
        <sz val="9"/>
        <color rgb="FF000000"/>
        <rFont val="Arial"/>
        <family val="2"/>
      </rPr>
      <t>CECL Transition Provision</t>
    </r>
  </si>
  <si>
    <t>TOTAL NET WORTH</t>
  </si>
  <si>
    <r>
      <rPr>
        <vertAlign val="superscript"/>
        <sz val="8"/>
        <color rgb="FF000000"/>
        <rFont val="Arial"/>
        <family val="2"/>
      </rPr>
      <t>1</t>
    </r>
    <r>
      <rPr>
        <sz val="8"/>
        <color rgb="FF000000"/>
        <rFont val="Arial"/>
        <family val="2"/>
      </rPr>
      <t xml:space="preserve"> Prior to 3/31/2022 includes "Subordinated Debt Included in Net Worth" and "Non-Trading Derivative Liabilities"</t>
    </r>
  </si>
  <si>
    <r>
      <rPr>
        <vertAlign val="superscript"/>
        <sz val="8"/>
        <color rgb="FF000000"/>
        <rFont val="Arial"/>
        <family val="2"/>
      </rPr>
      <t xml:space="preserve">2 </t>
    </r>
    <r>
      <rPr>
        <sz val="8"/>
        <color rgb="FF000000"/>
        <rFont val="Arial"/>
        <family val="2"/>
      </rPr>
      <t>Prior to 3/31/19, Total Liabilities did not include Total Shares and Deposits.</t>
    </r>
  </si>
  <si>
    <r>
      <rPr>
        <vertAlign val="superscript"/>
        <sz val="8"/>
        <color rgb="FF000000"/>
        <rFont val="Arial"/>
        <family val="2"/>
      </rPr>
      <t>3</t>
    </r>
    <r>
      <rPr>
        <sz val="8"/>
        <color rgb="FF000000"/>
        <rFont val="Arial"/>
        <family val="2"/>
      </rPr>
      <t xml:space="preserve"> Regular Reserves have been included in Undivided Earnings for periods prior to 3/31/22.</t>
    </r>
  </si>
  <si>
    <t>6. LiabShEquity</t>
  </si>
  <si>
    <r>
      <rPr>
        <vertAlign val="superscript"/>
        <sz val="8"/>
        <color rgb="FF000000"/>
        <rFont val="Arial"/>
        <family val="2"/>
      </rPr>
      <t>4</t>
    </r>
    <r>
      <rPr>
        <sz val="8"/>
        <color rgb="FF000000"/>
        <rFont val="Arial"/>
        <family val="2"/>
      </rPr>
      <t xml:space="preserve"> Includes accumulated unrealized gains / losses on AFS securities and AFS debt securities.</t>
    </r>
  </si>
  <si>
    <t>Income Statement*</t>
  </si>
  <si>
    <t>INTEREST INCOME YEAR-TO-DATE</t>
  </si>
  <si>
    <t xml:space="preserve">    Interest on Loans</t>
  </si>
  <si>
    <t xml:space="preserve">    Less  Interest Refund</t>
  </si>
  <si>
    <t xml:space="preserve">    Income from Investments</t>
  </si>
  <si>
    <r>
      <rPr>
        <sz val="9"/>
        <color rgb="FF000000"/>
        <rFont val="Arial"/>
        <family val="2"/>
      </rPr>
      <t xml:space="preserve">   Other Interest Income</t>
    </r>
    <r>
      <rPr>
        <vertAlign val="superscript"/>
        <sz val="9"/>
        <color rgb="FF000000"/>
        <rFont val="Arial"/>
        <family val="2"/>
      </rPr>
      <t>1</t>
    </r>
  </si>
  <si>
    <t>TOTAL INTEREST INCOME</t>
  </si>
  <si>
    <t>INTEREST EXPENSE YEAR-TO-DATE</t>
  </si>
  <si>
    <t xml:space="preserve">    Dividends</t>
  </si>
  <si>
    <t xml:space="preserve">    Interest on Deposits</t>
  </si>
  <si>
    <t xml:space="preserve">    Interest on Borrowed Money</t>
  </si>
  <si>
    <t>TOTAL INTEREST EXPENSE</t>
  </si>
  <si>
    <t>NET INTEREST INCOME</t>
  </si>
  <si>
    <t>Provision for Loan &amp; Lease Losses or Total Credit Loss Expense</t>
  </si>
  <si>
    <t>NON-INTEREST INCOME YEAR-TO-DATE</t>
  </si>
  <si>
    <t xml:space="preserve">    Fee Income</t>
  </si>
  <si>
    <t xml:space="preserve">    Other Income</t>
  </si>
  <si>
    <t>Gain (Loss) on Equity and Trading Debt Securities (includes  changes in fair value and realized gains/losses from Equity and Trading Debt Securities)</t>
  </si>
  <si>
    <t>Gain (Loss) on all other Investments or other Hedged items (not Equity or Trading Debt Securities)</t>
  </si>
  <si>
    <t xml:space="preserve">    Gain (Loss) on Derivatives</t>
  </si>
  <si>
    <t xml:space="preserve">    Gain (Loss) on Disposition of Fixed Assets</t>
  </si>
  <si>
    <t xml:space="preserve">    Gain (Loss) on Sales of Loans and Leases</t>
  </si>
  <si>
    <t xml:space="preserve">    Gain (Loss) on Sales of Other Real Estate Owned</t>
  </si>
  <si>
    <t xml:space="preserve">    Gain from Bargain Purchase (Merger)</t>
  </si>
  <si>
    <t xml:space="preserve">    Other Non-interest Income</t>
  </si>
  <si>
    <t>TOTAL NON-INTEREST INCOME</t>
  </si>
  <si>
    <t>NON-INTEREST EXPENSE YEAR-TO-DATE</t>
  </si>
  <si>
    <t xml:space="preserve">    Employee Compensation &amp; Benefits</t>
  </si>
  <si>
    <t xml:space="preserve">    Travel, Conference Expense</t>
  </si>
  <si>
    <t xml:space="preserve">    Office Occupancy</t>
  </si>
  <si>
    <t xml:space="preserve">    Office Operation Expense</t>
  </si>
  <si>
    <t xml:space="preserve">    Educational and Promotion</t>
  </si>
  <si>
    <t xml:space="preserve">    Loan Servicing Expense</t>
  </si>
  <si>
    <t xml:space="preserve">    Professional, Outside Service</t>
  </si>
  <si>
    <t xml:space="preserve">    Member Insurance</t>
  </si>
  <si>
    <t xml:space="preserve">    Operating Fees</t>
  </si>
  <si>
    <t xml:space="preserve">    Miscellaneous Non-Interest Expense</t>
  </si>
  <si>
    <t>TOTAL NON-INTEREST EXPENSE</t>
  </si>
  <si>
    <t>NET INCOME (LOSS)</t>
  </si>
  <si>
    <t>* All Income/Expense amounts are year-to-date while the related % change ratios are annualized.</t>
  </si>
  <si>
    <r>
      <rPr>
        <vertAlign val="superscript"/>
        <sz val="8"/>
        <color rgb="FF000000"/>
        <rFont val="Arial"/>
        <family val="2"/>
      </rPr>
      <t>1</t>
    </r>
    <r>
      <rPr>
        <sz val="8"/>
        <color rgb="FF000000"/>
        <rFont val="Arial"/>
        <family val="2"/>
      </rPr>
      <t xml:space="preserve"> For periods prior to 3/31/19, this includes Income from Trading. For 3/31/19 to 12/31/20, this includes Unrealized Gain (Loss) due to change in fair value of Equity and Trading Debt Securities.</t>
    </r>
  </si>
  <si>
    <t>7.IncExp</t>
  </si>
  <si>
    <t xml:space="preserve">    Unsecured Credit Card Loans</t>
  </si>
  <si>
    <t xml:space="preserve">    Payday Alternative Loans (PAL I and PAL II loans) (FCUs only)</t>
  </si>
  <si>
    <t xml:space="preserve">    Non-Federally Guaranteed Student Loans</t>
  </si>
  <si>
    <t xml:space="preserve">    All Other Unsecured Loans/Lines of Credit</t>
  </si>
  <si>
    <t xml:space="preserve">    New Vehicle Loans</t>
  </si>
  <si>
    <t xml:space="preserve">    Used Vehicle Loans</t>
  </si>
  <si>
    <t xml:space="preserve">    Leases Receivable</t>
  </si>
  <si>
    <t xml:space="preserve">    All Other Secured Non-Real Estate Loans/Lines of Credit </t>
  </si>
  <si>
    <t xml:space="preserve">    1- to 4-Family Residential Property Loans/Lines of Credit Secured by 1st Lien </t>
  </si>
  <si>
    <t xml:space="preserve">    1- to 4-Family Residential Property Loans/Lines of Credit Secured by Junior Lien  </t>
  </si>
  <si>
    <t xml:space="preserve">    All Other (Non-Commercial) Real Estate Loans/Lines of Credit </t>
  </si>
  <si>
    <t xml:space="preserve">    Commercial Loans/Lines of Credit Real Estate Secured </t>
  </si>
  <si>
    <t xml:space="preserve">    Commercial Loans/Lines of Credit Not Real Estate Secured</t>
  </si>
  <si>
    <t>LOANS GRANTED</t>
  </si>
  <si>
    <t xml:space="preserve">    Number of Loans Granted Year-to-Date</t>
  </si>
  <si>
    <t xml:space="preserve">    Amount of Loans Granted Year-to-Date</t>
  </si>
  <si>
    <t xml:space="preserve">    Number of PALs I and PALs II Granted Year-to-Date</t>
  </si>
  <si>
    <t xml:space="preserve">    Amount of PALs I and PALs II Granted Year-to-Date</t>
  </si>
  <si>
    <t>MEMBER SERVICE AND PRODUCT OFFERINGS (Credit Programs):</t>
  </si>
  <si>
    <t xml:space="preserve">    First Time Homebuyer Program</t>
  </si>
  <si>
    <t xml:space="preserve">    Credit Builder</t>
  </si>
  <si>
    <t xml:space="preserve">    Payday Alternative 1 Loans (PALs I loans) (FCUs only)</t>
  </si>
  <si>
    <t xml:space="preserve">    Payday Alternative 2 Loans (PALs II loans) (FCUs only) </t>
  </si>
  <si>
    <t>GOVERNMENT GUARANTEED LOANS</t>
  </si>
  <si>
    <t xml:space="preserve">    Non-Commercial Loans</t>
  </si>
  <si>
    <t xml:space="preserve">       Small Business Administration (SBA) Outstanding Balance</t>
  </si>
  <si>
    <t xml:space="preserve">       SBA Guaranteed Portion</t>
  </si>
  <si>
    <t xml:space="preserve">       Paycheck Protection Program (PPP) Loans (included in SBA)   
       Outstanding Balance</t>
  </si>
  <si>
    <t xml:space="preserve">       Other Government Guaranteed Outstanding Balance</t>
  </si>
  <si>
    <t xml:space="preserve">       Other Government Guaranteed Guaranteed Portion</t>
  </si>
  <si>
    <t xml:space="preserve">    Commercial Loans</t>
  </si>
  <si>
    <t xml:space="preserve">       SBA Commercial Loans Outstanding Balance</t>
  </si>
  <si>
    <t xml:space="preserve">       SBA Commercial Loans Guaranteed Portion</t>
  </si>
  <si>
    <t xml:space="preserve">       Other Government Guaranteed Commercial Loans Outstanding Balance</t>
  </si>
  <si>
    <t xml:space="preserve">       Other Government Guaranteed Commercial Loans Guaranteed Portion</t>
  </si>
  <si>
    <t>8. Loans</t>
  </si>
  <si>
    <t>Delinquent Loan Information</t>
  </si>
  <si>
    <t>DELINQUENCY SUMMARY -  ALL LOAN TYPES</t>
  </si>
  <si>
    <t xml:space="preserve">    30 to 59 Days Delinquent</t>
  </si>
  <si>
    <r>
      <rPr>
        <sz val="9"/>
        <color rgb="FF000000"/>
        <rFont val="Arial"/>
        <family val="2"/>
      </rPr>
      <t xml:space="preserve">    60 to 89 Days Delinquent</t>
    </r>
    <r>
      <rPr>
        <vertAlign val="superscript"/>
        <sz val="9"/>
        <color rgb="FF000000"/>
        <rFont val="Arial"/>
        <family val="2"/>
      </rPr>
      <t>1</t>
    </r>
  </si>
  <si>
    <r>
      <rPr>
        <sz val="9"/>
        <color rgb="FF000000"/>
        <rFont val="Arial"/>
        <family val="2"/>
      </rPr>
      <t xml:space="preserve">    90 to 179 Days Delinquent</t>
    </r>
    <r>
      <rPr>
        <vertAlign val="superscript"/>
        <sz val="9"/>
        <color rgb="FF000000"/>
        <rFont val="Arial"/>
        <family val="2"/>
      </rPr>
      <t>1</t>
    </r>
  </si>
  <si>
    <t xml:space="preserve">    180 to 359 Days Delinquent</t>
  </si>
  <si>
    <t xml:space="preserve">     &gt; = 360 Days Delinquent</t>
  </si>
  <si>
    <t>Total Delinquent Loans - All Types (&gt; = 60 Days)</t>
  </si>
  <si>
    <t xml:space="preserve">% Delinquent Loans / Total Loans </t>
  </si>
  <si>
    <t>Amount of Loans in Non-Accrual Status</t>
  </si>
  <si>
    <r>
      <rPr>
        <b/>
        <sz val="9"/>
        <color rgb="FF000000"/>
        <rFont val="Arial"/>
        <family val="2"/>
      </rPr>
      <t>COMMERCIAL LOAN DELINQUENCY RATIOS</t>
    </r>
    <r>
      <rPr>
        <b/>
        <vertAlign val="superscript"/>
        <sz val="9"/>
        <color rgb="FF000000"/>
        <rFont val="Arial"/>
        <family val="2"/>
      </rPr>
      <t>1</t>
    </r>
  </si>
  <si>
    <t xml:space="preserve">% Comm Lns &gt; = 30 Days Delinquent  </t>
  </si>
  <si>
    <t>% Comm Lns &gt; = 60 Days Delinquent</t>
  </si>
  <si>
    <t>DELINQUENT LOANS BY CATEGORY:</t>
  </si>
  <si>
    <t>Unsecured Credit Card Loans</t>
  </si>
  <si>
    <r>
      <rPr>
        <sz val="9"/>
        <color rgb="FF000000"/>
        <rFont val="Arial"/>
        <family val="2"/>
      </rPr>
      <t xml:space="preserve">    60 to 89 Days Delinquent</t>
    </r>
    <r>
      <rPr>
        <vertAlign val="superscript"/>
        <sz val="9"/>
        <color rgb="FF000000"/>
        <rFont val="Arial"/>
        <family val="2"/>
      </rPr>
      <t>1</t>
    </r>
  </si>
  <si>
    <r>
      <rPr>
        <sz val="9"/>
        <color rgb="FF000000"/>
        <rFont val="Arial"/>
        <family val="2"/>
      </rPr>
      <t xml:space="preserve">    90 to 179 Days Delinquent</t>
    </r>
    <r>
      <rPr>
        <vertAlign val="superscript"/>
        <sz val="9"/>
        <color rgb="FF000000"/>
        <rFont val="Arial"/>
        <family val="2"/>
      </rPr>
      <t>1</t>
    </r>
  </si>
  <si>
    <t>Total Delinquent Credit Card Lns (&gt; = 60 Days)</t>
  </si>
  <si>
    <t>Credit Cards delinquent &gt; = 60 Days / Total Credit Card Loans %</t>
  </si>
  <si>
    <t>Payday Alternative Loans (PAL I and PAL II loans) (FCUs Only)</t>
  </si>
  <si>
    <r>
      <rPr>
        <sz val="9"/>
        <color rgb="FF000000"/>
        <rFont val="Arial"/>
        <family val="2"/>
      </rPr>
      <t xml:space="preserve">    60 to 89 Days Delinquent</t>
    </r>
    <r>
      <rPr>
        <vertAlign val="superscript"/>
        <sz val="9"/>
        <color rgb="FF000000"/>
        <rFont val="Arial"/>
        <family val="2"/>
      </rPr>
      <t>1</t>
    </r>
  </si>
  <si>
    <r>
      <rPr>
        <sz val="9"/>
        <color rgb="FF000000"/>
        <rFont val="Arial"/>
        <family val="2"/>
      </rPr>
      <t xml:space="preserve">    90 to 179 Days Delinquent</t>
    </r>
    <r>
      <rPr>
        <vertAlign val="superscript"/>
        <sz val="9"/>
        <color rgb="FF000000"/>
        <rFont val="Arial"/>
        <family val="2"/>
      </rPr>
      <t>1</t>
    </r>
  </si>
  <si>
    <t>Total PAL I and II Loans Delinquent &gt; = 60 Days</t>
  </si>
  <si>
    <t>PAL I and II Loans delinquent &gt; = 60 Days / Total PAL I and II Loans %</t>
  </si>
  <si>
    <t>Non-Federally Guaranteed Student Loans</t>
  </si>
  <si>
    <r>
      <rPr>
        <sz val="9"/>
        <color rgb="FF000000"/>
        <rFont val="Arial"/>
        <family val="2"/>
      </rPr>
      <t xml:space="preserve">    60 to 89 Days Delinquent</t>
    </r>
    <r>
      <rPr>
        <vertAlign val="superscript"/>
        <sz val="9"/>
        <color rgb="FF000000"/>
        <rFont val="Arial"/>
        <family val="2"/>
      </rPr>
      <t>1</t>
    </r>
  </si>
  <si>
    <r>
      <rPr>
        <sz val="9"/>
        <color rgb="FF000000"/>
        <rFont val="Arial"/>
        <family val="2"/>
      </rPr>
      <t xml:space="preserve">    90 to 179 Days Delinquent</t>
    </r>
    <r>
      <rPr>
        <vertAlign val="superscript"/>
        <sz val="9"/>
        <color rgb="FF000000"/>
        <rFont val="Arial"/>
        <family val="2"/>
      </rPr>
      <t>1</t>
    </r>
  </si>
  <si>
    <t>Total Non-Federally Guaranteed Student Loans Delinquent &gt; = 60 Days</t>
  </si>
  <si>
    <t>Non-Federally Guaranteed Student Loans Delinquent &gt; = 60 Days / Total Non-Federally Guaranteed Student Loans %</t>
  </si>
  <si>
    <r>
      <rPr>
        <vertAlign val="superscript"/>
        <sz val="8"/>
        <color rgb="FF000000"/>
        <rFont val="Arial"/>
        <family val="2"/>
      </rPr>
      <t xml:space="preserve">1 </t>
    </r>
    <r>
      <rPr>
        <sz val="8"/>
        <color rgb="FF000000"/>
        <rFont val="Arial"/>
        <family val="2"/>
      </rPr>
      <t>Prior to 3/31/22, loans delinquent 60 - 89 days delinquent were combined with loans 60 - 179 days delinquent.</t>
    </r>
  </si>
  <si>
    <t xml:space="preserve">9. Delinquent Loans </t>
  </si>
  <si>
    <t>Delinquent Loan Information (continued)</t>
  </si>
  <si>
    <t>DELINQUENT LOANS BY CATEGORY (continued)</t>
  </si>
  <si>
    <t>All Other Unsecured Loans/Lines of Credit</t>
  </si>
  <si>
    <r>
      <rPr>
        <sz val="9"/>
        <color rgb="FF000000"/>
        <rFont val="Arial"/>
        <family val="2"/>
      </rPr>
      <t xml:space="preserve">    60 to 89 Days Delinquent</t>
    </r>
    <r>
      <rPr>
        <vertAlign val="superscript"/>
        <sz val="9"/>
        <color rgb="FF000000"/>
        <rFont val="Arial"/>
        <family val="2"/>
      </rPr>
      <t>1</t>
    </r>
  </si>
  <si>
    <r>
      <rPr>
        <sz val="9"/>
        <color rgb="FF000000"/>
        <rFont val="Arial"/>
        <family val="2"/>
      </rPr>
      <t xml:space="preserve">    90 to 179 Days Delinquent</t>
    </r>
    <r>
      <rPr>
        <vertAlign val="superscript"/>
        <sz val="9"/>
        <color rgb="FF000000"/>
        <rFont val="Arial"/>
        <family val="2"/>
      </rPr>
      <t>1</t>
    </r>
  </si>
  <si>
    <t xml:space="preserve">    &gt; = 360 Days Delinquent</t>
  </si>
  <si>
    <t>Total All Other Unsecured Loans/Lines of Credit Delinquent &gt;= 60 days</t>
  </si>
  <si>
    <t>All Other Unsecured Loans/Lines of Credit &gt;=60 Days/Total All Other Unsecured Loans/Lines of Credit %</t>
  </si>
  <si>
    <t>New Vehicle Loans</t>
  </si>
  <si>
    <r>
      <rPr>
        <sz val="9"/>
        <color rgb="FF000000"/>
        <rFont val="Arial"/>
        <family val="2"/>
      </rPr>
      <t xml:space="preserve">    60 to 89 Days Delinquent</t>
    </r>
    <r>
      <rPr>
        <vertAlign val="superscript"/>
        <sz val="9"/>
        <color rgb="FF000000"/>
        <rFont val="Arial"/>
        <family val="2"/>
      </rPr>
      <t>1</t>
    </r>
  </si>
  <si>
    <r>
      <rPr>
        <sz val="9"/>
        <color rgb="FF000000"/>
        <rFont val="Arial"/>
        <family val="2"/>
      </rPr>
      <t xml:space="preserve">    90 to 179 Days Delinquent</t>
    </r>
    <r>
      <rPr>
        <vertAlign val="superscript"/>
        <sz val="9"/>
        <color rgb="FF000000"/>
        <rFont val="Arial"/>
        <family val="2"/>
      </rPr>
      <t>1</t>
    </r>
  </si>
  <si>
    <t xml:space="preserve">    Total Del New Vehicle Lns (&gt; = 60 Days)</t>
  </si>
  <si>
    <t>New Vehicle Loans &gt;= 60 Days/ Total New Vehicle Loans%</t>
  </si>
  <si>
    <t>Used Vehicle Loans</t>
  </si>
  <si>
    <r>
      <rPr>
        <sz val="9"/>
        <color rgb="FF000000"/>
        <rFont val="Arial"/>
        <family val="2"/>
      </rPr>
      <t xml:space="preserve">    60 to 89 Days Delinquent</t>
    </r>
    <r>
      <rPr>
        <vertAlign val="superscript"/>
        <sz val="9"/>
        <color rgb="FF000000"/>
        <rFont val="Arial"/>
        <family val="2"/>
      </rPr>
      <t>1</t>
    </r>
  </si>
  <si>
    <r>
      <rPr>
        <sz val="9"/>
        <color rgb="FF000000"/>
        <rFont val="Arial"/>
        <family val="2"/>
      </rPr>
      <t xml:space="preserve">    90 to 179 Days Delinquent</t>
    </r>
    <r>
      <rPr>
        <vertAlign val="superscript"/>
        <sz val="9"/>
        <color rgb="FF000000"/>
        <rFont val="Arial"/>
        <family val="2"/>
      </rPr>
      <t>1</t>
    </r>
  </si>
  <si>
    <t xml:space="preserve">    Total Del Used Vehicle Lns (&gt; = 60 Days)</t>
  </si>
  <si>
    <t>Used Vehicle Loans &gt;= 60 Days/ Total Used Vehicle Loans %</t>
  </si>
  <si>
    <t>Total New &amp; Used Vehicle Loans &gt; = 60 Days/ Total New &amp; Used Vehicle Loans %</t>
  </si>
  <si>
    <t>Leases Receivable</t>
  </si>
  <si>
    <r>
      <rPr>
        <sz val="9"/>
        <color rgb="FF000000"/>
        <rFont val="Arial"/>
        <family val="2"/>
      </rPr>
      <t xml:space="preserve">    60 to 89 Days Delinquent</t>
    </r>
    <r>
      <rPr>
        <vertAlign val="superscript"/>
        <sz val="9"/>
        <color rgb="FF000000"/>
        <rFont val="Arial"/>
        <family val="2"/>
      </rPr>
      <t>1</t>
    </r>
  </si>
  <si>
    <r>
      <rPr>
        <sz val="9"/>
        <color rgb="FF000000"/>
        <rFont val="Arial"/>
        <family val="2"/>
      </rPr>
      <t xml:space="preserve">    90 to 179 Days Delinquent</t>
    </r>
    <r>
      <rPr>
        <vertAlign val="superscript"/>
        <sz val="9"/>
        <color rgb="FF000000"/>
        <rFont val="Arial"/>
        <family val="2"/>
      </rPr>
      <t>1</t>
    </r>
  </si>
  <si>
    <t xml:space="preserve">    Total Del Leases Receivable (&gt; = 60 Days)</t>
  </si>
  <si>
    <t>Leases Receivable Delinquent &gt;= 60 Days / Total Leases Receivable%</t>
  </si>
  <si>
    <t>All Other Secured Non-Real Estate Loans/Lines of Credit</t>
  </si>
  <si>
    <r>
      <rPr>
        <sz val="9"/>
        <color rgb="FF000000"/>
        <rFont val="Arial"/>
        <family val="2"/>
      </rPr>
      <t xml:space="preserve">    60 to 89 Days Delinquent</t>
    </r>
    <r>
      <rPr>
        <vertAlign val="superscript"/>
        <sz val="9"/>
        <color rgb="FF000000"/>
        <rFont val="Arial"/>
        <family val="2"/>
      </rPr>
      <t>1</t>
    </r>
  </si>
  <si>
    <r>
      <rPr>
        <sz val="9"/>
        <color rgb="FF000000"/>
        <rFont val="Arial"/>
        <family val="2"/>
      </rPr>
      <t xml:space="preserve">    90 to 179 Days Delinquent</t>
    </r>
    <r>
      <rPr>
        <vertAlign val="superscript"/>
        <sz val="9"/>
        <color rgb="FF000000"/>
        <rFont val="Arial"/>
        <family val="2"/>
      </rPr>
      <t>1</t>
    </r>
  </si>
  <si>
    <t xml:space="preserve">    Total Del All Other Secured Loans (&gt; = 60 Days)</t>
  </si>
  <si>
    <t>All Other Secured Loans &gt;= 60 Days / Total All Other Secured Loans%</t>
  </si>
  <si>
    <t>Outstanding balances of loans affected by bankruptcy claims</t>
  </si>
  <si>
    <t>Outstanding Troubled Debt Restructured loans or Modifications to Borrowers Experiencing Financial Difficulty</t>
  </si>
  <si>
    <t>Amount of loans to borrowers experiencing financial difficulty not in compliance with modified loan terms</t>
  </si>
  <si>
    <t>1 - Prior to 3/31/22, loans delinquent 60 - 89 days delinquent were combined with loans 60 - 179 days delinquent.</t>
  </si>
  <si>
    <t>10. Delinquent Loans (con't)</t>
  </si>
  <si>
    <r>
      <rPr>
        <b/>
        <sz val="9"/>
        <color rgb="FF000000"/>
        <rFont val="Arial"/>
        <family val="2"/>
      </rPr>
      <t>Delinquent 1- to 4-Family Residential and Other Non-Commercial Real Estate Loans</t>
    </r>
    <r>
      <rPr>
        <b/>
        <vertAlign val="superscript"/>
        <sz val="9"/>
        <color rgb="FF000000"/>
        <rFont val="Arial"/>
        <family val="2"/>
      </rPr>
      <t>1</t>
    </r>
  </si>
  <si>
    <t xml:space="preserve">DELINQUENT REAL ESTATE LOANS BY CATEGORY </t>
  </si>
  <si>
    <t>Secured by a 1st Lien on a single 1- to 4-Family Residential Property</t>
  </si>
  <si>
    <r>
      <rPr>
        <sz val="9"/>
        <color rgb="FF000000"/>
        <rFont val="Arial"/>
        <family val="2"/>
      </rPr>
      <t xml:space="preserve">    60 to 89 Days Delinquent</t>
    </r>
    <r>
      <rPr>
        <vertAlign val="superscript"/>
        <sz val="10"/>
        <color rgb="FF000000"/>
        <rFont val="Arial"/>
        <family val="2"/>
      </rPr>
      <t>1</t>
    </r>
  </si>
  <si>
    <r>
      <rPr>
        <sz val="9"/>
        <color rgb="FF000000"/>
        <rFont val="Arial"/>
        <family val="2"/>
      </rPr>
      <t xml:space="preserve">    90 to 179 Days Delinquent</t>
    </r>
    <r>
      <rPr>
        <vertAlign val="superscript"/>
        <sz val="10"/>
        <color rgb="FF000000"/>
        <rFont val="Arial"/>
        <family val="2"/>
      </rPr>
      <t>1</t>
    </r>
  </si>
  <si>
    <t>Total 1- to 4-Family Residential Property Secured by a 1st Lien loans delinquent &gt; = 60 Days</t>
  </si>
  <si>
    <t>1- to 4-Family Residential Property Secured by a 1st Lien loans &gt;= 60 Days / 
Total 1- to 4-Family Residential Property Secured by a 1st Lien loans %</t>
  </si>
  <si>
    <t>Secured by Junior Lien on a single 1- to 4-Family Residential Property</t>
  </si>
  <si>
    <r>
      <rPr>
        <sz val="9"/>
        <color rgb="FF000000"/>
        <rFont val="Arial"/>
        <family val="2"/>
      </rPr>
      <t xml:space="preserve">    60 to 89 Days Delinquent</t>
    </r>
    <r>
      <rPr>
        <vertAlign val="superscript"/>
        <sz val="10"/>
        <color rgb="FF000000"/>
        <rFont val="Arial"/>
        <family val="2"/>
      </rPr>
      <t>1</t>
    </r>
  </si>
  <si>
    <r>
      <rPr>
        <sz val="9"/>
        <color rgb="FF000000"/>
        <rFont val="Arial"/>
        <family val="2"/>
      </rPr>
      <t xml:space="preserve">    90 to 179 Days Delinquent</t>
    </r>
    <r>
      <rPr>
        <vertAlign val="superscript"/>
        <sz val="10"/>
        <color rgb="FF000000"/>
        <rFont val="Arial"/>
        <family val="2"/>
      </rPr>
      <t>1</t>
    </r>
  </si>
  <si>
    <t>Total 1- to 4-Family Residential Property Secured by a Junior Lien loans delinquent &gt; = 60 Days</t>
  </si>
  <si>
    <t>1- to 4-Family Residential Property Secured by a Junior Lien loans &gt;= 60 Days / Total 1- to 4-Family Residential Property Secured by a Junior Lien loans %</t>
  </si>
  <si>
    <t>All Other (Non-Commercial) Real Estate Loans/Lines of Credit</t>
  </si>
  <si>
    <r>
      <rPr>
        <sz val="9"/>
        <color rgb="FF000000"/>
        <rFont val="Arial"/>
        <family val="2"/>
      </rPr>
      <t xml:space="preserve">    60 to 89 Days Delinquent</t>
    </r>
    <r>
      <rPr>
        <vertAlign val="superscript"/>
        <sz val="10"/>
        <color rgb="FF000000"/>
        <rFont val="Arial"/>
        <family val="2"/>
      </rPr>
      <t>1</t>
    </r>
  </si>
  <si>
    <r>
      <rPr>
        <sz val="9"/>
        <color rgb="FF000000"/>
        <rFont val="Arial"/>
        <family val="2"/>
      </rPr>
      <t xml:space="preserve">    90 to 179 Days Delinquent</t>
    </r>
    <r>
      <rPr>
        <vertAlign val="superscript"/>
        <sz val="10"/>
        <color rgb="FF000000"/>
        <rFont val="Arial"/>
        <family val="2"/>
      </rPr>
      <t>1</t>
    </r>
  </si>
  <si>
    <t>Total All Other (Non-Commercial) Real Estate Loans/Lines of Credit delinquent &gt; = 60 Days</t>
  </si>
  <si>
    <t>All Other (Non-Commercial) Real Estate Loans/Lines of Credit Delinquent &gt;= 60 Days / Total All Other (Non-Commercial) Real Estate Loans/Lines of Credit %</t>
  </si>
  <si>
    <t>Total 1- to 4-Family Residential Property and All Other Consumer Real Estate Loans/Lines of Credit (Non-Commercial) Delinquent &gt;= 60 Days</t>
  </si>
  <si>
    <t>Total 1- to 4-Family Residential Property and All Other Consumer Real Estate Loans/Lines of Credit (Non-Commercial) Delinquent &gt;= 60 Days / Total 1- to 4-Family Residential Property and All Other Consumer Real Estate Loans/Lines of Credit (Non-Commercial)</t>
  </si>
  <si>
    <r>
      <rPr>
        <vertAlign val="superscript"/>
        <sz val="8"/>
        <color rgb="FF000000"/>
        <rFont val="Arial"/>
        <family val="2"/>
      </rPr>
      <t>1</t>
    </r>
    <r>
      <rPr>
        <sz val="8"/>
        <color rgb="FF000000"/>
        <rFont val="Arial"/>
        <family val="2"/>
      </rPr>
      <t xml:space="preserve"> Prior to 3/31/22, loans delinquent 60 - 89 days delinquent were combined with loans 60 - 179 days delinquent.</t>
    </r>
  </si>
  <si>
    <t>11. Delinquent RE Loans</t>
  </si>
  <si>
    <t>Delinquent Commercial Loans</t>
  </si>
  <si>
    <t>DELINQUENT COMMERCIAL LOANS/LINES OF CREDIT BY CATEGORY</t>
  </si>
  <si>
    <t>Construction and Development Loans</t>
  </si>
  <si>
    <r>
      <rPr>
        <sz val="9"/>
        <color rgb="FF000000"/>
        <rFont val="Arial"/>
        <family val="2"/>
      </rPr>
      <t xml:space="preserve">    60 to 89 Days Delinquent</t>
    </r>
    <r>
      <rPr>
        <vertAlign val="superscript"/>
        <sz val="10"/>
        <color rgb="FF000000"/>
        <rFont val="Arial"/>
        <family val="2"/>
      </rPr>
      <t>1</t>
    </r>
  </si>
  <si>
    <r>
      <rPr>
        <sz val="9"/>
        <color rgb="FF000000"/>
        <rFont val="Arial"/>
        <family val="2"/>
      </rPr>
      <t xml:space="preserve">    90 to 179 Days Delinquent</t>
    </r>
    <r>
      <rPr>
        <vertAlign val="superscript"/>
        <sz val="10"/>
        <color rgb="FF000000"/>
        <rFont val="Arial"/>
        <family val="2"/>
      </rPr>
      <t>1</t>
    </r>
  </si>
  <si>
    <t xml:space="preserve">   180 to 359 Days Delinquent</t>
  </si>
  <si>
    <t>Total Construction and Development loans delinquent &gt; = 60 Days</t>
  </si>
  <si>
    <t>Construction and Development loans &gt;= 60 Days / Total Construction and Development loans %</t>
  </si>
  <si>
    <t>Secured by Farmland</t>
  </si>
  <si>
    <r>
      <rPr>
        <sz val="9"/>
        <color rgb="FF000000"/>
        <rFont val="Arial"/>
        <family val="2"/>
      </rPr>
      <t xml:space="preserve">    60 to 89 Days Delinquent</t>
    </r>
    <r>
      <rPr>
        <vertAlign val="superscript"/>
        <sz val="10"/>
        <color rgb="FF000000"/>
        <rFont val="Arial"/>
        <family val="2"/>
      </rPr>
      <t>1</t>
    </r>
  </si>
  <si>
    <r>
      <rPr>
        <sz val="9"/>
        <color rgb="FF000000"/>
        <rFont val="Arial"/>
        <family val="2"/>
      </rPr>
      <t xml:space="preserve">    90 to 179 Days Delinquent</t>
    </r>
    <r>
      <rPr>
        <vertAlign val="superscript"/>
        <sz val="10"/>
        <color rgb="FF000000"/>
        <rFont val="Arial"/>
        <family val="2"/>
      </rPr>
      <t>1</t>
    </r>
  </si>
  <si>
    <t>Total loans Secured by Farmland delinquent &gt; = 60 Days</t>
  </si>
  <si>
    <t>Loans Secured by Farmland &gt;= 60 Days Del / Total loans Secured by Farmland %</t>
  </si>
  <si>
    <t>Secured by Multifamily</t>
  </si>
  <si>
    <r>
      <rPr>
        <sz val="9"/>
        <color rgb="FF000000"/>
        <rFont val="Arial"/>
        <family val="2"/>
      </rPr>
      <t xml:space="preserve">    60 to 89 Days Delinquent</t>
    </r>
    <r>
      <rPr>
        <vertAlign val="superscript"/>
        <sz val="10"/>
        <color rgb="FF000000"/>
        <rFont val="Arial"/>
        <family val="2"/>
      </rPr>
      <t>1</t>
    </r>
  </si>
  <si>
    <r>
      <rPr>
        <sz val="9"/>
        <color rgb="FF000000"/>
        <rFont val="Arial"/>
        <family val="2"/>
      </rPr>
      <t xml:space="preserve">    90 to 179 Days Delinquent</t>
    </r>
    <r>
      <rPr>
        <vertAlign val="superscript"/>
        <sz val="10"/>
        <color rgb="FF000000"/>
        <rFont val="Arial"/>
        <family val="2"/>
      </rPr>
      <t>1</t>
    </r>
  </si>
  <si>
    <t>Total loans Secured by Multifamily delinquent &gt; = 60 Days</t>
  </si>
  <si>
    <t>Loans Secured by Multifamily &gt;= 60 Days Del / Total loans Secured by Multifamily %</t>
  </si>
  <si>
    <t>Secured by Owner Occupied, Non-Farm, Non-Residential Property</t>
  </si>
  <si>
    <r>
      <rPr>
        <sz val="9"/>
        <color rgb="FF000000"/>
        <rFont val="Arial"/>
        <family val="2"/>
      </rPr>
      <t xml:space="preserve">    60 to 89 Days Delinquent</t>
    </r>
    <r>
      <rPr>
        <vertAlign val="superscript"/>
        <sz val="10"/>
        <color rgb="FF000000"/>
        <rFont val="Arial"/>
        <family val="2"/>
      </rPr>
      <t>1</t>
    </r>
  </si>
  <si>
    <r>
      <rPr>
        <sz val="9"/>
        <color rgb="FF000000"/>
        <rFont val="Arial"/>
        <family val="2"/>
      </rPr>
      <t xml:space="preserve">    90 to 179 Days Delinquent</t>
    </r>
    <r>
      <rPr>
        <vertAlign val="superscript"/>
        <sz val="10"/>
        <color rgb="FF000000"/>
        <rFont val="Arial"/>
        <family val="2"/>
      </rPr>
      <t>1</t>
    </r>
  </si>
  <si>
    <t>Total loans Secured by Owner Occupied, Non-Farm, Non-Residential Property &gt; = 60 Days</t>
  </si>
  <si>
    <t>Loans Secured by Owner Occupied, Non-Farm, Non-Residential Property &gt;= 60 Days Del / Total loans Secured by Owner Occupied, Non-Farm, Non-Residential Property %</t>
  </si>
  <si>
    <t>Secured by Non-Owner Occupied, Non-Farm, Non-Residential Property</t>
  </si>
  <si>
    <r>
      <rPr>
        <sz val="9"/>
        <color rgb="FF000000"/>
        <rFont val="Arial"/>
        <family val="2"/>
      </rPr>
      <t xml:space="preserve">    60 to 89 Days Delinquent</t>
    </r>
    <r>
      <rPr>
        <vertAlign val="superscript"/>
        <sz val="10"/>
        <color rgb="FF000000"/>
        <rFont val="Arial"/>
        <family val="2"/>
      </rPr>
      <t>1</t>
    </r>
  </si>
  <si>
    <r>
      <rPr>
        <sz val="9"/>
        <color rgb="FF000000"/>
        <rFont val="Arial"/>
        <family val="2"/>
      </rPr>
      <t xml:space="preserve">    90 to 179 Days Delinquent</t>
    </r>
    <r>
      <rPr>
        <vertAlign val="superscript"/>
        <sz val="10"/>
        <color rgb="FF000000"/>
        <rFont val="Arial"/>
        <family val="2"/>
      </rPr>
      <t>1</t>
    </r>
  </si>
  <si>
    <t>Total loans Secured by Non-Owner Occupied, Non-Farm, Non-Residential Property &gt; = 60 Days</t>
  </si>
  <si>
    <r>
      <rPr>
        <vertAlign val="superscript"/>
        <sz val="8"/>
        <color rgb="FF000000"/>
        <rFont val="Arial"/>
        <family val="2"/>
      </rPr>
      <t>1</t>
    </r>
    <r>
      <rPr>
        <sz val="8"/>
        <color rgb="FF000000"/>
        <rFont val="Arial"/>
        <family val="2"/>
      </rPr>
      <t xml:space="preserve"> Prior to 3/31/22, loans delinquent 60 - 89 days delinquent were combined with loans 60 - 179 days delinquent.</t>
    </r>
  </si>
  <si>
    <t>12. Del Comm Loans</t>
  </si>
  <si>
    <t>DELINQUENT COMMERCIAL LOANS/LINES OF CREDIT BY CATEGORY (continued)</t>
  </si>
  <si>
    <t>Secured by Non-Owner Occupied, Non-Farm, Non-Residential Property (continued)</t>
  </si>
  <si>
    <t>Loans Secured by Non-Owner Occupied, Non-Farm, Non-Residential Property &gt;= 60 Days Del / Total loans Secured by Non-Owner Occupied, Non-Farm, Non-Residential Property %</t>
  </si>
  <si>
    <t>Loans to finance agricultural production and other loans to farmers</t>
  </si>
  <si>
    <r>
      <rPr>
        <sz val="9"/>
        <color rgb="FF000000"/>
        <rFont val="Arial"/>
        <family val="2"/>
      </rPr>
      <t xml:space="preserve">    60 to 89 Days Delinquent</t>
    </r>
    <r>
      <rPr>
        <vertAlign val="superscript"/>
        <sz val="9"/>
        <color rgb="FF000000"/>
        <rFont val="Arial"/>
        <family val="2"/>
      </rPr>
      <t>1</t>
    </r>
  </si>
  <si>
    <r>
      <rPr>
        <sz val="9"/>
        <color rgb="FF000000"/>
        <rFont val="Arial"/>
        <family val="2"/>
      </rPr>
      <t xml:space="preserve">    90 to 179 Days Delinquent</t>
    </r>
    <r>
      <rPr>
        <vertAlign val="superscript"/>
        <sz val="9"/>
        <color rgb="FF000000"/>
        <rFont val="Arial"/>
        <family val="2"/>
      </rPr>
      <t>1</t>
    </r>
  </si>
  <si>
    <t>Total delinquent loans to finance agricultural production and other loans to farmers &gt; = 60 Days</t>
  </si>
  <si>
    <t>Loans to finance agricultural production and other loans to farmers delinquent &gt;= 60 Days / Total Loans to finance agricultural production and other loans to farmers %</t>
  </si>
  <si>
    <t>Commercial and Industrial Loans</t>
  </si>
  <si>
    <r>
      <rPr>
        <sz val="9"/>
        <color rgb="FF000000"/>
        <rFont val="Arial"/>
        <family val="2"/>
      </rPr>
      <t xml:space="preserve">    60 to 89 Days Delinquent</t>
    </r>
    <r>
      <rPr>
        <vertAlign val="superscript"/>
        <sz val="9"/>
        <color rgb="FF000000"/>
        <rFont val="Arial"/>
        <family val="2"/>
      </rPr>
      <t>1</t>
    </r>
  </si>
  <si>
    <r>
      <rPr>
        <sz val="9"/>
        <color rgb="FF000000"/>
        <rFont val="Arial"/>
        <family val="2"/>
      </rPr>
      <t xml:space="preserve">    90 to 179 Days Delinquent</t>
    </r>
    <r>
      <rPr>
        <vertAlign val="superscript"/>
        <sz val="9"/>
        <color rgb="FF000000"/>
        <rFont val="Arial"/>
        <family val="2"/>
      </rPr>
      <t>1</t>
    </r>
  </si>
  <si>
    <t>Total Commercial and Industrial Loans delinquent &gt; = 60 Days</t>
  </si>
  <si>
    <t>Commercial and Industrial Loans &gt;= 60 Days / Total Commercial and Industrial Loans %</t>
  </si>
  <si>
    <t>Unsecured Commercial Loans</t>
  </si>
  <si>
    <r>
      <rPr>
        <sz val="9"/>
        <color rgb="FF000000"/>
        <rFont val="Arial"/>
        <family val="2"/>
      </rPr>
      <t xml:space="preserve">    60 to 89 Days Delinquent</t>
    </r>
    <r>
      <rPr>
        <vertAlign val="superscript"/>
        <sz val="9"/>
        <color rgb="FF000000"/>
        <rFont val="Arial"/>
        <family val="2"/>
      </rPr>
      <t>1</t>
    </r>
  </si>
  <si>
    <r>
      <rPr>
        <sz val="9"/>
        <color rgb="FF000000"/>
        <rFont val="Arial"/>
        <family val="2"/>
      </rPr>
      <t xml:space="preserve">    90 to 179 Days Delinquent</t>
    </r>
    <r>
      <rPr>
        <vertAlign val="superscript"/>
        <sz val="9"/>
        <color rgb="FF000000"/>
        <rFont val="Arial"/>
        <family val="2"/>
      </rPr>
      <t>1</t>
    </r>
  </si>
  <si>
    <t>Total Unsecured Commercial Loans delinquent &gt; = 60 Days</t>
  </si>
  <si>
    <t>Unsecured Commercial Loans &gt;= 60 Days / Total Unsecured Commercial Loans %</t>
  </si>
  <si>
    <t>Unsecured Revolving Lines of Credit for Commercial Purposes</t>
  </si>
  <si>
    <r>
      <rPr>
        <sz val="9"/>
        <color rgb="FF000000"/>
        <rFont val="Arial"/>
        <family val="2"/>
      </rPr>
      <t xml:space="preserve">    60 to 89 Days Delinquent</t>
    </r>
    <r>
      <rPr>
        <vertAlign val="superscript"/>
        <sz val="9"/>
        <color rgb="FF000000"/>
        <rFont val="Arial"/>
        <family val="2"/>
      </rPr>
      <t>1</t>
    </r>
  </si>
  <si>
    <r>
      <rPr>
        <sz val="9"/>
        <color rgb="FF000000"/>
        <rFont val="Arial"/>
        <family val="2"/>
      </rPr>
      <t xml:space="preserve">    90 to 179 Days Delinquent</t>
    </r>
    <r>
      <rPr>
        <vertAlign val="superscript"/>
        <sz val="9"/>
        <color rgb="FF000000"/>
        <rFont val="Arial"/>
        <family val="2"/>
      </rPr>
      <t>1</t>
    </r>
  </si>
  <si>
    <t>Total Unsecured Revolving Lines of Credit for Commercial Purposes delinquent &gt; = 60 Days</t>
  </si>
  <si>
    <t>Unsecured Revolving Lines of Credit for Commercial Purposes &gt;= 60 Days / Total Unsecured Revolving Lines of Credit for Commercial Purposes %</t>
  </si>
  <si>
    <t>Total Commercial Loans to Members and Non-Members delinquent &gt;= 60 days</t>
  </si>
  <si>
    <t>Total Commercial Loans to Members and Non-Members delinquent &gt;= 60 days / Total Commercial Loans to Members and Non-Members %</t>
  </si>
  <si>
    <t xml:space="preserve">* Amounts are year-to-date and the related % change ratios are annualized. </t>
  </si>
  <si>
    <r>
      <rPr>
        <vertAlign val="superscript"/>
        <sz val="8"/>
        <color rgb="FF000000"/>
        <rFont val="Arial"/>
        <family val="2"/>
      </rPr>
      <t>1</t>
    </r>
    <r>
      <rPr>
        <sz val="8"/>
        <color rgb="FF000000"/>
        <rFont val="Arial"/>
        <family val="2"/>
      </rPr>
      <t xml:space="preserve"> Prior to 3/31/22, loans delinquent 60 - 89 days delinquent were combined with loans 60 - 179 days delinquent.</t>
    </r>
  </si>
  <si>
    <t>13. Del Comm Loans (con't)</t>
  </si>
  <si>
    <t>Loan Losses</t>
  </si>
  <si>
    <t>LOAN LOSS SUMMARY (TOTAL FOR ALL LOAN TYPES)</t>
  </si>
  <si>
    <t>Total Loans Charged Off Year-to-Date*</t>
  </si>
  <si>
    <t>Total Loans Recovered Year-to-Date*</t>
  </si>
  <si>
    <t>NET CHARGE OFFS ($$)*</t>
  </si>
  <si>
    <t>Net Charge-Offs / Average Loans %**</t>
  </si>
  <si>
    <t xml:space="preserve">Total Delinquent Loans &amp; Year-to-Date Net Charge-Offs </t>
  </si>
  <si>
    <t xml:space="preserve">Combined Delinquency and Net Charge Off Ratio </t>
  </si>
  <si>
    <t xml:space="preserve">LOAN LOSS SUMMARY BY LOAN TYPE </t>
  </si>
  <si>
    <t>Unsecured Credit Card Lns Charged Off*</t>
  </si>
  <si>
    <t>Unsecured Credit Card Lns Recovered*</t>
  </si>
  <si>
    <t>Unsecured Credit Card Net Charge Offs*</t>
  </si>
  <si>
    <t>Unsecured Credit Card Net Charge Offs / Avg Credit Card Loans**</t>
  </si>
  <si>
    <t>PALs I and PALs II Charged Off (FCU Only)*</t>
  </si>
  <si>
    <t>PALs I and PALs II Recovered (FCU Only)*</t>
  </si>
  <si>
    <t>PALs I and PALs II Net Charge Offs (FCU Only)*</t>
  </si>
  <si>
    <t>PALs I and PALs II Net Charge Offs / Avg PALs I and PALs II Loans** (FCU Only)</t>
  </si>
  <si>
    <t>Non-Federally Guaranteed Student Loans Charged Off*</t>
  </si>
  <si>
    <t>Non-Federally Guaranteed Student Loans Recovered*</t>
  </si>
  <si>
    <t>Non-Federally Guaranteed Student Loans Net Charge Offs*</t>
  </si>
  <si>
    <t>Non-Federally Guaranteed Student Loan Net Charge Offs / Avg Non-Federally Guaranteed Student Loans**</t>
  </si>
  <si>
    <t>All Other Unsecured Loans/Lines of Credit Charged Off*</t>
  </si>
  <si>
    <t>All Other Unsecured Loans/Lines of Credit Recovered*</t>
  </si>
  <si>
    <t>All Other Unsecured Loans/Lines of Credit Net Charge Offs*</t>
  </si>
  <si>
    <t>All Other Unsecured Loans/Lines of Credit Net Charge Offs / Avg All Other Unsecured Loans/Lines of Credit**</t>
  </si>
  <si>
    <t>New Vehicle Loans Charged Off*</t>
  </si>
  <si>
    <t>New Vehicle Loans Recovered*</t>
  </si>
  <si>
    <t>New Vehicle Loans Net Charge Offs*</t>
  </si>
  <si>
    <t>New Vehicle Loans Net Charge Offs / Avg New Vehicle Loans**</t>
  </si>
  <si>
    <t>Used Vehicle Loans Charged Off*</t>
  </si>
  <si>
    <t>Used Vehicle Loans Recovered*</t>
  </si>
  <si>
    <t>Used Vehicle Loans Net Charge Offs*</t>
  </si>
  <si>
    <t>Used Vehicle Loans Net Charge Offs / Avg Used Vehicle Loans**</t>
  </si>
  <si>
    <t>Total Vehicle Loans Net Charge Offs / Avg Total Vehicle Loans**</t>
  </si>
  <si>
    <t>Leases Receivable Charged Off*</t>
  </si>
  <si>
    <t>Leases Receivable Recovered*</t>
  </si>
  <si>
    <t>Leases Receivable Net Charge Offs*</t>
  </si>
  <si>
    <t>Leases Receivable Net Charge Offs / Avg Leases Receivable**</t>
  </si>
  <si>
    <t>All Other Secured Non-Real Estate Loans/Lines of Credit Charged Off*</t>
  </si>
  <si>
    <t>All Other Secured Non-Real Estate Loans/Lines of Credit Recovered*</t>
  </si>
  <si>
    <t>All Other Secured Non-Real Estate Loans/Lines of Credit Net Charge Offs*</t>
  </si>
  <si>
    <t>All Other Secured Non-Real Estate Loans/Lines of Credit Net Charge Offs / Avg All Other Secured Non-Real Estate Loans/Lines of Credit**</t>
  </si>
  <si>
    <t>FORECLOSED AND REPOSSESSED ASSETS</t>
  </si>
  <si>
    <t>Commercial</t>
  </si>
  <si>
    <t>Real Estate - Non-Commercial</t>
  </si>
  <si>
    <t>Vehicle - Non-Commercial</t>
  </si>
  <si>
    <t>Other - Non-Commercial</t>
  </si>
  <si>
    <t>Total Foreclosed and Repossessed Assets</t>
  </si>
  <si>
    <t>*Amounts are year-to-date while the related percent change ratios are annualized.</t>
  </si>
  <si>
    <t>** Annualization factor: March = 4; June = 2; September =4/3; December = 1 (or no annualizing)</t>
  </si>
  <si>
    <t>14. Loan Losses</t>
  </si>
  <si>
    <t>INDIRECT LOANS AMOUNT OUTSTANDING:</t>
  </si>
  <si>
    <t xml:space="preserve">  New and Used Vehicle Indirect Loans</t>
  </si>
  <si>
    <t xml:space="preserve">  First Lien and Junior Lien Residential Indirect Loans</t>
  </si>
  <si>
    <t xml:space="preserve">  Commercial Indirect Loans</t>
  </si>
  <si>
    <t xml:space="preserve">  All Other Indirect Loans</t>
  </si>
  <si>
    <t>TOTAL OUTSTANDING AMOUNT INDIRECT LOANS</t>
  </si>
  <si>
    <t>Indirect Loans Outstanding / Total Loans %</t>
  </si>
  <si>
    <t>INDIRECT LOANS NUMBER OUTSTANDING:</t>
  </si>
  <si>
    <t>TOTAL NUMBER OUTSTANDING INDIRECT LOANS</t>
  </si>
  <si>
    <t>DELINQUENT INDIRECT LOANS</t>
  </si>
  <si>
    <t xml:space="preserve">  Total Delinquent Indirect Lns (&gt;= 60 Days)</t>
  </si>
  <si>
    <t>Indirect Loans Delinquent &gt;= 60 Days / Total Indirect Loans %</t>
  </si>
  <si>
    <t>INDIRECT LOAN LOSSES</t>
  </si>
  <si>
    <t xml:space="preserve">   Indirect Loans Charged Off*</t>
  </si>
  <si>
    <t xml:space="preserve">   Indirect Loans Recovered*</t>
  </si>
  <si>
    <t xml:space="preserve">   Indirect Loans Net Charge Offs*</t>
  </si>
  <si>
    <t>Indirect Loans Net Charge Offs / Avg Indirect Loans %**</t>
  </si>
  <si>
    <t>* Amounts are year-to-date while the related %change ratios are annualized.</t>
  </si>
  <si>
    <t>15. Indirect Loans</t>
  </si>
  <si>
    <t>Indirect, Purchased or Sold</t>
  </si>
  <si>
    <t>LOANS PURCHASED YEAR-TO-DATE UNDER 701.23</t>
  </si>
  <si>
    <t xml:space="preserve">  Amount of Loans Purchased from Other Financial Institutions *</t>
  </si>
  <si>
    <t xml:space="preserve">  Amount of Loans Purchased from Other Sources *</t>
  </si>
  <si>
    <t>Loans Purchased From Other Financial Institutions &amp; Other Sources YTD / Loans Granted YTD</t>
  </si>
  <si>
    <t xml:space="preserve">  Number of Loans Purchased from Other Financial Institutions *</t>
  </si>
  <si>
    <t xml:space="preserve">  Number of Loans Purchased from Other Sources *</t>
  </si>
  <si>
    <t>OUTSTANDING LOANS PURCHASED YEAR-TO-DATE UNDER 701.23</t>
  </si>
  <si>
    <t xml:space="preserve">      Amount From Other Financial Institutions Outstanding</t>
  </si>
  <si>
    <t xml:space="preserve">      Amount From other sources Outstanding</t>
  </si>
  <si>
    <t xml:space="preserve">      Number From Other Financial Institutions Outstanding</t>
  </si>
  <si>
    <t xml:space="preserve">      Number From other sources Outstanding</t>
  </si>
  <si>
    <t>DELINQUENT WHOLE OR PARTIAL LOAN PURCHASED UNDER 701.23</t>
  </si>
  <si>
    <t>Delinquent Whole or Partial Loans Purchased Under 701.23</t>
  </si>
  <si>
    <t>Whole or Partial Loans Purchased Under 701.23 Delinquent &gt;= 60 Days / Total Whole or Partial Loans Purchased Under 701.23 %</t>
  </si>
  <si>
    <t>LOAN LOSSES - WHOLE OR PARTIAL LOANS PURCHASED UNDER 701.23</t>
  </si>
  <si>
    <t>Whole or Partial Loans Purchased Under 701.23 Charged Off*</t>
  </si>
  <si>
    <t>Whole or Partial Loans Purchased Under 701.23 Recovered*</t>
  </si>
  <si>
    <t>Whole or Partial Loans Purchased Under 701.23 Net Charge Offs*</t>
  </si>
  <si>
    <t>Whole or Partial Loans Purchased Under 701.23 Net Charge Offs / Avg Whole or Partial Loans Purchased Under 701.23**</t>
  </si>
  <si>
    <t>LOANS SOLD AMOUNT YEAR-TO-DATE</t>
  </si>
  <si>
    <t xml:space="preserve">   Loans Sold</t>
  </si>
  <si>
    <t xml:space="preserve">   First mortgage loans sold on the secondary market</t>
  </si>
  <si>
    <t xml:space="preserve">   Loans Transferred with Limited Recourse Qualifying for Sales Accounting</t>
  </si>
  <si>
    <t xml:space="preserve">   Real Estate Loans Sold with Servicing Retained</t>
  </si>
  <si>
    <t xml:space="preserve">   All Other Loans Sold with Servicing Retained</t>
  </si>
  <si>
    <t>LOANS SOLD NUMBER YEAR-TO-DATE</t>
  </si>
  <si>
    <t>LOANS SOLD WITH SERVICING RETAINED OUTSTANDING</t>
  </si>
  <si>
    <t xml:space="preserve">   Real Estate Loans Sold with Servicing Retained Balance Outstanding</t>
  </si>
  <si>
    <t xml:space="preserve">   All Other Loans Sold with Servicing Retained Balance Outstanding</t>
  </si>
  <si>
    <t xml:space="preserve">  Real Estate Loans Sold with Servicing Retained Number Outstanding</t>
  </si>
  <si>
    <t xml:space="preserve">  All Other Loans Sold with Servicing Retained Number Outstanding</t>
  </si>
  <si>
    <t>16. Loans Purch or Sold 701.23</t>
  </si>
  <si>
    <t>Participations Purchased &amp; Sold</t>
  </si>
  <si>
    <t>LOAN PARTICIPATIONS OUTSTANDING BALANCE PURCHASED UNDER 701.22:</t>
  </si>
  <si>
    <t xml:space="preserve">   Vehicle - Non-commercial</t>
  </si>
  <si>
    <t xml:space="preserve">   Non-Federally Guaranteed Student Loans</t>
  </si>
  <si>
    <t xml:space="preserve">   1- to 4-Family Residential Property</t>
  </si>
  <si>
    <t xml:space="preserve">   Commercial Loans (excluding Construction &amp; Development)</t>
  </si>
  <si>
    <t xml:space="preserve">   Commercial Construction &amp; Development</t>
  </si>
  <si>
    <t xml:space="preserve">   All Other Participation Loans</t>
  </si>
  <si>
    <t>TOTAL PARTICIPATION LOANS OUTSTANDING PURCHASED UNDER 701.22</t>
  </si>
  <si>
    <t>Participation Loans Outstanding / Total Loans %</t>
  </si>
  <si>
    <t>LOAN PARTICIPATIONS AMOUNT PURCHASED YTD UNDER 701.22</t>
  </si>
  <si>
    <t xml:space="preserve">  Vehicle - Non-commercial</t>
  </si>
  <si>
    <t xml:space="preserve">  Non-Federally Guaranteed Student Loans</t>
  </si>
  <si>
    <t xml:space="preserve">  1- to 4-Family Residential Property</t>
  </si>
  <si>
    <t xml:space="preserve">  Commercial Loans (excluding Construction &amp; Development)</t>
  </si>
  <si>
    <t xml:space="preserve">  Commercial Construction &amp; Development</t>
  </si>
  <si>
    <t xml:space="preserve">  All Other Participation Loans</t>
  </si>
  <si>
    <t>TOTAL PARTICIPATION LOANS PURCHASED YTD UNDER 701.22*</t>
  </si>
  <si>
    <t>Participation Loans Purchased YTD / Total Loans Granted YTD %</t>
  </si>
  <si>
    <t>DELINQUENT - PARTICIPATION LOANS PURCHASED UNDER 701.22</t>
  </si>
  <si>
    <t>Delinquent Participation Loans Purchased Under 701.22</t>
  </si>
  <si>
    <t>Delinquent Participation Loans Purchased Under 701.22 &gt;= 60 Days / Total Participation Loans Purchased %</t>
  </si>
  <si>
    <t xml:space="preserve">LOAN LOSSES - PARTICIPATION LOANS PURCHASED UNDER 701.22 </t>
  </si>
  <si>
    <t xml:space="preserve">  Participation Loans Charged Off*</t>
  </si>
  <si>
    <t xml:space="preserve">  Participation Loans Recovered*</t>
  </si>
  <si>
    <t>Participation Loan Net Charge Offs *</t>
  </si>
  <si>
    <t>Participation Loans Net Charge Offs / Avg Participation Loans % **</t>
  </si>
  <si>
    <t>LOAN PARTICIPATIONS AMOUNT SOLD YEAR-TO-DATE</t>
  </si>
  <si>
    <t>Total Participation Loans Sold YTD*</t>
  </si>
  <si>
    <t>%Participation Loans Sold YTD / Total Assets**</t>
  </si>
  <si>
    <t>LOAN PARTICIPATIONS RETAINED BALANCE OUTSTANDING</t>
  </si>
  <si>
    <t xml:space="preserve">  Non-Federally Guaranteed Student Loans	</t>
  </si>
  <si>
    <t xml:space="preserve">  1- to 4-Family Residential Property	</t>
  </si>
  <si>
    <t xml:space="preserve">  Commercial Loans (excluding Construction &amp; Development)	</t>
  </si>
  <si>
    <t xml:space="preserve">  Commercial Construction &amp; Development	 </t>
  </si>
  <si>
    <r>
      <rPr>
        <b/>
        <sz val="9"/>
        <color rgb="FF000000"/>
        <rFont val="Arial"/>
        <family val="2"/>
      </rPr>
      <t>Total Retained Balance Outstanding of Participations Sold</t>
    </r>
    <r>
      <rPr>
        <sz val="9"/>
        <color rgb="FF000000"/>
        <rFont val="Arial"/>
        <family val="2"/>
      </rPr>
      <t/>
    </r>
  </si>
  <si>
    <t>17. Participations 701.22</t>
  </si>
  <si>
    <t>1- to 4-Family Residential Property and All Other (Non-Commercial) Real Estate Loans</t>
  </si>
  <si>
    <t xml:space="preserve">1- to 4-Family Residential Property Loans </t>
  </si>
  <si>
    <t>Secured by 1st Lien</t>
  </si>
  <si>
    <t xml:space="preserve">   Fixed Rate &gt; 15 years</t>
  </si>
  <si>
    <t xml:space="preserve">   Fixed Rate 15 years or less</t>
  </si>
  <si>
    <t xml:space="preserve">   Balloon/Hybrid &gt; 5 years</t>
  </si>
  <si>
    <t xml:space="preserve">   Balloon/Hybrid 5 years or less</t>
  </si>
  <si>
    <t xml:space="preserve">   Adjustable Rate</t>
  </si>
  <si>
    <t>Total Secured by 1st Lien</t>
  </si>
  <si>
    <t>Secured by Junior Lien</t>
  </si>
  <si>
    <t xml:space="preserve">  Closed-End Fixed Rate</t>
  </si>
  <si>
    <t xml:space="preserve">  Closed-End Adjustable Rate</t>
  </si>
  <si>
    <t xml:space="preserve">  Open-End Fixed Rate</t>
  </si>
  <si>
    <t xml:space="preserve">  Open-End Adjustable Rate</t>
  </si>
  <si>
    <t>Total Secured by Junior Lien</t>
  </si>
  <si>
    <t>All Other (Non-Commercial) Real Estate</t>
  </si>
  <si>
    <t>Total All Other (Non-Commercial) Real Estate</t>
  </si>
  <si>
    <t xml:space="preserve">Total 1- to 4-Family Residential Property Loans and All Other (Non-Commercial) Real Estate </t>
  </si>
  <si>
    <t>1- to 4-Family Residential Property Loans Granted YTD</t>
  </si>
  <si>
    <t>Secured by 1st Lien Granted YTD</t>
  </si>
  <si>
    <t xml:space="preserve">   Fixed Rate &gt; 15 Years*</t>
  </si>
  <si>
    <t xml:space="preserve">   Fixed Rate 15 Years or less*</t>
  </si>
  <si>
    <t xml:space="preserve">   Balloon/Hybrid &gt; 5 Years*</t>
  </si>
  <si>
    <t xml:space="preserve">   Balloon/Hybrid 5 Years or less*</t>
  </si>
  <si>
    <t xml:space="preserve">   Adjustable Rate*</t>
  </si>
  <si>
    <t>Total Secured by 1st Lien Granted YTD*</t>
  </si>
  <si>
    <t>Secured by Junior Lien Granted YTD</t>
  </si>
  <si>
    <t xml:space="preserve">   Closed-End Fixed Rate*</t>
  </si>
  <si>
    <t xml:space="preserve">   Closed-End Adjustable Rate*</t>
  </si>
  <si>
    <t xml:space="preserve">   Open-End Fixed Rate*</t>
  </si>
  <si>
    <t xml:space="preserve">   Open-End Adjustable Rate*</t>
  </si>
  <si>
    <t>Total Secured by Junior Lien Granted YTD*</t>
  </si>
  <si>
    <t>All Other (Non-Commercial) Real Estate Granted YTD</t>
  </si>
  <si>
    <t xml:space="preserve">  Closed-End Fixed Rate*</t>
  </si>
  <si>
    <t xml:space="preserve">  Closed-End Adjustable Rate*</t>
  </si>
  <si>
    <t xml:space="preserve">  Open-End Fixed Rate*</t>
  </si>
  <si>
    <t xml:space="preserve">  Open-End Adjustable Rate*</t>
  </si>
  <si>
    <t>Total All Other (Non-Commercial) Real Estate Granted YTD*</t>
  </si>
  <si>
    <t>Total 1- to 4-Family Residential Property Loans and All Other (Non-Commercial) Real Estate Granted YTD*</t>
  </si>
  <si>
    <t>Outstanding 1- to 4-Family Residential Construction Loans</t>
  </si>
  <si>
    <t>Amount of real estate loans that refinance, reprice or mature w/in 5 yrs</t>
  </si>
  <si>
    <t>Outstanding Interest Only &amp; Payment Option First Mortgage Loans</t>
  </si>
  <si>
    <t>Interest Only &amp; Payment Option First Mortgages / Total Assets %</t>
  </si>
  <si>
    <t>Interest Only &amp; Payment Option First Mortgages / Net Worth %</t>
  </si>
  <si>
    <t>18. RE Loans</t>
  </si>
  <si>
    <t>Real Estate (Non-Commercial) Loan Losses</t>
  </si>
  <si>
    <t>LOAN LOSS SUMMARY BY LOAN TYPE</t>
  </si>
  <si>
    <t>First Lien single 1- to 4-Family Residential Property Loans Charged Off*</t>
  </si>
  <si>
    <t>First Lien single 1- to 4-Family Residential Property Loans Recovered*</t>
  </si>
  <si>
    <t>First Lien single 1- to 4-Family Residential Property Loans Net Charge Offs*</t>
  </si>
  <si>
    <t>First Lien single 1- to 4-Family Residential Property Loans Net Charge Offs / Avg First Lien single 1- to 4-Family Residential Property Loans**</t>
  </si>
  <si>
    <t xml:space="preserve">Junior Lien single 1- to 4-Family Residential Property Loans Charged Off* </t>
  </si>
  <si>
    <t>Junior Lien single 1- to 4-Family Residential Property Loans Recovered*</t>
  </si>
  <si>
    <t>Junior Lien single 1- to 4-Family Residential Property Loans Net Charge Offs*</t>
  </si>
  <si>
    <t>Junior Lien single 1- to 4-Family Residential Property Loans Net Charge Offs / Avg Junior Lien single 1- to 4-Family Residential Property Loans**</t>
  </si>
  <si>
    <t>All Other (Non-Commercial) Real Estate Loans/Lines of Credit Charged Off*</t>
  </si>
  <si>
    <t>All Other (Non-Commercial) Real Estate Loans/Lines of Credit Recovered*</t>
  </si>
  <si>
    <t>All Other (Non-Commercial) Real Estate Loans/Lines of Credit Net Charge Offs*</t>
  </si>
  <si>
    <t>All Other (Non-Commercial) Real Estate Loans/Lines of Credit Net Charge Offs / Avg All Other (Non-Commercial) Real Estate Loans/Lines of Credit**</t>
  </si>
  <si>
    <t>Total 1- to 4-Family Residential plus Other (Non-Commercial) Real Estate Loan Net Charge Offs / Avg 1- to 4-Family Residential plus Other (Non-Commercial) Real Estate Loans**</t>
  </si>
  <si>
    <t>19. RE Loan Losses</t>
  </si>
  <si>
    <t>Commercial Loan Information</t>
  </si>
  <si>
    <t>REAL ESTATE SECURED COMMERCIAL LOANS (TO MEMBERS &amp; NON-MEMBERS)</t>
  </si>
  <si>
    <t xml:space="preserve">    Construction and Development</t>
  </si>
  <si>
    <t xml:space="preserve">    Secured by Farmland</t>
  </si>
  <si>
    <t xml:space="preserve">    Secured by Multifamily</t>
  </si>
  <si>
    <t xml:space="preserve">    Owner Occupied, Non-Farm, Non-Residential Property</t>
  </si>
  <si>
    <t xml:space="preserve">    Non-Owner Occupied, Non-Farm, Non-Residential Property</t>
  </si>
  <si>
    <t>Total Real Estate Secured Commercial Loans</t>
  </si>
  <si>
    <t>NON-REAL ESTATE SECURED COMMERCIAL LOANS (TO MEMBERS &amp; NON-MEMBERS)</t>
  </si>
  <si>
    <t xml:space="preserve">    Loans to finance agricultural production and other loans to farmers</t>
  </si>
  <si>
    <t xml:space="preserve">    Commercial and Industrial Loans</t>
  </si>
  <si>
    <t xml:space="preserve">    Unsecured Commercial Loans</t>
  </si>
  <si>
    <t xml:space="preserve">    Unsecured Revolving Lines of Credit (Commercial Purpose)</t>
  </si>
  <si>
    <t>Total Non-Real Estate Secured Commercial Loans</t>
  </si>
  <si>
    <t>TOTAL COMMERCIAL LOANS:</t>
  </si>
  <si>
    <t xml:space="preserve">    Commercial Loans to Members</t>
  </si>
  <si>
    <t xml:space="preserve">    Purchased Commercial Loans or Participations to Nonmembers</t>
  </si>
  <si>
    <t>Total Commercial Loans</t>
  </si>
  <si>
    <t>NUMBER OF COMMERCIAL LOANS OUTSTANDING BY TYPE</t>
  </si>
  <si>
    <t xml:space="preserve">    Farmland</t>
  </si>
  <si>
    <t>Total Number of Real Estate Secured Commercial Loans</t>
  </si>
  <si>
    <t>Total Number of Non-Real Estate Secured Commercial Loans</t>
  </si>
  <si>
    <t>TOTAL NUMBER OF COMMERCIAL LOANS OUTSTANDING</t>
  </si>
  <si>
    <t xml:space="preserve">    Number of Outstanding Commercial Loans to Members</t>
  </si>
  <si>
    <t xml:space="preserve">    Number of Outstanding Purchased Commercial Loans or Participation Interests to Nonmembers</t>
  </si>
  <si>
    <t>Total Number of Commercial Loans Outstanding</t>
  </si>
  <si>
    <t>TOTAL COMMERCIAL LOANS LESS UNFUNDED COMMITMENTS</t>
  </si>
  <si>
    <t>(Total Commercial Loans / Total Assets)%</t>
  </si>
  <si>
    <t>AMOUNT OF COMMERCIAL LOANS GRANTED OR PURCHASED</t>
  </si>
  <si>
    <t xml:space="preserve">    Member Commercial Loans Granted YTD*</t>
  </si>
  <si>
    <t xml:space="preserve">    Purchased or Participation Interests to Nonmembers*</t>
  </si>
  <si>
    <t>MISCELLANEOUS LOAN INFORMATION</t>
  </si>
  <si>
    <t>Agricultural Related Commercial Loans Outstanding Balance</t>
  </si>
  <si>
    <t>Outstanding Agricultural Related Loans - Number</t>
  </si>
  <si>
    <t>Commercial Loans and Participations Sold- Servicing Rights Retained- Outstanding*</t>
  </si>
  <si>
    <t>Commercial Loans and Participations Sold -no servicing rights- YTD</t>
  </si>
  <si>
    <t>Total Member Business Loans - (NMBLB)</t>
  </si>
  <si>
    <t>(NMBLB / Total Assets)%</t>
  </si>
  <si>
    <t>20. Commercial Loans</t>
  </si>
  <si>
    <t>COMMERCIAL LOAN NET CHARGE-OFF RATIOS:</t>
  </si>
  <si>
    <t>Net Commercial Construction and Development Loans YTD Charge Offs to average Commercial Construction and Development Loans**</t>
  </si>
  <si>
    <t>Net Commercial Loans Secured by Farmland YTD Charge Offs to average Commercial Loans Secured by Farmland**</t>
  </si>
  <si>
    <t>Net Commercial Loans Secured by Multifamily YTD Charge Offs to average Commercial Loans Secured by Multifamily**</t>
  </si>
  <si>
    <t>Net Commercial Loans Secured by Owner Occupied, Non-Farm, Non-Residential Property YTD Charge Offs to average Commercial Loans Secured by Owner Occupied, Non-Farm, Non-Residential Property**</t>
  </si>
  <si>
    <t>Net Commercial Loans Secured by Non-Owner Occupied, Non-Farm, Non-Residential Property YTD Charge Offs to average Commercial Loans Secured by Non-Owner Occupied, Non-Farm, Non-Residential Property**</t>
  </si>
  <si>
    <t>Net Commercial Loans to Finance Agricultural Production and Other Loans to Farmers YTD Charge Offs to average Commercial Loans to Finance Agricultural Production and Other Loans to Farmers**</t>
  </si>
  <si>
    <t>Net Commercial and Industrial Loans YTD Charge Offs to average Commercial and Industrial Loans**</t>
  </si>
  <si>
    <t>Net Unsecured Commercial Loans YTD Charge Offs to average Unsecured Commercial Loans**</t>
  </si>
  <si>
    <t>Net Unsecured Revolving Lines of Credit for Commercial Purposes YTD Charge Offs to average Unsecured Revolving Lines of Credit for Commercial Purposes**</t>
  </si>
  <si>
    <t>Net Commercial Loans/Lines of Credit Real Estate Secured YTD Charge Offs to average Commercial Real Estate Secured**</t>
  </si>
  <si>
    <t>Net Commercial Loans/Lines of Credit Not Real Estate Secured YTD Charge Offs to average Commercial Not Real Estate Secured**</t>
  </si>
  <si>
    <t>Net Commercial Loan YTD Charge Offs to average Commercial Loans**</t>
  </si>
  <si>
    <t>21. Comm Loan Net COs</t>
  </si>
  <si>
    <t>COMMERCIAL LOAN CHARGE-OFFS:</t>
  </si>
  <si>
    <t>Commercial Construction and Development Loans YTD Charge Offs*</t>
  </si>
  <si>
    <t>Commercial Loans Secured by Farmland YTD Charge Offs*</t>
  </si>
  <si>
    <t>Commercial Loans Secured by Multifamily YTD Charge Offs*</t>
  </si>
  <si>
    <t>Commercial Loans Secured by Owner Occupied, Non-Farm, Non-Residential Property YTD Charge Offs*</t>
  </si>
  <si>
    <t>Commercial Loans Secured by Non-Owner Occupied, Non-Farm, Non-Residential Property YTD Charge Offs*</t>
  </si>
  <si>
    <t>Commercial Loans to Finance Agricultural Production and Other Loans to Farmers YTD Charge Offs*</t>
  </si>
  <si>
    <t>Commercial and Industrial Loans YTD Charge Offs*</t>
  </si>
  <si>
    <t>Unsecured Commercial Loans YTD Charge Offs*</t>
  </si>
  <si>
    <t>Unsecured Revolving Lines of Credit for Commercial Purposes YTD Charge Offs*</t>
  </si>
  <si>
    <t>Commercial Loans/Lines of Credit Real Estate Secured YTD Charge-Offs*</t>
  </si>
  <si>
    <t>Commercial Loans/Lines of Credit Not Real Estate Secured YTD Charge-Offs*</t>
  </si>
  <si>
    <t>Total Commercial Loan YTD Charge Offs*</t>
  </si>
  <si>
    <t>COMMERCIAL LOAN RECOVERIES:</t>
  </si>
  <si>
    <t>Commercial Construction and Development Loans YTD Recoveries*</t>
  </si>
  <si>
    <t>Commercial Loans Secured by Farmland YTD Recoveries*</t>
  </si>
  <si>
    <t>Commercial Loans Secured by Multifamily YTD Recoveries*</t>
  </si>
  <si>
    <t>Commercial Loans Secured by Owner Occupied, Non-Farm, Non-Residential Property YTD Recoveries*</t>
  </si>
  <si>
    <t>Commercial Loans Secured by Non-Owner Occupied, Non-Farm, Non-Residential Property YTD Recoveries*</t>
  </si>
  <si>
    <t>Commercial Loans to Finance Agricultural Production and Other Loans to Farmers YTD Recoveries*</t>
  </si>
  <si>
    <t>Commercial and Industrial Loans YTD Recoveries*</t>
  </si>
  <si>
    <t>Unsecured Commercial Loans YTD Recoveries*</t>
  </si>
  <si>
    <t>Unsecured Revolving Lines of Credit for Commercial Purposes YTD Recoveries*</t>
  </si>
  <si>
    <t>Commercial Loans/Lines of Credit Real Estate Secured YTD Recoveries*</t>
  </si>
  <si>
    <t>Commercial Loans/Lines of Credit Not Real Estate Secured YTD Recoveries*</t>
  </si>
  <si>
    <t>Total Commercial Loan YTD Recoveries*</t>
  </si>
  <si>
    <t>22. Commercial Loan Losses</t>
  </si>
  <si>
    <t>EQUITY SECURITIES</t>
  </si>
  <si>
    <t xml:space="preserve">    Common Stock</t>
  </si>
  <si>
    <t xml:space="preserve">    Registered Investment Companies</t>
  </si>
  <si>
    <t xml:space="preserve">    Other Equities</t>
  </si>
  <si>
    <t>TOTAL EQUITY SECURITIES</t>
  </si>
  <si>
    <t>TRADING DEBT SECURITIES</t>
  </si>
  <si>
    <t xml:space="preserve">    US Government Obligations</t>
  </si>
  <si>
    <t xml:space="preserve">    Federal Agency Securities - Guaranteed - Debt Instruments </t>
  </si>
  <si>
    <t xml:space="preserve">    Federal Agency Securities - Guaranteed - Non-Debt Instruments </t>
  </si>
  <si>
    <t xml:space="preserve">    Federal Agency Securities - Non-Guaranteed</t>
  </si>
  <si>
    <t xml:space="preserve">    Non-Federal Agency Asset-Backed Securities - Senior Tranches</t>
  </si>
  <si>
    <t xml:space="preserve">    Non-Federal Agency Asset-Backed Securities - Subordinated Tranches</t>
  </si>
  <si>
    <t xml:space="preserve">    Securities Issued by States and Political Subdivisions in the U.S.</t>
  </si>
  <si>
    <t xml:space="preserve">    Debt Securities Issued by Depositories, Banks, and Credit Unions</t>
  </si>
  <si>
    <t xml:space="preserve">    All Other Trading Debt Securities                                           </t>
  </si>
  <si>
    <t>TOTAL TRADING DEBT SECURITIES</t>
  </si>
  <si>
    <t>AVAILABLE-FOR-SALE (AFS) DEBT SECURITIES AT AMORTIZED COST</t>
  </si>
  <si>
    <t xml:space="preserve">    All Other Available-for-Sale Debt Securities at Amortized Cost                                           </t>
  </si>
  <si>
    <t>TOTAL AFS DEBT SECURITIES AT AMORTIZED COST</t>
  </si>
  <si>
    <t>AFS DEBT SECURITIES AT FAIR VALUE</t>
  </si>
  <si>
    <t xml:space="preserve">    All Other Available-for-Sale Debt Securities at Fair Value                                      </t>
  </si>
  <si>
    <t>TOTAL AFS DEBT SECURITIES AT FAIR VALUE</t>
  </si>
  <si>
    <t>23. Investments</t>
  </si>
  <si>
    <t>INVESTMENT SECURITIES (continued)</t>
  </si>
  <si>
    <t>HELD-TO-MATURITY (HTM) DEBT SECURITIES AT AMORTIZED COST</t>
  </si>
  <si>
    <t xml:space="preserve">    All Other HTM Debt Securities at Amortized Cost                                           </t>
  </si>
  <si>
    <t>TOTAL HTM DEBT SECURITIES AT AMORTIZED COST</t>
  </si>
  <si>
    <t>HTM DEBT SECURITIES AT FAIR VALUE</t>
  </si>
  <si>
    <t>TOTAL HTM DEBT SECURITIES AT FAIR VALUE</t>
  </si>
  <si>
    <r>
      <rPr>
        <sz val="9"/>
        <color rgb="FF000000"/>
        <rFont val="Arial"/>
        <family val="2"/>
      </rPr>
      <t>Allowance for Credit Losses on Held-to-maturity Debt Securities</t>
    </r>
    <r>
      <rPr>
        <vertAlign val="superscript"/>
        <sz val="9"/>
        <color rgb="FF000000"/>
        <rFont val="Arial"/>
        <family val="2"/>
      </rPr>
      <t>1</t>
    </r>
    <r>
      <rPr>
        <sz val="9"/>
        <color rgb="FF000000"/>
        <rFont val="Arial"/>
        <family val="2"/>
      </rPr>
      <t xml:space="preserve"> 
(if ASC 326 has been adopted)</t>
    </r>
  </si>
  <si>
    <r>
      <rPr>
        <sz val="9"/>
        <color rgb="FF000000"/>
        <rFont val="Arial"/>
        <family val="2"/>
      </rPr>
      <t>Allowance for Credit Losses on Available-for-sale Debt Securities</t>
    </r>
    <r>
      <rPr>
        <vertAlign val="superscript"/>
        <sz val="9"/>
        <color rgb="FF000000"/>
        <rFont val="Arial"/>
        <family val="2"/>
      </rPr>
      <t>2</t>
    </r>
    <r>
      <rPr>
        <sz val="9"/>
        <color rgb="FF000000"/>
        <rFont val="Arial"/>
        <family val="2"/>
      </rPr>
      <t xml:space="preserve"> (if ASC 326 has been adopted)</t>
    </r>
  </si>
  <si>
    <t xml:space="preserve">    Nonperpetual Capital Account</t>
  </si>
  <si>
    <t xml:space="preserve">    All other investments</t>
  </si>
  <si>
    <t>DEPOSITS</t>
  </si>
  <si>
    <t>Time deposits in commercial banks, S&amp;Ls, savings banks, natural person credit unions, or corporate credit unions</t>
  </si>
  <si>
    <t>1 The allowance for credit losses on Held-to-maturity debt securities is a valuation account and is not included in the amount reported as HTM Debt Securities at Amortized Cost (Account NV0081) or at Fair Value (Account 801).</t>
  </si>
  <si>
    <t>24. Investments (con't)</t>
  </si>
  <si>
    <t xml:space="preserve">2 The allowance for credit losses on Available-for-sale debt securities is for informational purposes only and represents the credit-related decline in the fair value of an individual AFS debt security below its amortized cost. The non-credit related decline in the fair value would be recognized in other comprehensive income.  </t>
  </si>
  <si>
    <t>TIME DEPOSITS MATURITY DISTRIBUTION</t>
  </si>
  <si>
    <t xml:space="preserve">   Total Time Deposits &lt; 1 yr</t>
  </si>
  <si>
    <t xml:space="preserve">   Total Time Deposits 1-3 yrs</t>
  </si>
  <si>
    <t xml:space="preserve">   Total Time Deposits 3-5 yrs</t>
  </si>
  <si>
    <t xml:space="preserve">   Total Time Deposits 5-10 yrs</t>
  </si>
  <si>
    <t xml:space="preserve">   Total Time Deposits &gt; 10 yrs</t>
  </si>
  <si>
    <t>TOTAL TIME DEPOSITS</t>
  </si>
  <si>
    <t>EQUITY SECURITIES MATURITY DISTRIBUTION</t>
  </si>
  <si>
    <t xml:space="preserve">   Total Equity Securities &lt; 1 yr</t>
  </si>
  <si>
    <t xml:space="preserve">   Total Equity Securities 1-3 yrs</t>
  </si>
  <si>
    <t xml:space="preserve">   Total Equity Securities 3-5 yrs</t>
  </si>
  <si>
    <t xml:space="preserve">   Total Equity Securities 5-10 yrs</t>
  </si>
  <si>
    <t xml:space="preserve">   Total Equity Securities &gt; 10 yrs</t>
  </si>
  <si>
    <t>TRADING DEBT SECURITIES MATURITY DISTRIBUTION</t>
  </si>
  <si>
    <t xml:space="preserve">   Total Trading Debt Securities &lt; 1 yr</t>
  </si>
  <si>
    <t xml:space="preserve">   Total Trading Debt Securities 1-3 yrs</t>
  </si>
  <si>
    <t xml:space="preserve">   Total Trading Debt Securities 3-5 yrs</t>
  </si>
  <si>
    <t xml:space="preserve">   Total Trading Debt Securities 5-10 yrs</t>
  </si>
  <si>
    <t xml:space="preserve">   Total Trading Debt Securities &gt; 10 yrs</t>
  </si>
  <si>
    <t>AVAILABLE-FOR-SALE DEBT SECURITIES MATURITY DISTRIBUTION</t>
  </si>
  <si>
    <t xml:space="preserve">   Total Available-for-Sale Debt Securities &lt; 1 yr</t>
  </si>
  <si>
    <t xml:space="preserve">   Total Available-for-Sale Debt Securities 1-3 yrs</t>
  </si>
  <si>
    <t xml:space="preserve">   Total Available-for-Sale Debt Securities 3-5 yrs</t>
  </si>
  <si>
    <t xml:space="preserve">   Total Available-for-Sale Debt Securities 5-10 yrs</t>
  </si>
  <si>
    <t xml:space="preserve">   Total Available-for-Sale Debt Securities &gt; 10 yrs</t>
  </si>
  <si>
    <t>TOTAL AVAILABLE-FOR-SALE DEBT SECURITIES</t>
  </si>
  <si>
    <t>HELD-TO-MATURITY DEBT SECURITIES MATURITY DISTRIBUTION</t>
  </si>
  <si>
    <t xml:space="preserve">   Total Held-to-Maturity Debt Securities &lt; 1 yr</t>
  </si>
  <si>
    <t xml:space="preserve">   Total Held-to-Maturity Debt Securities 1-3 yrs</t>
  </si>
  <si>
    <t xml:space="preserve">   Total Held-to-Maturity Debt Securities 3-5 yrs</t>
  </si>
  <si>
    <t xml:space="preserve">   Total Held-to-Maturity Debt Securities 5-10 yrs</t>
  </si>
  <si>
    <t xml:space="preserve">   Total Held-to-Maturity Debt Securities &gt; 10 yrs</t>
  </si>
  <si>
    <t>TOTAL HELD-TO-MATURITY DEBT SECURITIES</t>
  </si>
  <si>
    <t>OTHER INVESTMENTS MATURITY DISTRIBUTION</t>
  </si>
  <si>
    <t xml:space="preserve">   Total Other Investments &lt; 1 yr</t>
  </si>
  <si>
    <t xml:space="preserve">   Total Other Investments 1-3 yrs</t>
  </si>
  <si>
    <t xml:space="preserve">   Total Other Investments 3-5 yrs</t>
  </si>
  <si>
    <t xml:space="preserve">   Total Other Investments 5-10 yrs</t>
  </si>
  <si>
    <t xml:space="preserve">   Total Other Investments &gt; 10 yrs</t>
  </si>
  <si>
    <t>TOTAL INVESTMENT MATURITY DISTRIBUTION</t>
  </si>
  <si>
    <t xml:space="preserve">   Total Investments &lt; 1 yr</t>
  </si>
  <si>
    <t xml:space="preserve">   Total Investments 1-3 yrs</t>
  </si>
  <si>
    <t xml:space="preserve">   Total Investments 3-5 yrs</t>
  </si>
  <si>
    <t xml:space="preserve">   Total Investments 5-10 yrs</t>
  </si>
  <si>
    <t xml:space="preserve">   Total Investments &gt; 10 yrs</t>
  </si>
  <si>
    <t>25. Investment Maturity</t>
  </si>
  <si>
    <t>Investments - Memoranda</t>
  </si>
  <si>
    <r>
      <rPr>
        <sz val="9"/>
        <color rgb="FF000000"/>
        <rFont val="Arial"/>
        <family val="2"/>
      </rPr>
      <t>Non-Conforming Investments (State Credit Unions ONLY)</t>
    </r>
    <r>
      <rPr>
        <vertAlign val="superscript"/>
        <sz val="9"/>
        <color rgb="FF000000"/>
        <rFont val="Arial"/>
        <family val="2"/>
      </rPr>
      <t>1</t>
    </r>
  </si>
  <si>
    <t xml:space="preserve">Outstanding balance of brokered certificates of deposit and share certificates </t>
  </si>
  <si>
    <t>Realized Investment Gains (Losses)</t>
  </si>
  <si>
    <t xml:space="preserve">    Realized Gain (Losses) on HTM Debt Securities</t>
  </si>
  <si>
    <t xml:space="preserve">    Realized Gain (Losses) on AFS Debt Securities</t>
  </si>
  <si>
    <t xml:space="preserve">    Realized Gain (Losses) on all other investments</t>
  </si>
  <si>
    <t>Total Gain (Loss) on Investments</t>
  </si>
  <si>
    <t>Other-Than-Temporary Impairment (OTTI)</t>
  </si>
  <si>
    <t xml:space="preserve">    Total OTTI Losses</t>
  </si>
  <si>
    <t xml:space="preserve">    Less: Portion of OTTI Losses in Other Comprehensive Income</t>
  </si>
  <si>
    <t>OTTI Losses Recognized in Earnings</t>
  </si>
  <si>
    <t>Derivatives Hedge</t>
  </si>
  <si>
    <t xml:space="preserve">    Gain (Loss) associated with the Hedged Item in a Fair Value Derivatives Hedge</t>
  </si>
  <si>
    <t>Assets used to fund employee benefit or deferred compensation plans</t>
  </si>
  <si>
    <t xml:space="preserve">  Recorded Value of Securities</t>
  </si>
  <si>
    <t xml:space="preserve">  Recorded Value of Other Investments</t>
  </si>
  <si>
    <t xml:space="preserve">  Collateral Assignment Split Dollar Life Insurance Arrangements</t>
  </si>
  <si>
    <t xml:space="preserve">    Remaining Premiums</t>
  </si>
  <si>
    <t xml:space="preserve">    Cash Surrender Value</t>
  </si>
  <si>
    <t xml:space="preserve">    Recorded Value</t>
  </si>
  <si>
    <t xml:space="preserve">  Endorsement Split Dollar Life Insurance Arrangements</t>
  </si>
  <si>
    <t xml:space="preserve">  Other Insurance</t>
  </si>
  <si>
    <t xml:space="preserve">  Other Non-insurance</t>
  </si>
  <si>
    <t>Total Assets Used to Fund Employee Benefit Plans or Deferred Compensation Agreements</t>
  </si>
  <si>
    <t>Charitable Donation Accounts</t>
  </si>
  <si>
    <t>CREDIT UNION INVESTMENT PROGRAMS</t>
  </si>
  <si>
    <t>Mortgage Processing</t>
  </si>
  <si>
    <t>Approved Mortgage Seller</t>
  </si>
  <si>
    <t>Borrowing Repurchase Agreements</t>
  </si>
  <si>
    <t>Brokered Deposits (all deposits acquired through 3rd party)</t>
  </si>
  <si>
    <t>Investment Pilot Program</t>
  </si>
  <si>
    <t>Investments Not Authorized by FCU Act (SCU only)</t>
  </si>
  <si>
    <t>Deposits and Shares Meeting 703.10(a)</t>
  </si>
  <si>
    <t>Brokered Certificates of Deposit (investments)</t>
  </si>
  <si>
    <r>
      <rPr>
        <vertAlign val="superscript"/>
        <sz val="8"/>
        <color rgb="FF000000"/>
        <rFont val="Arial"/>
        <family val="2"/>
      </rPr>
      <t>1</t>
    </r>
    <r>
      <rPr>
        <sz val="8"/>
        <color rgb="FF000000"/>
        <rFont val="Arial"/>
        <family val="2"/>
      </rPr>
      <t xml:space="preserve">Prior to March 31, 2014, this item included investments purchased for employee benefit/deferred compensation plans. </t>
    </r>
  </si>
  <si>
    <t xml:space="preserve"> #  Means the number is too large to display in the cell</t>
  </si>
  <si>
    <t>26. Investments-Memoranda</t>
  </si>
  <si>
    <t>DERIVATIVES TRANSACTION REPORT</t>
  </si>
  <si>
    <t>DERIVATIVE TRANSACTIONS OUTSTANDING</t>
  </si>
  <si>
    <t>Interest Rate Derivatives - Total Notional Amount</t>
  </si>
  <si>
    <t xml:space="preserve">    Options</t>
  </si>
  <si>
    <t xml:space="preserve">         Purchased Options</t>
  </si>
  <si>
    <t xml:space="preserve">         Written Options</t>
  </si>
  <si>
    <t xml:space="preserve">    Swaps</t>
  </si>
  <si>
    <t xml:space="preserve">    Futures</t>
  </si>
  <si>
    <t xml:space="preserve">    Other Interest Rate Derivatives</t>
  </si>
  <si>
    <t>Loan Pipeline Management Derivatives</t>
  </si>
  <si>
    <t>European Equity Call Options</t>
  </si>
  <si>
    <t>All Other Derivatives</t>
  </si>
  <si>
    <t>Total Notional Amount of Derivatives</t>
  </si>
  <si>
    <t>Interest Rate Derivatives - Net Fair Value Gain (Loss)</t>
  </si>
  <si>
    <t>Total Net Fair Value Gain (Loss) on Derivatives</t>
  </si>
  <si>
    <t>27. Derivatives</t>
  </si>
  <si>
    <t>LIQUIDITY - COMMITMENTS AND OFF-BALANCE SHEET EXPOSURES</t>
  </si>
  <si>
    <t>OFF-BALANCE SHEET - UNFUNDED COMMITMENTS FOR COMMERCIAL LOANS</t>
  </si>
  <si>
    <t xml:space="preserve">  Total Unfunded Commitments for Commercial Loans</t>
  </si>
  <si>
    <t>OFF-BALANCE SHEET - UNFUNDED COMMITMENTS FOR ALL REMAINING LOANS (NON COMMERCIAL)</t>
  </si>
  <si>
    <t xml:space="preserve">  Revolving Open-End lines secured by 1- to 4-Family Residential Properties</t>
  </si>
  <si>
    <t xml:space="preserve">  Credit Card Line</t>
  </si>
  <si>
    <t xml:space="preserve">  Unsecured Share Draft LOC</t>
  </si>
  <si>
    <t xml:space="preserve">  Unused Overdraft Protection Programs</t>
  </si>
  <si>
    <t xml:space="preserve">  Other Unfunded Commitments</t>
  </si>
  <si>
    <t xml:space="preserve">  Total Unfunded Commitments for Non Commercial Loans</t>
  </si>
  <si>
    <t>TOTAL UNFUNDED COMMITMENTS FOR ALL LOAN TYPES</t>
  </si>
  <si>
    <t>OFF-BALANCE SHEET EXPOSURES</t>
  </si>
  <si>
    <t xml:space="preserve">  Unconditionally Cancelable Unfunded Commitments for All loan Types</t>
  </si>
  <si>
    <t xml:space="preserve">  Conditionally Cancelable Unfunded Commitments</t>
  </si>
  <si>
    <t xml:space="preserve">  Loans transferred with limited recourse</t>
  </si>
  <si>
    <t xml:space="preserve">  Loans Transferred under the FHLB MPF program</t>
  </si>
  <si>
    <t xml:space="preserve">  Financial Standby Letters of Credit </t>
  </si>
  <si>
    <t xml:space="preserve">  Forward Agreements that are not derivative contracts</t>
  </si>
  <si>
    <t xml:space="preserve">  Sold Credit Protection</t>
  </si>
  <si>
    <t xml:space="preserve">  Off-Balance Sheet Securitization Exposures</t>
  </si>
  <si>
    <t xml:space="preserve">  Securities Borrowing or Lending transactions</t>
  </si>
  <si>
    <t xml:space="preserve">  Off-Balance Sheet exposure of repurchase transactions</t>
  </si>
  <si>
    <t xml:space="preserve">  All other off-balance sheet exposures</t>
  </si>
  <si>
    <t>Loans Transferred with Recourse</t>
  </si>
  <si>
    <t>Other Contingent Liabilities</t>
  </si>
  <si>
    <t>28. LIQ - Comm and OBS</t>
  </si>
  <si>
    <t>LIQUIDITY - BORROWING ARRANGEMENTS CONTINGENT LIABILITIES AND SOURCES OF FUNDS</t>
  </si>
  <si>
    <t>BORROWING ARRANGEMENTS</t>
  </si>
  <si>
    <t>Borrowing Capacity</t>
  </si>
  <si>
    <t xml:space="preserve">   Corporate Credit Unions</t>
  </si>
  <si>
    <t xml:space="preserve">   Natural Person Credit Unions</t>
  </si>
  <si>
    <t xml:space="preserve">   Federal Home Loan Bank</t>
  </si>
  <si>
    <t xml:space="preserve">   Central Liquidity Facility</t>
  </si>
  <si>
    <t xml:space="preserve">   Federal Reserve Bank - excludes amount reported in FRB Paycheck Protection Program Lending Facility Loans</t>
  </si>
  <si>
    <t xml:space="preserve">     FRB Paycheck Protection Program Lending Facility Loans</t>
  </si>
  <si>
    <t xml:space="preserve">   Other Sources</t>
  </si>
  <si>
    <t>Total Borrowing  Capacity</t>
  </si>
  <si>
    <t>Draws Against Borrowing Capacity</t>
  </si>
  <si>
    <t>Total Draws Against Borrowing Capacity</t>
  </si>
  <si>
    <t>Assets Pledged to Secure Borrowing Capacity</t>
  </si>
  <si>
    <t xml:space="preserve">   Federal Reserve Bank - excludes amount reported in FRB Paycheck Protection Program Lending Facility Loans </t>
  </si>
  <si>
    <t>Total Assets Pledged to Secure Borrowing Capacity</t>
  </si>
  <si>
    <t>Amount of Borrowings Callable by Lender</t>
  </si>
  <si>
    <t>Number of FHLB Members (1 = Yes)</t>
  </si>
  <si>
    <t>BORROWING MATURITY DISTRIBUTION</t>
  </si>
  <si>
    <t xml:space="preserve">   Draws Against Borrowing Capacity &lt; 1 Year</t>
  </si>
  <si>
    <t xml:space="preserve">   Draws Against Borrowing Capacity 1 - 3 Years</t>
  </si>
  <si>
    <t xml:space="preserve">   Draws Against Borrowing Capacity &gt; 3 Years</t>
  </si>
  <si>
    <t xml:space="preserve">   Draws Against Borrowing Capacity Total Amount</t>
  </si>
  <si>
    <t xml:space="preserve">   Borrowings from Repurchase Transactions &lt; 1 Year</t>
  </si>
  <si>
    <t xml:space="preserve">   Borrowings from Repurchase Transactions 1 - 3 Years</t>
  </si>
  <si>
    <t xml:space="preserve">   Borrowings from Repurchase Transactions &gt; 3 Years</t>
  </si>
  <si>
    <t xml:space="preserve">   Borrowings from Repurchase Transactions Total Amount</t>
  </si>
  <si>
    <t xml:space="preserve">   Subordinated Debt &lt; 1 Year</t>
  </si>
  <si>
    <t xml:space="preserve">   Subordinated Debt 1 - 3 Years</t>
  </si>
  <si>
    <t xml:space="preserve">   Subordinated Debt &gt; 3 Years</t>
  </si>
  <si>
    <t xml:space="preserve">   Subordinated Debt Total Amount</t>
  </si>
  <si>
    <t xml:space="preserve">   Total Borrowings &lt; 1 Year</t>
  </si>
  <si>
    <t xml:space="preserve">   Total Borrowings 1 - 3 Years</t>
  </si>
  <si>
    <t xml:space="preserve">   Total Borrowings &gt; 3 Years</t>
  </si>
  <si>
    <t>Total Borrowings</t>
  </si>
  <si>
    <t>29. LIQ-Borrowing Arrangements</t>
  </si>
  <si>
    <t>Share and Membership Information</t>
  </si>
  <si>
    <t>MEMBERSHIP:</t>
  </si>
  <si>
    <t>Number of Current Members</t>
  </si>
  <si>
    <t>Number of Potential Members</t>
  </si>
  <si>
    <t>% Current Members to Potential Members</t>
  </si>
  <si>
    <t>% Membership Growth*</t>
  </si>
  <si>
    <t>SUPPLEMENTAL SHARES/DEPOSITS (included in total Shares):</t>
  </si>
  <si>
    <t>Accounts Held by Member Public Units Deposits</t>
  </si>
  <si>
    <t>Accounts Held by Nonmember Public Units Deposits</t>
  </si>
  <si>
    <t>Non-dollar Denominated Deposits</t>
  </si>
  <si>
    <t>Dollar Amount of Share Certificates &gt;= $100,000</t>
  </si>
  <si>
    <t>Dollar Amount of IRA/Keogh &gt;= $100,000</t>
  </si>
  <si>
    <t>Dollar Amount of Share Drafts Swept to Regular Shares or Money Market Accounts</t>
  </si>
  <si>
    <t>Dollar Amount of Commercial Deposit Accounts</t>
  </si>
  <si>
    <t>Negative Shares Included in All Other Unsecured Loans/Lines of Credit</t>
  </si>
  <si>
    <t>NCUA INSURED SAVINGS</t>
  </si>
  <si>
    <t xml:space="preserve">    Uninsured Member Shares</t>
  </si>
  <si>
    <t xml:space="preserve">    Uninsured NonMember Deposits</t>
  </si>
  <si>
    <t>Total Uninsured Shares &amp; Deposits</t>
  </si>
  <si>
    <t>Total Insured Shares &amp; Deposits</t>
  </si>
  <si>
    <t>INSURANCE COVERAGE OTHER THAN NCUSIF</t>
  </si>
  <si>
    <t>Share/Deposit Insurance Other than NCUSIF</t>
  </si>
  <si>
    <t>Dollar Amount of Shares/Deposits Covered by Additional/Alternate Insurance</t>
  </si>
  <si>
    <t># Means the number is too large to display in the cell</t>
  </si>
  <si>
    <t>30. Shares and Membership</t>
  </si>
  <si>
    <t>SHARES/DEPOSITS MATURITY DISTRIBUTION</t>
  </si>
  <si>
    <t xml:space="preserve">  Member Share Drafts Number of Accounts</t>
  </si>
  <si>
    <t xml:space="preserve">  Member Share Drafts &lt; 1 Year</t>
  </si>
  <si>
    <t xml:space="preserve">  Member Share Drafts Total Amount</t>
  </si>
  <si>
    <t xml:space="preserve">  Member Regular Shares Number of Accounts</t>
  </si>
  <si>
    <t xml:space="preserve">  Member Regular Shares &lt; 1 Year</t>
  </si>
  <si>
    <t xml:space="preserve">  Member Regular Shares Total Amount</t>
  </si>
  <si>
    <t xml:space="preserve">  Member Money Market Shares Number of Accounts</t>
  </si>
  <si>
    <t xml:space="preserve">  Member Money Market Shares &lt; 1 Year</t>
  </si>
  <si>
    <t xml:space="preserve">  Member Money Market Shares Total Amount</t>
  </si>
  <si>
    <t xml:space="preserve">  Member Share Certificates Number of Accounts</t>
  </si>
  <si>
    <t xml:space="preserve">  Member Share Certificates &lt; 1 Year</t>
  </si>
  <si>
    <t xml:space="preserve">  Member Share Certificates 1 - 3 Years</t>
  </si>
  <si>
    <t xml:space="preserve">  Member Share Certificates &gt; 3 Years</t>
  </si>
  <si>
    <t xml:space="preserve">  Member Share Certificates Total Amount</t>
  </si>
  <si>
    <t xml:space="preserve">  Member IRA/KEOGH Accounts Number of Accounts</t>
  </si>
  <si>
    <t xml:space="preserve">  Member IRA/KEOGH Accounts &lt; 1 Year</t>
  </si>
  <si>
    <t xml:space="preserve">  Member IRA/KEOGH Accounts 1 - 3 Years</t>
  </si>
  <si>
    <t xml:space="preserve">  Member IRA/KEOGH Accounts &gt; 3 Years</t>
  </si>
  <si>
    <t xml:space="preserve">  Member IRA/KEOGH Accounts Total Amount</t>
  </si>
  <si>
    <t xml:space="preserve">  Member All Other Shares Number of Accounts</t>
  </si>
  <si>
    <t xml:space="preserve">  Member All Other Shares &lt; 1 Year</t>
  </si>
  <si>
    <t xml:space="preserve">  Member All Other Shares 1 - 3 Years</t>
  </si>
  <si>
    <t xml:space="preserve">  Member All Other Shares &gt; 3 Years</t>
  </si>
  <si>
    <t xml:space="preserve">  Member All Other Shares Total Amount</t>
  </si>
  <si>
    <t xml:space="preserve">  Member Total Shares Number of Accounts</t>
  </si>
  <si>
    <t xml:space="preserve">  Member Total Shares &lt; 1 Year</t>
  </si>
  <si>
    <t xml:space="preserve">  Member Total Shares 1 - 3 Years</t>
  </si>
  <si>
    <t xml:space="preserve">  Member Total Shares &gt; 3 Years</t>
  </si>
  <si>
    <t xml:space="preserve">  Member Total Shares Total Amount</t>
  </si>
  <si>
    <t xml:space="preserve">  Non-Member Total Deposits Number of Accounts</t>
  </si>
  <si>
    <t xml:space="preserve">  Non-Member Total Deposits &lt; 1 Year</t>
  </si>
  <si>
    <t xml:space="preserve">  Non-Member Total Deposits 1 - 3 Years</t>
  </si>
  <si>
    <t xml:space="preserve">  Non-Member Total Deposits &gt; 3 Years</t>
  </si>
  <si>
    <t xml:space="preserve">  Non-Member Total Deposits Total Amount</t>
  </si>
  <si>
    <t xml:space="preserve">  Total Shares/Deposits Number of Accounts</t>
  </si>
  <si>
    <t xml:space="preserve">  Total Shares/Deposits &lt; 1 Year</t>
  </si>
  <si>
    <t xml:space="preserve">  Total Shares/Deposits 1 - 3 Years</t>
  </si>
  <si>
    <t xml:space="preserve">  Total Shares/Deposits &gt; 3 Years</t>
  </si>
  <si>
    <t xml:space="preserve">  Total Shares/Deposits Total Amount</t>
  </si>
  <si>
    <t>31. Share &amp; Deposit Maturity</t>
  </si>
  <si>
    <t>GRANTS</t>
  </si>
  <si>
    <t xml:space="preserve">    Amount of Grants Awarded to your credit union, YTD</t>
  </si>
  <si>
    <t xml:space="preserve">    Amount of Grants Received by your credit union, YTD</t>
  </si>
  <si>
    <t>EMPLOYEES:</t>
  </si>
  <si>
    <t xml:space="preserve">    Number of Full-Time Employees</t>
  </si>
  <si>
    <t xml:space="preserve">    Number of Part-Time Employees</t>
  </si>
  <si>
    <t>BRANCHES:</t>
  </si>
  <si>
    <t xml:space="preserve">    Plan to add new branches or expand existing facilities</t>
  </si>
  <si>
    <t>CUSO INFORMATION</t>
  </si>
  <si>
    <t xml:space="preserve">    Value of Investments in CUSO</t>
  </si>
  <si>
    <t xml:space="preserve">    CUSO Loans</t>
  </si>
  <si>
    <t xml:space="preserve">    Aggregate Cash Outlays in CUSO</t>
  </si>
  <si>
    <t>MEMBER SERVICE AND PRODUCT OFFERINGS (Other Programs):</t>
  </si>
  <si>
    <t xml:space="preserve">    Number of International Remittances Originated YTD</t>
  </si>
  <si>
    <t>MERGERS/ACQUISITIONS:</t>
  </si>
  <si>
    <t xml:space="preserve">    Adjusted Retained Earnings Obtained through Business Combinations</t>
  </si>
  <si>
    <t>32. Supplemental Info</t>
  </si>
  <si>
    <t>Delinquency &amp; Net Charge-Offs</t>
  </si>
  <si>
    <t>Charge Offs Due To Bankruptcy (YTD) / Total Charge Offs (YTD)</t>
  </si>
  <si>
    <t>Net Worth To Assets</t>
  </si>
  <si>
    <t>Delinquent loans / loans</t>
  </si>
  <si>
    <t>Net Worth / Assets</t>
  </si>
  <si>
    <t>Net Charge-offs / Averge Assets</t>
  </si>
  <si>
    <t>Peer</t>
  </si>
  <si>
    <t>Peer Delinquency</t>
  </si>
  <si>
    <t>Peer Net Charge-offs</t>
  </si>
  <si>
    <t>Loan &amp; Share Growth</t>
  </si>
  <si>
    <t>Return On Average Assets</t>
  </si>
  <si>
    <t>Current Period_Prior Year</t>
  </si>
  <si>
    <t xml:space="preserve">Loan Growth Current Period_Prior Year / Prior Year (annualized) </t>
  </si>
  <si>
    <t>Net Income / Average Assets (annualized)</t>
  </si>
  <si>
    <t xml:space="preserve">Share Growth Current Period_Prior Year / Prior Year (annualized) </t>
  </si>
  <si>
    <t>Peer Share</t>
  </si>
  <si>
    <t>Peer Loan</t>
  </si>
  <si>
    <t>Note: The NCUA Board approved a regulatory/policy change in May 2012 revising the delinquency reporting requirements for troubled debt restructured (TDR) loans.
This policy change may result in a decline in delinquent loans reported as of June 2012.</t>
  </si>
  <si>
    <t>33. Graphs 1</t>
  </si>
  <si>
    <t>Loans To Assets</t>
  </si>
  <si>
    <t>Net Long Term Assets to Assets</t>
  </si>
  <si>
    <t>Loans / Assets</t>
  </si>
  <si>
    <t>Net Long -Term Assets / Assets</t>
  </si>
  <si>
    <t>Net Interest Margin (NIM)</t>
  </si>
  <si>
    <t>Cash &amp; Short-Term Investments To Assets</t>
  </si>
  <si>
    <t>NIM=(Net Interest Income-Interest Expense)/Avg Assets(annualized)</t>
  </si>
  <si>
    <t>Cash &amp; Short-Term Investments / Assets</t>
  </si>
  <si>
    <t>34. Graphs 2</t>
  </si>
  <si>
    <t>20251205</t>
  </si>
  <si>
    <t>1</t>
  </si>
  <si>
    <t xml:space="preserve">Region: Nation * Peer Group: All * Types Included: All  Federally Insured Credit Unions  (FICUs) *  </t>
  </si>
  <si>
    <t>12/05/2025</t>
  </si>
  <si>
    <t>*"Unvalidated data" means the FPR is based on numbers submitted by a credit union, but not available to the public pending NCUA attestation.</t>
  </si>
  <si>
    <t>*This FPR's data are updated once each cycle to provide a consistant source for public disclosure.</t>
  </si>
  <si>
    <t>A001</t>
  </si>
  <si>
    <t>A002</t>
  </si>
  <si>
    <t>A003</t>
  </si>
  <si>
    <t>A007</t>
  </si>
  <si>
    <t>A008</t>
  </si>
  <si>
    <t>A009</t>
  </si>
  <si>
    <t>A009A</t>
  </si>
  <si>
    <t>A009B</t>
  </si>
  <si>
    <t>A009C</t>
  </si>
  <si>
    <t>A009D</t>
  </si>
  <si>
    <t>A009D1</t>
  </si>
  <si>
    <t>A009D2</t>
  </si>
  <si>
    <t>A009E</t>
  </si>
  <si>
    <t>A010</t>
  </si>
  <si>
    <t>A010A</t>
  </si>
  <si>
    <t>A010B</t>
  </si>
  <si>
    <t>A010C</t>
  </si>
  <si>
    <t>A010X</t>
  </si>
  <si>
    <t>A011A</t>
  </si>
  <si>
    <t>A011C</t>
  </si>
  <si>
    <t>A013</t>
  </si>
  <si>
    <t>A013A</t>
  </si>
  <si>
    <t>A013B1</t>
  </si>
  <si>
    <t>A013B2</t>
  </si>
  <si>
    <t>A014</t>
  </si>
  <si>
    <t>A018</t>
  </si>
  <si>
    <t>A018A</t>
  </si>
  <si>
    <t>A018B1</t>
  </si>
  <si>
    <t>A018B2</t>
  </si>
  <si>
    <t>A020B</t>
  </si>
  <si>
    <t>A020C</t>
  </si>
  <si>
    <t>A020C1</t>
  </si>
  <si>
    <t>A020C2</t>
  </si>
  <si>
    <t>A020D</t>
  </si>
  <si>
    <t>A020E</t>
  </si>
  <si>
    <t>A020F</t>
  </si>
  <si>
    <t>A020G</t>
  </si>
  <si>
    <t>A020G1</t>
  </si>
  <si>
    <t>A020G2</t>
  </si>
  <si>
    <t>A020G3</t>
  </si>
  <si>
    <t>A020G4</t>
  </si>
  <si>
    <t>A020H</t>
  </si>
  <si>
    <t>A020P</t>
  </si>
  <si>
    <t>A020P1</t>
  </si>
  <si>
    <t>A020P2</t>
  </si>
  <si>
    <t>A020P3</t>
  </si>
  <si>
    <t>A020P4</t>
  </si>
  <si>
    <t>A020Q</t>
  </si>
  <si>
    <t>A020T</t>
  </si>
  <si>
    <t>A020U</t>
  </si>
  <si>
    <t>A020V</t>
  </si>
  <si>
    <t>A020X</t>
  </si>
  <si>
    <t>A020Y</t>
  </si>
  <si>
    <t>A020Y1</t>
  </si>
  <si>
    <t>A021B</t>
  </si>
  <si>
    <t>A021C</t>
  </si>
  <si>
    <t>A021C1</t>
  </si>
  <si>
    <t>A021C2</t>
  </si>
  <si>
    <t>A021D</t>
  </si>
  <si>
    <t>A021E</t>
  </si>
  <si>
    <t>A021F</t>
  </si>
  <si>
    <t>A021G</t>
  </si>
  <si>
    <t>A021G1</t>
  </si>
  <si>
    <t>A021G2</t>
  </si>
  <si>
    <t>A021G3</t>
  </si>
  <si>
    <t>A021G4</t>
  </si>
  <si>
    <t>A021H</t>
  </si>
  <si>
    <t>A021P</t>
  </si>
  <si>
    <t>A021P1</t>
  </si>
  <si>
    <t>A021P2</t>
  </si>
  <si>
    <t>A021P3</t>
  </si>
  <si>
    <t>A021P4</t>
  </si>
  <si>
    <t>A021Q</t>
  </si>
  <si>
    <t>A021T</t>
  </si>
  <si>
    <t>A022B</t>
  </si>
  <si>
    <t>A022C</t>
  </si>
  <si>
    <t>A022C1</t>
  </si>
  <si>
    <t>A022C2</t>
  </si>
  <si>
    <t>A022D</t>
  </si>
  <si>
    <t>A022E</t>
  </si>
  <si>
    <t>A022F</t>
  </si>
  <si>
    <t>A022G</t>
  </si>
  <si>
    <t>A022G1</t>
  </si>
  <si>
    <t>A022G2</t>
  </si>
  <si>
    <t>A022G3</t>
  </si>
  <si>
    <t>A022G4</t>
  </si>
  <si>
    <t>A022H</t>
  </si>
  <si>
    <t>A022P</t>
  </si>
  <si>
    <t>A022P1</t>
  </si>
  <si>
    <t>A022P2</t>
  </si>
  <si>
    <t>A022P3</t>
  </si>
  <si>
    <t>A022P4</t>
  </si>
  <si>
    <t>A022Q</t>
  </si>
  <si>
    <t>A022T</t>
  </si>
  <si>
    <t>A023B</t>
  </si>
  <si>
    <t>A023C</t>
  </si>
  <si>
    <t>A023C1</t>
  </si>
  <si>
    <t>A023C2</t>
  </si>
  <si>
    <t>A023D</t>
  </si>
  <si>
    <t>A023E</t>
  </si>
  <si>
    <t>A023F</t>
  </si>
  <si>
    <t>A023G</t>
  </si>
  <si>
    <t>A023G1</t>
  </si>
  <si>
    <t>A023G2</t>
  </si>
  <si>
    <t>A023G3</t>
  </si>
  <si>
    <t>A023G4</t>
  </si>
  <si>
    <t>A023H</t>
  </si>
  <si>
    <t>A023P</t>
  </si>
  <si>
    <t>A023P1</t>
  </si>
  <si>
    <t>A023P2</t>
  </si>
  <si>
    <t>A023P3</t>
  </si>
  <si>
    <t>A023P4</t>
  </si>
  <si>
    <t>A023Q</t>
  </si>
  <si>
    <t>A023T</t>
  </si>
  <si>
    <t>A024B</t>
  </si>
  <si>
    <t>A025A</t>
  </si>
  <si>
    <t>A025B</t>
  </si>
  <si>
    <t>A026B</t>
  </si>
  <si>
    <t>A027B</t>
  </si>
  <si>
    <t>A028B</t>
  </si>
  <si>
    <t>A031A</t>
  </si>
  <si>
    <t>A031B</t>
  </si>
  <si>
    <t>A031C</t>
  </si>
  <si>
    <t>A031D</t>
  </si>
  <si>
    <t>A041B</t>
  </si>
  <si>
    <t>A041C</t>
  </si>
  <si>
    <t>A041C1</t>
  </si>
  <si>
    <t>A041C2</t>
  </si>
  <si>
    <t>A041D</t>
  </si>
  <si>
    <t>A041E</t>
  </si>
  <si>
    <t>A041F</t>
  </si>
  <si>
    <t>A041G</t>
  </si>
  <si>
    <t>A041G1</t>
  </si>
  <si>
    <t>A041G2</t>
  </si>
  <si>
    <t>A041G3</t>
  </si>
  <si>
    <t>A041G4</t>
  </si>
  <si>
    <t>A041H</t>
  </si>
  <si>
    <t>A041H1</t>
  </si>
  <si>
    <t>A041I</t>
  </si>
  <si>
    <t>A041J</t>
  </si>
  <si>
    <t>A041K</t>
  </si>
  <si>
    <t>A041L</t>
  </si>
  <si>
    <t>A041M</t>
  </si>
  <si>
    <t>A041P</t>
  </si>
  <si>
    <t>A041P1</t>
  </si>
  <si>
    <t>A041P2</t>
  </si>
  <si>
    <t>A041P3</t>
  </si>
  <si>
    <t>A041P4</t>
  </si>
  <si>
    <t>A041Q</t>
  </si>
  <si>
    <t>A041R</t>
  </si>
  <si>
    <t>A041S</t>
  </si>
  <si>
    <t>A041T</t>
  </si>
  <si>
    <t>A041U</t>
  </si>
  <si>
    <t>A041V</t>
  </si>
  <si>
    <t>A041W</t>
  </si>
  <si>
    <t>A041W1</t>
  </si>
  <si>
    <t>A041X</t>
  </si>
  <si>
    <t>A041Y</t>
  </si>
  <si>
    <t>A041Y1</t>
  </si>
  <si>
    <t>A042</t>
  </si>
  <si>
    <t>A042A</t>
  </si>
  <si>
    <t>A042A1</t>
  </si>
  <si>
    <t>A042A2</t>
  </si>
  <si>
    <t>A042A3</t>
  </si>
  <si>
    <t>A042A4</t>
  </si>
  <si>
    <t>A042A5</t>
  </si>
  <si>
    <t>A042A6</t>
  </si>
  <si>
    <t>A042A7</t>
  </si>
  <si>
    <t>A042A8</t>
  </si>
  <si>
    <t>A042A9</t>
  </si>
  <si>
    <t>A045B</t>
  </si>
  <si>
    <t>A058A</t>
  </si>
  <si>
    <t>A058B1</t>
  </si>
  <si>
    <t>A058B2</t>
  </si>
  <si>
    <t>A058C</t>
  </si>
  <si>
    <t>A065</t>
  </si>
  <si>
    <t>A065A4</t>
  </si>
  <si>
    <t>A067</t>
  </si>
  <si>
    <t>A067A2</t>
  </si>
  <si>
    <t>A068</t>
  </si>
  <si>
    <t>A068A</t>
  </si>
  <si>
    <t>A069</t>
  </si>
  <si>
    <t>A069A</t>
  </si>
  <si>
    <t>A071F</t>
  </si>
  <si>
    <t>A071J</t>
  </si>
  <si>
    <t>A076</t>
  </si>
  <si>
    <t>A076_1</t>
  </si>
  <si>
    <t>A076_2</t>
  </si>
  <si>
    <t>A076_3</t>
  </si>
  <si>
    <t>A076_4</t>
  </si>
  <si>
    <t>A076_5</t>
  </si>
  <si>
    <t>A081</t>
  </si>
  <si>
    <t>A082</t>
  </si>
  <si>
    <t>A083</t>
  </si>
  <si>
    <t>A084</t>
  </si>
  <si>
    <t>A088</t>
  </si>
  <si>
    <t>A089B</t>
  </si>
  <si>
    <t>A1001A</t>
  </si>
  <si>
    <t>A1001B</t>
  </si>
  <si>
    <t>A1001C</t>
  </si>
  <si>
    <t>A1001D</t>
  </si>
  <si>
    <t>A1001E</t>
  </si>
  <si>
    <t>A1001F</t>
  </si>
  <si>
    <t>A1003</t>
  </si>
  <si>
    <t>A1004</t>
  </si>
  <si>
    <t>A1005</t>
  </si>
  <si>
    <t>A1005A</t>
  </si>
  <si>
    <t>A1011A</t>
  </si>
  <si>
    <t>A1011B</t>
  </si>
  <si>
    <t>A1011C</t>
  </si>
  <si>
    <t>A1011D</t>
  </si>
  <si>
    <t>A1011E</t>
  </si>
  <si>
    <t>A1011F</t>
  </si>
  <si>
    <t>A1011G</t>
  </si>
  <si>
    <t>A1013</t>
  </si>
  <si>
    <t>A1020</t>
  </si>
  <si>
    <t>A1020C</t>
  </si>
  <si>
    <t>A1020Y</t>
  </si>
  <si>
    <t>A1021</t>
  </si>
  <si>
    <t>A1021C</t>
  </si>
  <si>
    <t>A1021Y</t>
  </si>
  <si>
    <t>A1022C</t>
  </si>
  <si>
    <t>A1023</t>
  </si>
  <si>
    <t>A1023Y</t>
  </si>
  <si>
    <t>A1030</t>
  </si>
  <si>
    <t>A1030C</t>
  </si>
  <si>
    <t>A1031</t>
  </si>
  <si>
    <t>A1032</t>
  </si>
  <si>
    <t>A1033</t>
  </si>
  <si>
    <t>A1034</t>
  </si>
  <si>
    <t>A1061</t>
  </si>
  <si>
    <t>A1062</t>
  </si>
  <si>
    <t>A1063</t>
  </si>
  <si>
    <t>A110</t>
  </si>
  <si>
    <t>A115</t>
  </si>
  <si>
    <t>A116</t>
  </si>
  <si>
    <t>A117</t>
  </si>
  <si>
    <t>A119</t>
  </si>
  <si>
    <t>A120</t>
  </si>
  <si>
    <t>A124</t>
  </si>
  <si>
    <t>A125A</t>
  </si>
  <si>
    <t>A125B</t>
  </si>
  <si>
    <t>A125C</t>
  </si>
  <si>
    <t>A125D</t>
  </si>
  <si>
    <t>A125E</t>
  </si>
  <si>
    <t>A126A</t>
  </si>
  <si>
    <t>A126B</t>
  </si>
  <si>
    <t>A126C</t>
  </si>
  <si>
    <t>A126D</t>
  </si>
  <si>
    <t>A126E</t>
  </si>
  <si>
    <t>A127B</t>
  </si>
  <si>
    <t>A128B</t>
  </si>
  <si>
    <t>A129B</t>
  </si>
  <si>
    <t>A130B</t>
  </si>
  <si>
    <t>A131</t>
  </si>
  <si>
    <t>A132</t>
  </si>
  <si>
    <t>A133</t>
  </si>
  <si>
    <t>A134</t>
  </si>
  <si>
    <t>A135</t>
  </si>
  <si>
    <t>A136</t>
  </si>
  <si>
    <t>A137</t>
  </si>
  <si>
    <t>A143A</t>
  </si>
  <si>
    <t>A143A1</t>
  </si>
  <si>
    <t>A143A2</t>
  </si>
  <si>
    <t>A143A3</t>
  </si>
  <si>
    <t>A143A4</t>
  </si>
  <si>
    <t>A143B</t>
  </si>
  <si>
    <t>A143B1</t>
  </si>
  <si>
    <t>A143B2</t>
  </si>
  <si>
    <t>A143B3</t>
  </si>
  <si>
    <t>A143B4</t>
  </si>
  <si>
    <t>A210</t>
  </si>
  <si>
    <t>A230</t>
  </si>
  <si>
    <t>A250</t>
  </si>
  <si>
    <t>A260</t>
  </si>
  <si>
    <t>A270</t>
  </si>
  <si>
    <t>A280</t>
  </si>
  <si>
    <t>A290</t>
  </si>
  <si>
    <t>A300</t>
  </si>
  <si>
    <t>A310</t>
  </si>
  <si>
    <t>A310A</t>
  </si>
  <si>
    <t>A311</t>
  </si>
  <si>
    <t>A311A</t>
  </si>
  <si>
    <t>A320</t>
  </si>
  <si>
    <t>A340</t>
  </si>
  <si>
    <t>A350</t>
  </si>
  <si>
    <t>A360</t>
  </si>
  <si>
    <t>A370</t>
  </si>
  <si>
    <t>A380</t>
  </si>
  <si>
    <t>A381</t>
  </si>
  <si>
    <t>A385</t>
  </si>
  <si>
    <t>A386</t>
  </si>
  <si>
    <t>A386A</t>
  </si>
  <si>
    <t>A386B</t>
  </si>
  <si>
    <t>A387</t>
  </si>
  <si>
    <t>A393</t>
  </si>
  <si>
    <t>A396</t>
  </si>
  <si>
    <t>A397</t>
  </si>
  <si>
    <t>A397A</t>
  </si>
  <si>
    <t>A400</t>
  </si>
  <si>
    <t>A400A</t>
  </si>
  <si>
    <t>A400A1</t>
  </si>
  <si>
    <t>A400B</t>
  </si>
  <si>
    <t>A400B1</t>
  </si>
  <si>
    <t>A400C</t>
  </si>
  <si>
    <t>A400C1</t>
  </si>
  <si>
    <t>A400C2</t>
  </si>
  <si>
    <t>A400C3</t>
  </si>
  <si>
    <t>A400C4</t>
  </si>
  <si>
    <t>A400C5</t>
  </si>
  <si>
    <t>A400C6</t>
  </si>
  <si>
    <t>A400C7</t>
  </si>
  <si>
    <t>A400C8</t>
  </si>
  <si>
    <t>A400D</t>
  </si>
  <si>
    <t>A400F</t>
  </si>
  <si>
    <t>A400G</t>
  </si>
  <si>
    <t>A400G1</t>
  </si>
  <si>
    <t>A400H</t>
  </si>
  <si>
    <t>A400H1</t>
  </si>
  <si>
    <t>A400H2</t>
  </si>
  <si>
    <t>A400H3</t>
  </si>
  <si>
    <t>A400J</t>
  </si>
  <si>
    <t>A400J1</t>
  </si>
  <si>
    <t>A400J2</t>
  </si>
  <si>
    <t>A400J3</t>
  </si>
  <si>
    <t>A400L</t>
  </si>
  <si>
    <t>A400L1</t>
  </si>
  <si>
    <t>A400L2</t>
  </si>
  <si>
    <t>A400L3</t>
  </si>
  <si>
    <t>A400M</t>
  </si>
  <si>
    <t>A400M1</t>
  </si>
  <si>
    <t>A400N</t>
  </si>
  <si>
    <t>A400P</t>
  </si>
  <si>
    <t>A400T</t>
  </si>
  <si>
    <t>A400T1</t>
  </si>
  <si>
    <t>A420</t>
  </si>
  <si>
    <t>A420A</t>
  </si>
  <si>
    <t>A420B</t>
  </si>
  <si>
    <t>A420C</t>
  </si>
  <si>
    <t>A420D</t>
  </si>
  <si>
    <t>A421</t>
  </si>
  <si>
    <t>A430</t>
  </si>
  <si>
    <t>A431</t>
  </si>
  <si>
    <t>A440</t>
  </si>
  <si>
    <t>A440A</t>
  </si>
  <si>
    <t>A451</t>
  </si>
  <si>
    <t>A452</t>
  </si>
  <si>
    <t>A453</t>
  </si>
  <si>
    <t>A454</t>
  </si>
  <si>
    <t>A455</t>
  </si>
  <si>
    <t>A457</t>
  </si>
  <si>
    <t>A458</t>
  </si>
  <si>
    <t>A459</t>
  </si>
  <si>
    <t>A460</t>
  </si>
  <si>
    <t>A475A</t>
  </si>
  <si>
    <t>A475A1</t>
  </si>
  <si>
    <t>A475B</t>
  </si>
  <si>
    <t>A475B1</t>
  </si>
  <si>
    <t>A548</t>
  </si>
  <si>
    <t>A549</t>
  </si>
  <si>
    <t>A550</t>
  </si>
  <si>
    <t>A550C</t>
  </si>
  <si>
    <t>A550C1</t>
  </si>
  <si>
    <t>A550C2</t>
  </si>
  <si>
    <t>A550D</t>
  </si>
  <si>
    <t>A550E</t>
  </si>
  <si>
    <t>A550F</t>
  </si>
  <si>
    <t>A550G</t>
  </si>
  <si>
    <t>A550G1</t>
  </si>
  <si>
    <t>A550G2</t>
  </si>
  <si>
    <t>A550G3</t>
  </si>
  <si>
    <t>A550G4</t>
  </si>
  <si>
    <t>A550H</t>
  </si>
  <si>
    <t>A550I</t>
  </si>
  <si>
    <t>A550J</t>
  </si>
  <si>
    <t>A550K</t>
  </si>
  <si>
    <t>A550M</t>
  </si>
  <si>
    <t>A550P</t>
  </si>
  <si>
    <t>A550P1</t>
  </si>
  <si>
    <t>A550P2</t>
  </si>
  <si>
    <t>A550P3</t>
  </si>
  <si>
    <t>A550P4</t>
  </si>
  <si>
    <t>A550Q</t>
  </si>
  <si>
    <t>A550T</t>
  </si>
  <si>
    <t>A550U</t>
  </si>
  <si>
    <t>A550V</t>
  </si>
  <si>
    <t>A551</t>
  </si>
  <si>
    <t>A551C</t>
  </si>
  <si>
    <t>A551C1</t>
  </si>
  <si>
    <t>A551C2</t>
  </si>
  <si>
    <t>A551D</t>
  </si>
  <si>
    <t>A551E</t>
  </si>
  <si>
    <t>A551F</t>
  </si>
  <si>
    <t>A551G</t>
  </si>
  <si>
    <t>A551G1</t>
  </si>
  <si>
    <t>A551G2</t>
  </si>
  <si>
    <t>A551G3</t>
  </si>
  <si>
    <t>A551G4</t>
  </si>
  <si>
    <t>A551H</t>
  </si>
  <si>
    <t>A551I</t>
  </si>
  <si>
    <t>A551J</t>
  </si>
  <si>
    <t>A551K</t>
  </si>
  <si>
    <t>A551M</t>
  </si>
  <si>
    <t>A551P</t>
  </si>
  <si>
    <t>A551P1</t>
  </si>
  <si>
    <t>A551P2</t>
  </si>
  <si>
    <t>A551P3</t>
  </si>
  <si>
    <t>A551P4</t>
  </si>
  <si>
    <t>A551Q</t>
  </si>
  <si>
    <t>A551T</t>
  </si>
  <si>
    <t>A551U</t>
  </si>
  <si>
    <t>A551V</t>
  </si>
  <si>
    <t>A564A</t>
  </si>
  <si>
    <t>A564B</t>
  </si>
  <si>
    <t>A566</t>
  </si>
  <si>
    <t>A566A</t>
  </si>
  <si>
    <t>A566B</t>
  </si>
  <si>
    <t>A602</t>
  </si>
  <si>
    <t>A607</t>
  </si>
  <si>
    <t>A608</t>
  </si>
  <si>
    <t>A613</t>
  </si>
  <si>
    <t>A615</t>
  </si>
  <si>
    <t>A616A</t>
  </si>
  <si>
    <t>A617A</t>
  </si>
  <si>
    <t>A618A</t>
  </si>
  <si>
    <t>A618B</t>
  </si>
  <si>
    <t>A618C</t>
  </si>
  <si>
    <t>A619</t>
  </si>
  <si>
    <t>A619B</t>
  </si>
  <si>
    <t>A630</t>
  </si>
  <si>
    <t>A630A</t>
  </si>
  <si>
    <t>A630B1</t>
  </si>
  <si>
    <t>A630B2</t>
  </si>
  <si>
    <t>A631</t>
  </si>
  <si>
    <t>A632</t>
  </si>
  <si>
    <t>A633</t>
  </si>
  <si>
    <t>A634</t>
  </si>
  <si>
    <t>A635</t>
  </si>
  <si>
    <t>A636</t>
  </si>
  <si>
    <t>A637</t>
  </si>
  <si>
    <t>A638</t>
  </si>
  <si>
    <t>A639</t>
  </si>
  <si>
    <t>A641</t>
  </si>
  <si>
    <t>A642</t>
  </si>
  <si>
    <t>A643</t>
  </si>
  <si>
    <t>A644</t>
  </si>
  <si>
    <t>A652A</t>
  </si>
  <si>
    <t>A652B</t>
  </si>
  <si>
    <t>A652C</t>
  </si>
  <si>
    <t>A652C1</t>
  </si>
  <si>
    <t>A652C2</t>
  </si>
  <si>
    <t>A652D</t>
  </si>
  <si>
    <t>A655C</t>
  </si>
  <si>
    <t>A657</t>
  </si>
  <si>
    <t>A657A</t>
  </si>
  <si>
    <t>A658</t>
  </si>
  <si>
    <t>A658A</t>
  </si>
  <si>
    <t>A659</t>
  </si>
  <si>
    <t>A660A</t>
  </si>
  <si>
    <t>A661A</t>
  </si>
  <si>
    <t>A668</t>
  </si>
  <si>
    <t>A671</t>
  </si>
  <si>
    <t>A672A</t>
  </si>
  <si>
    <t>A672B</t>
  </si>
  <si>
    <t>A672C</t>
  </si>
  <si>
    <t>A672C1</t>
  </si>
  <si>
    <t>A672C2</t>
  </si>
  <si>
    <t>A672D</t>
  </si>
  <si>
    <t>A680</t>
  </si>
  <si>
    <t>A681</t>
  </si>
  <si>
    <t>A682</t>
  </si>
  <si>
    <t>A690</t>
  </si>
  <si>
    <t>A691</t>
  </si>
  <si>
    <t>A691B1</t>
  </si>
  <si>
    <t>A691C</t>
  </si>
  <si>
    <t>A691C1</t>
  </si>
  <si>
    <t>A691C2</t>
  </si>
  <si>
    <t>A691E</t>
  </si>
  <si>
    <t>A691G</t>
  </si>
  <si>
    <t>A691L</t>
  </si>
  <si>
    <t>A691L1</t>
  </si>
  <si>
    <t>A691L2</t>
  </si>
  <si>
    <t>A691L3</t>
  </si>
  <si>
    <t>A691L4</t>
  </si>
  <si>
    <t>A691L5</t>
  </si>
  <si>
    <t>A691L6</t>
  </si>
  <si>
    <t>A691L7</t>
  </si>
  <si>
    <t>A691L8</t>
  </si>
  <si>
    <t>A691L9</t>
  </si>
  <si>
    <t>A691N</t>
  </si>
  <si>
    <t>A691N1</t>
  </si>
  <si>
    <t>A691N2</t>
  </si>
  <si>
    <t>A691N3</t>
  </si>
  <si>
    <t>A691N4</t>
  </si>
  <si>
    <t>A691N5</t>
  </si>
  <si>
    <t>A691N6</t>
  </si>
  <si>
    <t>A691N7</t>
  </si>
  <si>
    <t>A691N8</t>
  </si>
  <si>
    <t>A691N9</t>
  </si>
  <si>
    <t>A691P1</t>
  </si>
  <si>
    <t>A691P2</t>
  </si>
  <si>
    <t>A692</t>
  </si>
  <si>
    <t>A698</t>
  </si>
  <si>
    <t>A698A</t>
  </si>
  <si>
    <t>A698B</t>
  </si>
  <si>
    <t>A698C</t>
  </si>
  <si>
    <t>A703</t>
  </si>
  <si>
    <t>A703A</t>
  </si>
  <si>
    <t>A704</t>
  </si>
  <si>
    <t>A704A</t>
  </si>
  <si>
    <t>A704A1</t>
  </si>
  <si>
    <t>A704A2</t>
  </si>
  <si>
    <t>A704B</t>
  </si>
  <si>
    <t>A704C</t>
  </si>
  <si>
    <t>A704C1</t>
  </si>
  <si>
    <t>A704D</t>
  </si>
  <si>
    <t>A704D2</t>
  </si>
  <si>
    <t>A704E</t>
  </si>
  <si>
    <t>A704F2</t>
  </si>
  <si>
    <t>A704G2</t>
  </si>
  <si>
    <t>A705</t>
  </si>
  <si>
    <t>A705A</t>
  </si>
  <si>
    <t>A705B</t>
  </si>
  <si>
    <t>A706</t>
  </si>
  <si>
    <t>A707</t>
  </si>
  <si>
    <t>A708</t>
  </si>
  <si>
    <t>A708B</t>
  </si>
  <si>
    <t>A709</t>
  </si>
  <si>
    <t>A710</t>
  </si>
  <si>
    <t>A712</t>
  </si>
  <si>
    <t>A713</t>
  </si>
  <si>
    <t>A713A</t>
  </si>
  <si>
    <t>A714</t>
  </si>
  <si>
    <t>A714A</t>
  </si>
  <si>
    <t>A715</t>
  </si>
  <si>
    <t>A715A</t>
  </si>
  <si>
    <t>A716</t>
  </si>
  <si>
    <t>A716A</t>
  </si>
  <si>
    <t>A718</t>
  </si>
  <si>
    <t>A718A</t>
  </si>
  <si>
    <t>A718A1</t>
  </si>
  <si>
    <t>A718A2</t>
  </si>
  <si>
    <t>A718A3</t>
  </si>
  <si>
    <t>A718A4</t>
  </si>
  <si>
    <t>A718A5</t>
  </si>
  <si>
    <t>A719</t>
  </si>
  <si>
    <t>A720</t>
  </si>
  <si>
    <t>A720A</t>
  </si>
  <si>
    <t>A720B</t>
  </si>
  <si>
    <t>A720C</t>
  </si>
  <si>
    <t>A720D</t>
  </si>
  <si>
    <t>A720E</t>
  </si>
  <si>
    <t>A721</t>
  </si>
  <si>
    <t>A721A</t>
  </si>
  <si>
    <t>A721B</t>
  </si>
  <si>
    <t>A722</t>
  </si>
  <si>
    <t>A723</t>
  </si>
  <si>
    <t>A724</t>
  </si>
  <si>
    <t>A724B</t>
  </si>
  <si>
    <t>A725</t>
  </si>
  <si>
    <t>A726</t>
  </si>
  <si>
    <t>A730A</t>
  </si>
  <si>
    <t>A730B</t>
  </si>
  <si>
    <t>A730B1</t>
  </si>
  <si>
    <t>A730B2</t>
  </si>
  <si>
    <t>A730C</t>
  </si>
  <si>
    <t>A731</t>
  </si>
  <si>
    <t>A732</t>
  </si>
  <si>
    <t>A733</t>
  </si>
  <si>
    <t>A733A</t>
  </si>
  <si>
    <t>A736</t>
  </si>
  <si>
    <t>A740</t>
  </si>
  <si>
    <t>A740A</t>
  </si>
  <si>
    <t>A741C</t>
  </si>
  <si>
    <t>A741C3</t>
  </si>
  <si>
    <t>A742C</t>
  </si>
  <si>
    <t>A742C1</t>
  </si>
  <si>
    <t>A742C2</t>
  </si>
  <si>
    <t>A743C</t>
  </si>
  <si>
    <t>A743D</t>
  </si>
  <si>
    <t>A743E</t>
  </si>
  <si>
    <t>A744A</t>
  </si>
  <si>
    <t>A744B</t>
  </si>
  <si>
    <t>A744C</t>
  </si>
  <si>
    <t>A744C1</t>
  </si>
  <si>
    <t>A744C2</t>
  </si>
  <si>
    <t>A744D</t>
  </si>
  <si>
    <t>A745</t>
  </si>
  <si>
    <t>A745A</t>
  </si>
  <si>
    <t>A745B</t>
  </si>
  <si>
    <t>A745C</t>
  </si>
  <si>
    <t>A745C1</t>
  </si>
  <si>
    <t>A745C2</t>
  </si>
  <si>
    <t>A745D</t>
  </si>
  <si>
    <t>A745E</t>
  </si>
  <si>
    <t>A746</t>
  </si>
  <si>
    <t>A751</t>
  </si>
  <si>
    <t>A752</t>
  </si>
  <si>
    <t>A753</t>
  </si>
  <si>
    <t>A754</t>
  </si>
  <si>
    <t>A755</t>
  </si>
  <si>
    <t>A756</t>
  </si>
  <si>
    <t>A757</t>
  </si>
  <si>
    <t>A758</t>
  </si>
  <si>
    <t>A766A</t>
  </si>
  <si>
    <t>A766B</t>
  </si>
  <si>
    <t>A766C1</t>
  </si>
  <si>
    <t>A766C2</t>
  </si>
  <si>
    <t>A766D</t>
  </si>
  <si>
    <t>A766E</t>
  </si>
  <si>
    <t>A767</t>
  </si>
  <si>
    <t>A769A</t>
  </si>
  <si>
    <t>A769A1</t>
  </si>
  <si>
    <t>A769B</t>
  </si>
  <si>
    <t>A769B1</t>
  </si>
  <si>
    <t>A771</t>
  </si>
  <si>
    <t>A772</t>
  </si>
  <si>
    <t>A773</t>
  </si>
  <si>
    <t>A774</t>
  </si>
  <si>
    <t>A775</t>
  </si>
  <si>
    <t>A776</t>
  </si>
  <si>
    <t>A777</t>
  </si>
  <si>
    <t>A778</t>
  </si>
  <si>
    <t>A779</t>
  </si>
  <si>
    <t>A779A</t>
  </si>
  <si>
    <t>A780</t>
  </si>
  <si>
    <t>A781</t>
  </si>
  <si>
    <t>A784</t>
  </si>
  <si>
    <t>A784A</t>
  </si>
  <si>
    <t>A785</t>
  </si>
  <si>
    <t>A785A</t>
  </si>
  <si>
    <t>A786</t>
  </si>
  <si>
    <t>A786A</t>
  </si>
  <si>
    <t>A786B</t>
  </si>
  <si>
    <t>`</t>
  </si>
  <si>
    <t>A788</t>
  </si>
  <si>
    <t>A789</t>
  </si>
  <si>
    <t>A789A</t>
  </si>
  <si>
    <t>A789A1</t>
  </si>
  <si>
    <t>A789B</t>
  </si>
  <si>
    <t>A789C</t>
  </si>
  <si>
    <t>A789D</t>
  </si>
  <si>
    <t>A789E</t>
  </si>
  <si>
    <t>A789E1</t>
  </si>
  <si>
    <t>A789E2</t>
  </si>
  <si>
    <t>A789F</t>
  </si>
  <si>
    <t>A789G</t>
  </si>
  <si>
    <t>A789H</t>
  </si>
  <si>
    <t>A794</t>
  </si>
  <si>
    <t>A796A</t>
  </si>
  <si>
    <t>A796B</t>
  </si>
  <si>
    <t>A796C</t>
  </si>
  <si>
    <t>A796C1</t>
  </si>
  <si>
    <t>A796C2</t>
  </si>
  <si>
    <t>A796D</t>
  </si>
  <si>
    <t>A796E</t>
  </si>
  <si>
    <t>A797A</t>
  </si>
  <si>
    <t>A797B</t>
  </si>
  <si>
    <t>A797C</t>
  </si>
  <si>
    <t>A797C1</t>
  </si>
  <si>
    <t>A797C2</t>
  </si>
  <si>
    <t>A797D</t>
  </si>
  <si>
    <t>A797E</t>
  </si>
  <si>
    <t>A798</t>
  </si>
  <si>
    <t>A798A</t>
  </si>
  <si>
    <t>A798A1</t>
  </si>
  <si>
    <t>A798A2</t>
  </si>
  <si>
    <t>A798A3</t>
  </si>
  <si>
    <t>A799</t>
  </si>
  <si>
    <t>A799A</t>
  </si>
  <si>
    <t>A799A1</t>
  </si>
  <si>
    <t>A799B</t>
  </si>
  <si>
    <t>A799C</t>
  </si>
  <si>
    <t>A799C1</t>
  </si>
  <si>
    <t>A799C2</t>
  </si>
  <si>
    <t>A799D</t>
  </si>
  <si>
    <t>A799I</t>
  </si>
  <si>
    <t>A800</t>
  </si>
  <si>
    <t>A801</t>
  </si>
  <si>
    <t>A811</t>
  </si>
  <si>
    <t>A811A</t>
  </si>
  <si>
    <t>A811B</t>
  </si>
  <si>
    <t>A811B5</t>
  </si>
  <si>
    <t>A811C</t>
  </si>
  <si>
    <t>A811C5</t>
  </si>
  <si>
    <t>A811D</t>
  </si>
  <si>
    <t>A811E</t>
  </si>
  <si>
    <t>A812</t>
  </si>
  <si>
    <t>A812C</t>
  </si>
  <si>
    <t>A813</t>
  </si>
  <si>
    <t>A813A2</t>
  </si>
  <si>
    <t>A814</t>
  </si>
  <si>
    <t>A814A</t>
  </si>
  <si>
    <t>A814A1</t>
  </si>
  <si>
    <t>A814A8</t>
  </si>
  <si>
    <t>A814B</t>
  </si>
  <si>
    <t>A814D</t>
  </si>
  <si>
    <t>A814E</t>
  </si>
  <si>
    <t>A814F</t>
  </si>
  <si>
    <t>A814G</t>
  </si>
  <si>
    <t>A814H</t>
  </si>
  <si>
    <t>A814J</t>
  </si>
  <si>
    <t>A814J5</t>
  </si>
  <si>
    <t>A814K</t>
  </si>
  <si>
    <t>A815</t>
  </si>
  <si>
    <t>A815C</t>
  </si>
  <si>
    <t>A816</t>
  </si>
  <si>
    <t>A816A</t>
  </si>
  <si>
    <t>A816A1</t>
  </si>
  <si>
    <t>A816A2</t>
  </si>
  <si>
    <t>A816B5</t>
  </si>
  <si>
    <t>A816E</t>
  </si>
  <si>
    <t>A816T</t>
  </si>
  <si>
    <t>A818</t>
  </si>
  <si>
    <t>A818A</t>
  </si>
  <si>
    <t>A819</t>
  </si>
  <si>
    <t>A820A</t>
  </si>
  <si>
    <t>A822</t>
  </si>
  <si>
    <t>A822C</t>
  </si>
  <si>
    <t>A825</t>
  </si>
  <si>
    <t>A825A</t>
  </si>
  <si>
    <t>A831A</t>
  </si>
  <si>
    <t>A831B</t>
  </si>
  <si>
    <t>A831C</t>
  </si>
  <si>
    <t>A831D</t>
  </si>
  <si>
    <t>A831E</t>
  </si>
  <si>
    <t>A831F</t>
  </si>
  <si>
    <t>A831G</t>
  </si>
  <si>
    <t>A831H</t>
  </si>
  <si>
    <t>A831I</t>
  </si>
  <si>
    <t>A831J</t>
  </si>
  <si>
    <t>A831K</t>
  </si>
  <si>
    <t>A831L</t>
  </si>
  <si>
    <t>A831M</t>
  </si>
  <si>
    <t>A831N</t>
  </si>
  <si>
    <t>A831O</t>
  </si>
  <si>
    <t>A831P</t>
  </si>
  <si>
    <t>A831Q</t>
  </si>
  <si>
    <t>A831R</t>
  </si>
  <si>
    <t>A831S</t>
  </si>
  <si>
    <t>A831T</t>
  </si>
  <si>
    <t>A832A</t>
  </si>
  <si>
    <t>A832B</t>
  </si>
  <si>
    <t>A832C</t>
  </si>
  <si>
    <t>A832D</t>
  </si>
  <si>
    <t>A832E</t>
  </si>
  <si>
    <t>A832F</t>
  </si>
  <si>
    <t>A832G</t>
  </si>
  <si>
    <t>A832H</t>
  </si>
  <si>
    <t>A832I</t>
  </si>
  <si>
    <t>A832J</t>
  </si>
  <si>
    <t>A832K</t>
  </si>
  <si>
    <t>A832L</t>
  </si>
  <si>
    <t>A832M</t>
  </si>
  <si>
    <t>A832N</t>
  </si>
  <si>
    <t>A832O</t>
  </si>
  <si>
    <t>A832P</t>
  </si>
  <si>
    <t>A832Q</t>
  </si>
  <si>
    <t>A832R</t>
  </si>
  <si>
    <t>A832S</t>
  </si>
  <si>
    <t>A832T</t>
  </si>
  <si>
    <t>A836A</t>
  </si>
  <si>
    <t>A836B</t>
  </si>
  <si>
    <t>A836C</t>
  </si>
  <si>
    <t>A836D</t>
  </si>
  <si>
    <t>A836E</t>
  </si>
  <si>
    <t>A836F</t>
  </si>
  <si>
    <t>A836G</t>
  </si>
  <si>
    <t>A836H</t>
  </si>
  <si>
    <t>A836I</t>
  </si>
  <si>
    <t>A836J</t>
  </si>
  <si>
    <t>A836K</t>
  </si>
  <si>
    <t>A836L</t>
  </si>
  <si>
    <t>A836M</t>
  </si>
  <si>
    <t>A836N</t>
  </si>
  <si>
    <t>A836O</t>
  </si>
  <si>
    <t>A836P</t>
  </si>
  <si>
    <t>A836Q</t>
  </si>
  <si>
    <t>A836R</t>
  </si>
  <si>
    <t>A836S</t>
  </si>
  <si>
    <t>A836T</t>
  </si>
  <si>
    <t>A842</t>
  </si>
  <si>
    <t>A846A</t>
  </si>
  <si>
    <t>A846B</t>
  </si>
  <si>
    <t>A846C</t>
  </si>
  <si>
    <t>A846D</t>
  </si>
  <si>
    <t>A846E</t>
  </si>
  <si>
    <t>A846F</t>
  </si>
  <si>
    <t>A846G</t>
  </si>
  <si>
    <t>A846H</t>
  </si>
  <si>
    <t>A846I</t>
  </si>
  <si>
    <t>A846J</t>
  </si>
  <si>
    <t>A846K</t>
  </si>
  <si>
    <t>A846L</t>
  </si>
  <si>
    <t>A846M</t>
  </si>
  <si>
    <t>A846N</t>
  </si>
  <si>
    <t>A846O</t>
  </si>
  <si>
    <t>A846P</t>
  </si>
  <si>
    <t>A846Q</t>
  </si>
  <si>
    <t>A846R</t>
  </si>
  <si>
    <t>A846S</t>
  </si>
  <si>
    <t>A846T</t>
  </si>
  <si>
    <t>A847A</t>
  </si>
  <si>
    <t>A847B</t>
  </si>
  <si>
    <t>A847C</t>
  </si>
  <si>
    <t>A847D</t>
  </si>
  <si>
    <t>A847E</t>
  </si>
  <si>
    <t>A847F</t>
  </si>
  <si>
    <t>A847G</t>
  </si>
  <si>
    <t>A847H</t>
  </si>
  <si>
    <t>A847I</t>
  </si>
  <si>
    <t>A847J</t>
  </si>
  <si>
    <t>A847K</t>
  </si>
  <si>
    <t>A847L</t>
  </si>
  <si>
    <t>A847M</t>
  </si>
  <si>
    <t>A847N</t>
  </si>
  <si>
    <t>A847O</t>
  </si>
  <si>
    <t>A847P</t>
  </si>
  <si>
    <t>A847Q</t>
  </si>
  <si>
    <t>A847R</t>
  </si>
  <si>
    <t>A847S</t>
  </si>
  <si>
    <t>A847T</t>
  </si>
  <si>
    <t>A848A</t>
  </si>
  <si>
    <t>A848B</t>
  </si>
  <si>
    <t>A848C</t>
  </si>
  <si>
    <t>A848D</t>
  </si>
  <si>
    <t>A848E</t>
  </si>
  <si>
    <t>A848F</t>
  </si>
  <si>
    <t>A848G</t>
  </si>
  <si>
    <t>A848H</t>
  </si>
  <si>
    <t>A848I</t>
  </si>
  <si>
    <t>A848J</t>
  </si>
  <si>
    <t>A848K</t>
  </si>
  <si>
    <t>A848L</t>
  </si>
  <si>
    <t>A848M</t>
  </si>
  <si>
    <t>A848N</t>
  </si>
  <si>
    <t>A848O</t>
  </si>
  <si>
    <t>A848P</t>
  </si>
  <si>
    <t>A848Q</t>
  </si>
  <si>
    <t>A848R</t>
  </si>
  <si>
    <t>A848S</t>
  </si>
  <si>
    <t>A848T</t>
  </si>
  <si>
    <t>A849A</t>
  </si>
  <si>
    <t>A849B</t>
  </si>
  <si>
    <t>A849C</t>
  </si>
  <si>
    <t>A849D</t>
  </si>
  <si>
    <t>A849E</t>
  </si>
  <si>
    <t>A849F</t>
  </si>
  <si>
    <t>A849G</t>
  </si>
  <si>
    <t>A849H</t>
  </si>
  <si>
    <t>A849I</t>
  </si>
  <si>
    <t>A849J</t>
  </si>
  <si>
    <t>A849K</t>
  </si>
  <si>
    <t>A849L</t>
  </si>
  <si>
    <t>A849M</t>
  </si>
  <si>
    <t>A849N</t>
  </si>
  <si>
    <t>A849O</t>
  </si>
  <si>
    <t>A849P</t>
  </si>
  <si>
    <t>A849Q</t>
  </si>
  <si>
    <t>A849R</t>
  </si>
  <si>
    <t>A849S</t>
  </si>
  <si>
    <t>A849T</t>
  </si>
  <si>
    <t>A851</t>
  </si>
  <si>
    <t>A852</t>
  </si>
  <si>
    <t>A853</t>
  </si>
  <si>
    <t>A854A</t>
  </si>
  <si>
    <t>A854B</t>
  </si>
  <si>
    <t>A854C</t>
  </si>
  <si>
    <t>A854D</t>
  </si>
  <si>
    <t>A854E</t>
  </si>
  <si>
    <t>A854F</t>
  </si>
  <si>
    <t>A854G</t>
  </si>
  <si>
    <t>A854H</t>
  </si>
  <si>
    <t>A854I</t>
  </si>
  <si>
    <t>A854J</t>
  </si>
  <si>
    <t>A854K</t>
  </si>
  <si>
    <t>A854L</t>
  </si>
  <si>
    <t>A854M</t>
  </si>
  <si>
    <t>A854N</t>
  </si>
  <si>
    <t>A854O</t>
  </si>
  <si>
    <t>A854P</t>
  </si>
  <si>
    <t>A854Q</t>
  </si>
  <si>
    <t>A854R</t>
  </si>
  <si>
    <t>A854S</t>
  </si>
  <si>
    <t>A854T</t>
  </si>
  <si>
    <t>A860A</t>
  </si>
  <si>
    <t>A860B1</t>
  </si>
  <si>
    <t>A860B2</t>
  </si>
  <si>
    <t>A860C</t>
  </si>
  <si>
    <t>A865</t>
  </si>
  <si>
    <t>A865A</t>
  </si>
  <si>
    <t>A867A</t>
  </si>
  <si>
    <t>A867B1</t>
  </si>
  <si>
    <t>A867B2</t>
  </si>
  <si>
    <t>A867C</t>
  </si>
  <si>
    <t>A875</t>
  </si>
  <si>
    <t>A877</t>
  </si>
  <si>
    <t>A878</t>
  </si>
  <si>
    <t>A879A</t>
  </si>
  <si>
    <t>A879A1</t>
  </si>
  <si>
    <t>A879A2</t>
  </si>
  <si>
    <t>A879A3</t>
  </si>
  <si>
    <t>A879B</t>
  </si>
  <si>
    <t>A879B4</t>
  </si>
  <si>
    <t>A879B5</t>
  </si>
  <si>
    <t>A879C</t>
  </si>
  <si>
    <t>A879D</t>
  </si>
  <si>
    <t>A879D1</t>
  </si>
  <si>
    <t>A879D2</t>
  </si>
  <si>
    <t>A879D3</t>
  </si>
  <si>
    <t>A879D4</t>
  </si>
  <si>
    <t>A879D5</t>
  </si>
  <si>
    <t>A879D6</t>
  </si>
  <si>
    <t>A879D7</t>
  </si>
  <si>
    <t>A879D8</t>
  </si>
  <si>
    <t>A879D9</t>
  </si>
  <si>
    <t>A879D10</t>
  </si>
  <si>
    <t>A879E</t>
  </si>
  <si>
    <t>A879F</t>
  </si>
  <si>
    <t>A879G</t>
  </si>
  <si>
    <t>A879H</t>
  </si>
  <si>
    <t>A879I</t>
  </si>
  <si>
    <t>A879J</t>
  </si>
  <si>
    <t>A879K</t>
  </si>
  <si>
    <t>A879L</t>
  </si>
  <si>
    <t>A879M</t>
  </si>
  <si>
    <t>A879N</t>
  </si>
  <si>
    <t>A879O</t>
  </si>
  <si>
    <t>A879P</t>
  </si>
  <si>
    <t>A879Q</t>
  </si>
  <si>
    <t>A879R</t>
  </si>
  <si>
    <t>A879S</t>
  </si>
  <si>
    <t>A879T</t>
  </si>
  <si>
    <t>A879U</t>
  </si>
  <si>
    <t>A879V</t>
  </si>
  <si>
    <t>A879W</t>
  </si>
  <si>
    <t>A880</t>
  </si>
  <si>
    <t>A880A</t>
  </si>
  <si>
    <t>A880B1</t>
  </si>
  <si>
    <t>A880B2</t>
  </si>
  <si>
    <t>A881</t>
  </si>
  <si>
    <t>A882</t>
  </si>
  <si>
    <t>A883A</t>
  </si>
  <si>
    <t>A883B1</t>
  </si>
  <si>
    <t>A883B2</t>
  </si>
  <si>
    <t>A883C</t>
  </si>
  <si>
    <t>A884</t>
  </si>
  <si>
    <t>A884C</t>
  </si>
  <si>
    <t>A884D</t>
  </si>
  <si>
    <t>A885A</t>
  </si>
  <si>
    <t>A885A1</t>
  </si>
  <si>
    <t>A885A2</t>
  </si>
  <si>
    <t>A885A3</t>
  </si>
  <si>
    <t>A885A4</t>
  </si>
  <si>
    <t>A885B</t>
  </si>
  <si>
    <t>A885B1</t>
  </si>
  <si>
    <t>A885B2</t>
  </si>
  <si>
    <t>A885B3</t>
  </si>
  <si>
    <t>A885B4</t>
  </si>
  <si>
    <t>A885B5</t>
  </si>
  <si>
    <t>A885C</t>
  </si>
  <si>
    <t>A885C1</t>
  </si>
  <si>
    <t>A885C2</t>
  </si>
  <si>
    <t>A885C3</t>
  </si>
  <si>
    <t>A885C4</t>
  </si>
  <si>
    <t>A885C5</t>
  </si>
  <si>
    <t>A885C6</t>
  </si>
  <si>
    <t>A885D</t>
  </si>
  <si>
    <t>A885D1</t>
  </si>
  <si>
    <t>A885D2</t>
  </si>
  <si>
    <t>A885D3</t>
  </si>
  <si>
    <t>A885D4</t>
  </si>
  <si>
    <t>A885D5</t>
  </si>
  <si>
    <t>A885D6</t>
  </si>
  <si>
    <t>A886A</t>
  </si>
  <si>
    <t>A886B</t>
  </si>
  <si>
    <t>A886C</t>
  </si>
  <si>
    <t>A886D</t>
  </si>
  <si>
    <t>A886E</t>
  </si>
  <si>
    <t>A886F</t>
  </si>
  <si>
    <t>A886G</t>
  </si>
  <si>
    <t>A886H</t>
  </si>
  <si>
    <t>A887A</t>
  </si>
  <si>
    <t>A887B</t>
  </si>
  <si>
    <t>A887C</t>
  </si>
  <si>
    <t>A887D</t>
  </si>
  <si>
    <t>A887E</t>
  </si>
  <si>
    <t>A887F</t>
  </si>
  <si>
    <t>A887G</t>
  </si>
  <si>
    <t>A887H</t>
  </si>
  <si>
    <t>A887I</t>
  </si>
  <si>
    <t>A887J</t>
  </si>
  <si>
    <t>A887K</t>
  </si>
  <si>
    <t>A887L</t>
  </si>
  <si>
    <t>A887M</t>
  </si>
  <si>
    <t>A887N</t>
  </si>
  <si>
    <t>A887P</t>
  </si>
  <si>
    <t>A887R</t>
  </si>
  <si>
    <t>A887S</t>
  </si>
  <si>
    <t>A887T</t>
  </si>
  <si>
    <t>A887U</t>
  </si>
  <si>
    <t>A887V</t>
  </si>
  <si>
    <t>A888</t>
  </si>
  <si>
    <t>A889</t>
  </si>
  <si>
    <t>A889B</t>
  </si>
  <si>
    <t>A889B_1</t>
  </si>
  <si>
    <t>A889B_2</t>
  </si>
  <si>
    <t>A889B_3</t>
  </si>
  <si>
    <t>A892A</t>
  </si>
  <si>
    <t>A892A_1</t>
  </si>
  <si>
    <t>A892A_2</t>
  </si>
  <si>
    <t>A892A_3</t>
  </si>
  <si>
    <t>A892B</t>
  </si>
  <si>
    <t>A895</t>
  </si>
  <si>
    <t>A896</t>
  </si>
  <si>
    <t>A899</t>
  </si>
  <si>
    <t>A900A</t>
  </si>
  <si>
    <t>A900A1</t>
  </si>
  <si>
    <t>A900B</t>
  </si>
  <si>
    <t>A900B1</t>
  </si>
  <si>
    <t>A900C</t>
  </si>
  <si>
    <t>A900C1</t>
  </si>
  <si>
    <t>A900C2</t>
  </si>
  <si>
    <t>A900C3</t>
  </si>
  <si>
    <t>A900C4</t>
  </si>
  <si>
    <t>A900C5</t>
  </si>
  <si>
    <t>A900C6</t>
  </si>
  <si>
    <t>A900C7</t>
  </si>
  <si>
    <t>A900C8</t>
  </si>
  <si>
    <t>A900D</t>
  </si>
  <si>
    <t>A900F</t>
  </si>
  <si>
    <t>A900G</t>
  </si>
  <si>
    <t>A900G1</t>
  </si>
  <si>
    <t>A900H</t>
  </si>
  <si>
    <t>A900H1</t>
  </si>
  <si>
    <t>A900H2</t>
  </si>
  <si>
    <t>A900H3</t>
  </si>
  <si>
    <t>A900J</t>
  </si>
  <si>
    <t>A900J1</t>
  </si>
  <si>
    <t>A900J2</t>
  </si>
  <si>
    <t>A900J3</t>
  </si>
  <si>
    <t>A900K</t>
  </si>
  <si>
    <t>A900K1</t>
  </si>
  <si>
    <t>A900K2</t>
  </si>
  <si>
    <t>A900K3</t>
  </si>
  <si>
    <t>A900L</t>
  </si>
  <si>
    <t>A900L1</t>
  </si>
  <si>
    <t>A900L2</t>
  </si>
  <si>
    <t>A900L3</t>
  </si>
  <si>
    <t>A900M</t>
  </si>
  <si>
    <t>A900M1</t>
  </si>
  <si>
    <t>A900T</t>
  </si>
  <si>
    <t>A900T1</t>
  </si>
  <si>
    <t>A902</t>
  </si>
  <si>
    <t>A902A</t>
  </si>
  <si>
    <t>A903</t>
  </si>
  <si>
    <t>A904</t>
  </si>
  <si>
    <t>A905</t>
  </si>
  <si>
    <t>A906</t>
  </si>
  <si>
    <t>A906A</t>
  </si>
  <si>
    <t>A906B1</t>
  </si>
  <si>
    <t>A906B2</t>
  </si>
  <si>
    <t>A906C</t>
  </si>
  <si>
    <t>A908A</t>
  </si>
  <si>
    <t>A908B1</t>
  </si>
  <si>
    <t>A908B2</t>
  </si>
  <si>
    <t>A908C</t>
  </si>
  <si>
    <t>A911</t>
  </si>
  <si>
    <t>A911A</t>
  </si>
  <si>
    <t>A919</t>
  </si>
  <si>
    <t>A925</t>
  </si>
  <si>
    <t>A925A</t>
  </si>
  <si>
    <t>A925A1</t>
  </si>
  <si>
    <t>A925A2</t>
  </si>
  <si>
    <t>A926</t>
  </si>
  <si>
    <t>A927</t>
  </si>
  <si>
    <t>A928</t>
  </si>
  <si>
    <t>A931</t>
  </si>
  <si>
    <t>A940</t>
  </si>
  <si>
    <t>A945</t>
  </si>
  <si>
    <t>A945A</t>
  </si>
  <si>
    <t>A945B</t>
  </si>
  <si>
    <t>A945C</t>
  </si>
  <si>
    <t>A956</t>
  </si>
  <si>
    <t>A961A</t>
  </si>
  <si>
    <t>A961A1</t>
  </si>
  <si>
    <t>A961A2</t>
  </si>
  <si>
    <t>A961A3</t>
  </si>
  <si>
    <t>A961A4</t>
  </si>
  <si>
    <t>A961A5</t>
  </si>
  <si>
    <t>A961A6</t>
  </si>
  <si>
    <t>A961A7</t>
  </si>
  <si>
    <t>A961A8</t>
  </si>
  <si>
    <t>A961A9</t>
  </si>
  <si>
    <t>A965</t>
  </si>
  <si>
    <t>A965A</t>
  </si>
  <si>
    <t>A965B</t>
  </si>
  <si>
    <t>A965C</t>
  </si>
  <si>
    <t>A965C1</t>
  </si>
  <si>
    <t>A965C2</t>
  </si>
  <si>
    <t>A965D</t>
  </si>
  <si>
    <t>A966</t>
  </si>
  <si>
    <t>A971</t>
  </si>
  <si>
    <t>A980</t>
  </si>
  <si>
    <t>A981</t>
  </si>
  <si>
    <t>A981A</t>
  </si>
  <si>
    <t>A981B</t>
  </si>
  <si>
    <t>A981C</t>
  </si>
  <si>
    <t>A996</t>
  </si>
  <si>
    <t>A997</t>
  </si>
  <si>
    <t>A998</t>
  </si>
  <si>
    <t>A999</t>
  </si>
  <si>
    <t>A999B</t>
  </si>
  <si>
    <t>AAS0001</t>
  </si>
  <si>
    <t>AAS0003</t>
  </si>
  <si>
    <t>AAS0004</t>
  </si>
  <si>
    <t>AAS0005</t>
  </si>
  <si>
    <t>AAS0007</t>
  </si>
  <si>
    <t>AAS0008</t>
  </si>
  <si>
    <t>AAS0009</t>
  </si>
  <si>
    <t>AAS0010</t>
  </si>
  <si>
    <t>AAS0013</t>
  </si>
  <si>
    <t>AAS0016</t>
  </si>
  <si>
    <t>AAS0017</t>
  </si>
  <si>
    <t>AAS0022</t>
  </si>
  <si>
    <t>AAS0023</t>
  </si>
  <si>
    <t>AAS0024</t>
  </si>
  <si>
    <t>AAS0025</t>
  </si>
  <si>
    <t>AAS0032</t>
  </si>
  <si>
    <t>AAS0036</t>
  </si>
  <si>
    <t>AAS0041</t>
  </si>
  <si>
    <t>AAS0042</t>
  </si>
  <si>
    <t>AAS0048</t>
  </si>
  <si>
    <t>AAS0050</t>
  </si>
  <si>
    <t>AAS0051</t>
  </si>
  <si>
    <t>AAS0052</t>
  </si>
  <si>
    <t>AAS0053</t>
  </si>
  <si>
    <t>AAS0054</t>
  </si>
  <si>
    <t>AAS0055</t>
  </si>
  <si>
    <t>AAS0056</t>
  </si>
  <si>
    <t>AAS0057</t>
  </si>
  <si>
    <t>AAS0058</t>
  </si>
  <si>
    <t>AAS0059</t>
  </si>
  <si>
    <t>AAS0060</t>
  </si>
  <si>
    <t>AAS0061</t>
  </si>
  <si>
    <t>AAS0062</t>
  </si>
  <si>
    <t>AAS0063</t>
  </si>
  <si>
    <t>AAS0064</t>
  </si>
  <si>
    <t>AAS0065</t>
  </si>
  <si>
    <t>AAS0066</t>
  </si>
  <si>
    <t>AAS0067</t>
  </si>
  <si>
    <t>AAS0068</t>
  </si>
  <si>
    <t>AAS0069</t>
  </si>
  <si>
    <t>AAS0070</t>
  </si>
  <si>
    <t>AAS0071</t>
  </si>
  <si>
    <t>AAS0072</t>
  </si>
  <si>
    <t>AAS0073</t>
  </si>
  <si>
    <t>ACH0007</t>
  </si>
  <si>
    <t>ACH0008</t>
  </si>
  <si>
    <t>ACH0015</t>
  </si>
  <si>
    <t>ACH0016</t>
  </si>
  <si>
    <t>ACH0017</t>
  </si>
  <si>
    <t>ACH0018</t>
  </si>
  <si>
    <t>ACH0019</t>
  </si>
  <si>
    <t>ACH0020</t>
  </si>
  <si>
    <t>ACH0021</t>
  </si>
  <si>
    <t>ACH0022</t>
  </si>
  <si>
    <t>ACH0023</t>
  </si>
  <si>
    <t>ACH0024</t>
  </si>
  <si>
    <t>ACH0025</t>
  </si>
  <si>
    <t>ACH0026</t>
  </si>
  <si>
    <t>ACH0027</t>
  </si>
  <si>
    <t>ACH0028</t>
  </si>
  <si>
    <t>ACH0029</t>
  </si>
  <si>
    <t>ACH0030</t>
  </si>
  <si>
    <t>ACH0031</t>
  </si>
  <si>
    <t>ACH0032</t>
  </si>
  <si>
    <t>ACH0033</t>
  </si>
  <si>
    <t>ACH0034</t>
  </si>
  <si>
    <t>ACH0035</t>
  </si>
  <si>
    <t>ACH0036</t>
  </si>
  <si>
    <t>ACH0037</t>
  </si>
  <si>
    <t>ACH0038</t>
  </si>
  <si>
    <t>ACH0039</t>
  </si>
  <si>
    <t>ACH0040</t>
  </si>
  <si>
    <t>ACH0047</t>
  </si>
  <si>
    <t>ACH0048</t>
  </si>
  <si>
    <t>ACM0099</t>
  </si>
  <si>
    <t>ADL0002</t>
  </si>
  <si>
    <t>ADL0009</t>
  </si>
  <si>
    <t>ADL0016</t>
  </si>
  <si>
    <t>ADL0022</t>
  </si>
  <si>
    <t>ADL0023</t>
  </si>
  <si>
    <t>ADL0024</t>
  </si>
  <si>
    <t>ADL0025</t>
  </si>
  <si>
    <t>ADL0026</t>
  </si>
  <si>
    <t>ADL0027</t>
  </si>
  <si>
    <t>ADL0030</t>
  </si>
  <si>
    <t>ADL0037</t>
  </si>
  <si>
    <t>ADL0044</t>
  </si>
  <si>
    <t>ADL0050</t>
  </si>
  <si>
    <t>ADL0051</t>
  </si>
  <si>
    <t>ADL0052</t>
  </si>
  <si>
    <t>ADL0053</t>
  </si>
  <si>
    <t>ADL0054</t>
  </si>
  <si>
    <t>ADL0055</t>
  </si>
  <si>
    <t>ADL0057</t>
  </si>
  <si>
    <t>ADL0058</t>
  </si>
  <si>
    <t>ADL0059</t>
  </si>
  <si>
    <t>ADL0060</t>
  </si>
  <si>
    <t>ADL0061</t>
  </si>
  <si>
    <t>ADL0062</t>
  </si>
  <si>
    <t>ADL0064</t>
  </si>
  <si>
    <t>ADL0065</t>
  </si>
  <si>
    <t>ADL0066</t>
  </si>
  <si>
    <t>ADL0067</t>
  </si>
  <si>
    <t>ADL0068</t>
  </si>
  <si>
    <t>ADL0069</t>
  </si>
  <si>
    <t>ADL0071</t>
  </si>
  <si>
    <t>ADL0072</t>
  </si>
  <si>
    <t>ADL0073</t>
  </si>
  <si>
    <t>ADL0074</t>
  </si>
  <si>
    <t>ADL0075</t>
  </si>
  <si>
    <t>ADL0076</t>
  </si>
  <si>
    <t>ADL0078</t>
  </si>
  <si>
    <t>ADL0079</t>
  </si>
  <si>
    <t>ADL0080</t>
  </si>
  <si>
    <t>ADL0081</t>
  </si>
  <si>
    <t>ADL0082</t>
  </si>
  <si>
    <t>ADL0083</t>
  </si>
  <si>
    <t>ADL0085</t>
  </si>
  <si>
    <t>ADL0086</t>
  </si>
  <si>
    <t>ADL0087</t>
  </si>
  <si>
    <t>ADL0088</t>
  </si>
  <si>
    <t>ADL0089</t>
  </si>
  <si>
    <t>ADL0090</t>
  </si>
  <si>
    <t>ADL0092</t>
  </si>
  <si>
    <t>ADL0093</t>
  </si>
  <si>
    <t>ADL0094</t>
  </si>
  <si>
    <t>ADL0095</t>
  </si>
  <si>
    <t>ADL0096</t>
  </si>
  <si>
    <t>ADL0097</t>
  </si>
  <si>
    <t>ADL0099</t>
  </si>
  <si>
    <t>ADL0100</t>
  </si>
  <si>
    <t>ADL0101</t>
  </si>
  <si>
    <t>ADL0102</t>
  </si>
  <si>
    <t>ADL0103</t>
  </si>
  <si>
    <t>ADL0104</t>
  </si>
  <si>
    <t>ADL0106</t>
  </si>
  <si>
    <t>ADL0107</t>
  </si>
  <si>
    <t>ADL0108</t>
  </si>
  <si>
    <t>ADL0109</t>
  </si>
  <si>
    <t>ADL0110</t>
  </si>
  <si>
    <t>ADL0111</t>
  </si>
  <si>
    <t>ADL0113</t>
  </si>
  <si>
    <t>ADL0114</t>
  </si>
  <si>
    <t>ADL0115</t>
  </si>
  <si>
    <t>ADL0116</t>
  </si>
  <si>
    <t>ADL0117</t>
  </si>
  <si>
    <t>ADL0118</t>
  </si>
  <si>
    <t>ADL0120</t>
  </si>
  <si>
    <t>ADL0121</t>
  </si>
  <si>
    <t>ADL0122</t>
  </si>
  <si>
    <t>ADL0123</t>
  </si>
  <si>
    <t>ADL0124</t>
  </si>
  <si>
    <t>ADL0125</t>
  </si>
  <si>
    <t>ADL0127</t>
  </si>
  <si>
    <t>ADL0128</t>
  </si>
  <si>
    <t>ADL0129</t>
  </si>
  <si>
    <t>ADL0130</t>
  </si>
  <si>
    <t>ADL0131</t>
  </si>
  <si>
    <t>ADL0132</t>
  </si>
  <si>
    <t>ADL0134</t>
  </si>
  <si>
    <t>ADL0135</t>
  </si>
  <si>
    <t>ADL0136</t>
  </si>
  <si>
    <t>ADL0137</t>
  </si>
  <si>
    <t>ADL0138</t>
  </si>
  <si>
    <t>ADL0139</t>
  </si>
  <si>
    <t>ADL0141</t>
  </si>
  <si>
    <t>ADL0142</t>
  </si>
  <si>
    <t>ADL0144</t>
  </si>
  <si>
    <t>ADL0145</t>
  </si>
  <si>
    <t>ADL0146</t>
  </si>
  <si>
    <t>ADL0147</t>
  </si>
  <si>
    <t>ADL0148</t>
  </si>
  <si>
    <t>ADT0001</t>
  </si>
  <si>
    <t>ADT0002</t>
  </si>
  <si>
    <t>ADT0003</t>
  </si>
  <si>
    <t>ADT0004</t>
  </si>
  <si>
    <t>ADT0005</t>
  </si>
  <si>
    <t>ADT0006</t>
  </si>
  <si>
    <t>ADT0007</t>
  </si>
  <si>
    <t>ADT0008</t>
  </si>
  <si>
    <t>ADT0009</t>
  </si>
  <si>
    <t>ADT0010</t>
  </si>
  <si>
    <t>ADT0011</t>
  </si>
  <si>
    <t>ADT0012</t>
  </si>
  <si>
    <t>ADT0013</t>
  </si>
  <si>
    <t>ADT0014</t>
  </si>
  <si>
    <t>ADT0015</t>
  </si>
  <si>
    <t>ADT0016</t>
  </si>
  <si>
    <t>AEQ0009</t>
  </si>
  <si>
    <t>AIN0001</t>
  </si>
  <si>
    <t>AIN0002</t>
  </si>
  <si>
    <t>AIN0003</t>
  </si>
  <si>
    <t>AIN0004</t>
  </si>
  <si>
    <t>AIN0005</t>
  </si>
  <si>
    <t>AIN0006</t>
  </si>
  <si>
    <t>AIN0007</t>
  </si>
  <si>
    <t>AIN0008</t>
  </si>
  <si>
    <t>AIS0004</t>
  </si>
  <si>
    <t>AIS0005</t>
  </si>
  <si>
    <t>AIS0011</t>
  </si>
  <si>
    <t>AIS0017</t>
  </si>
  <si>
    <t>AIS0020</t>
  </si>
  <si>
    <t>AIS0021</t>
  </si>
  <si>
    <t>AIS0022</t>
  </si>
  <si>
    <t>AIS0026</t>
  </si>
  <si>
    <t>AIS0029</t>
  </si>
  <si>
    <t>AIS0030</t>
  </si>
  <si>
    <t>AIS0046</t>
  </si>
  <si>
    <t>AIS0047</t>
  </si>
  <si>
    <t>AIS0048</t>
  </si>
  <si>
    <t>AIS0049</t>
  </si>
  <si>
    <t>ALC0047</t>
  </si>
  <si>
    <t>ALC0047X</t>
  </si>
  <si>
    <t>ALC0085</t>
  </si>
  <si>
    <t>ALI0003</t>
  </si>
  <si>
    <t>ALI0069</t>
  </si>
  <si>
    <t>ALN0051</t>
  </si>
  <si>
    <t>ALN0052</t>
  </si>
  <si>
    <t>ALN0054</t>
  </si>
  <si>
    <t>ALN0055</t>
  </si>
  <si>
    <t>ALN0057</t>
  </si>
  <si>
    <t>ALQ0013</t>
  </si>
  <si>
    <t>ALQ0017</t>
  </si>
  <si>
    <t>ALQ0020</t>
  </si>
  <si>
    <t>ALQ0021</t>
  </si>
  <si>
    <t>ALQ0022</t>
  </si>
  <si>
    <t>ALQ0023</t>
  </si>
  <si>
    <t>ALQ0026</t>
  </si>
  <si>
    <t>ALQ0027</t>
  </si>
  <si>
    <t>ALQ0028</t>
  </si>
  <si>
    <t>ALQ0029</t>
  </si>
  <si>
    <t>ALQ0030</t>
  </si>
  <si>
    <t>ALQ0034</t>
  </si>
  <si>
    <t>ALQ0035</t>
  </si>
  <si>
    <t>ALQ0038</t>
  </si>
  <si>
    <t>ALQ0039</t>
  </si>
  <si>
    <t>ALQ0040</t>
  </si>
  <si>
    <t>ALQ0042</t>
  </si>
  <si>
    <t>ALQ0043</t>
  </si>
  <si>
    <t>ALQ0044</t>
  </si>
  <si>
    <t>ALQ0045</t>
  </si>
  <si>
    <t>ALQ0046</t>
  </si>
  <si>
    <t>ALQ0047</t>
  </si>
  <si>
    <t>ALQ0052</t>
  </si>
  <si>
    <t>ALQ0053</t>
  </si>
  <si>
    <t>ALQ0056</t>
  </si>
  <si>
    <t>ALQ0059</t>
  </si>
  <si>
    <t>ALQ0060</t>
  </si>
  <si>
    <t>ALQ0061</t>
  </si>
  <si>
    <t>ALQ0062</t>
  </si>
  <si>
    <t>ALQ0860</t>
  </si>
  <si>
    <t>ANV0001</t>
  </si>
  <si>
    <t>ANV0002</t>
  </si>
  <si>
    <t>ANV0003</t>
  </si>
  <si>
    <t>ANV0004</t>
  </si>
  <si>
    <t>ANV0013</t>
  </si>
  <si>
    <t>ANV0014</t>
  </si>
  <si>
    <t>ANV0015</t>
  </si>
  <si>
    <t>ANV0016</t>
  </si>
  <si>
    <t>ANV0017</t>
  </si>
  <si>
    <t>ANV0018</t>
  </si>
  <si>
    <t>ANV0019</t>
  </si>
  <si>
    <t>ANV0020</t>
  </si>
  <si>
    <t>ANV0033</t>
  </si>
  <si>
    <t>ANV0034</t>
  </si>
  <si>
    <t>ANV0035</t>
  </si>
  <si>
    <t>ANV0036</t>
  </si>
  <si>
    <t>ANV0049</t>
  </si>
  <si>
    <t>ANV0050</t>
  </si>
  <si>
    <t>ANV0051</t>
  </si>
  <si>
    <t>ANV0052</t>
  </si>
  <si>
    <t>ANV0065</t>
  </si>
  <si>
    <t>ANV0066</t>
  </si>
  <si>
    <t>ANV0067</t>
  </si>
  <si>
    <t>ANV0068</t>
  </si>
  <si>
    <t>ANV0069</t>
  </si>
  <si>
    <t>ANV0070</t>
  </si>
  <si>
    <t>ANV0071</t>
  </si>
  <si>
    <t>ANV0072</t>
  </si>
  <si>
    <t>ANV0073</t>
  </si>
  <si>
    <t>ANV0074</t>
  </si>
  <si>
    <t>ANV0075</t>
  </si>
  <si>
    <t>ANV0076</t>
  </si>
  <si>
    <t>ANV0077</t>
  </si>
  <si>
    <t>ANV0078</t>
  </si>
  <si>
    <t>ANV0079</t>
  </si>
  <si>
    <t>ANV0080</t>
  </si>
  <si>
    <t>ANV0081</t>
  </si>
  <si>
    <t>ANV0083</t>
  </si>
  <si>
    <t>ANV0084</t>
  </si>
  <si>
    <t>ANV0087</t>
  </si>
  <si>
    <t>ANV0088</t>
  </si>
  <si>
    <t>ANV0089</t>
  </si>
  <si>
    <t>ANV0093</t>
  </si>
  <si>
    <t>ANV0097</t>
  </si>
  <si>
    <t>ANV0101</t>
  </si>
  <si>
    <t>ANV0102</t>
  </si>
  <si>
    <t>ANV0103</t>
  </si>
  <si>
    <t>ANV0104</t>
  </si>
  <si>
    <t>ANV0105</t>
  </si>
  <si>
    <t>ANV0106</t>
  </si>
  <si>
    <t>ANV0107</t>
  </si>
  <si>
    <t>ANV0108</t>
  </si>
  <si>
    <t>ANV0111</t>
  </si>
  <si>
    <t>ANV0112</t>
  </si>
  <si>
    <t>ANV0113</t>
  </si>
  <si>
    <t>ANV0114</t>
  </si>
  <si>
    <t>ANV0115</t>
  </si>
  <si>
    <t>ANV0116</t>
  </si>
  <si>
    <t>ANV0122</t>
  </si>
  <si>
    <t>ANV0128</t>
  </si>
  <si>
    <t>ANV0134</t>
  </si>
  <si>
    <t>ANV0140</t>
  </si>
  <si>
    <t>ANV0141</t>
  </si>
  <si>
    <t>ANV0142</t>
  </si>
  <si>
    <t>ANV0143</t>
  </si>
  <si>
    <t>ANV0144</t>
  </si>
  <si>
    <t>ANV0145</t>
  </si>
  <si>
    <t>ANV0146</t>
  </si>
  <si>
    <t>ANV0153</t>
  </si>
  <si>
    <t>ANV0154</t>
  </si>
  <si>
    <t>ANV0155</t>
  </si>
  <si>
    <t>ANV0156</t>
  </si>
  <si>
    <t>ANV0157</t>
  </si>
  <si>
    <t>ANV0158</t>
  </si>
  <si>
    <t>ANV0159</t>
  </si>
  <si>
    <t>ANV0160</t>
  </si>
  <si>
    <t>ANV0161</t>
  </si>
  <si>
    <t>ANV0162</t>
  </si>
  <si>
    <t>ANV0169</t>
  </si>
  <si>
    <t>ANV0170</t>
  </si>
  <si>
    <t>ANV0172</t>
  </si>
  <si>
    <t>ANV0173</t>
  </si>
  <si>
    <t>ANW0001</t>
  </si>
  <si>
    <t>ANW0002</t>
  </si>
  <si>
    <t>ANW0004</t>
  </si>
  <si>
    <t>ANW0004X</t>
  </si>
  <si>
    <t>ANW0010</t>
  </si>
  <si>
    <t>API0007</t>
  </si>
  <si>
    <t>API0008</t>
  </si>
  <si>
    <t>API0009</t>
  </si>
  <si>
    <t>ARB0012</t>
  </si>
  <si>
    <t>ARB0171</t>
  </si>
  <si>
    <t>ARB0172</t>
  </si>
  <si>
    <t>ARL0002</t>
  </si>
  <si>
    <t>ARL0003</t>
  </si>
  <si>
    <t>ARL0005</t>
  </si>
  <si>
    <t>ARL0006</t>
  </si>
  <si>
    <t>ARL0008</t>
  </si>
  <si>
    <t>ARL0009</t>
  </si>
  <si>
    <t>ARL0011</t>
  </si>
  <si>
    <t>ARL0012</t>
  </si>
  <si>
    <t>ARL0014</t>
  </si>
  <si>
    <t>ARL0015</t>
  </si>
  <si>
    <t>ARL0016</t>
  </si>
  <si>
    <t>ARL0017</t>
  </si>
  <si>
    <t>ARL0019</t>
  </si>
  <si>
    <t>ARL0020</t>
  </si>
  <si>
    <t>ARL0022</t>
  </si>
  <si>
    <t>ARL0023</t>
  </si>
  <si>
    <t>ARL0025</t>
  </si>
  <si>
    <t>ARL0026</t>
  </si>
  <si>
    <t>ARL0028</t>
  </si>
  <si>
    <t>ARL0029</t>
  </si>
  <si>
    <t>ARL0030</t>
  </si>
  <si>
    <t>ARL0031</t>
  </si>
  <si>
    <t>ARL0033</t>
  </si>
  <si>
    <t>ARL0034</t>
  </si>
  <si>
    <t>ARL0036</t>
  </si>
  <si>
    <t>ARL0037</t>
  </si>
  <si>
    <t>ARL0039</t>
  </si>
  <si>
    <t>ARL0040</t>
  </si>
  <si>
    <t>ARL0042</t>
  </si>
  <si>
    <t>ARL0043</t>
  </si>
  <si>
    <t>ARL0044</t>
  </si>
  <si>
    <t>ARL0045</t>
  </si>
  <si>
    <t>ARL0046</t>
  </si>
  <si>
    <t>ARL0047</t>
  </si>
  <si>
    <t>ARL0048</t>
  </si>
  <si>
    <t>ARL0050</t>
  </si>
  <si>
    <t>ASH0013</t>
  </si>
  <si>
    <t>ASH0018</t>
  </si>
  <si>
    <t>ASH0880</t>
  </si>
  <si>
    <t>ASL0003</t>
  </si>
  <si>
    <t>ASL0012</t>
  </si>
  <si>
    <t>ASL0013</t>
  </si>
  <si>
    <t>ASL0014</t>
  </si>
  <si>
    <t>ASL0015</t>
  </si>
  <si>
    <t>ASL0017</t>
  </si>
  <si>
    <t>ASL0018</t>
  </si>
  <si>
    <t>ASL0019</t>
  </si>
  <si>
    <t>ASL0020</t>
  </si>
  <si>
    <t>ASL0021</t>
  </si>
  <si>
    <t>ASL0022</t>
  </si>
  <si>
    <t>ASL0023</t>
  </si>
  <si>
    <t>ASL0024</t>
  </si>
  <si>
    <t>ASL0026</t>
  </si>
  <si>
    <t>ASL0028</t>
  </si>
  <si>
    <t>ASL0029</t>
  </si>
  <si>
    <t>ASL0030</t>
  </si>
  <si>
    <t>ASL0032</t>
  </si>
  <si>
    <t>ASL0033</t>
  </si>
  <si>
    <t>ASL0034</t>
  </si>
  <si>
    <t>ASL0035</t>
  </si>
  <si>
    <t>ASL0036</t>
  </si>
  <si>
    <t>ASL0037</t>
  </si>
  <si>
    <t>ASL0038</t>
  </si>
  <si>
    <t>ASL0039</t>
  </si>
  <si>
    <t>ASL0041</t>
  </si>
  <si>
    <t>ASL0043</t>
  </si>
  <si>
    <t>ASL0045</t>
  </si>
  <si>
    <t>ASL0047</t>
  </si>
  <si>
    <t>ASL0049</t>
  </si>
  <si>
    <t>ASL0051</t>
  </si>
  <si>
    <t>ASL0053</t>
  </si>
  <si>
    <t>ASL0055</t>
  </si>
  <si>
    <t>ASL0056</t>
  </si>
  <si>
    <t>ASL0057</t>
  </si>
  <si>
    <t>ASL0058</t>
  </si>
  <si>
    <t>ASL0059</t>
  </si>
  <si>
    <t>CountCu</t>
  </si>
  <si>
    <t>Cycle_date</t>
  </si>
  <si>
    <t>pA002</t>
  </si>
  <si>
    <t>pA003</t>
  </si>
  <si>
    <t>pA010</t>
  </si>
  <si>
    <t>pA018</t>
  </si>
  <si>
    <t>pA025A</t>
  </si>
  <si>
    <t>pA025B</t>
  </si>
  <si>
    <t>pA042A5</t>
  </si>
  <si>
    <t>pA042A6</t>
  </si>
  <si>
    <t>pA042A7</t>
  </si>
  <si>
    <t>pA042A8</t>
  </si>
  <si>
    <t>pA083</t>
  </si>
  <si>
    <t>pA1001A</t>
  </si>
  <si>
    <t>pA1001B</t>
  </si>
  <si>
    <t>pA1011A</t>
  </si>
  <si>
    <t>pA1011B</t>
  </si>
  <si>
    <t>pA143B3</t>
  </si>
  <si>
    <t>pA143B4</t>
  </si>
  <si>
    <t>pA370</t>
  </si>
  <si>
    <t>pA385</t>
  </si>
  <si>
    <t>pA386</t>
  </si>
  <si>
    <t>pA386A</t>
  </si>
  <si>
    <t>pA386B</t>
  </si>
  <si>
    <t>pA396</t>
  </si>
  <si>
    <t>pA397</t>
  </si>
  <si>
    <t>pA397A</t>
  </si>
  <si>
    <t>pA400A</t>
  </si>
  <si>
    <t>pA400B</t>
  </si>
  <si>
    <t>pA400C5</t>
  </si>
  <si>
    <t>pA400C6</t>
  </si>
  <si>
    <t>pA400C7</t>
  </si>
  <si>
    <t>pA400C8</t>
  </si>
  <si>
    <t>pA400H2</t>
  </si>
  <si>
    <t>pA400H3</t>
  </si>
  <si>
    <t>pA400J2</t>
  </si>
  <si>
    <t>pA400J3</t>
  </si>
  <si>
    <t>pA400L2</t>
  </si>
  <si>
    <t>pA400L3</t>
  </si>
  <si>
    <t>pA400M</t>
  </si>
  <si>
    <t>pA400M1</t>
  </si>
  <si>
    <t>pA400P</t>
  </si>
  <si>
    <t>pA400T</t>
  </si>
  <si>
    <t>pA400T1</t>
  </si>
  <si>
    <t>pA550</t>
  </si>
  <si>
    <t>pA551</t>
  </si>
  <si>
    <t>pA618A</t>
  </si>
  <si>
    <t>pA619</t>
  </si>
  <si>
    <t>pA619B</t>
  </si>
  <si>
    <t>pA658</t>
  </si>
  <si>
    <t>pA668</t>
  </si>
  <si>
    <t>pA691E</t>
  </si>
  <si>
    <t>pA691L</t>
  </si>
  <si>
    <t>pA691N</t>
  </si>
  <si>
    <t>pA698</t>
  </si>
  <si>
    <t>pA698A</t>
  </si>
  <si>
    <t>pA698C</t>
  </si>
  <si>
    <t>pA703</t>
  </si>
  <si>
    <t>pA703A</t>
  </si>
  <si>
    <t>pA704C1</t>
  </si>
  <si>
    <t>pA704D2</t>
  </si>
  <si>
    <t>pA710</t>
  </si>
  <si>
    <t>pA718A5</t>
  </si>
  <si>
    <t>pA730B</t>
  </si>
  <si>
    <t>pA730C</t>
  </si>
  <si>
    <t>pA781</t>
  </si>
  <si>
    <t>pA799</t>
  </si>
  <si>
    <t>pA799I</t>
  </si>
  <si>
    <t>pA814</t>
  </si>
  <si>
    <t>pA814A</t>
  </si>
  <si>
    <t>pA814A1</t>
  </si>
  <si>
    <t>pA814E</t>
  </si>
  <si>
    <t>pA925</t>
  </si>
  <si>
    <t>pA931</t>
  </si>
  <si>
    <t>pA940</t>
  </si>
  <si>
    <t>pA997</t>
  </si>
  <si>
    <t>pAAS0007</t>
  </si>
  <si>
    <t>pAAS0008</t>
  </si>
  <si>
    <t>pAAS0013</t>
  </si>
  <si>
    <t>pAAS0017</t>
  </si>
  <si>
    <t>pANV0158</t>
  </si>
  <si>
    <t>pARL0047</t>
  </si>
  <si>
    <t>pASL0019</t>
  </si>
  <si>
    <t>pASL0021</t>
  </si>
  <si>
    <t>PR_1</t>
  </si>
  <si>
    <t>PR_10</t>
  </si>
  <si>
    <t>PR_11</t>
  </si>
  <si>
    <t>PR_12</t>
  </si>
  <si>
    <t>PR_13</t>
  </si>
  <si>
    <t>PR_14</t>
  </si>
  <si>
    <t>PR_15</t>
  </si>
  <si>
    <t>PR_16</t>
  </si>
  <si>
    <t>PR_160</t>
  </si>
  <si>
    <t>PR_168</t>
  </si>
  <si>
    <t>PR_17</t>
  </si>
  <si>
    <t>PR_173</t>
  </si>
  <si>
    <t>PR_18</t>
  </si>
  <si>
    <t>PR_19</t>
  </si>
  <si>
    <t>PR_2</t>
  </si>
  <si>
    <t>PR_20</t>
  </si>
  <si>
    <t>PR_21</t>
  </si>
  <si>
    <t>PR_212</t>
  </si>
  <si>
    <t>PR_22</t>
  </si>
  <si>
    <t>PR_222</t>
  </si>
  <si>
    <t>PR_223</t>
  </si>
  <si>
    <t>PR_224</t>
  </si>
  <si>
    <t>PR_23</t>
  </si>
  <si>
    <t>PR_239</t>
  </si>
  <si>
    <t>PR_24</t>
  </si>
  <si>
    <t>PR_243</t>
  </si>
  <si>
    <t>PR_244</t>
  </si>
  <si>
    <t>PR_245</t>
  </si>
  <si>
    <t>PR_25</t>
  </si>
  <si>
    <t>PR_26</t>
  </si>
  <si>
    <t>PR_260</t>
  </si>
  <si>
    <t>PR_261</t>
  </si>
  <si>
    <t>PR_262</t>
  </si>
  <si>
    <t>PR_263</t>
  </si>
  <si>
    <t>PR_264</t>
  </si>
  <si>
    <t>PR_265</t>
  </si>
  <si>
    <t>PR_266</t>
  </si>
  <si>
    <t>PR_27</t>
  </si>
  <si>
    <t>PR_28</t>
  </si>
  <si>
    <t>PR_29</t>
  </si>
  <si>
    <t>PR_3</t>
  </si>
  <si>
    <t>PR_30</t>
  </si>
  <si>
    <t>PR_306</t>
  </si>
  <si>
    <t>PR_307</t>
  </si>
  <si>
    <t>PR_308</t>
  </si>
  <si>
    <t>PR_31</t>
  </si>
  <si>
    <t>PR_316</t>
  </si>
  <si>
    <t>PR_319</t>
  </si>
  <si>
    <t>PR_32</t>
  </si>
  <si>
    <t>PR_33</t>
  </si>
  <si>
    <t>PR_34</t>
  </si>
  <si>
    <t>PR_35</t>
  </si>
  <si>
    <t>PR_36</t>
  </si>
  <si>
    <t>PR_37</t>
  </si>
  <si>
    <t>PR_38</t>
  </si>
  <si>
    <t>PR_39</t>
  </si>
  <si>
    <t>PR_4</t>
  </si>
  <si>
    <t>PR_40</t>
  </si>
  <si>
    <t>PR_41</t>
  </si>
  <si>
    <t>PR_42</t>
  </si>
  <si>
    <t>PR_43</t>
  </si>
  <si>
    <t>PR_44</t>
  </si>
  <si>
    <t>PR_45</t>
  </si>
  <si>
    <t>PR_46</t>
  </si>
  <si>
    <t>PR_47</t>
  </si>
  <si>
    <t>PR_48</t>
  </si>
  <si>
    <t>PR_49</t>
  </si>
  <si>
    <t>PR_5</t>
  </si>
  <si>
    <t>PR_50</t>
  </si>
  <si>
    <t>PR_51</t>
  </si>
  <si>
    <t>PR_52</t>
  </si>
  <si>
    <t>PR_53</t>
  </si>
  <si>
    <t>PR_54</t>
  </si>
  <si>
    <t>PR_55</t>
  </si>
  <si>
    <t>PR_56</t>
  </si>
  <si>
    <t>PR_57</t>
  </si>
  <si>
    <t>PR_58</t>
  </si>
  <si>
    <t>PR_59</t>
  </si>
  <si>
    <t>PR_6</t>
  </si>
  <si>
    <t>PR_60</t>
  </si>
  <si>
    <t>PR_7</t>
  </si>
  <si>
    <t>PR_8</t>
  </si>
  <si>
    <t>PR_80</t>
  </si>
  <si>
    <t>PR_9</t>
  </si>
  <si>
    <t>PR_96</t>
  </si>
  <si>
    <t>qA025B</t>
  </si>
  <si>
    <t>qA550</t>
  </si>
  <si>
    <t>qA551</t>
  </si>
  <si>
    <t>R_1</t>
  </si>
  <si>
    <t>R_10</t>
  </si>
  <si>
    <t>R_11</t>
  </si>
  <si>
    <t>R_12</t>
  </si>
  <si>
    <t>R_13</t>
  </si>
  <si>
    <t>R_14</t>
  </si>
  <si>
    <t>R_15</t>
  </si>
  <si>
    <t>R_16</t>
  </si>
  <si>
    <t>R_160</t>
  </si>
  <si>
    <t>R_168</t>
  </si>
  <si>
    <t>R_17</t>
  </si>
  <si>
    <t>R_173</t>
  </si>
  <si>
    <t>R_18</t>
  </si>
  <si>
    <t>R_19</t>
  </si>
  <si>
    <t>R_2</t>
  </si>
  <si>
    <t>R_20</t>
  </si>
  <si>
    <t>R_21</t>
  </si>
  <si>
    <t>R_212</t>
  </si>
  <si>
    <t>R_22</t>
  </si>
  <si>
    <t>R_222</t>
  </si>
  <si>
    <t>R_223</t>
  </si>
  <si>
    <t>R_224</t>
  </si>
  <si>
    <t>R_23</t>
  </si>
  <si>
    <t>R_239</t>
  </si>
  <si>
    <t>R_24</t>
  </si>
  <si>
    <t>R_243</t>
  </si>
  <si>
    <t>R_244</t>
  </si>
  <si>
    <t>R_245</t>
  </si>
  <si>
    <t>R_25</t>
  </si>
  <si>
    <t>R_26</t>
  </si>
  <si>
    <t>R_260</t>
  </si>
  <si>
    <t>R_261</t>
  </si>
  <si>
    <t>R_262</t>
  </si>
  <si>
    <t>R_263</t>
  </si>
  <si>
    <t>R_264</t>
  </si>
  <si>
    <t>R_265</t>
  </si>
  <si>
    <t>R_266</t>
  </si>
  <si>
    <t>R_27</t>
  </si>
  <si>
    <t>R_28</t>
  </si>
  <si>
    <t>R_29</t>
  </si>
  <si>
    <t>R_3</t>
  </si>
  <si>
    <t>R_30</t>
  </si>
  <si>
    <t>R_306</t>
  </si>
  <si>
    <t>R_307</t>
  </si>
  <si>
    <t>R_308</t>
  </si>
  <si>
    <t>R_31</t>
  </si>
  <si>
    <t>R_316</t>
  </si>
  <si>
    <t>R_319</t>
  </si>
  <si>
    <t>R_32</t>
  </si>
  <si>
    <t>R_33</t>
  </si>
  <si>
    <t>R_34</t>
  </si>
  <si>
    <t>R_35</t>
  </si>
  <si>
    <t>R_36</t>
  </si>
  <si>
    <t>R_37</t>
  </si>
  <si>
    <t>R_38</t>
  </si>
  <si>
    <t>R_39</t>
  </si>
  <si>
    <t>R_4</t>
  </si>
  <si>
    <t>R_40</t>
  </si>
  <si>
    <t>R_41</t>
  </si>
  <si>
    <t>R_42</t>
  </si>
  <si>
    <t>R_43</t>
  </si>
  <si>
    <t>R_44</t>
  </si>
  <si>
    <t>R_45</t>
  </si>
  <si>
    <t>R_46</t>
  </si>
  <si>
    <t>R_47</t>
  </si>
  <si>
    <t>R_48</t>
  </si>
  <si>
    <t>R_49</t>
  </si>
  <si>
    <t>R_5</t>
  </si>
  <si>
    <t>R_50</t>
  </si>
  <si>
    <t>R_51</t>
  </si>
  <si>
    <t>R_52</t>
  </si>
  <si>
    <t>R_53</t>
  </si>
  <si>
    <t>R_54</t>
  </si>
  <si>
    <t>R_55</t>
  </si>
  <si>
    <t>R_56</t>
  </si>
  <si>
    <t>R_57</t>
  </si>
  <si>
    <t>R_58</t>
  </si>
  <si>
    <t>R_59</t>
  </si>
  <si>
    <t>R_6</t>
  </si>
  <si>
    <t>R_60</t>
  </si>
  <si>
    <t>R_7</t>
  </si>
  <si>
    <t>R_8</t>
  </si>
  <si>
    <t>R_80</t>
  </si>
  <si>
    <t>R_9</t>
  </si>
  <si>
    <t>R_96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</si>
</sst>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m/d/yyyy;@"/>
    <numFmt numFmtId="165" formatCode="mmmm\-yyyy"/>
    <numFmt numFmtId="166" formatCode="mmmm\ yyyy"/>
    <numFmt numFmtId="167" formatCode="0.0"/>
    <numFmt numFmtId="168" formatCode="mmm\-yyyy"/>
    <numFmt numFmtId="169" formatCode="mm/yy"/>
    <numFmt numFmtId="170" formatCode="mm/dd"/>
    <numFmt numFmtId="171" formatCode="#,##0.0"/>
    <numFmt numFmtId="172" formatCode="&quot;$&quot;#,##0"/>
    <numFmt numFmtId="173" formatCode="\(#,##0\)"/>
    <numFmt numFmtId="174" formatCode="0.00_);[Red]\(0.00\)"/>
    <numFmt numFmtId="175" formatCode="0.0000000000000000"/>
  </numFmts>
  <fonts count="33" x14ac:knownFonts="1">
    <font>
      <sz val="10"/>
      <name val="Arial"/>
    </font>
    <font>
      <sz val="10"/>
      <name val="Arial"/>
      <family val="2"/>
    </font>
    <font>
      <sz val="8"/>
      <name val="Arial"/>
      <family val="2"/>
    </font>
    <font>
      <sz val="10"/>
      <name val="Arial"/>
      <family val="2"/>
    </font>
    <font>
      <b/>
      <sz val="8"/>
      <name val="Arial"/>
      <family val="2"/>
    </font>
    <font>
      <u/>
      <sz val="10"/>
      <color indexed="12"/>
      <name val="Arial"/>
      <family val="2"/>
    </font>
    <font>
      <b/>
      <u/>
      <sz val="8"/>
      <name val="Arial"/>
      <family val="2"/>
    </font>
    <font>
      <sz val="9"/>
      <name val="Arial"/>
      <family val="2"/>
    </font>
    <font>
      <b/>
      <sz val="9"/>
      <name val="Arial"/>
      <family val="2"/>
    </font>
    <font>
      <b/>
      <sz val="10"/>
      <name val="Arial"/>
      <family val="2"/>
    </font>
    <font>
      <b/>
      <u/>
      <sz val="9"/>
      <name val="Arial"/>
      <family val="2"/>
    </font>
    <font>
      <u/>
      <sz val="9"/>
      <color indexed="12"/>
      <name val="Arial"/>
      <family val="2"/>
    </font>
    <font>
      <sz val="10"/>
      <name val="Arial"/>
      <family val="2"/>
    </font>
    <font>
      <sz val="10"/>
      <name val="Arial"/>
      <family val="2"/>
    </font>
    <font>
      <b/>
      <sz val="9"/>
      <color indexed="8"/>
      <name val="Arial"/>
      <family val="2"/>
    </font>
    <font>
      <sz val="9"/>
      <color indexed="8"/>
      <name val="Arial"/>
      <family val="2"/>
    </font>
    <font>
      <sz val="10"/>
      <color indexed="8"/>
      <name val="Arial"/>
      <family val="2"/>
    </font>
    <font>
      <sz val="22"/>
      <name val="Arial"/>
      <family val="2"/>
    </font>
    <font>
      <b/>
      <sz val="8"/>
      <color indexed="36"/>
      <name val="Arial"/>
      <family val="2"/>
    </font>
    <font>
      <sz val="8"/>
      <color indexed="10"/>
      <name val="Arial"/>
      <family val="2"/>
    </font>
    <font>
      <sz val="8"/>
      <color indexed="8"/>
      <name val="Arial"/>
      <family val="2"/>
    </font>
    <font>
      <sz val="10"/>
      <name val="Arial"/>
      <family val="2"/>
    </font>
    <font>
      <b/>
      <sz val="9"/>
      <color indexed="10"/>
      <name val="Arial"/>
      <family val="2"/>
    </font>
    <font>
      <u/>
      <vertAlign val="superscript"/>
      <sz val="9"/>
      <color indexed="12"/>
      <name val="Arial"/>
      <family val="2"/>
    </font>
    <font>
      <sz val="8"/>
      <name val="Arial"/>
      <family val="2"/>
    </font>
    <font>
      <sz val="11"/>
      <color theme="1"/>
      <name val="Calibri"/>
      <family val="2"/>
      <scheme val="minor"/>
    </font>
    <font>
      <sz val="9"/>
      <color rgb="FF000000"/>
      <name val="Arial"/>
      <family val="2"/>
    </font>
    <font>
      <vertAlign val="superscript"/>
      <sz val="9"/>
      <color rgb="FF000000"/>
      <name val="Arial"/>
      <family val="2"/>
    </font>
    <font>
      <vertAlign val="superscript"/>
      <sz val="8"/>
      <color rgb="FF000000"/>
      <name val="Arial"/>
      <family val="2"/>
    </font>
    <font>
      <sz val="8"/>
      <color rgb="FF000000"/>
      <name val="Arial"/>
      <family val="2"/>
    </font>
    <font>
      <b/>
      <sz val="9"/>
      <color rgb="FF000000"/>
      <name val="Arial"/>
      <family val="2"/>
    </font>
    <font>
      <b/>
      <vertAlign val="superscript"/>
      <sz val="9"/>
      <color rgb="FF000000"/>
      <name val="Arial"/>
      <family val="2"/>
    </font>
    <font>
      <vertAlign val="superscript"/>
      <sz val="10"/>
      <color rgb="FF000000"/>
      <name val="Arial"/>
      <family val="2"/>
    </font>
  </fonts>
  <fills count="3">
    <fill>
      <patternFill patternType="none"/>
    </fill>
    <fill>
      <patternFill patternType="gray125"/>
    </fill>
    <fill>
      <patternFill patternType="solid">
        <fgColor indexed="9"/>
        <bgColor indexed="64"/>
      </patternFill>
    </fill>
  </fills>
  <borders count="4">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101">
    <xf numFmtId="0" fontId="0" fillId="0" borderId="0"/>
    <xf numFmtId="43" fontId="1"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12" fillId="0" borderId="0" applyBorder="0"/>
    <xf numFmtId="0" fontId="1" fillId="0" borderId="0" applyBorder="0"/>
    <xf numFmtId="0" fontId="12" fillId="0" borderId="0" applyBorder="0"/>
    <xf numFmtId="0" fontId="1" fillId="0" borderId="0" applyBorder="0"/>
    <xf numFmtId="0" fontId="13" fillId="0" borderId="0" applyBorder="0"/>
    <xf numFmtId="0" fontId="1" fillId="0" borderId="0" applyBorder="0"/>
    <xf numFmtId="0" fontId="13" fillId="0" borderId="0" applyBorder="0"/>
    <xf numFmtId="0" fontId="1" fillId="0" borderId="0" applyBorder="0"/>
    <xf numFmtId="0" fontId="13" fillId="0" borderId="0" applyBorder="0"/>
    <xf numFmtId="0" fontId="1" fillId="0" borderId="0" applyBorder="0"/>
    <xf numFmtId="0" fontId="13" fillId="0" borderId="0" applyBorder="0"/>
    <xf numFmtId="0" fontId="1" fillId="0" borderId="0" applyBorder="0"/>
    <xf numFmtId="0" fontId="13" fillId="0" borderId="0" applyBorder="0"/>
    <xf numFmtId="0" fontId="1" fillId="0" borderId="0" applyBorder="0"/>
    <xf numFmtId="0" fontId="13" fillId="0" borderId="0" applyBorder="0"/>
    <xf numFmtId="0" fontId="1" fillId="0" borderId="0" applyBorder="0"/>
    <xf numFmtId="0" fontId="13" fillId="0" borderId="0" applyBorder="0"/>
    <xf numFmtId="0" fontId="1" fillId="0" borderId="0" applyBorder="0"/>
    <xf numFmtId="0" fontId="13" fillId="0" borderId="0" applyBorder="0"/>
    <xf numFmtId="0" fontId="1" fillId="0" borderId="0" applyBorder="0"/>
    <xf numFmtId="0" fontId="3" fillId="0" borderId="0" applyBorder="0"/>
    <xf numFmtId="0" fontId="3" fillId="0" borderId="0" applyBorder="0"/>
    <xf numFmtId="0" fontId="3" fillId="0" borderId="0" applyBorder="0"/>
    <xf numFmtId="0" fontId="1" fillId="0" borderId="0" applyBorder="0"/>
    <xf numFmtId="0" fontId="1" fillId="0" borderId="0" applyBorder="0"/>
    <xf numFmtId="0" fontId="3" fillId="0" borderId="0" applyBorder="0"/>
    <xf numFmtId="0" fontId="1" fillId="0" borderId="0" applyBorder="0"/>
    <xf numFmtId="0" fontId="3" fillId="0" borderId="0"/>
    <xf numFmtId="0" fontId="1" fillId="0" borderId="0"/>
    <xf numFmtId="0" fontId="3" fillId="0" borderId="0" applyBorder="0"/>
    <xf numFmtId="0" fontId="1" fillId="0" borderId="0" applyBorder="0"/>
    <xf numFmtId="0" fontId="1" fillId="0" borderId="0" applyBorder="0"/>
    <xf numFmtId="0" fontId="13" fillId="0" borderId="0" applyBorder="0"/>
    <xf numFmtId="0" fontId="1" fillId="0" borderId="0" applyBorder="0"/>
    <xf numFmtId="0" fontId="13" fillId="0" borderId="0" applyBorder="0"/>
    <xf numFmtId="0" fontId="1" fillId="0" borderId="0" applyBorder="0"/>
    <xf numFmtId="0" fontId="13" fillId="0" borderId="0" applyBorder="0"/>
    <xf numFmtId="0" fontId="1" fillId="0" borderId="0" applyBorder="0"/>
    <xf numFmtId="0" fontId="13" fillId="0" borderId="0" applyBorder="0"/>
    <xf numFmtId="0" fontId="1" fillId="0" borderId="0" applyBorder="0"/>
    <xf numFmtId="0" fontId="13" fillId="0" borderId="0" applyBorder="0"/>
    <xf numFmtId="0" fontId="1" fillId="0" borderId="0" applyBorder="0"/>
    <xf numFmtId="0" fontId="13" fillId="0" borderId="0" applyBorder="0"/>
    <xf numFmtId="0" fontId="1" fillId="0" borderId="0" applyBorder="0"/>
    <xf numFmtId="0" fontId="13" fillId="0" borderId="0" applyBorder="0"/>
    <xf numFmtId="0" fontId="1" fillId="0" borderId="0" applyBorder="0"/>
    <xf numFmtId="0" fontId="13" fillId="0" borderId="0" applyBorder="0"/>
    <xf numFmtId="0" fontId="1" fillId="0" borderId="0" applyBorder="0"/>
    <xf numFmtId="0" fontId="13" fillId="0" borderId="0" applyBorder="0"/>
    <xf numFmtId="0" fontId="1" fillId="0" borderId="0" applyBorder="0"/>
    <xf numFmtId="0" fontId="13" fillId="0" borderId="0" applyBorder="0"/>
    <xf numFmtId="0" fontId="1" fillId="0" borderId="0" applyBorder="0"/>
    <xf numFmtId="0" fontId="3" fillId="0" borderId="0"/>
    <xf numFmtId="0" fontId="3" fillId="0" borderId="0"/>
    <xf numFmtId="0" fontId="1" fillId="0" borderId="0"/>
    <xf numFmtId="0" fontId="1" fillId="0" borderId="0"/>
    <xf numFmtId="0" fontId="1" fillId="0" borderId="0" applyBorder="0"/>
    <xf numFmtId="0" fontId="13" fillId="0" borderId="0" applyBorder="0"/>
    <xf numFmtId="0" fontId="1" fillId="0" borderId="0" applyBorder="0"/>
    <xf numFmtId="0" fontId="13" fillId="0" borderId="0" applyBorder="0"/>
    <xf numFmtId="0" fontId="1" fillId="0" borderId="0" applyBorder="0"/>
    <xf numFmtId="0" fontId="13" fillId="0" borderId="0" applyBorder="0"/>
    <xf numFmtId="0" fontId="1" fillId="0" borderId="0" applyBorder="0"/>
    <xf numFmtId="0" fontId="13" fillId="0" borderId="0" applyBorder="0"/>
    <xf numFmtId="0" fontId="1" fillId="0" borderId="0" applyBorder="0"/>
    <xf numFmtId="0" fontId="13" fillId="0" borderId="0" applyBorder="0"/>
    <xf numFmtId="0" fontId="1" fillId="0" borderId="0" applyBorder="0"/>
    <xf numFmtId="0" fontId="21" fillId="0" borderId="0" applyBorder="0"/>
    <xf numFmtId="0" fontId="21" fillId="0" borderId="0" applyBorder="0"/>
    <xf numFmtId="0" fontId="21" fillId="0" borderId="0" applyBorder="0"/>
    <xf numFmtId="0" fontId="21" fillId="0" borderId="0" applyBorder="0"/>
    <xf numFmtId="0" fontId="21" fillId="0" borderId="0" applyBorder="0"/>
    <xf numFmtId="0" fontId="25" fillId="0" borderId="0"/>
    <xf numFmtId="0" fontId="25" fillId="0" borderId="0"/>
    <xf numFmtId="0" fontId="25" fillId="0" borderId="0"/>
    <xf numFmtId="0" fontId="25" fillId="0" borderId="0"/>
    <xf numFmtId="0" fontId="21" fillId="0" borderId="0" applyBorder="0"/>
    <xf numFmtId="0" fontId="21" fillId="0" borderId="0" applyBorder="0"/>
    <xf numFmtId="0" fontId="21" fillId="0" borderId="0" applyBorder="0"/>
    <xf numFmtId="0" fontId="21" fillId="0" borderId="0" applyBorder="0"/>
    <xf numFmtId="0" fontId="21" fillId="0" borderId="0" applyBorder="0"/>
    <xf numFmtId="0" fontId="21" fillId="0" borderId="0" applyBorder="0"/>
    <xf numFmtId="0" fontId="21" fillId="0" borderId="0" applyBorder="0"/>
    <xf numFmtId="0" fontId="1" fillId="0" borderId="0" applyBorder="0"/>
    <xf numFmtId="0" fontId="1" fillId="0" borderId="0" applyBorder="0"/>
    <xf numFmtId="0" fontId="12" fillId="0" borderId="0" applyBorder="0"/>
    <xf numFmtId="0" fontId="1" fillId="0" borderId="0" applyBorder="0"/>
    <xf numFmtId="0" fontId="12" fillId="0" borderId="0" applyBorder="0"/>
    <xf numFmtId="0" fontId="1" fillId="0" borderId="0" applyBorder="0"/>
    <xf numFmtId="0" fontId="12" fillId="0" borderId="0" applyBorder="0"/>
    <xf numFmtId="0" fontId="1" fillId="0" borderId="0" applyBorder="0"/>
    <xf numFmtId="0" fontId="1" fillId="0" borderId="0" applyBorder="0"/>
    <xf numFmtId="0" fontId="1" fillId="0" borderId="0" applyBorder="0"/>
    <xf numFmtId="0" fontId="1" fillId="0" borderId="0" applyBorder="0"/>
    <xf numFmtId="0" fontId="1" fillId="0" borderId="0" applyBorder="0"/>
    <xf numFmtId="0" fontId="1" fillId="0" borderId="0"/>
  </cellStyleXfs>
  <cellXfs count="299">
    <xf numFmtId="0" fontId="0" fillId="0" borderId="0" xfId="0"/>
    <xf numFmtId="0" fontId="7" fillId="0" borderId="0" xfId="100" applyFont="1"/>
    <xf numFmtId="0" fontId="2" fillId="0" borderId="1" xfId="0" applyFont="1" applyBorder="1" applyAlignment="1">
      <alignment horizontal="left" vertical="top" wrapText="1"/>
    </xf>
    <xf numFmtId="171" fontId="0" fillId="0" borderId="0" xfId="0" applyNumberFormat="1"/>
    <xf numFmtId="0" fontId="0" fillId="0" borderId="0" xfId="0"/>
    <xf numFmtId="0" fontId="4" fillId="0" borderId="0" xfId="33" applyFont="1" applyAlignment="1">
      <alignment vertical="center" wrapText="1"/>
    </xf>
    <xf numFmtId="0" fontId="2" fillId="0" borderId="0" xfId="0" applyFont="1" applyAlignment="1">
      <alignment horizontal="left" wrapText="1"/>
    </xf>
    <xf numFmtId="0" fontId="4" fillId="0" borderId="0" xfId="0" applyFont="1" applyAlignment="1">
      <alignment horizontal="right" wrapText="1"/>
    </xf>
    <xf numFmtId="171" fontId="4" fillId="0" borderId="0" xfId="0" applyNumberFormat="1" applyFont="1" applyAlignment="1">
      <alignment horizontal="center" vertical="center"/>
    </xf>
    <xf numFmtId="0" fontId="4" fillId="0" borderId="0" xfId="0" applyFont="1" applyAlignment="1">
      <alignment horizontal="center" vertical="center"/>
    </xf>
    <xf numFmtId="0" fontId="2" fillId="0" borderId="0" xfId="0" applyFont="1" applyAlignment="1">
      <alignment vertical="center" wrapText="1"/>
    </xf>
    <xf numFmtId="0" fontId="2" fillId="0" borderId="0" xfId="0" applyFont="1" applyAlignment="1">
      <alignment horizontal="left" vertical="top" wrapText="1"/>
    </xf>
    <xf numFmtId="0" fontId="2" fillId="0" borderId="0" xfId="33" applyFont="1" applyAlignment="1">
      <alignment horizontal="left" vertical="center"/>
    </xf>
    <xf numFmtId="0" fontId="2" fillId="0" borderId="0" xfId="0" applyFont="1" applyAlignment="1">
      <alignment horizontal="left" vertical="center" wrapText="1"/>
    </xf>
    <xf numFmtId="0" fontId="2" fillId="0" borderId="1" xfId="0" applyFont="1" applyBorder="1" applyAlignment="1">
      <alignment horizontal="left" vertical="center"/>
    </xf>
    <xf numFmtId="0" fontId="8" fillId="0" borderId="0" xfId="0" applyFont="1" applyAlignment="1">
      <alignment horizontal="left" vertical="top" wrapText="1"/>
    </xf>
    <xf numFmtId="0" fontId="7" fillId="0" borderId="0" xfId="33" applyFont="1" applyAlignment="1">
      <alignment vertical="center" wrapText="1"/>
    </xf>
    <xf numFmtId="171" fontId="8" fillId="0" borderId="0" xfId="33" applyNumberFormat="1" applyFont="1" applyAlignment="1">
      <alignment horizontal="left" vertical="center" wrapText="1"/>
    </xf>
    <xf numFmtId="0" fontId="2" fillId="0" borderId="0" xfId="0" applyFont="1" applyAlignment="1">
      <alignment vertical="top" wrapText="1"/>
    </xf>
    <xf numFmtId="0" fontId="2" fillId="0" borderId="0" xfId="0" applyFont="1" applyAlignment="1">
      <alignment vertical="center"/>
    </xf>
    <xf numFmtId="0" fontId="8" fillId="0" borderId="0" xfId="0" applyFont="1" applyAlignment="1">
      <alignment horizontal="center"/>
    </xf>
    <xf numFmtId="0" fontId="7" fillId="0" borderId="0" xfId="0" applyFont="1" applyAlignment="1">
      <alignment horizontal="right"/>
    </xf>
    <xf numFmtId="0" fontId="8" fillId="0" borderId="0" xfId="0" applyFont="1" applyAlignment="1">
      <alignment horizontal="right"/>
    </xf>
    <xf numFmtId="0" fontId="7" fillId="0" borderId="0" xfId="0" applyFont="1" applyAlignment="1">
      <alignment wrapText="1"/>
    </xf>
    <xf numFmtId="171" fontId="8" fillId="0" borderId="0" xfId="33" applyNumberFormat="1" applyFont="1" applyAlignment="1">
      <alignment horizontal="left" wrapText="1"/>
    </xf>
    <xf numFmtId="0" fontId="0" fillId="0" borderId="0" xfId="0" applyAlignment="1">
      <alignment wrapText="1"/>
    </xf>
    <xf numFmtId="0" fontId="4" fillId="0" borderId="0" xfId="0" applyFont="1" applyAlignment="1">
      <alignment wrapText="1"/>
    </xf>
    <xf numFmtId="0" fontId="4" fillId="0" borderId="0" xfId="0" applyFont="1" applyAlignment="1">
      <alignment horizontal="center"/>
    </xf>
    <xf numFmtId="0" fontId="5" fillId="0" borderId="0" xfId="4" applyAlignment="1" applyProtection="1"/>
    <xf numFmtId="0" fontId="4" fillId="0" borderId="0" xfId="0" applyFont="1"/>
    <xf numFmtId="0" fontId="2" fillId="0" borderId="0" xfId="0" applyFont="1"/>
    <xf numFmtId="0" fontId="2" fillId="0" borderId="1" xfId="0" applyFont="1" applyBorder="1"/>
    <xf numFmtId="0" fontId="4" fillId="0" borderId="0" xfId="0" applyFont="1" applyAlignment="1">
      <alignment horizontal="centerContinuous"/>
    </xf>
    <xf numFmtId="0" fontId="2" fillId="0" borderId="0" xfId="0" applyFont="1" applyAlignment="1">
      <alignment horizontal="centerContinuous"/>
    </xf>
    <xf numFmtId="0" fontId="0" fillId="0" borderId="0" xfId="0" applyAlignment="1">
      <alignment wrapText="1"/>
    </xf>
    <xf numFmtId="0" fontId="2" fillId="0" borderId="0" xfId="0" applyFont="1" applyAlignment="1">
      <alignment horizontal="right"/>
    </xf>
    <xf numFmtId="0" fontId="2" fillId="0" borderId="0" xfId="0" applyFont="1" applyAlignment="1">
      <alignment horizontal="left"/>
    </xf>
    <xf numFmtId="0" fontId="4" fillId="0" borderId="0" xfId="0" applyFont="1" applyAlignment="1">
      <alignment horizontal="right"/>
    </xf>
    <xf numFmtId="0" fontId="4" fillId="0" borderId="0" xfId="0" applyFont="1" applyAlignment="1">
      <alignment horizontal="left"/>
    </xf>
    <xf numFmtId="0" fontId="4" fillId="0" borderId="0" xfId="0" applyFont="1" applyAlignment="1">
      <alignment wrapText="1"/>
    </xf>
    <xf numFmtId="2" fontId="0" fillId="0" borderId="0" xfId="0" applyNumberFormat="1"/>
    <xf numFmtId="167" fontId="0" fillId="0" borderId="0" xfId="0" applyNumberFormat="1"/>
    <xf numFmtId="3" fontId="2" fillId="0" borderId="0" xfId="0" applyNumberFormat="1" applyFont="1" applyAlignment="1">
      <alignment horizontal="right"/>
    </xf>
    <xf numFmtId="170" fontId="0" fillId="0" borderId="0" xfId="0" applyNumberFormat="1"/>
    <xf numFmtId="0" fontId="2" fillId="0" borderId="0" xfId="0" applyFont="1" applyAlignment="1">
      <alignment wrapText="1"/>
    </xf>
    <xf numFmtId="0" fontId="4" fillId="0" borderId="0" xfId="0" applyFont="1" applyAlignment="1">
      <alignment horizontal="centerContinuous" vertical="center"/>
    </xf>
    <xf numFmtId="0" fontId="2" fillId="0" borderId="0" xfId="0" applyFont="1" applyAlignment="1">
      <alignment horizontal="centerContinuous" wrapText="1"/>
    </xf>
    <xf numFmtId="165" fontId="4" fillId="0" borderId="0" xfId="0" applyNumberFormat="1" applyFont="1" applyAlignment="1">
      <alignment horizontal="center"/>
    </xf>
    <xf numFmtId="14" fontId="4" fillId="0" borderId="0" xfId="0" applyNumberFormat="1" applyFont="1" applyAlignment="1">
      <alignment horizontal="center"/>
    </xf>
    <xf numFmtId="165" fontId="2" fillId="0" borderId="0" xfId="0" applyNumberFormat="1" applyFont="1"/>
    <xf numFmtId="1" fontId="4" fillId="0" borderId="0" xfId="0" applyNumberFormat="1" applyFont="1" applyAlignment="1">
      <alignment horizontal="left"/>
    </xf>
    <xf numFmtId="0" fontId="2" fillId="0" borderId="1" xfId="0" applyFont="1" applyBorder="1" applyAlignment="1">
      <alignment horizontal="left"/>
    </xf>
    <xf numFmtId="169" fontId="2" fillId="0" borderId="0" xfId="0" applyNumberFormat="1" applyFont="1"/>
    <xf numFmtId="2" fontId="2" fillId="0" borderId="0" xfId="0" applyNumberFormat="1" applyFont="1"/>
    <xf numFmtId="171" fontId="2" fillId="0" borderId="0" xfId="0" applyNumberFormat="1" applyFont="1"/>
    <xf numFmtId="171" fontId="4" fillId="0" borderId="0" xfId="0" applyNumberFormat="1" applyFont="1" applyAlignment="1">
      <alignment horizontal="centerContinuous"/>
    </xf>
    <xf numFmtId="171" fontId="2" fillId="0" borderId="0" xfId="0" applyNumberFormat="1" applyFont="1" applyAlignment="1">
      <alignment horizontal="right"/>
    </xf>
    <xf numFmtId="171" fontId="0" fillId="0" borderId="0" xfId="0" applyNumberFormat="1"/>
    <xf numFmtId="0" fontId="4" fillId="0" borderId="0" xfId="0" applyFont="1" applyAlignment="1">
      <alignment horizontal="centerContinuous" vertical="center" wrapText="1"/>
    </xf>
    <xf numFmtId="14" fontId="0" fillId="0" borderId="0" xfId="0" applyNumberFormat="1"/>
    <xf numFmtId="0" fontId="5" fillId="0" borderId="0" xfId="4" applyAlignment="1" applyProtection="1">
      <alignment horizontal="left"/>
    </xf>
    <xf numFmtId="171" fontId="0" fillId="0" borderId="0" xfId="0" applyNumberFormat="1" applyAlignment="1">
      <alignment horizontal="centerContinuous"/>
    </xf>
    <xf numFmtId="0" fontId="7" fillId="0" borderId="0" xfId="100" applyFont="1"/>
    <xf numFmtId="3" fontId="7" fillId="0" borderId="0" xfId="0" applyNumberFormat="1" applyFont="1" applyAlignment="1">
      <alignment horizontal="right"/>
    </xf>
    <xf numFmtId="171" fontId="7" fillId="0" borderId="0" xfId="0" applyNumberFormat="1" applyFont="1" applyAlignment="1">
      <alignment horizontal="right"/>
    </xf>
    <xf numFmtId="173" fontId="7" fillId="0" borderId="0" xfId="0" applyNumberFormat="1" applyFont="1" applyAlignment="1">
      <alignment horizontal="right"/>
    </xf>
    <xf numFmtId="3" fontId="7" fillId="0" borderId="0" xfId="0" applyNumberFormat="1" applyFont="1" applyAlignment="1">
      <alignment horizontal="right" wrapText="1"/>
    </xf>
    <xf numFmtId="0" fontId="8" fillId="0" borderId="0" xfId="0" applyFont="1" applyAlignment="1">
      <alignment horizontal="right"/>
    </xf>
    <xf numFmtId="0" fontId="8" fillId="0" borderId="0" xfId="0" applyFont="1" applyAlignment="1">
      <alignment wrapText="1"/>
    </xf>
    <xf numFmtId="171" fontId="8" fillId="0" borderId="0" xfId="0" applyNumberFormat="1" applyFont="1" applyAlignment="1">
      <alignment horizontal="right"/>
    </xf>
    <xf numFmtId="165" fontId="8" fillId="0" borderId="0" xfId="0" applyNumberFormat="1" applyFont="1" applyAlignment="1">
      <alignment horizontal="right" vertical="center"/>
    </xf>
    <xf numFmtId="0" fontId="7" fillId="0" borderId="0" xfId="0" applyFont="1" applyAlignment="1">
      <alignment horizontal="right"/>
    </xf>
    <xf numFmtId="0" fontId="7" fillId="0" borderId="0" xfId="0" applyFont="1" applyAlignment="1">
      <alignment wrapText="1"/>
    </xf>
    <xf numFmtId="0" fontId="7" fillId="0" borderId="0" xfId="0" applyFont="1" applyAlignment="1">
      <alignment horizontal="left"/>
    </xf>
    <xf numFmtId="0" fontId="8" fillId="0" borderId="0" xfId="0" applyFont="1"/>
    <xf numFmtId="0" fontId="8" fillId="0" borderId="0" xfId="0" applyFont="1" applyAlignment="1">
      <alignment horizontal="left"/>
    </xf>
    <xf numFmtId="3" fontId="7" fillId="0" borderId="0" xfId="0" applyNumberFormat="1" applyFont="1" applyAlignment="1">
      <alignment horizontal="right" vertical="center"/>
    </xf>
    <xf numFmtId="165" fontId="2" fillId="0" borderId="0" xfId="0" applyNumberFormat="1" applyFont="1" applyAlignment="1">
      <alignment horizontal="right"/>
    </xf>
    <xf numFmtId="14" fontId="0" fillId="0" borderId="0" xfId="0" applyNumberFormat="1" applyAlignment="1">
      <alignment horizontal="right"/>
    </xf>
    <xf numFmtId="174" fontId="0" fillId="0" borderId="0" xfId="0" applyNumberFormat="1"/>
    <xf numFmtId="168" fontId="8" fillId="0" borderId="0" xfId="0" applyNumberFormat="1" applyFont="1" applyAlignment="1">
      <alignment horizontal="right"/>
    </xf>
    <xf numFmtId="0" fontId="2" fillId="0" borderId="0" xfId="0" applyFont="1" applyAlignment="1">
      <alignment vertical="center" wrapText="1"/>
    </xf>
    <xf numFmtId="171" fontId="2" fillId="0" borderId="0" xfId="0" applyNumberFormat="1" applyFont="1" applyAlignment="1">
      <alignment horizontal="right" vertical="center"/>
    </xf>
    <xf numFmtId="0" fontId="0" fillId="0" borderId="0" xfId="0" applyAlignment="1">
      <alignment vertical="center"/>
    </xf>
    <xf numFmtId="3" fontId="2" fillId="0" borderId="0" xfId="0" applyNumberFormat="1" applyFont="1" applyAlignment="1">
      <alignment horizontal="right" vertical="center"/>
    </xf>
    <xf numFmtId="0" fontId="8" fillId="0" borderId="0" xfId="0" applyFont="1" applyAlignment="1">
      <alignment horizontal="centerContinuous" vertical="center"/>
    </xf>
    <xf numFmtId="0" fontId="7" fillId="0" borderId="0" xfId="0" applyFont="1" applyAlignment="1">
      <alignment vertical="center"/>
    </xf>
    <xf numFmtId="1" fontId="8" fillId="0" borderId="0" xfId="0" applyNumberFormat="1" applyFont="1" applyAlignment="1">
      <alignment horizontal="left"/>
    </xf>
    <xf numFmtId="0" fontId="7" fillId="0" borderId="0" xfId="0" applyFont="1" applyAlignment="1">
      <alignment horizontal="center"/>
    </xf>
    <xf numFmtId="171" fontId="8" fillId="0" borderId="0" xfId="0" applyNumberFormat="1" applyFont="1" applyAlignment="1">
      <alignment horizontal="left"/>
    </xf>
    <xf numFmtId="0" fontId="8" fillId="0" borderId="0" xfId="0" applyFont="1" applyAlignment="1">
      <alignment horizontal="centerContinuous"/>
    </xf>
    <xf numFmtId="0" fontId="8" fillId="0" borderId="0" xfId="0" applyFont="1" applyAlignment="1">
      <alignment horizontal="right" vertical="center"/>
    </xf>
    <xf numFmtId="0" fontId="8" fillId="0" borderId="0" xfId="0" applyFont="1" applyAlignment="1">
      <alignment horizontal="left" vertical="center"/>
    </xf>
    <xf numFmtId="0" fontId="8" fillId="0" borderId="0" xfId="0" applyFont="1" applyAlignment="1">
      <alignment horizontal="left" vertical="center" wrapText="1"/>
    </xf>
    <xf numFmtId="168" fontId="10" fillId="0" borderId="0" xfId="0" applyNumberFormat="1" applyFont="1" applyAlignment="1">
      <alignment horizontal="center" vertical="center"/>
    </xf>
    <xf numFmtId="165" fontId="10" fillId="0" borderId="0" xfId="0" applyNumberFormat="1" applyFont="1" applyAlignment="1">
      <alignment horizontal="left" vertical="center"/>
    </xf>
    <xf numFmtId="0" fontId="8" fillId="0" borderId="0" xfId="0" applyFont="1" applyAlignment="1">
      <alignment horizontal="center"/>
    </xf>
    <xf numFmtId="171" fontId="2" fillId="0" borderId="0" xfId="0" applyNumberFormat="1" applyFont="1" applyAlignment="1">
      <alignment horizontal="left" vertical="center" wrapText="1"/>
    </xf>
    <xf numFmtId="0" fontId="0" fillId="0" borderId="0" xfId="0" applyAlignment="1">
      <alignment horizontal="left" vertical="center" wrapText="1"/>
    </xf>
    <xf numFmtId="3" fontId="8" fillId="0" borderId="0" xfId="0" applyNumberFormat="1" applyFont="1" applyAlignment="1">
      <alignment horizontal="right"/>
    </xf>
    <xf numFmtId="0" fontId="9" fillId="0" borderId="0" xfId="0" applyFont="1"/>
    <xf numFmtId="0" fontId="16" fillId="0" borderId="0" xfId="0" applyFont="1"/>
    <xf numFmtId="171" fontId="7" fillId="0" borderId="0" xfId="0" applyNumberFormat="1" applyFont="1" applyAlignment="1">
      <alignment horizontal="right" vertical="center"/>
    </xf>
    <xf numFmtId="0" fontId="2" fillId="0" borderId="0" xfId="0" applyFont="1" applyAlignment="1">
      <alignment horizontal="left" wrapText="1"/>
    </xf>
    <xf numFmtId="0" fontId="4" fillId="0" borderId="0" xfId="0" applyFont="1" applyAlignment="1">
      <alignment horizontal="right" vertical="center"/>
    </xf>
    <xf numFmtId="171" fontId="4" fillId="0" borderId="0" xfId="0" applyNumberFormat="1" applyFont="1" applyAlignment="1">
      <alignment horizontal="right"/>
    </xf>
    <xf numFmtId="0" fontId="9" fillId="0" borderId="0" xfId="0" applyFont="1" applyAlignment="1">
      <alignment horizontal="right" vertical="center"/>
    </xf>
    <xf numFmtId="0" fontId="2" fillId="0" borderId="0" xfId="0" applyFont="1" applyAlignment="1">
      <alignment vertical="center"/>
    </xf>
    <xf numFmtId="49" fontId="0" fillId="0" borderId="0" xfId="0" applyNumberFormat="1"/>
    <xf numFmtId="49" fontId="4" fillId="0" borderId="0" xfId="0" applyNumberFormat="1" applyFont="1"/>
    <xf numFmtId="0" fontId="2" fillId="0" borderId="0" xfId="0" applyFont="1" applyAlignment="1">
      <alignment vertical="top" wrapText="1"/>
    </xf>
    <xf numFmtId="0" fontId="4" fillId="2" borderId="0" xfId="0" applyFont="1" applyFill="1" applyAlignment="1">
      <alignment horizontal="center"/>
    </xf>
    <xf numFmtId="0" fontId="2" fillId="0" borderId="0" xfId="0" applyFont="1" applyProtection="1">
      <protection locked="0"/>
    </xf>
    <xf numFmtId="0" fontId="0" fillId="0" borderId="0" xfId="0" applyProtection="1">
      <protection locked="0"/>
    </xf>
    <xf numFmtId="0" fontId="4" fillId="0" borderId="0" xfId="0" applyFont="1" applyProtection="1">
      <protection locked="0"/>
    </xf>
    <xf numFmtId="0" fontId="7" fillId="0" borderId="0" xfId="98" applyFont="1" applyAlignment="1">
      <alignment horizontal="left" wrapText="1" indent="1"/>
    </xf>
    <xf numFmtId="0" fontId="0" fillId="0" borderId="0" xfId="0" applyAlignment="1">
      <alignment horizontal="left" vertical="center"/>
    </xf>
    <xf numFmtId="0" fontId="18" fillId="0" borderId="0" xfId="0" applyFont="1" applyAlignment="1">
      <alignment vertical="top"/>
    </xf>
    <xf numFmtId="171" fontId="7" fillId="0" borderId="0" xfId="0" applyNumberFormat="1" applyFont="1" applyAlignment="1">
      <alignment horizontal="centerContinuous" vertical="center" wrapText="1"/>
    </xf>
    <xf numFmtId="171" fontId="7" fillId="0" borderId="0" xfId="0" applyNumberFormat="1" applyFont="1"/>
    <xf numFmtId="0" fontId="7" fillId="0" borderId="0" xfId="0" applyFont="1" applyAlignment="1">
      <alignment horizontal="centerContinuous" vertical="center" wrapText="1"/>
    </xf>
    <xf numFmtId="14" fontId="8" fillId="0" borderId="0" xfId="0" applyNumberFormat="1" applyFont="1" applyAlignment="1">
      <alignment horizontal="left" wrapText="1"/>
    </xf>
    <xf numFmtId="0" fontId="2" fillId="0" borderId="0" xfId="0" applyFont="1" applyAlignment="1">
      <alignment horizontal="left" vertical="top"/>
    </xf>
    <xf numFmtId="0" fontId="10" fillId="0" borderId="0" xfId="100" applyFont="1" applyAlignment="1">
      <alignment vertical="center"/>
    </xf>
    <xf numFmtId="0" fontId="7" fillId="0" borderId="0" xfId="100" applyFont="1" applyAlignment="1">
      <alignment horizontal="left" vertical="center" wrapText="1"/>
    </xf>
    <xf numFmtId="0" fontId="10" fillId="0" borderId="0" xfId="100" applyFont="1" applyAlignment="1">
      <alignment horizontal="left" vertical="center" wrapText="1"/>
    </xf>
    <xf numFmtId="0" fontId="10" fillId="0" borderId="0" xfId="100" applyFont="1" applyAlignment="1">
      <alignment horizontal="left" vertical="center"/>
    </xf>
    <xf numFmtId="0" fontId="7" fillId="0" borderId="0" xfId="100" applyFont="1" applyAlignment="1">
      <alignment horizontal="left" vertical="center"/>
    </xf>
    <xf numFmtId="2" fontId="7" fillId="0" borderId="0" xfId="33" applyNumberFormat="1" applyFont="1"/>
    <xf numFmtId="175" fontId="7" fillId="0" borderId="0" xfId="33" applyNumberFormat="1" applyFont="1"/>
    <xf numFmtId="0" fontId="7" fillId="0" borderId="0" xfId="33" applyFont="1" applyAlignment="1">
      <alignment horizontal="right" vertical="center"/>
    </xf>
    <xf numFmtId="4" fontId="7" fillId="0" borderId="0" xfId="33" applyNumberFormat="1" applyFont="1" applyAlignment="1">
      <alignment horizontal="right" vertical="center"/>
    </xf>
    <xf numFmtId="2" fontId="7" fillId="0" borderId="0" xfId="33" applyNumberFormat="1" applyFont="1" applyAlignment="1">
      <alignment horizontal="right" vertical="center"/>
    </xf>
    <xf numFmtId="4" fontId="7" fillId="0" borderId="0" xfId="33" applyNumberFormat="1" applyFont="1" applyAlignment="1">
      <alignment vertical="center"/>
    </xf>
    <xf numFmtId="2" fontId="7" fillId="0" borderId="0" xfId="33" applyNumberFormat="1" applyFont="1" applyAlignment="1">
      <alignment vertical="center"/>
    </xf>
    <xf numFmtId="4" fontId="7" fillId="0" borderId="0" xfId="33" applyNumberFormat="1" applyFont="1" applyAlignment="1">
      <alignment vertical="center" wrapText="1"/>
    </xf>
    <xf numFmtId="4" fontId="7" fillId="0" borderId="0" xfId="33" applyNumberFormat="1" applyFont="1" applyAlignment="1">
      <alignment horizontal="right" vertical="center" wrapText="1"/>
    </xf>
    <xf numFmtId="165" fontId="8" fillId="0" borderId="0" xfId="33" applyNumberFormat="1" applyFont="1" applyAlignment="1">
      <alignment vertical="center"/>
    </xf>
    <xf numFmtId="2" fontId="8" fillId="0" borderId="0" xfId="33" applyNumberFormat="1" applyFont="1" applyAlignment="1">
      <alignment horizontal="right" vertical="center"/>
    </xf>
    <xf numFmtId="168" fontId="8" fillId="0" borderId="0" xfId="33" applyNumberFormat="1" applyFont="1" applyAlignment="1">
      <alignment horizontal="right" vertical="center"/>
    </xf>
    <xf numFmtId="2" fontId="8" fillId="0" borderId="0" xfId="33" applyNumberFormat="1" applyFont="1" applyAlignment="1">
      <alignment horizontal="center" vertical="center"/>
    </xf>
    <xf numFmtId="165" fontId="10" fillId="0" borderId="0" xfId="33" applyNumberFormat="1" applyFont="1" applyAlignment="1">
      <alignment horizontal="centerContinuous" vertical="center"/>
    </xf>
    <xf numFmtId="2" fontId="8" fillId="0" borderId="0" xfId="33" applyNumberFormat="1" applyFont="1" applyAlignment="1">
      <alignment horizontal="center"/>
    </xf>
    <xf numFmtId="168" fontId="8" fillId="0" borderId="0" xfId="33" applyNumberFormat="1" applyFont="1" applyAlignment="1">
      <alignment horizontal="center" vertical="center"/>
    </xf>
    <xf numFmtId="0" fontId="7" fillId="0" borderId="0" xfId="33" applyFont="1" applyAlignment="1">
      <alignment vertical="center" wrapText="1"/>
    </xf>
    <xf numFmtId="0" fontId="8" fillId="0" borderId="0" xfId="33" applyFont="1" applyAlignment="1">
      <alignment vertical="center"/>
    </xf>
    <xf numFmtId="14" fontId="8" fillId="0" borderId="0" xfId="100" applyNumberFormat="1" applyFont="1" applyAlignment="1">
      <alignment horizontal="left" vertical="center"/>
    </xf>
    <xf numFmtId="1" fontId="8" fillId="0" borderId="0" xfId="33" applyNumberFormat="1" applyFont="1" applyAlignment="1">
      <alignment horizontal="left" vertical="center"/>
    </xf>
    <xf numFmtId="0" fontId="11" fillId="0" borderId="0" xfId="4" applyFont="1" applyAlignment="1" applyProtection="1">
      <alignment vertical="center"/>
    </xf>
    <xf numFmtId="0" fontId="17" fillId="0" borderId="0" xfId="4" applyFont="1" applyFill="1" applyAlignment="1" applyProtection="1">
      <alignment vertical="center"/>
    </xf>
    <xf numFmtId="0" fontId="2" fillId="0" borderId="0" xfId="33" applyFont="1" applyAlignment="1">
      <alignment horizontal="left" vertical="center"/>
    </xf>
    <xf numFmtId="0" fontId="7" fillId="0" borderId="2" xfId="97" applyFont="1" applyBorder="1" applyAlignment="1">
      <alignment vertical="center" wrapText="1"/>
    </xf>
    <xf numFmtId="0" fontId="10" fillId="0" borderId="0" xfId="33" applyFont="1" applyAlignment="1">
      <alignment vertical="center" wrapText="1"/>
    </xf>
    <xf numFmtId="0" fontId="8" fillId="0" borderId="0" xfId="33" applyFont="1" applyAlignment="1">
      <alignment vertical="center" wrapText="1"/>
    </xf>
    <xf numFmtId="165" fontId="6" fillId="0" borderId="0" xfId="100" applyNumberFormat="1" applyFont="1" applyAlignment="1">
      <alignment horizontal="center" vertical="center"/>
    </xf>
    <xf numFmtId="166" fontId="6" fillId="0" borderId="0" xfId="100" applyNumberFormat="1" applyFont="1" applyAlignment="1">
      <alignment horizontal="left" vertical="center"/>
    </xf>
    <xf numFmtId="0" fontId="4" fillId="0" borderId="0" xfId="33" applyFont="1" applyAlignment="1">
      <alignment vertical="center" wrapText="1"/>
    </xf>
    <xf numFmtId="165" fontId="10" fillId="0" borderId="0" xfId="100" applyNumberFormat="1" applyFont="1" applyAlignment="1">
      <alignment horizontal="center" vertical="center"/>
    </xf>
    <xf numFmtId="14" fontId="8" fillId="0" borderId="0" xfId="33" applyNumberFormat="1" applyFont="1" applyAlignment="1">
      <alignment horizontal="left" vertical="center" wrapText="1"/>
    </xf>
    <xf numFmtId="0" fontId="7" fillId="0" borderId="0" xfId="33" applyFont="1" applyAlignment="1">
      <alignment horizontal="center" vertical="center" wrapText="1"/>
    </xf>
    <xf numFmtId="3" fontId="7" fillId="0" borderId="2" xfId="0" applyNumberFormat="1" applyFont="1" applyBorder="1" applyAlignment="1">
      <alignment horizontal="right" vertical="center"/>
    </xf>
    <xf numFmtId="172" fontId="7" fillId="0" borderId="2" xfId="0" applyNumberFormat="1" applyFont="1" applyBorder="1" applyAlignment="1">
      <alignment vertical="center"/>
    </xf>
    <xf numFmtId="172" fontId="7" fillId="0" borderId="0" xfId="0" applyNumberFormat="1" applyFont="1" applyAlignment="1">
      <alignment horizontal="right" vertical="center"/>
    </xf>
    <xf numFmtId="172" fontId="7" fillId="0" borderId="0" xfId="0" applyNumberFormat="1" applyFont="1" applyAlignment="1">
      <alignment vertical="center"/>
    </xf>
    <xf numFmtId="3" fontId="7" fillId="0" borderId="0" xfId="0" applyNumberFormat="1" applyFont="1" applyAlignment="1">
      <alignment vertical="center"/>
    </xf>
    <xf numFmtId="1" fontId="7" fillId="0" borderId="0" xfId="0" applyNumberFormat="1" applyFont="1" applyAlignment="1">
      <alignment horizontal="right" vertical="center"/>
    </xf>
    <xf numFmtId="171" fontId="8" fillId="0" borderId="0" xfId="0" applyNumberFormat="1" applyFont="1" applyAlignment="1">
      <alignment horizontal="center" vertical="center"/>
    </xf>
    <xf numFmtId="171" fontId="8" fillId="0" borderId="0" xfId="0" applyNumberFormat="1" applyFont="1" applyAlignment="1">
      <alignment horizontal="left" vertical="center"/>
    </xf>
    <xf numFmtId="0" fontId="7" fillId="0" borderId="0" xfId="0" applyFont="1" applyAlignment="1">
      <alignment horizontal="center" vertical="center"/>
    </xf>
    <xf numFmtId="0" fontId="0" fillId="0" borderId="0" xfId="0" applyAlignment="1">
      <alignment vertical="top"/>
    </xf>
    <xf numFmtId="171" fontId="2" fillId="0" borderId="1" xfId="0" applyNumberFormat="1" applyFont="1" applyBorder="1"/>
    <xf numFmtId="0" fontId="4" fillId="0" borderId="0" xfId="0" applyFont="1" applyAlignment="1">
      <alignment horizontal="center" vertical="center"/>
    </xf>
    <xf numFmtId="0" fontId="0" fillId="0" borderId="1" xfId="0" applyBorder="1" applyAlignment="1">
      <alignment horizontal="left" vertical="center" wrapText="1"/>
    </xf>
    <xf numFmtId="171" fontId="2" fillId="0" borderId="1" xfId="0" applyNumberFormat="1" applyFont="1" applyBorder="1" applyAlignment="1">
      <alignment horizontal="left" vertical="center" wrapText="1"/>
    </xf>
    <xf numFmtId="0" fontId="22" fillId="0" borderId="0" xfId="0" applyFont="1" applyAlignment="1">
      <alignment vertical="center"/>
    </xf>
    <xf numFmtId="0" fontId="2" fillId="0" borderId="1" xfId="70" applyFont="1" applyBorder="1" applyAlignment="1">
      <alignment vertical="center"/>
    </xf>
    <xf numFmtId="0" fontId="0" fillId="0" borderId="1" xfId="0" applyBorder="1"/>
    <xf numFmtId="0" fontId="2" fillId="0" borderId="1" xfId="0" applyFont="1" applyBorder="1" applyAlignment="1">
      <alignment horizontal="right"/>
    </xf>
    <xf numFmtId="0" fontId="2" fillId="0" borderId="1" xfId="0" applyFont="1" applyBorder="1" applyAlignment="1">
      <alignment vertical="center" wrapText="1"/>
    </xf>
    <xf numFmtId="0" fontId="8" fillId="0" borderId="3" xfId="100" applyFont="1" applyBorder="1" applyAlignment="1">
      <alignment vertical="center"/>
    </xf>
    <xf numFmtId="0" fontId="8" fillId="0" borderId="1" xfId="100" applyFont="1" applyBorder="1" applyAlignment="1">
      <alignment vertical="center"/>
    </xf>
    <xf numFmtId="49" fontId="7" fillId="0" borderId="0" xfId="100" applyNumberFormat="1" applyFont="1" applyAlignment="1">
      <alignment horizontal="left" vertical="center"/>
    </xf>
    <xf numFmtId="49" fontId="7" fillId="0" borderId="0" xfId="100" applyNumberFormat="1" applyFont="1" applyAlignment="1">
      <alignment vertical="center"/>
    </xf>
    <xf numFmtId="49" fontId="7" fillId="0" borderId="0" xfId="100" applyNumberFormat="1" applyFont="1" applyAlignment="1">
      <alignment horizontal="left" vertical="center" wrapText="1"/>
    </xf>
    <xf numFmtId="171" fontId="8" fillId="0" borderId="0" xfId="0" applyNumberFormat="1" applyFont="1" applyAlignment="1">
      <alignment horizontal="right" vertical="center"/>
    </xf>
    <xf numFmtId="0" fontId="19" fillId="0" borderId="1" xfId="0" applyFont="1" applyBorder="1" applyAlignment="1">
      <alignment vertical="center" wrapText="1"/>
    </xf>
    <xf numFmtId="171" fontId="7" fillId="0" borderId="1" xfId="0" applyNumberFormat="1" applyFont="1" applyBorder="1" applyAlignment="1">
      <alignment horizontal="right" vertical="center"/>
    </xf>
    <xf numFmtId="3" fontId="7" fillId="0" borderId="1" xfId="0" applyNumberFormat="1" applyFont="1" applyBorder="1" applyAlignment="1">
      <alignment horizontal="right" vertical="center"/>
    </xf>
    <xf numFmtId="171" fontId="2" fillId="0" borderId="0" xfId="0" applyNumberFormat="1" applyFont="1" applyAlignment="1">
      <alignment vertical="center"/>
    </xf>
    <xf numFmtId="0" fontId="4" fillId="0" borderId="0" xfId="0" applyFont="1" applyAlignment="1">
      <alignment vertical="center"/>
    </xf>
    <xf numFmtId="0" fontId="10" fillId="0" borderId="0" xfId="0" applyFont="1" applyAlignment="1">
      <alignment horizontal="center" vertical="center"/>
    </xf>
    <xf numFmtId="173" fontId="7" fillId="0" borderId="0" xfId="0" applyNumberFormat="1" applyFont="1" applyAlignment="1">
      <alignment horizontal="right" vertical="center"/>
    </xf>
    <xf numFmtId="3" fontId="7" fillId="0" borderId="0" xfId="0" applyNumberFormat="1" applyFont="1" applyAlignment="1">
      <alignment horizontal="right" vertical="center" wrapText="1"/>
    </xf>
    <xf numFmtId="3" fontId="7" fillId="0" borderId="3" xfId="0" applyNumberFormat="1" applyFont="1" applyBorder="1" applyAlignment="1">
      <alignment horizontal="right" vertical="center"/>
    </xf>
    <xf numFmtId="171" fontId="7" fillId="0" borderId="3" xfId="0" applyNumberFormat="1" applyFont="1" applyBorder="1" applyAlignment="1">
      <alignment horizontal="right" vertical="center"/>
    </xf>
    <xf numFmtId="3" fontId="8" fillId="0" borderId="3" xfId="0" applyNumberFormat="1" applyFont="1" applyBorder="1" applyAlignment="1">
      <alignment horizontal="right" vertical="center"/>
    </xf>
    <xf numFmtId="171" fontId="8" fillId="0" borderId="3" xfId="0" applyNumberFormat="1" applyFont="1" applyBorder="1" applyAlignment="1">
      <alignment horizontal="right" vertical="center"/>
    </xf>
    <xf numFmtId="3" fontId="8" fillId="0" borderId="0" xfId="0" applyNumberFormat="1" applyFont="1" applyAlignment="1">
      <alignment horizontal="right" vertical="center"/>
    </xf>
    <xf numFmtId="0" fontId="7" fillId="0" borderId="2" xfId="0" applyFont="1" applyBorder="1" applyAlignment="1">
      <alignment horizontal="left" vertical="center"/>
    </xf>
    <xf numFmtId="171" fontId="7" fillId="0" borderId="2" xfId="0" applyNumberFormat="1" applyFont="1" applyBorder="1" applyAlignment="1">
      <alignment horizontal="right" vertical="center"/>
    </xf>
    <xf numFmtId="171" fontId="0" fillId="0" borderId="0" xfId="0" applyNumberFormat="1" applyAlignment="1">
      <alignment vertical="center"/>
    </xf>
    <xf numFmtId="3" fontId="2" fillId="0" borderId="1" xfId="0" applyNumberFormat="1" applyFont="1" applyBorder="1" applyAlignment="1">
      <alignment horizontal="right" vertical="center"/>
    </xf>
    <xf numFmtId="171" fontId="2" fillId="0" borderId="1" xfId="0" applyNumberFormat="1" applyFont="1" applyBorder="1" applyAlignment="1">
      <alignment horizontal="right" vertical="center"/>
    </xf>
    <xf numFmtId="171" fontId="4" fillId="0" borderId="0" xfId="0" applyNumberFormat="1" applyFont="1" applyAlignment="1">
      <alignment horizontal="center" vertical="center"/>
    </xf>
    <xf numFmtId="0" fontId="7" fillId="0" borderId="1" xfId="0" applyFont="1" applyBorder="1" applyAlignment="1">
      <alignment vertical="center"/>
    </xf>
    <xf numFmtId="0" fontId="7" fillId="0" borderId="0" xfId="33" applyFont="1" applyAlignment="1">
      <alignment horizontal="center" wrapText="1"/>
    </xf>
    <xf numFmtId="0" fontId="7" fillId="0" borderId="0" xfId="33" applyFont="1" applyAlignment="1">
      <alignment horizontal="centerContinuous" wrapText="1"/>
    </xf>
    <xf numFmtId="165" fontId="10" fillId="0" borderId="0" xfId="100" applyNumberFormat="1" applyFont="1" applyAlignment="1">
      <alignment horizontal="center"/>
    </xf>
    <xf numFmtId="0" fontId="2" fillId="0" borderId="0" xfId="0" applyFont="1" applyAlignment="1">
      <alignment horizontal="left" vertical="center" wrapText="1"/>
    </xf>
    <xf numFmtId="49" fontId="8" fillId="0" borderId="0" xfId="0" applyNumberFormat="1" applyFont="1" applyAlignment="1">
      <alignment vertical="center" wrapText="1"/>
    </xf>
    <xf numFmtId="49" fontId="8" fillId="0" borderId="0" xfId="0" applyNumberFormat="1" applyFont="1" applyAlignment="1">
      <alignment horizontal="left" vertical="center" wrapText="1"/>
    </xf>
    <xf numFmtId="49" fontId="7" fillId="0" borderId="0" xfId="99" applyNumberFormat="1" applyFont="1" applyAlignment="1">
      <alignment vertical="center" wrapText="1"/>
    </xf>
    <xf numFmtId="171" fontId="2" fillId="0" borderId="1" xfId="0" applyNumberFormat="1" applyFont="1" applyBorder="1" applyAlignment="1">
      <alignment vertical="center"/>
    </xf>
    <xf numFmtId="171" fontId="4" fillId="0" borderId="0" xfId="0" applyNumberFormat="1" applyFont="1" applyAlignment="1">
      <alignment vertical="center"/>
    </xf>
    <xf numFmtId="0" fontId="4" fillId="0" borderId="0" xfId="0" applyFont="1" applyAlignment="1">
      <alignment horizontal="left" vertical="center"/>
    </xf>
    <xf numFmtId="3" fontId="15" fillId="0" borderId="0" xfId="0" applyNumberFormat="1" applyFont="1" applyAlignment="1">
      <alignment horizontal="right" vertical="center"/>
    </xf>
    <xf numFmtId="171" fontId="15" fillId="0" borderId="0" xfId="0" applyNumberFormat="1" applyFont="1" applyAlignment="1">
      <alignment horizontal="right" vertical="center"/>
    </xf>
    <xf numFmtId="0" fontId="15" fillId="0" borderId="0" xfId="96" applyFont="1" applyAlignment="1">
      <alignment vertical="center" wrapText="1"/>
    </xf>
    <xf numFmtId="0" fontId="9" fillId="0" borderId="0" xfId="0" applyFont="1" applyAlignment="1">
      <alignment vertical="center"/>
    </xf>
    <xf numFmtId="0" fontId="0" fillId="0" borderId="1" xfId="0" applyBorder="1" applyAlignment="1">
      <alignment vertical="center"/>
    </xf>
    <xf numFmtId="171" fontId="0" fillId="0" borderId="1" xfId="0" applyNumberFormat="1" applyBorder="1" applyAlignment="1">
      <alignment vertical="center"/>
    </xf>
    <xf numFmtId="0" fontId="4" fillId="0" borderId="1" xfId="0" applyFont="1" applyBorder="1" applyAlignment="1">
      <alignment horizontal="right" vertical="center"/>
    </xf>
    <xf numFmtId="0" fontId="19" fillId="0" borderId="0" xfId="0" applyFont="1" applyAlignment="1">
      <alignment vertical="center" wrapText="1"/>
    </xf>
    <xf numFmtId="0" fontId="20" fillId="0" borderId="1" xfId="0" applyFont="1" applyBorder="1" applyAlignment="1">
      <alignment vertical="center"/>
    </xf>
    <xf numFmtId="0" fontId="18" fillId="0" borderId="0" xfId="0" applyFont="1" applyAlignment="1">
      <alignment vertical="center"/>
    </xf>
    <xf numFmtId="0" fontId="0" fillId="0" borderId="0" xfId="0" applyAlignment="1">
      <alignment vertical="center" wrapText="1"/>
    </xf>
    <xf numFmtId="0" fontId="16" fillId="0" borderId="0" xfId="0" applyFont="1" applyAlignment="1">
      <alignment vertical="center"/>
    </xf>
    <xf numFmtId="4" fontId="7" fillId="0" borderId="2" xfId="33" applyNumberFormat="1" applyFont="1" applyBorder="1" applyAlignment="1">
      <alignment horizontal="right" vertical="center"/>
    </xf>
    <xf numFmtId="0" fontId="11" fillId="0" borderId="3" xfId="4" applyFont="1" applyBorder="1" applyAlignment="1" applyProtection="1">
      <alignment vertical="center"/>
    </xf>
    <xf numFmtId="0" fontId="14" fillId="0" borderId="3" xfId="100" applyFont="1" applyBorder="1" applyAlignment="1">
      <alignment vertical="center"/>
    </xf>
    <xf numFmtId="171" fontId="7" fillId="0" borderId="0" xfId="0" applyNumberFormat="1" applyFont="1" applyAlignment="1">
      <alignment vertical="center"/>
    </xf>
    <xf numFmtId="171" fontId="7" fillId="0" borderId="1" xfId="0" applyNumberFormat="1" applyFont="1" applyBorder="1" applyAlignment="1">
      <alignment vertical="center"/>
    </xf>
    <xf numFmtId="171" fontId="8" fillId="0" borderId="0" xfId="33" applyNumberFormat="1" applyFont="1" applyAlignment="1">
      <alignment horizontal="left" vertical="center" wrapText="1"/>
    </xf>
    <xf numFmtId="0" fontId="7" fillId="0" borderId="0" xfId="0" applyFont="1" applyAlignment="1">
      <alignment horizontal="left" vertical="top" wrapText="1"/>
    </xf>
    <xf numFmtId="0" fontId="4" fillId="0" borderId="1" xfId="100" applyFont="1" applyBorder="1" applyAlignment="1">
      <alignment vertical="center"/>
    </xf>
    <xf numFmtId="0" fontId="4" fillId="0" borderId="0" xfId="0" applyFont="1" applyAlignment="1">
      <alignment vertical="top"/>
    </xf>
    <xf numFmtId="171" fontId="15" fillId="0" borderId="0" xfId="0" applyNumberFormat="1" applyFont="1" applyAlignment="1">
      <alignment horizontal="right"/>
    </xf>
    <xf numFmtId="4" fontId="7" fillId="0" borderId="0" xfId="0" applyNumberFormat="1" applyFont="1" applyAlignment="1">
      <alignment horizontal="right" wrapText="1"/>
    </xf>
    <xf numFmtId="2" fontId="7" fillId="0" borderId="0" xfId="0" applyNumberFormat="1" applyFont="1" applyAlignment="1">
      <alignment horizontal="right"/>
    </xf>
    <xf numFmtId="37" fontId="7" fillId="0" borderId="0" xfId="1" applyNumberFormat="1" applyFont="1" applyAlignment="1">
      <alignment horizontal="right"/>
    </xf>
    <xf numFmtId="37" fontId="22" fillId="0" borderId="0" xfId="0" applyNumberFormat="1" applyFont="1" applyAlignment="1">
      <alignment vertical="center"/>
    </xf>
    <xf numFmtId="37" fontId="7" fillId="0" borderId="0" xfId="0" applyNumberFormat="1" applyFont="1" applyAlignment="1">
      <alignment vertical="center"/>
    </xf>
    <xf numFmtId="37" fontId="7" fillId="0" borderId="0" xfId="1" applyNumberFormat="1" applyFont="1" applyAlignment="1">
      <alignment horizontal="right" vertical="center"/>
    </xf>
    <xf numFmtId="37" fontId="7" fillId="0" borderId="0" xfId="1" applyNumberFormat="1" applyFont="1" applyAlignment="1">
      <alignment horizontal="right" vertical="center" wrapText="1"/>
    </xf>
    <xf numFmtId="171" fontId="0" fillId="0" borderId="1" xfId="0" applyNumberFormat="1" applyBorder="1"/>
    <xf numFmtId="4" fontId="2" fillId="0" borderId="1" xfId="33" applyNumberFormat="1" applyFont="1" applyBorder="1" applyAlignment="1">
      <alignment horizontal="right" vertical="center"/>
    </xf>
    <xf numFmtId="2" fontId="2" fillId="0" borderId="1" xfId="33" applyNumberFormat="1" applyFont="1" applyBorder="1" applyAlignment="1">
      <alignment horizontal="right" vertical="center"/>
    </xf>
    <xf numFmtId="4" fontId="2" fillId="0" borderId="0" xfId="33" applyNumberFormat="1" applyFont="1" applyAlignment="1">
      <alignment horizontal="right" vertical="center"/>
    </xf>
    <xf numFmtId="2" fontId="2" fillId="0" borderId="0" xfId="33" applyNumberFormat="1" applyFont="1" applyAlignment="1">
      <alignment horizontal="right" vertical="center"/>
    </xf>
    <xf numFmtId="0" fontId="4" fillId="0" borderId="1" xfId="0" applyFont="1" applyBorder="1"/>
    <xf numFmtId="1" fontId="7" fillId="0" borderId="0" xfId="33" applyNumberFormat="1" applyFont="1" applyAlignment="1">
      <alignment vertical="center"/>
    </xf>
    <xf numFmtId="1" fontId="7" fillId="0" borderId="0" xfId="33" applyNumberFormat="1" applyFont="1" applyAlignment="1">
      <alignment horizontal="center" vertical="center"/>
    </xf>
    <xf numFmtId="1" fontId="8" fillId="0" borderId="0" xfId="33" applyNumberFormat="1" applyFont="1" applyAlignment="1">
      <alignment horizontal="center" vertical="center"/>
    </xf>
    <xf numFmtId="1" fontId="7" fillId="0" borderId="0" xfId="33" applyNumberFormat="1" applyFont="1" applyAlignment="1">
      <alignment vertical="center" wrapText="1"/>
    </xf>
    <xf numFmtId="1" fontId="8" fillId="0" borderId="0" xfId="33" applyNumberFormat="1" applyFont="1" applyAlignment="1">
      <alignment horizontal="left" vertical="center" wrapText="1"/>
    </xf>
    <xf numFmtId="1" fontId="8" fillId="0" borderId="0" xfId="33" applyNumberFormat="1" applyFont="1" applyAlignment="1">
      <alignment horizontal="center"/>
    </xf>
    <xf numFmtId="1" fontId="8" fillId="0" borderId="0" xfId="33" applyNumberFormat="1" applyFont="1" applyAlignment="1">
      <alignment horizontal="right" vertical="center"/>
    </xf>
    <xf numFmtId="1" fontId="8" fillId="0" borderId="0" xfId="33" applyNumberFormat="1" applyFont="1" applyAlignment="1">
      <alignment vertical="center"/>
    </xf>
    <xf numFmtId="1" fontId="2" fillId="0" borderId="1" xfId="33" applyNumberFormat="1" applyFont="1" applyBorder="1" applyAlignment="1">
      <alignment horizontal="right" vertical="center"/>
    </xf>
    <xf numFmtId="1" fontId="2" fillId="0" borderId="0" xfId="33" applyNumberFormat="1" applyFont="1" applyAlignment="1">
      <alignment horizontal="right" vertical="center"/>
    </xf>
    <xf numFmtId="1" fontId="7" fillId="0" borderId="0" xfId="33" applyNumberFormat="1" applyFont="1" applyAlignment="1">
      <alignment horizontal="right"/>
    </xf>
    <xf numFmtId="1" fontId="7" fillId="0" borderId="0" xfId="33" applyNumberFormat="1" applyFont="1"/>
    <xf numFmtId="0" fontId="2" fillId="0" borderId="0" xfId="0" applyFont="1" applyAlignment="1">
      <alignment horizontal="left" vertical="top" wrapText="1"/>
    </xf>
    <xf numFmtId="0" fontId="4" fillId="0" borderId="1" xfId="100" applyFont="1" applyBorder="1" applyAlignment="1">
      <alignment vertical="top"/>
    </xf>
    <xf numFmtId="171" fontId="4" fillId="0" borderId="0" xfId="0" applyNumberFormat="1" applyFont="1"/>
    <xf numFmtId="167" fontId="7" fillId="0" borderId="0" xfId="0" applyNumberFormat="1" applyFont="1" applyAlignment="1">
      <alignment horizontal="right"/>
    </xf>
    <xf numFmtId="0" fontId="0" fillId="0" borderId="0" xfId="0" applyAlignment="1">
      <alignment horizontal="right"/>
    </xf>
    <xf numFmtId="1" fontId="8" fillId="0" borderId="0" xfId="33" applyNumberFormat="1" applyFont="1" applyAlignment="1">
      <alignment horizontal="right"/>
    </xf>
    <xf numFmtId="171" fontId="4" fillId="0" borderId="1" xfId="0" applyNumberFormat="1" applyFont="1" applyBorder="1" applyAlignment="1">
      <alignment vertical="center"/>
    </xf>
    <xf numFmtId="171" fontId="9" fillId="0" borderId="0" xfId="0" applyNumberFormat="1" applyFont="1"/>
    <xf numFmtId="0" fontId="9" fillId="0" borderId="1" xfId="0" applyFont="1" applyBorder="1"/>
    <xf numFmtId="0" fontId="5" fillId="0" borderId="0" xfId="4" applyAlignment="1" applyProtection="1">
      <alignment wrapText="1"/>
    </xf>
    <xf numFmtId="0" fontId="5" fillId="0" borderId="0" xfId="4" applyAlignment="1" applyProtection="1">
      <alignment horizontal="left" wrapText="1"/>
    </xf>
    <xf numFmtId="0" fontId="5" fillId="0" borderId="0" xfId="4" applyAlignment="1" applyProtection="1">
      <alignment vertical="center"/>
    </xf>
    <xf numFmtId="0" fontId="5" fillId="0" borderId="0" xfId="4" applyAlignment="1" applyProtection="1">
      <alignment vertical="center" wrapText="1"/>
    </xf>
    <xf numFmtId="0" fontId="5" fillId="0" borderId="3" xfId="4" applyBorder="1" applyAlignment="1" applyProtection="1">
      <alignment vertical="center"/>
    </xf>
    <xf numFmtId="0" fontId="7" fillId="0" borderId="0" xfId="33" applyFont="1" applyAlignment="1">
      <alignment vertical="top"/>
    </xf>
    <xf numFmtId="0" fontId="8" fillId="0" borderId="0" xfId="0" applyFont="1" applyAlignment="1">
      <alignment horizontal="left" vertical="top" wrapText="1"/>
    </xf>
    <xf numFmtId="43" fontId="7" fillId="0" borderId="0" xfId="1" applyFont="1" applyAlignment="1">
      <alignment horizontal="right" vertical="center"/>
    </xf>
    <xf numFmtId="167" fontId="7" fillId="0" borderId="0" xfId="1" applyNumberFormat="1" applyFont="1" applyAlignment="1">
      <alignment horizontal="right" vertical="center"/>
    </xf>
    <xf numFmtId="171" fontId="8" fillId="0" borderId="0" xfId="33" applyNumberFormat="1" applyFont="1" applyAlignment="1">
      <alignment horizontal="left" wrapText="1"/>
    </xf>
    <xf numFmtId="3" fontId="7" fillId="0" borderId="0" xfId="1" applyNumberFormat="1" applyFont="1"/>
    <xf numFmtId="0" fontId="7" fillId="0" borderId="0" xfId="0" applyFont="1" applyAlignment="1">
      <alignment horizontal="centerContinuous"/>
    </xf>
    <xf numFmtId="171" fontId="7" fillId="0" borderId="0" xfId="0" applyNumberFormat="1" applyFont="1" applyAlignment="1">
      <alignment horizontal="centerContinuous"/>
    </xf>
    <xf numFmtId="14" fontId="8" fillId="0" borderId="0" xfId="0" applyNumberFormat="1" applyFont="1" applyAlignment="1">
      <alignment horizontal="left"/>
    </xf>
    <xf numFmtId="0" fontId="11" fillId="0" borderId="0" xfId="0" applyFont="1" applyAlignment="1">
      <alignment horizontal="left" vertical="center"/>
    </xf>
    <xf numFmtId="0" fontId="5" fillId="0" borderId="0" xfId="0" applyFont="1" applyAlignment="1">
      <alignment horizontal="left" vertical="center"/>
    </xf>
    <xf numFmtId="4" fontId="0" fillId="0" borderId="0" xfId="0" applyNumberFormat="1" applyAlignment="1">
      <alignment horizontal="right" vertical="center"/>
    </xf>
    <xf numFmtId="0" fontId="14" fillId="0" borderId="0" xfId="0" applyFont="1" applyAlignment="1">
      <alignment vertical="center" wrapText="1"/>
    </xf>
    <xf numFmtId="0" fontId="15" fillId="0" borderId="0" xfId="0" applyFont="1" applyAlignment="1">
      <alignment horizontal="left" vertical="center" wrapText="1"/>
    </xf>
    <xf numFmtId="0" fontId="14" fillId="0" borderId="0" xfId="0" applyFont="1" applyAlignment="1">
      <alignment horizontal="left" vertical="center" wrapText="1"/>
    </xf>
    <xf numFmtId="0" fontId="15" fillId="0" borderId="0" xfId="0" applyFont="1" applyAlignment="1">
      <alignment horizontal="left" vertical="center"/>
    </xf>
    <xf numFmtId="14" fontId="7" fillId="0" borderId="0" xfId="0" applyNumberFormat="1" applyFont="1" applyAlignment="1">
      <alignment wrapText="1"/>
    </xf>
    <xf numFmtId="3" fontId="7" fillId="0" borderId="0" xfId="0" quotePrefix="1" applyNumberFormat="1" applyFont="1" applyAlignment="1">
      <alignment horizontal="right" vertical="center"/>
    </xf>
    <xf numFmtId="171" fontId="8" fillId="0" borderId="0" xfId="0" applyNumberFormat="1" applyFont="1"/>
    <xf numFmtId="169" fontId="7" fillId="0" borderId="0" xfId="0" applyNumberFormat="1" applyFont="1"/>
    <xf numFmtId="170" fontId="7" fillId="0" borderId="0" xfId="0" applyNumberFormat="1" applyFont="1"/>
    <xf numFmtId="164" fontId="8" fillId="0" borderId="0" xfId="0" applyNumberFormat="1" applyFont="1" applyAlignment="1">
      <alignment horizontal="left"/>
    </xf>
    <xf numFmtId="171" fontId="8" fillId="0" borderId="0" xfId="0" applyNumberFormat="1" applyFont="1" applyAlignment="1">
      <alignment horizontal="centerContinuous"/>
    </xf>
  </cellXfs>
  <cellStyles count="101">
    <cellStyle name="Comma" xfId="1" builtinId="3"/>
    <cellStyle name="Comma 2" xfId="2" xr:uid="{00000000-0005-0000-0000-000001000000}"/>
    <cellStyle name="Comma 2 2" xfId="3" xr:uid="{00000000-0005-0000-0000-000002000000}"/>
    <cellStyle name="Hyperlink" xfId="4" builtinId="8"/>
    <cellStyle name="Normal" xfId="0" builtinId="0"/>
    <cellStyle name="Normal 10" xfId="5" xr:uid="{00000000-0005-0000-0000-000005000000}"/>
    <cellStyle name="Normal 10 2" xfId="6" xr:uid="{00000000-0005-0000-0000-000006000000}"/>
    <cellStyle name="Normal 11" xfId="7" xr:uid="{00000000-0005-0000-0000-000007000000}"/>
    <cellStyle name="Normal 11 2" xfId="8" xr:uid="{00000000-0005-0000-0000-000008000000}"/>
    <cellStyle name="Normal 12" xfId="9" xr:uid="{00000000-0005-0000-0000-000009000000}"/>
    <cellStyle name="Normal 12 2" xfId="10" xr:uid="{00000000-0005-0000-0000-00000A000000}"/>
    <cellStyle name="Normal 13" xfId="11" xr:uid="{00000000-0005-0000-0000-00000B000000}"/>
    <cellStyle name="Normal 13 2" xfId="12" xr:uid="{00000000-0005-0000-0000-00000C000000}"/>
    <cellStyle name="Normal 14" xfId="13" xr:uid="{00000000-0005-0000-0000-00000D000000}"/>
    <cellStyle name="Normal 14 2" xfId="14" xr:uid="{00000000-0005-0000-0000-00000E000000}"/>
    <cellStyle name="Normal 15" xfId="15" xr:uid="{00000000-0005-0000-0000-00000F000000}"/>
    <cellStyle name="Normal 15 2" xfId="16" xr:uid="{00000000-0005-0000-0000-000010000000}"/>
    <cellStyle name="Normal 16" xfId="17" xr:uid="{00000000-0005-0000-0000-000011000000}"/>
    <cellStyle name="Normal 16 2" xfId="18" xr:uid="{00000000-0005-0000-0000-000012000000}"/>
    <cellStyle name="Normal 17" xfId="19" xr:uid="{00000000-0005-0000-0000-000013000000}"/>
    <cellStyle name="Normal 17 2" xfId="20" xr:uid="{00000000-0005-0000-0000-000014000000}"/>
    <cellStyle name="Normal 18" xfId="21" xr:uid="{00000000-0005-0000-0000-000015000000}"/>
    <cellStyle name="Normal 18 2" xfId="22" xr:uid="{00000000-0005-0000-0000-000016000000}"/>
    <cellStyle name="Normal 19" xfId="23" xr:uid="{00000000-0005-0000-0000-000017000000}"/>
    <cellStyle name="Normal 19 2" xfId="24" xr:uid="{00000000-0005-0000-0000-000018000000}"/>
    <cellStyle name="Normal 2" xfId="25" xr:uid="{00000000-0005-0000-0000-000019000000}"/>
    <cellStyle name="Normal 2 2" xfId="26" xr:uid="{00000000-0005-0000-0000-00001A000000}"/>
    <cellStyle name="Normal 2 2 2" xfId="27" xr:uid="{00000000-0005-0000-0000-00001B000000}"/>
    <cellStyle name="Normal 2 2 2 2" xfId="28" xr:uid="{00000000-0005-0000-0000-00001C000000}"/>
    <cellStyle name="Normal 2 2 3" xfId="29" xr:uid="{00000000-0005-0000-0000-00001D000000}"/>
    <cellStyle name="Normal 2 3" xfId="30" xr:uid="{00000000-0005-0000-0000-00001E000000}"/>
    <cellStyle name="Normal 2 3 2" xfId="31" xr:uid="{00000000-0005-0000-0000-00001F000000}"/>
    <cellStyle name="Normal 2 4" xfId="32" xr:uid="{00000000-0005-0000-0000-000020000000}"/>
    <cellStyle name="Normal 2 4 2" xfId="33" xr:uid="{00000000-0005-0000-0000-000021000000}"/>
    <cellStyle name="Normal 2 5" xfId="34" xr:uid="{00000000-0005-0000-0000-000022000000}"/>
    <cellStyle name="Normal 2 5 2" xfId="35" xr:uid="{00000000-0005-0000-0000-000023000000}"/>
    <cellStyle name="Normal 2 6" xfId="36" xr:uid="{00000000-0005-0000-0000-000024000000}"/>
    <cellStyle name="Normal 20" xfId="37" xr:uid="{00000000-0005-0000-0000-000025000000}"/>
    <cellStyle name="Normal 20 2" xfId="38" xr:uid="{00000000-0005-0000-0000-000026000000}"/>
    <cellStyle name="Normal 21" xfId="39" xr:uid="{00000000-0005-0000-0000-000027000000}"/>
    <cellStyle name="Normal 21 2" xfId="40" xr:uid="{00000000-0005-0000-0000-000028000000}"/>
    <cellStyle name="Normal 22" xfId="41" xr:uid="{00000000-0005-0000-0000-000029000000}"/>
    <cellStyle name="Normal 22 2" xfId="42" xr:uid="{00000000-0005-0000-0000-00002A000000}"/>
    <cellStyle name="Normal 23" xfId="43" xr:uid="{00000000-0005-0000-0000-00002B000000}"/>
    <cellStyle name="Normal 23 2" xfId="44" xr:uid="{00000000-0005-0000-0000-00002C000000}"/>
    <cellStyle name="Normal 24" xfId="45" xr:uid="{00000000-0005-0000-0000-00002D000000}"/>
    <cellStyle name="Normal 24 2" xfId="46" xr:uid="{00000000-0005-0000-0000-00002E000000}"/>
    <cellStyle name="Normal 25" xfId="47" xr:uid="{00000000-0005-0000-0000-00002F000000}"/>
    <cellStyle name="Normal 25 2" xfId="48" xr:uid="{00000000-0005-0000-0000-000030000000}"/>
    <cellStyle name="Normal 26" xfId="49" xr:uid="{00000000-0005-0000-0000-000031000000}"/>
    <cellStyle name="Normal 26 2" xfId="50" xr:uid="{00000000-0005-0000-0000-000032000000}"/>
    <cellStyle name="Normal 27" xfId="51" xr:uid="{00000000-0005-0000-0000-000033000000}"/>
    <cellStyle name="Normal 27 2" xfId="52" xr:uid="{00000000-0005-0000-0000-000034000000}"/>
    <cellStyle name="Normal 28" xfId="53" xr:uid="{00000000-0005-0000-0000-000035000000}"/>
    <cellStyle name="Normal 28 2" xfId="54" xr:uid="{00000000-0005-0000-0000-000036000000}"/>
    <cellStyle name="Normal 29" xfId="55" xr:uid="{00000000-0005-0000-0000-000037000000}"/>
    <cellStyle name="Normal 29 2" xfId="56" xr:uid="{00000000-0005-0000-0000-000038000000}"/>
    <cellStyle name="Normal 3" xfId="57" xr:uid="{00000000-0005-0000-0000-000039000000}"/>
    <cellStyle name="Normal 3 2" xfId="58" xr:uid="{00000000-0005-0000-0000-00003A000000}"/>
    <cellStyle name="Normal 3 2 2" xfId="59" xr:uid="{00000000-0005-0000-0000-00003B000000}"/>
    <cellStyle name="Normal 3 3" xfId="60" xr:uid="{00000000-0005-0000-0000-00003C000000}"/>
    <cellStyle name="Normal 3 4" xfId="61" xr:uid="{00000000-0005-0000-0000-00003D000000}"/>
    <cellStyle name="Normal 30" xfId="62" xr:uid="{00000000-0005-0000-0000-00003E000000}"/>
    <cellStyle name="Normal 30 2" xfId="63" xr:uid="{00000000-0005-0000-0000-00003F000000}"/>
    <cellStyle name="Normal 31" xfId="64" xr:uid="{00000000-0005-0000-0000-000040000000}"/>
    <cellStyle name="Normal 31 2" xfId="65" xr:uid="{00000000-0005-0000-0000-000041000000}"/>
    <cellStyle name="Normal 32" xfId="66" xr:uid="{00000000-0005-0000-0000-000042000000}"/>
    <cellStyle name="Normal 32 2" xfId="67" xr:uid="{00000000-0005-0000-0000-000043000000}"/>
    <cellStyle name="Normal 33" xfId="68" xr:uid="{00000000-0005-0000-0000-000044000000}"/>
    <cellStyle name="Normal 33 2" xfId="69" xr:uid="{00000000-0005-0000-0000-000045000000}"/>
    <cellStyle name="Normal 34" xfId="70" xr:uid="{00000000-0005-0000-0000-000046000000}"/>
    <cellStyle name="Normal 34 2" xfId="71" xr:uid="{00000000-0005-0000-0000-000047000000}"/>
    <cellStyle name="Normal 35" xfId="72" xr:uid="{00000000-0005-0000-0000-000048000000}"/>
    <cellStyle name="Normal 36" xfId="73" xr:uid="{00000000-0005-0000-0000-000049000000}"/>
    <cellStyle name="Normal 37" xfId="74" xr:uid="{00000000-0005-0000-0000-00004A000000}"/>
    <cellStyle name="Normal 38" xfId="75" xr:uid="{00000000-0005-0000-0000-00004B000000}"/>
    <cellStyle name="Normal 39" xfId="76" xr:uid="{00000000-0005-0000-0000-00004C000000}"/>
    <cellStyle name="Normal 4" xfId="77" xr:uid="{00000000-0005-0000-0000-00004D000000}"/>
    <cellStyle name="Normal 4 2" xfId="78" xr:uid="{00000000-0005-0000-0000-00004E000000}"/>
    <cellStyle name="Normal 4 2 2" xfId="79" xr:uid="{00000000-0005-0000-0000-00004F000000}"/>
    <cellStyle name="Normal 4 3" xfId="80" xr:uid="{00000000-0005-0000-0000-000050000000}"/>
    <cellStyle name="Normal 40" xfId="81" xr:uid="{00000000-0005-0000-0000-000051000000}"/>
    <cellStyle name="Normal 41" xfId="82" xr:uid="{00000000-0005-0000-0000-000052000000}"/>
    <cellStyle name="Normal 42" xfId="83" xr:uid="{00000000-0005-0000-0000-000053000000}"/>
    <cellStyle name="Normal 43" xfId="84" xr:uid="{00000000-0005-0000-0000-000054000000}"/>
    <cellStyle name="Normal 44" xfId="85" xr:uid="{00000000-0005-0000-0000-000055000000}"/>
    <cellStyle name="Normal 45" xfId="86" xr:uid="{00000000-0005-0000-0000-000056000000}"/>
    <cellStyle name="Normal 46" xfId="87" xr:uid="{00000000-0005-0000-0000-000057000000}"/>
    <cellStyle name="Normal 5" xfId="88" xr:uid="{00000000-0005-0000-0000-000058000000}"/>
    <cellStyle name="Normal 6" xfId="89" xr:uid="{00000000-0005-0000-0000-000059000000}"/>
    <cellStyle name="Normal 7" xfId="90" xr:uid="{00000000-0005-0000-0000-00005A000000}"/>
    <cellStyle name="Normal 7 2" xfId="91" xr:uid="{00000000-0005-0000-0000-00005B000000}"/>
    <cellStyle name="Normal 8" xfId="92" xr:uid="{00000000-0005-0000-0000-00005C000000}"/>
    <cellStyle name="Normal 8 2" xfId="93" xr:uid="{00000000-0005-0000-0000-00005D000000}"/>
    <cellStyle name="Normal 9" xfId="94" xr:uid="{00000000-0005-0000-0000-00005E000000}"/>
    <cellStyle name="Normal 9 2" xfId="95" xr:uid="{00000000-0005-0000-0000-00005F000000}"/>
    <cellStyle name="Normal_12. MBLs" xfId="96" xr:uid="{00000000-0005-0000-0000-000060000000}"/>
    <cellStyle name="Normal_3. Supplemental Ratios" xfId="97" xr:uid="{00000000-0005-0000-0000-000065000000}"/>
    <cellStyle name="Normal_6. IncExp" xfId="98" xr:uid="{00000000-0005-0000-0000-000067000000}"/>
    <cellStyle name="Normal_8.LoanLoss&amp;BK" xfId="99" xr:uid="{00000000-0005-0000-0000-000069000000}"/>
    <cellStyle name="Normal_FPRMockUp" xfId="100" xr:uid="{00000000-0005-0000-0000-00006B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a:ea typeface="Arial"/>
                <a:cs typeface="Arial"/>
              </a:defRPr>
            </a:pPr>
            <a:r>
              <a:rPr lang="en-US"/>
              <a:t>Loan &amp; Share Growth</a:t>
            </a:r>
          </a:p>
        </c:rich>
      </c:tx>
      <c:layout>
        <c:manualLayout>
          <c:xMode val="edge"/>
          <c:yMode val="edge"/>
          <c:x val="0.35999971157451471"/>
          <c:y val="3.806230437772818E-2"/>
        </c:manualLayout>
      </c:layout>
      <c:overlay val="0"/>
      <c:spPr>
        <a:noFill/>
        <a:ln w="25400">
          <a:noFill/>
        </a:ln>
      </c:spPr>
    </c:title>
    <c:autoTitleDeleted val="0"/>
    <c:plotArea>
      <c:layout>
        <c:manualLayout>
          <c:layoutTarget val="inner"/>
          <c:xMode val="edge"/>
          <c:yMode val="edge"/>
          <c:x val="0.13176470588235295"/>
          <c:y val="0.19723216714452979"/>
          <c:w val="0.83529411764705885"/>
          <c:h val="0.6018670961584347"/>
        </c:manualLayout>
      </c:layout>
      <c:barChart>
        <c:barDir val="col"/>
        <c:grouping val="clustered"/>
        <c:varyColors val="0"/>
        <c:ser>
          <c:idx val="1"/>
          <c:order val="0"/>
          <c:tx>
            <c:strRef>
              <c:f>'33. Graphs 1'!$B$28</c:f>
              <c:strCache>
                <c:ptCount val="1"/>
                <c:pt idx="0">
                  <c:v>Loan Growth Current Period_Prior Year / Prior Year (annualized) </c:v>
                </c:pt>
              </c:strCache>
            </c:strRef>
          </c:tx>
          <c:spPr>
            <a:solidFill>
              <a:srgbClr val="33CCCC"/>
            </a:solidFill>
            <a:ln w="12700">
              <a:solidFill>
                <a:srgbClr val="000000"/>
              </a:solidFill>
              <a:prstDash val="solid"/>
            </a:ln>
          </c:spPr>
          <c:invertIfNegative val="0"/>
          <c:cat>
            <c:numRef>
              <c:f>'33. Graphs 1'!$C$27:$G$27</c:f>
              <c:numCache>
                <c:formatCode>mm/yy</c:formatCode>
                <c:ptCount val="5"/>
                <c:pt idx="0">
                  <c:v>45565</c:v>
                </c:pt>
                <c:pt idx="1">
                  <c:v>45657</c:v>
                </c:pt>
                <c:pt idx="2">
                  <c:v>45747</c:v>
                </c:pt>
                <c:pt idx="3">
                  <c:v>45838</c:v>
                </c:pt>
                <c:pt idx="4">
                  <c:v>45930</c:v>
                </c:pt>
              </c:numCache>
            </c:numRef>
          </c:cat>
          <c:val>
            <c:numRef>
              <c:f>'33. Graphs 1'!$C$28:$G$28</c:f>
              <c:numCache>
                <c:formatCode>0.00</c:formatCode>
                <c:ptCount val="5"/>
                <c:pt idx="0">
                  <c:v>2.2940891896745135</c:v>
                </c:pt>
                <c:pt idx="1">
                  <c:v>2.6434774922262725</c:v>
                </c:pt>
                <c:pt idx="2">
                  <c:v>2.0781712935719154</c:v>
                </c:pt>
                <c:pt idx="3">
                  <c:v>4.3840405206679813</c:v>
                </c:pt>
                <c:pt idx="4">
                  <c:v>4.662795731394807</c:v>
                </c:pt>
              </c:numCache>
            </c:numRef>
          </c:val>
          <c:extLst>
            <c:ext xmlns:c16="http://schemas.microsoft.com/office/drawing/2014/chart" uri="{C3380CC4-5D6E-409C-BE32-E72D297353CC}">
              <c16:uniqueId val="{00000000-5523-4285-9FE9-2279BD8855DC}"/>
            </c:ext>
          </c:extLst>
        </c:ser>
        <c:ser>
          <c:idx val="0"/>
          <c:order val="1"/>
          <c:tx>
            <c:strRef>
              <c:f>'33. Graphs 1'!$B$29</c:f>
              <c:strCache>
                <c:ptCount val="1"/>
                <c:pt idx="0">
                  <c:v>Share Growth Current Period_Prior Year / Prior Year (annualized) </c:v>
                </c:pt>
              </c:strCache>
            </c:strRef>
          </c:tx>
          <c:spPr>
            <a:solidFill>
              <a:srgbClr val="CCFFFF"/>
            </a:solidFill>
            <a:ln w="12700">
              <a:solidFill>
                <a:srgbClr val="000000"/>
              </a:solidFill>
              <a:prstDash val="solid"/>
            </a:ln>
          </c:spPr>
          <c:invertIfNegative val="0"/>
          <c:cat>
            <c:numRef>
              <c:f>'33. Graphs 1'!$C$27:$G$27</c:f>
              <c:numCache>
                <c:formatCode>mm/yy</c:formatCode>
                <c:ptCount val="5"/>
                <c:pt idx="0">
                  <c:v>45565</c:v>
                </c:pt>
                <c:pt idx="1">
                  <c:v>45657</c:v>
                </c:pt>
                <c:pt idx="2">
                  <c:v>45747</c:v>
                </c:pt>
                <c:pt idx="3">
                  <c:v>45838</c:v>
                </c:pt>
                <c:pt idx="4">
                  <c:v>45930</c:v>
                </c:pt>
              </c:numCache>
            </c:numRef>
          </c:cat>
          <c:val>
            <c:numRef>
              <c:f>'33. Graphs 1'!$C$29:$G$29</c:f>
              <c:numCache>
                <c:formatCode>0.00</c:formatCode>
                <c:ptCount val="5"/>
                <c:pt idx="0">
                  <c:v>3.8024223724479427</c:v>
                </c:pt>
                <c:pt idx="1">
                  <c:v>4.1545431536587172</c:v>
                </c:pt>
                <c:pt idx="2">
                  <c:v>12.499256686677302</c:v>
                </c:pt>
                <c:pt idx="3">
                  <c:v>6.4099272014221844</c:v>
                </c:pt>
                <c:pt idx="4">
                  <c:v>5.0664759967550754</c:v>
                </c:pt>
              </c:numCache>
            </c:numRef>
          </c:val>
          <c:extLst>
            <c:ext xmlns:c16="http://schemas.microsoft.com/office/drawing/2014/chart" uri="{C3380CC4-5D6E-409C-BE32-E72D297353CC}">
              <c16:uniqueId val="{00000001-5523-4285-9FE9-2279BD8855DC}"/>
            </c:ext>
          </c:extLst>
        </c:ser>
        <c:dLbls>
          <c:showLegendKey val="0"/>
          <c:showVal val="0"/>
          <c:showCatName val="0"/>
          <c:showSerName val="0"/>
          <c:showPercent val="0"/>
          <c:showBubbleSize val="0"/>
        </c:dLbls>
        <c:gapWidth val="150"/>
        <c:axId val="822719184"/>
        <c:axId val="1"/>
      </c:barChart>
      <c:lineChart>
        <c:grouping val="standard"/>
        <c:varyColors val="0"/>
        <c:ser>
          <c:idx val="2"/>
          <c:order val="2"/>
          <c:tx>
            <c:strRef>
              <c:f>'33. Graphs 1'!$B$30</c:f>
              <c:strCache>
                <c:ptCount val="1"/>
                <c:pt idx="0">
                  <c:v>Peer Share</c:v>
                </c:pt>
              </c:strCache>
            </c:strRef>
          </c:tx>
          <c:spPr>
            <a:ln w="12700">
              <a:solidFill>
                <a:srgbClr val="000000"/>
              </a:solidFill>
              <a:prstDash val="solid"/>
            </a:ln>
          </c:spPr>
          <c:marker>
            <c:symbol val="triangle"/>
            <c:size val="5"/>
            <c:spPr>
              <a:solidFill>
                <a:srgbClr val="FFFFCC"/>
              </a:solidFill>
              <a:ln>
                <a:solidFill>
                  <a:srgbClr val="000000"/>
                </a:solidFill>
                <a:prstDash val="solid"/>
              </a:ln>
            </c:spPr>
          </c:marker>
          <c:cat>
            <c:numRef>
              <c:f>'33. Graphs 1'!$C$27:$G$27</c:f>
              <c:numCache>
                <c:formatCode>mm/yy</c:formatCode>
                <c:ptCount val="5"/>
                <c:pt idx="0">
                  <c:v>45565</c:v>
                </c:pt>
                <c:pt idx="1">
                  <c:v>45657</c:v>
                </c:pt>
                <c:pt idx="2">
                  <c:v>45747</c:v>
                </c:pt>
                <c:pt idx="3">
                  <c:v>45838</c:v>
                </c:pt>
                <c:pt idx="4">
                  <c:v>45930</c:v>
                </c:pt>
              </c:numCache>
            </c:numRef>
          </c:cat>
          <c:val>
            <c:numRef>
              <c:f>'33. Graphs 1'!$C$30:$G$30</c:f>
              <c:numCache>
                <c:formatCode>0.00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2-5523-4285-9FE9-2279BD8855DC}"/>
            </c:ext>
          </c:extLst>
        </c:ser>
        <c:ser>
          <c:idx val="3"/>
          <c:order val="3"/>
          <c:tx>
            <c:strRef>
              <c:f>'33. Graphs 1'!$B$31</c:f>
              <c:strCache>
                <c:ptCount val="1"/>
                <c:pt idx="0">
                  <c:v>Peer Loan</c:v>
                </c:pt>
              </c:strCache>
            </c:strRef>
          </c:tx>
          <c:spPr>
            <a:ln w="12700">
              <a:solidFill>
                <a:srgbClr val="000000"/>
              </a:solidFill>
              <a:prstDash val="solid"/>
            </a:ln>
          </c:spPr>
          <c:marker>
            <c:symbol val="square"/>
            <c:size val="5"/>
            <c:spPr>
              <a:solidFill>
                <a:srgbClr val="000000"/>
              </a:solidFill>
              <a:ln>
                <a:solidFill>
                  <a:srgbClr val="000000"/>
                </a:solidFill>
                <a:prstDash val="solid"/>
              </a:ln>
            </c:spPr>
          </c:marker>
          <c:cat>
            <c:numRef>
              <c:f>'33. Graphs 1'!$C$27:$G$27</c:f>
              <c:numCache>
                <c:formatCode>mm/yy</c:formatCode>
                <c:ptCount val="5"/>
                <c:pt idx="0">
                  <c:v>45565</c:v>
                </c:pt>
                <c:pt idx="1">
                  <c:v>45657</c:v>
                </c:pt>
                <c:pt idx="2">
                  <c:v>45747</c:v>
                </c:pt>
                <c:pt idx="3">
                  <c:v>45838</c:v>
                </c:pt>
                <c:pt idx="4">
                  <c:v>45930</c:v>
                </c:pt>
              </c:numCache>
            </c:numRef>
          </c:cat>
          <c:val>
            <c:numRef>
              <c:f>'33. Graphs 1'!$C$31:$G$31</c:f>
              <c:numCache>
                <c:formatCode>0.00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3-5523-4285-9FE9-2279BD8855DC}"/>
            </c:ext>
          </c:extLst>
        </c:ser>
        <c:dLbls>
          <c:showLegendKey val="0"/>
          <c:showVal val="0"/>
          <c:showCatName val="0"/>
          <c:showSerName val="0"/>
          <c:showPercent val="0"/>
          <c:showBubbleSize val="0"/>
        </c:dLbls>
        <c:marker val="1"/>
        <c:smooth val="0"/>
        <c:axId val="3"/>
        <c:axId val="4"/>
      </c:lineChart>
      <c:catAx>
        <c:axId val="822719184"/>
        <c:scaling>
          <c:orientation val="minMax"/>
        </c:scaling>
        <c:delete val="0"/>
        <c:axPos val="b"/>
        <c:numFmt formatCode="mm/yy"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
        <c:crosses val="autoZero"/>
        <c:auto val="0"/>
        <c:lblAlgn val="ctr"/>
        <c:lblOffset val="100"/>
        <c:tickLblSkip val="1"/>
        <c:tickMarkSkip val="1"/>
        <c:noMultiLvlLbl val="0"/>
      </c:catAx>
      <c:valAx>
        <c:axId val="1"/>
        <c:scaling>
          <c:orientation val="minMax"/>
        </c:scaling>
        <c:delete val="0"/>
        <c:axPos val="l"/>
        <c:numFmt formatCode="0.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822719184"/>
        <c:crosses val="autoZero"/>
        <c:crossBetween val="between"/>
      </c:valAx>
      <c:catAx>
        <c:axId val="3"/>
        <c:scaling>
          <c:orientation val="minMax"/>
        </c:scaling>
        <c:delete val="1"/>
        <c:axPos val="b"/>
        <c:numFmt formatCode="mm/yy" sourceLinked="1"/>
        <c:majorTickMark val="out"/>
        <c:minorTickMark val="none"/>
        <c:tickLblPos val="nextTo"/>
        <c:crossAx val="4"/>
        <c:crosses val="autoZero"/>
        <c:auto val="0"/>
        <c:lblAlgn val="ctr"/>
        <c:lblOffset val="100"/>
        <c:noMultiLvlLbl val="0"/>
      </c:catAx>
      <c:valAx>
        <c:axId val="4"/>
        <c:scaling>
          <c:orientation val="minMax"/>
        </c:scaling>
        <c:delete val="1"/>
        <c:axPos val="l"/>
        <c:numFmt formatCode="0.00" sourceLinked="1"/>
        <c:majorTickMark val="out"/>
        <c:minorTickMark val="none"/>
        <c:tickLblPos val="nextTo"/>
        <c:crossAx val="3"/>
        <c:crosses val="autoZero"/>
        <c:crossBetween val="between"/>
      </c:valAx>
      <c:spPr>
        <a:solidFill>
          <a:srgbClr val="FFFFFF"/>
        </a:solidFill>
        <a:ln w="12700">
          <a:solidFill>
            <a:srgbClr val="808080"/>
          </a:solidFill>
          <a:prstDash val="solid"/>
        </a:ln>
      </c:spPr>
    </c:plotArea>
    <c:legend>
      <c:legendPos val="r"/>
      <c:layout>
        <c:manualLayout>
          <c:xMode val="edge"/>
          <c:yMode val="edge"/>
          <c:x val="0.29976615074986135"/>
          <c:y val="0.79584909549547111"/>
          <c:w val="0.33957884264632732"/>
          <c:h val="0.17993109985114999"/>
        </c:manualLayout>
      </c:layout>
      <c:overlay val="0"/>
      <c:spPr>
        <a:solidFill>
          <a:srgbClr val="FFFFFF"/>
        </a:solidFill>
        <a:ln w="3175">
          <a:solidFill>
            <a:srgbClr val="000000"/>
          </a:solidFill>
          <a:prstDash val="solid"/>
        </a:ln>
      </c:spPr>
      <c:txPr>
        <a:bodyPr/>
        <a:lstStyle/>
        <a:p>
          <a:pPr>
            <a:defRPr sz="25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oddHeader>&amp;A</c:oddHeader>
      <c:oddFooter>Page &amp;P</c:oddFooter>
    </c:headerFooter>
    <c:pageMargins b="1" l="0.75" r="0.75" t="1" header="0.5" footer="0.5"/>
    <c:pageSetup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a:ea typeface="Arial"/>
                <a:cs typeface="Arial"/>
              </a:defRPr>
            </a:pPr>
            <a:r>
              <a:rPr lang="en-US"/>
              <a:t>Net Worth To Assets</a:t>
            </a:r>
          </a:p>
        </c:rich>
      </c:tx>
      <c:layout>
        <c:manualLayout>
          <c:xMode val="edge"/>
          <c:yMode val="edge"/>
          <c:x val="0.36235280081968363"/>
          <c:y val="3.7313486499119121E-2"/>
        </c:manualLayout>
      </c:layout>
      <c:overlay val="0"/>
      <c:spPr>
        <a:noFill/>
        <a:ln w="25400">
          <a:noFill/>
        </a:ln>
      </c:spPr>
    </c:title>
    <c:autoTitleDeleted val="0"/>
    <c:plotArea>
      <c:layout>
        <c:manualLayout>
          <c:layoutTarget val="inner"/>
          <c:xMode val="edge"/>
          <c:yMode val="edge"/>
          <c:x val="0.10823529411764705"/>
          <c:y val="0.20895560458620821"/>
          <c:w val="0.85882352941176465"/>
          <c:h val="0.54104576187500342"/>
        </c:manualLayout>
      </c:layout>
      <c:barChart>
        <c:barDir val="col"/>
        <c:grouping val="clustered"/>
        <c:varyColors val="0"/>
        <c:ser>
          <c:idx val="1"/>
          <c:order val="0"/>
          <c:tx>
            <c:strRef>
              <c:f>'33. Graphs 1'!$I$12</c:f>
              <c:strCache>
                <c:ptCount val="1"/>
                <c:pt idx="0">
                  <c:v>Net Worth / Assets</c:v>
                </c:pt>
              </c:strCache>
            </c:strRef>
          </c:tx>
          <c:spPr>
            <a:solidFill>
              <a:srgbClr val="33CCCC"/>
            </a:solidFill>
            <a:ln w="12700">
              <a:solidFill>
                <a:srgbClr val="000000"/>
              </a:solidFill>
              <a:prstDash val="solid"/>
            </a:ln>
          </c:spPr>
          <c:invertIfNegative val="0"/>
          <c:cat>
            <c:strRef>
              <c:f>'33. Graphs 1'!$J$10:$N$11</c:f>
              <c:strCache>
                <c:ptCount val="5"/>
                <c:pt idx="0">
                  <c:v>09/24</c:v>
                </c:pt>
                <c:pt idx="1">
                  <c:v>12/24</c:v>
                </c:pt>
                <c:pt idx="2">
                  <c:v>03/25</c:v>
                </c:pt>
                <c:pt idx="3">
                  <c:v>06/25</c:v>
                </c:pt>
                <c:pt idx="4">
                  <c:v>09/25</c:v>
                </c:pt>
              </c:strCache>
            </c:strRef>
          </c:cat>
          <c:val>
            <c:numRef>
              <c:f>'33. Graphs 1'!$J$12:$N$12</c:f>
              <c:numCache>
                <c:formatCode>0.00</c:formatCode>
                <c:ptCount val="5"/>
                <c:pt idx="0">
                  <c:v>11.1662</c:v>
                </c:pt>
                <c:pt idx="1">
                  <c:v>11.196899999999999</c:v>
                </c:pt>
                <c:pt idx="2">
                  <c:v>11.1045</c:v>
                </c:pt>
                <c:pt idx="3">
                  <c:v>11.2334</c:v>
                </c:pt>
                <c:pt idx="4">
                  <c:v>11.3627</c:v>
                </c:pt>
              </c:numCache>
            </c:numRef>
          </c:val>
          <c:extLst>
            <c:ext xmlns:c16="http://schemas.microsoft.com/office/drawing/2014/chart" uri="{C3380CC4-5D6E-409C-BE32-E72D297353CC}">
              <c16:uniqueId val="{00000000-CA6E-4CAB-B789-52003F7C6B48}"/>
            </c:ext>
          </c:extLst>
        </c:ser>
        <c:dLbls>
          <c:showLegendKey val="0"/>
          <c:showVal val="0"/>
          <c:showCatName val="0"/>
          <c:showSerName val="0"/>
          <c:showPercent val="0"/>
          <c:showBubbleSize val="0"/>
        </c:dLbls>
        <c:gapWidth val="150"/>
        <c:axId val="454168168"/>
        <c:axId val="1"/>
      </c:barChart>
      <c:lineChart>
        <c:grouping val="standard"/>
        <c:varyColors val="0"/>
        <c:ser>
          <c:idx val="0"/>
          <c:order val="1"/>
          <c:tx>
            <c:strRef>
              <c:f>'33. Graphs 1'!$I$13</c:f>
              <c:strCache>
                <c:ptCount val="1"/>
                <c:pt idx="0">
                  <c:v>Peer</c:v>
                </c:pt>
              </c:strCache>
            </c:strRef>
          </c:tx>
          <c:spPr>
            <a:ln w="12700">
              <a:solidFill>
                <a:srgbClr val="000000"/>
              </a:solidFill>
              <a:prstDash val="solid"/>
            </a:ln>
          </c:spPr>
          <c:marker>
            <c:symbol val="triangle"/>
            <c:size val="5"/>
            <c:spPr>
              <a:solidFill>
                <a:srgbClr val="FFFFFF"/>
              </a:solidFill>
              <a:ln>
                <a:solidFill>
                  <a:srgbClr val="000000"/>
                </a:solidFill>
                <a:prstDash val="solid"/>
              </a:ln>
            </c:spPr>
          </c:marker>
          <c:cat>
            <c:strRef>
              <c:f>'33. Graphs 1'!$J$10:$N$11</c:f>
              <c:strCache>
                <c:ptCount val="5"/>
                <c:pt idx="0">
                  <c:v>09/24</c:v>
                </c:pt>
                <c:pt idx="1">
                  <c:v>12/24</c:v>
                </c:pt>
                <c:pt idx="2">
                  <c:v>03/25</c:v>
                </c:pt>
                <c:pt idx="3">
                  <c:v>06/25</c:v>
                </c:pt>
                <c:pt idx="4">
                  <c:v>09/25</c:v>
                </c:pt>
              </c:strCache>
            </c:strRef>
          </c:cat>
          <c:val>
            <c:numRef>
              <c:f>'33. Graphs 1'!$J$13:$N$13</c:f>
              <c:numCache>
                <c:formatCode>0.00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1-CA6E-4CAB-B789-52003F7C6B48}"/>
            </c:ext>
          </c:extLst>
        </c:ser>
        <c:dLbls>
          <c:showLegendKey val="0"/>
          <c:showVal val="0"/>
          <c:showCatName val="0"/>
          <c:showSerName val="0"/>
          <c:showPercent val="0"/>
          <c:showBubbleSize val="0"/>
        </c:dLbls>
        <c:marker val="1"/>
        <c:smooth val="0"/>
        <c:axId val="3"/>
        <c:axId val="4"/>
      </c:lineChart>
      <c:catAx>
        <c:axId val="454168168"/>
        <c:scaling>
          <c:orientation val="minMax"/>
        </c:scaling>
        <c:delete val="0"/>
        <c:axPos val="b"/>
        <c:numFmt formatCode="mm/yy"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
        <c:crosses val="autoZero"/>
        <c:auto val="0"/>
        <c:lblAlgn val="ctr"/>
        <c:lblOffset val="100"/>
        <c:tickLblSkip val="1"/>
        <c:tickMarkSkip val="1"/>
        <c:noMultiLvlLbl val="0"/>
      </c:catAx>
      <c:valAx>
        <c:axId val="1"/>
        <c:scaling>
          <c:orientation val="minMax"/>
        </c:scaling>
        <c:delete val="0"/>
        <c:axPos val="l"/>
        <c:numFmt formatCode="0.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454168168"/>
        <c:crosses val="autoZero"/>
        <c:crossBetween val="between"/>
      </c:valAx>
      <c:catAx>
        <c:axId val="3"/>
        <c:scaling>
          <c:orientation val="minMax"/>
        </c:scaling>
        <c:delete val="1"/>
        <c:axPos val="b"/>
        <c:numFmt formatCode="mm/yy" sourceLinked="1"/>
        <c:majorTickMark val="out"/>
        <c:minorTickMark val="none"/>
        <c:tickLblPos val="nextTo"/>
        <c:crossAx val="4"/>
        <c:crosses val="autoZero"/>
        <c:auto val="0"/>
        <c:lblAlgn val="ctr"/>
        <c:lblOffset val="100"/>
        <c:noMultiLvlLbl val="0"/>
      </c:catAx>
      <c:valAx>
        <c:axId val="4"/>
        <c:scaling>
          <c:orientation val="minMax"/>
        </c:scaling>
        <c:delete val="1"/>
        <c:axPos val="l"/>
        <c:numFmt formatCode="0.00" sourceLinked="1"/>
        <c:majorTickMark val="out"/>
        <c:minorTickMark val="none"/>
        <c:tickLblPos val="nextTo"/>
        <c:crossAx val="3"/>
        <c:crosses val="autoZero"/>
        <c:crossBetween val="between"/>
      </c:valAx>
      <c:spPr>
        <a:solidFill>
          <a:srgbClr val="FFFFFF"/>
        </a:solidFill>
        <a:ln w="12700">
          <a:solidFill>
            <a:srgbClr val="808080"/>
          </a:solidFill>
          <a:prstDash val="solid"/>
        </a:ln>
      </c:spPr>
    </c:plotArea>
    <c:legend>
      <c:legendPos val="r"/>
      <c:legendEntry>
        <c:idx val="0"/>
        <c:txPr>
          <a:bodyPr/>
          <a:lstStyle/>
          <a:p>
            <a:pPr>
              <a:defRPr sz="255" b="0" i="0" u="none" strike="noStrike" baseline="0">
                <a:solidFill>
                  <a:srgbClr val="000000"/>
                </a:solidFill>
                <a:latin typeface="Arial"/>
                <a:ea typeface="Arial"/>
                <a:cs typeface="Arial"/>
              </a:defRPr>
            </a:pPr>
            <a:endParaRPr lang="en-US"/>
          </a:p>
        </c:txPr>
      </c:legendEntry>
      <c:layout>
        <c:manualLayout>
          <c:xMode val="edge"/>
          <c:yMode val="edge"/>
          <c:x val="0.32648474619351586"/>
          <c:y val="0.897887323943662"/>
          <c:w val="0.39041182936427421"/>
          <c:h val="6.3380281690140844E-2"/>
        </c:manualLayout>
      </c:layout>
      <c:overlay val="0"/>
      <c:spPr>
        <a:solidFill>
          <a:srgbClr val="FFFFFF"/>
        </a:solidFill>
        <a:ln w="3175">
          <a:solidFill>
            <a:srgbClr val="000000"/>
          </a:solidFill>
          <a:prstDash val="solid"/>
        </a:ln>
      </c:spPr>
      <c:txPr>
        <a:bodyPr/>
        <a:lstStyle/>
        <a:p>
          <a:pPr>
            <a:defRPr sz="25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oddHeader>&amp;A</c:oddHeader>
      <c:oddFooter>Page &amp;P</c:oddFooter>
    </c:headerFooter>
    <c:pageMargins b="1" l="0.75" r="0.75" t="1" header="0.5" footer="0.5"/>
    <c:pageSetup orientation="landscape"/>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a:ea typeface="Arial"/>
                <a:cs typeface="Arial"/>
              </a:defRPr>
            </a:pPr>
            <a:r>
              <a:rPr lang="en-US"/>
              <a:t>Delinquency &amp; Net Charge-Offs</a:t>
            </a:r>
          </a:p>
        </c:rich>
      </c:tx>
      <c:layout>
        <c:manualLayout>
          <c:xMode val="edge"/>
          <c:yMode val="edge"/>
          <c:x val="0.29717006528030149"/>
          <c:y val="3.7174702477258841E-2"/>
        </c:manualLayout>
      </c:layout>
      <c:overlay val="0"/>
      <c:spPr>
        <a:noFill/>
        <a:ln w="25400">
          <a:noFill/>
        </a:ln>
      </c:spPr>
    </c:title>
    <c:autoTitleDeleted val="0"/>
    <c:plotArea>
      <c:layout>
        <c:manualLayout>
          <c:layoutTarget val="inner"/>
          <c:xMode val="edge"/>
          <c:yMode val="edge"/>
          <c:x val="0.10918707809125336"/>
          <c:y val="0.20372475179732968"/>
          <c:w val="0.8584915546823807"/>
          <c:h val="0.5352980333979992"/>
        </c:manualLayout>
      </c:layout>
      <c:barChart>
        <c:barDir val="col"/>
        <c:grouping val="clustered"/>
        <c:varyColors val="0"/>
        <c:ser>
          <c:idx val="1"/>
          <c:order val="0"/>
          <c:tx>
            <c:strRef>
              <c:f>'33. Graphs 1'!$B$12</c:f>
              <c:strCache>
                <c:ptCount val="1"/>
                <c:pt idx="0">
                  <c:v>Delinquent loans / loans</c:v>
                </c:pt>
              </c:strCache>
            </c:strRef>
          </c:tx>
          <c:spPr>
            <a:solidFill>
              <a:srgbClr val="33CCCC"/>
            </a:solidFill>
            <a:ln w="12700">
              <a:solidFill>
                <a:srgbClr val="000000"/>
              </a:solidFill>
              <a:prstDash val="solid"/>
            </a:ln>
          </c:spPr>
          <c:invertIfNegative val="0"/>
          <c:cat>
            <c:strRef>
              <c:f>'33. Graphs 1'!$C$9:$G$11</c:f>
              <c:strCache>
                <c:ptCount val="5"/>
                <c:pt idx="0">
                  <c:v>09/24</c:v>
                </c:pt>
                <c:pt idx="1">
                  <c:v>12/24</c:v>
                </c:pt>
                <c:pt idx="2">
                  <c:v>03/25</c:v>
                </c:pt>
                <c:pt idx="3">
                  <c:v>06/25</c:v>
                </c:pt>
                <c:pt idx="4">
                  <c:v>09/25</c:v>
                </c:pt>
              </c:strCache>
            </c:strRef>
          </c:cat>
          <c:val>
            <c:numRef>
              <c:f>'33. Graphs 1'!$C$12:$G$12</c:f>
              <c:numCache>
                <c:formatCode>0.00</c:formatCode>
                <c:ptCount val="5"/>
                <c:pt idx="0">
                  <c:v>0.90908045224737022</c:v>
                </c:pt>
                <c:pt idx="1">
                  <c:v>0.97546493632626841</c:v>
                </c:pt>
                <c:pt idx="2">
                  <c:v>0.79651548658832383</c:v>
                </c:pt>
                <c:pt idx="3">
                  <c:v>0.90585959686553652</c:v>
                </c:pt>
                <c:pt idx="4">
                  <c:v>0.94814885852596342</c:v>
                </c:pt>
              </c:numCache>
            </c:numRef>
          </c:val>
          <c:extLst>
            <c:ext xmlns:c16="http://schemas.microsoft.com/office/drawing/2014/chart" uri="{C3380CC4-5D6E-409C-BE32-E72D297353CC}">
              <c16:uniqueId val="{00000000-12AA-43F5-A2E1-7D7B21BC138E}"/>
            </c:ext>
          </c:extLst>
        </c:ser>
        <c:ser>
          <c:idx val="0"/>
          <c:order val="1"/>
          <c:tx>
            <c:strRef>
              <c:f>'33. Graphs 1'!$B$13</c:f>
              <c:strCache>
                <c:ptCount val="1"/>
                <c:pt idx="0">
                  <c:v>Net Charge-offs / Averge Assets</c:v>
                </c:pt>
              </c:strCache>
            </c:strRef>
          </c:tx>
          <c:spPr>
            <a:solidFill>
              <a:srgbClr val="CCFFFF"/>
            </a:solidFill>
            <a:ln w="12700">
              <a:solidFill>
                <a:srgbClr val="000000"/>
              </a:solidFill>
              <a:prstDash val="solid"/>
            </a:ln>
          </c:spPr>
          <c:invertIfNegative val="0"/>
          <c:cat>
            <c:strRef>
              <c:f>'33. Graphs 1'!$C$9:$G$11</c:f>
              <c:strCache>
                <c:ptCount val="5"/>
                <c:pt idx="0">
                  <c:v>09/24</c:v>
                </c:pt>
                <c:pt idx="1">
                  <c:v>12/24</c:v>
                </c:pt>
                <c:pt idx="2">
                  <c:v>03/25</c:v>
                </c:pt>
                <c:pt idx="3">
                  <c:v>06/25</c:v>
                </c:pt>
                <c:pt idx="4">
                  <c:v>09/25</c:v>
                </c:pt>
              </c:strCache>
            </c:strRef>
          </c:cat>
          <c:val>
            <c:numRef>
              <c:f>'33. Graphs 1'!$C$13:$G$13</c:f>
              <c:numCache>
                <c:formatCode>0.00</c:formatCode>
                <c:ptCount val="5"/>
                <c:pt idx="0">
                  <c:v>0.78060534770828416</c:v>
                </c:pt>
                <c:pt idx="1">
                  <c:v>0.80069074459265066</c:v>
                </c:pt>
                <c:pt idx="2">
                  <c:v>0.82339659616860761</c:v>
                </c:pt>
                <c:pt idx="3">
                  <c:v>0.79014226155208911</c:v>
                </c:pt>
                <c:pt idx="4">
                  <c:v>0.76759033323320003</c:v>
                </c:pt>
              </c:numCache>
            </c:numRef>
          </c:val>
          <c:extLst>
            <c:ext xmlns:c16="http://schemas.microsoft.com/office/drawing/2014/chart" uri="{C3380CC4-5D6E-409C-BE32-E72D297353CC}">
              <c16:uniqueId val="{00000001-12AA-43F5-A2E1-7D7B21BC138E}"/>
            </c:ext>
          </c:extLst>
        </c:ser>
        <c:dLbls>
          <c:showLegendKey val="0"/>
          <c:showVal val="0"/>
          <c:showCatName val="0"/>
          <c:showSerName val="0"/>
          <c:showPercent val="0"/>
          <c:showBubbleSize val="0"/>
        </c:dLbls>
        <c:gapWidth val="150"/>
        <c:axId val="445116472"/>
        <c:axId val="1"/>
      </c:barChart>
      <c:lineChart>
        <c:grouping val="standard"/>
        <c:varyColors val="0"/>
        <c:ser>
          <c:idx val="2"/>
          <c:order val="2"/>
          <c:tx>
            <c:strRef>
              <c:f>'33. Graphs 1'!$B$14</c:f>
              <c:strCache>
                <c:ptCount val="1"/>
                <c:pt idx="0">
                  <c:v>Peer Delinquency</c:v>
                </c:pt>
              </c:strCache>
            </c:strRef>
          </c:tx>
          <c:spPr>
            <a:ln w="12700">
              <a:solidFill>
                <a:srgbClr val="000000"/>
              </a:solidFill>
              <a:prstDash val="solid"/>
            </a:ln>
          </c:spPr>
          <c:marker>
            <c:symbol val="square"/>
            <c:size val="5"/>
            <c:spPr>
              <a:solidFill>
                <a:srgbClr val="000000"/>
              </a:solidFill>
              <a:ln>
                <a:solidFill>
                  <a:srgbClr val="000000"/>
                </a:solidFill>
                <a:prstDash val="solid"/>
              </a:ln>
            </c:spPr>
          </c:marker>
          <c:cat>
            <c:strRef>
              <c:f>'33. Graphs 1'!$C$9:$G$11</c:f>
              <c:strCache>
                <c:ptCount val="5"/>
                <c:pt idx="0">
                  <c:v>09/24</c:v>
                </c:pt>
                <c:pt idx="1">
                  <c:v>12/24</c:v>
                </c:pt>
                <c:pt idx="2">
                  <c:v>03/25</c:v>
                </c:pt>
                <c:pt idx="3">
                  <c:v>06/25</c:v>
                </c:pt>
                <c:pt idx="4">
                  <c:v>09/25</c:v>
                </c:pt>
              </c:strCache>
            </c:strRef>
          </c:cat>
          <c:val>
            <c:numRef>
              <c:f>'33. Graphs 1'!$C$14:$G$14</c:f>
              <c:numCache>
                <c:formatCode>0.00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2-12AA-43F5-A2E1-7D7B21BC138E}"/>
            </c:ext>
          </c:extLst>
        </c:ser>
        <c:ser>
          <c:idx val="3"/>
          <c:order val="3"/>
          <c:tx>
            <c:strRef>
              <c:f>'33. Graphs 1'!$B$15</c:f>
              <c:strCache>
                <c:ptCount val="1"/>
                <c:pt idx="0">
                  <c:v>Peer Net Charge-offs</c:v>
                </c:pt>
              </c:strCache>
            </c:strRef>
          </c:tx>
          <c:spPr>
            <a:ln w="12700">
              <a:solidFill>
                <a:srgbClr val="000000"/>
              </a:solidFill>
              <a:prstDash val="solid"/>
            </a:ln>
          </c:spPr>
          <c:marker>
            <c:symbol val="triangle"/>
            <c:size val="5"/>
            <c:spPr>
              <a:solidFill>
                <a:srgbClr val="FFFFFF"/>
              </a:solidFill>
              <a:ln>
                <a:solidFill>
                  <a:srgbClr val="000000"/>
                </a:solidFill>
                <a:prstDash val="solid"/>
              </a:ln>
            </c:spPr>
          </c:marker>
          <c:cat>
            <c:strRef>
              <c:f>'33. Graphs 1'!$C$9:$G$11</c:f>
              <c:strCache>
                <c:ptCount val="5"/>
                <c:pt idx="0">
                  <c:v>09/24</c:v>
                </c:pt>
                <c:pt idx="1">
                  <c:v>12/24</c:v>
                </c:pt>
                <c:pt idx="2">
                  <c:v>03/25</c:v>
                </c:pt>
                <c:pt idx="3">
                  <c:v>06/25</c:v>
                </c:pt>
                <c:pt idx="4">
                  <c:v>09/25</c:v>
                </c:pt>
              </c:strCache>
            </c:strRef>
          </c:cat>
          <c:val>
            <c:numRef>
              <c:f>'33. Graphs 1'!$C$15:$G$15</c:f>
              <c:numCache>
                <c:formatCode>0.00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3-12AA-43F5-A2E1-7D7B21BC138E}"/>
            </c:ext>
          </c:extLst>
        </c:ser>
        <c:dLbls>
          <c:showLegendKey val="0"/>
          <c:showVal val="0"/>
          <c:showCatName val="0"/>
          <c:showSerName val="0"/>
          <c:showPercent val="0"/>
          <c:showBubbleSize val="0"/>
        </c:dLbls>
        <c:marker val="1"/>
        <c:smooth val="0"/>
        <c:axId val="3"/>
        <c:axId val="4"/>
      </c:lineChart>
      <c:catAx>
        <c:axId val="445116472"/>
        <c:scaling>
          <c:orientation val="minMax"/>
        </c:scaling>
        <c:delete val="0"/>
        <c:axPos val="b"/>
        <c:numFmt formatCode="mm/yy"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
        <c:crosses val="autoZero"/>
        <c:auto val="0"/>
        <c:lblAlgn val="ctr"/>
        <c:lblOffset val="100"/>
        <c:tickLblSkip val="1"/>
        <c:tickMarkSkip val="1"/>
        <c:noMultiLvlLbl val="0"/>
      </c:catAx>
      <c:valAx>
        <c:axId val="1"/>
        <c:scaling>
          <c:orientation val="minMax"/>
        </c:scaling>
        <c:delete val="0"/>
        <c:axPos val="l"/>
        <c:numFmt formatCode="0.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445116472"/>
        <c:crosses val="autoZero"/>
        <c:crossBetween val="between"/>
      </c:valAx>
      <c:catAx>
        <c:axId val="3"/>
        <c:scaling>
          <c:orientation val="minMax"/>
        </c:scaling>
        <c:delete val="1"/>
        <c:axPos val="b"/>
        <c:numFmt formatCode="mm/yy" sourceLinked="1"/>
        <c:majorTickMark val="out"/>
        <c:minorTickMark val="none"/>
        <c:tickLblPos val="nextTo"/>
        <c:crossAx val="4"/>
        <c:crosses val="autoZero"/>
        <c:auto val="0"/>
        <c:lblAlgn val="ctr"/>
        <c:lblOffset val="100"/>
        <c:noMultiLvlLbl val="0"/>
      </c:catAx>
      <c:valAx>
        <c:axId val="4"/>
        <c:scaling>
          <c:orientation val="minMax"/>
        </c:scaling>
        <c:delete val="1"/>
        <c:axPos val="l"/>
        <c:numFmt formatCode="0.00" sourceLinked="1"/>
        <c:majorTickMark val="out"/>
        <c:minorTickMark val="none"/>
        <c:tickLblPos val="nextTo"/>
        <c:crossAx val="3"/>
        <c:crosses val="autoZero"/>
        <c:crossBetween val="between"/>
      </c:valAx>
      <c:spPr>
        <a:solidFill>
          <a:srgbClr val="FFFFFF"/>
        </a:solidFill>
        <a:ln w="12700">
          <a:solidFill>
            <a:srgbClr val="808080"/>
          </a:solidFill>
          <a:prstDash val="solid"/>
        </a:ln>
      </c:spPr>
    </c:plotArea>
    <c:legend>
      <c:legendPos val="r"/>
      <c:legendEntry>
        <c:idx val="0"/>
        <c:txPr>
          <a:bodyPr/>
          <a:lstStyle/>
          <a:p>
            <a:pPr>
              <a:defRPr sz="255" b="0" i="0" u="none" strike="noStrike" baseline="0">
                <a:solidFill>
                  <a:srgbClr val="000000"/>
                </a:solidFill>
                <a:latin typeface="Arial"/>
                <a:ea typeface="Arial"/>
                <a:cs typeface="Arial"/>
              </a:defRPr>
            </a:pPr>
            <a:endParaRPr lang="en-US"/>
          </a:p>
        </c:txPr>
      </c:legendEntry>
      <c:layout>
        <c:manualLayout>
          <c:xMode val="edge"/>
          <c:yMode val="edge"/>
          <c:x val="0.38641730370099314"/>
          <c:y val="0.80281690140845074"/>
          <c:w val="0.21779884390419613"/>
          <c:h val="0.16901408450704225"/>
        </c:manualLayout>
      </c:layout>
      <c:overlay val="0"/>
      <c:spPr>
        <a:solidFill>
          <a:srgbClr val="FFFFFF"/>
        </a:solidFill>
        <a:ln w="3175">
          <a:solidFill>
            <a:srgbClr val="000000"/>
          </a:solidFill>
          <a:prstDash val="solid"/>
        </a:ln>
      </c:spPr>
      <c:txPr>
        <a:bodyPr/>
        <a:lstStyle/>
        <a:p>
          <a:pPr>
            <a:defRPr sz="25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oddHeader>&amp;A</c:oddHeader>
      <c:oddFooter>Page &amp;P</c:oddFooter>
    </c:headerFooter>
    <c:pageMargins b="1" l="0.75" r="0.75" t="1" header="0.5" footer="0.5"/>
    <c:pageSetup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a:ea typeface="Arial"/>
                <a:cs typeface="Arial"/>
              </a:defRPr>
            </a:pPr>
            <a:r>
              <a:rPr lang="en-US"/>
              <a:t>Return On Average Assets</a:t>
            </a:r>
          </a:p>
        </c:rich>
      </c:tx>
      <c:layout>
        <c:manualLayout>
          <c:xMode val="edge"/>
          <c:yMode val="edge"/>
          <c:x val="0.32552739062697372"/>
          <c:y val="3.8327929597035668E-2"/>
        </c:manualLayout>
      </c:layout>
      <c:overlay val="0"/>
      <c:spPr>
        <a:noFill/>
        <a:ln w="25400">
          <a:noFill/>
        </a:ln>
      </c:spPr>
    </c:title>
    <c:autoTitleDeleted val="0"/>
    <c:plotArea>
      <c:layout>
        <c:manualLayout>
          <c:layoutTarget val="inner"/>
          <c:xMode val="edge"/>
          <c:yMode val="edge"/>
          <c:x val="0.11709615263666459"/>
          <c:y val="0.19860627177700349"/>
          <c:w val="0.85011806814218493"/>
          <c:h val="0.62717770034843201"/>
        </c:manualLayout>
      </c:layout>
      <c:barChart>
        <c:barDir val="col"/>
        <c:grouping val="clustered"/>
        <c:varyColors val="0"/>
        <c:ser>
          <c:idx val="1"/>
          <c:order val="0"/>
          <c:tx>
            <c:strRef>
              <c:f>'33. Graphs 1'!$I$28</c:f>
              <c:strCache>
                <c:ptCount val="1"/>
                <c:pt idx="0">
                  <c:v>Net Income / Average Assets (annualized)</c:v>
                </c:pt>
              </c:strCache>
            </c:strRef>
          </c:tx>
          <c:spPr>
            <a:solidFill>
              <a:srgbClr val="33CCCC"/>
            </a:solidFill>
            <a:ln w="12700">
              <a:solidFill>
                <a:srgbClr val="000000"/>
              </a:solidFill>
              <a:prstDash val="solid"/>
            </a:ln>
          </c:spPr>
          <c:invertIfNegative val="0"/>
          <c:cat>
            <c:strRef>
              <c:f>'33. Graphs 1'!$J$26:$N$27</c:f>
              <c:strCache>
                <c:ptCount val="5"/>
                <c:pt idx="0">
                  <c:v>09/24</c:v>
                </c:pt>
                <c:pt idx="1">
                  <c:v>12/24</c:v>
                </c:pt>
                <c:pt idx="2">
                  <c:v>03/25</c:v>
                </c:pt>
                <c:pt idx="3">
                  <c:v>06/25</c:v>
                </c:pt>
                <c:pt idx="4">
                  <c:v>09/25</c:v>
                </c:pt>
              </c:strCache>
            </c:strRef>
          </c:cat>
          <c:val>
            <c:numRef>
              <c:f>'33. Graphs 1'!$J$28:$N$28</c:f>
              <c:numCache>
                <c:formatCode>0.00</c:formatCode>
                <c:ptCount val="5"/>
                <c:pt idx="0">
                  <c:v>0.69171607316913086</c:v>
                </c:pt>
                <c:pt idx="1">
                  <c:v>0.62669391996101353</c:v>
                </c:pt>
                <c:pt idx="2">
                  <c:v>0.66997720661140614</c:v>
                </c:pt>
                <c:pt idx="3">
                  <c:v>0.75563479979551207</c:v>
                </c:pt>
                <c:pt idx="4">
                  <c:v>0.81271007616536983</c:v>
                </c:pt>
              </c:numCache>
            </c:numRef>
          </c:val>
          <c:extLst>
            <c:ext xmlns:c16="http://schemas.microsoft.com/office/drawing/2014/chart" uri="{C3380CC4-5D6E-409C-BE32-E72D297353CC}">
              <c16:uniqueId val="{00000000-FD62-4160-B633-5DEE3C264B45}"/>
            </c:ext>
          </c:extLst>
        </c:ser>
        <c:dLbls>
          <c:showLegendKey val="0"/>
          <c:showVal val="0"/>
          <c:showCatName val="0"/>
          <c:showSerName val="0"/>
          <c:showPercent val="0"/>
          <c:showBubbleSize val="0"/>
        </c:dLbls>
        <c:gapWidth val="150"/>
        <c:axId val="828701440"/>
        <c:axId val="1"/>
      </c:barChart>
      <c:lineChart>
        <c:grouping val="standard"/>
        <c:varyColors val="0"/>
        <c:ser>
          <c:idx val="0"/>
          <c:order val="1"/>
          <c:tx>
            <c:strRef>
              <c:f>'33. Graphs 1'!$I$29</c:f>
              <c:strCache>
                <c:ptCount val="1"/>
                <c:pt idx="0">
                  <c:v>Peer</c:v>
                </c:pt>
              </c:strCache>
            </c:strRef>
          </c:tx>
          <c:spPr>
            <a:ln w="12700">
              <a:solidFill>
                <a:srgbClr val="000000"/>
              </a:solidFill>
              <a:prstDash val="solid"/>
            </a:ln>
          </c:spPr>
          <c:marker>
            <c:symbol val="triangle"/>
            <c:size val="5"/>
            <c:spPr>
              <a:solidFill>
                <a:srgbClr val="FFFFFF"/>
              </a:solidFill>
              <a:ln>
                <a:solidFill>
                  <a:srgbClr val="000000"/>
                </a:solidFill>
                <a:prstDash val="solid"/>
              </a:ln>
            </c:spPr>
          </c:marker>
          <c:cat>
            <c:strRef>
              <c:f>'33. Graphs 1'!$J$26:$N$27</c:f>
              <c:strCache>
                <c:ptCount val="5"/>
                <c:pt idx="0">
                  <c:v>09/24</c:v>
                </c:pt>
                <c:pt idx="1">
                  <c:v>12/24</c:v>
                </c:pt>
                <c:pt idx="2">
                  <c:v>03/25</c:v>
                </c:pt>
                <c:pt idx="3">
                  <c:v>06/25</c:v>
                </c:pt>
                <c:pt idx="4">
                  <c:v>09/25</c:v>
                </c:pt>
              </c:strCache>
            </c:strRef>
          </c:cat>
          <c:val>
            <c:numRef>
              <c:f>'33. Graphs 1'!$J$29:$N$29</c:f>
              <c:numCache>
                <c:formatCode>0.00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1-FD62-4160-B633-5DEE3C264B45}"/>
            </c:ext>
          </c:extLst>
        </c:ser>
        <c:dLbls>
          <c:showLegendKey val="0"/>
          <c:showVal val="0"/>
          <c:showCatName val="0"/>
          <c:showSerName val="0"/>
          <c:showPercent val="0"/>
          <c:showBubbleSize val="0"/>
        </c:dLbls>
        <c:marker val="1"/>
        <c:smooth val="0"/>
        <c:axId val="3"/>
        <c:axId val="4"/>
      </c:lineChart>
      <c:catAx>
        <c:axId val="828701440"/>
        <c:scaling>
          <c:orientation val="minMax"/>
        </c:scaling>
        <c:delete val="0"/>
        <c:axPos val="b"/>
        <c:numFmt formatCode="mm/yy"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
        <c:crosses val="autoZero"/>
        <c:auto val="0"/>
        <c:lblAlgn val="ctr"/>
        <c:lblOffset val="100"/>
        <c:tickLblSkip val="1"/>
        <c:tickMarkSkip val="1"/>
        <c:noMultiLvlLbl val="0"/>
      </c:catAx>
      <c:valAx>
        <c:axId val="1"/>
        <c:scaling>
          <c:orientation val="minMax"/>
        </c:scaling>
        <c:delete val="0"/>
        <c:axPos val="l"/>
        <c:numFmt formatCode="0.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828701440"/>
        <c:crosses val="autoZero"/>
        <c:crossBetween val="between"/>
      </c:valAx>
      <c:catAx>
        <c:axId val="3"/>
        <c:scaling>
          <c:orientation val="minMax"/>
        </c:scaling>
        <c:delete val="1"/>
        <c:axPos val="b"/>
        <c:numFmt formatCode="mm/yy" sourceLinked="1"/>
        <c:majorTickMark val="out"/>
        <c:minorTickMark val="none"/>
        <c:tickLblPos val="nextTo"/>
        <c:crossAx val="4"/>
        <c:crosses val="autoZero"/>
        <c:auto val="0"/>
        <c:lblAlgn val="ctr"/>
        <c:lblOffset val="100"/>
        <c:noMultiLvlLbl val="0"/>
      </c:catAx>
      <c:valAx>
        <c:axId val="4"/>
        <c:scaling>
          <c:orientation val="minMax"/>
        </c:scaling>
        <c:delete val="1"/>
        <c:axPos val="l"/>
        <c:numFmt formatCode="0.00" sourceLinked="1"/>
        <c:majorTickMark val="out"/>
        <c:minorTickMark val="none"/>
        <c:tickLblPos val="nextTo"/>
        <c:crossAx val="3"/>
        <c:crosses val="autoZero"/>
        <c:crossBetween val="between"/>
      </c:valAx>
      <c:spPr>
        <a:solidFill>
          <a:srgbClr val="FFFFFF"/>
        </a:solidFill>
        <a:ln w="12700">
          <a:solidFill>
            <a:srgbClr val="808080"/>
          </a:solidFill>
          <a:prstDash val="solid"/>
        </a:ln>
      </c:spPr>
    </c:plotArea>
    <c:legend>
      <c:legendPos val="r"/>
      <c:layout>
        <c:manualLayout>
          <c:xMode val="edge"/>
          <c:yMode val="edge"/>
          <c:x val="0.21917857087117149"/>
          <c:y val="0.91349635309045385"/>
          <c:w val="0.5456633170646874"/>
          <c:h val="5.5363415338815385E-2"/>
        </c:manualLayout>
      </c:layout>
      <c:overlay val="0"/>
      <c:spPr>
        <a:solidFill>
          <a:srgbClr val="FFFFFF"/>
        </a:solidFill>
        <a:ln w="3175">
          <a:solidFill>
            <a:srgbClr val="000000"/>
          </a:solidFill>
          <a:prstDash val="solid"/>
        </a:ln>
      </c:spPr>
      <c:txPr>
        <a:bodyPr/>
        <a:lstStyle/>
        <a:p>
          <a:pPr>
            <a:defRPr sz="25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oddHeader>&amp;A</c:oddHeader>
      <c:oddFooter>Page &amp;P</c:oddFooter>
    </c:headerFooter>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a:ea typeface="Arial"/>
                <a:cs typeface="Arial"/>
              </a:defRPr>
            </a:pPr>
            <a:r>
              <a:rPr lang="en-US"/>
              <a:t>Loans To Assets</a:t>
            </a:r>
          </a:p>
        </c:rich>
      </c:tx>
      <c:layout>
        <c:manualLayout>
          <c:xMode val="edge"/>
          <c:yMode val="edge"/>
          <c:x val="0.38262981550383124"/>
          <c:y val="4.0000141111393335E-2"/>
        </c:manualLayout>
      </c:layout>
      <c:overlay val="0"/>
      <c:spPr>
        <a:noFill/>
        <a:ln w="25400">
          <a:noFill/>
        </a:ln>
      </c:spPr>
    </c:title>
    <c:autoTitleDeleted val="0"/>
    <c:plotArea>
      <c:layout>
        <c:manualLayout>
          <c:layoutTarget val="inner"/>
          <c:xMode val="edge"/>
          <c:yMode val="edge"/>
          <c:x val="0.12206600752367482"/>
          <c:y val="0.20727272727272728"/>
          <c:w val="0.84507235977928719"/>
          <c:h val="0.54909090909090907"/>
        </c:manualLayout>
      </c:layout>
      <c:barChart>
        <c:barDir val="col"/>
        <c:grouping val="clustered"/>
        <c:varyColors val="0"/>
        <c:ser>
          <c:idx val="1"/>
          <c:order val="0"/>
          <c:tx>
            <c:strRef>
              <c:f>'34. Graphs 2'!$B$11</c:f>
              <c:strCache>
                <c:ptCount val="1"/>
                <c:pt idx="0">
                  <c:v>Loans / Assets</c:v>
                </c:pt>
              </c:strCache>
            </c:strRef>
          </c:tx>
          <c:spPr>
            <a:solidFill>
              <a:srgbClr val="33CCCC"/>
            </a:solidFill>
            <a:ln w="12700">
              <a:solidFill>
                <a:srgbClr val="000000"/>
              </a:solidFill>
              <a:prstDash val="solid"/>
            </a:ln>
          </c:spPr>
          <c:invertIfNegative val="0"/>
          <c:cat>
            <c:strRef>
              <c:f>'34. Graphs 2'!$C$9:$G$10</c:f>
              <c:strCache>
                <c:ptCount val="5"/>
                <c:pt idx="0">
                  <c:v>09/24</c:v>
                </c:pt>
                <c:pt idx="1">
                  <c:v>12/24</c:v>
                </c:pt>
                <c:pt idx="2">
                  <c:v>03/25</c:v>
                </c:pt>
                <c:pt idx="3">
                  <c:v>06/25</c:v>
                </c:pt>
                <c:pt idx="4">
                  <c:v>09/25</c:v>
                </c:pt>
              </c:strCache>
            </c:strRef>
          </c:cat>
          <c:val>
            <c:numRef>
              <c:f>'34. Graphs 2'!$C$11:$G$11</c:f>
              <c:numCache>
                <c:formatCode>0.00</c:formatCode>
                <c:ptCount val="5"/>
                <c:pt idx="0">
                  <c:v>70.53534978451961</c:v>
                </c:pt>
                <c:pt idx="1">
                  <c:v>71.300427917681091</c:v>
                </c:pt>
                <c:pt idx="2">
                  <c:v>69.860312700850983</c:v>
                </c:pt>
                <c:pt idx="3">
                  <c:v>70.67156004453156</c:v>
                </c:pt>
                <c:pt idx="4">
                  <c:v>71.013254938287872</c:v>
                </c:pt>
              </c:numCache>
            </c:numRef>
          </c:val>
          <c:extLst>
            <c:ext xmlns:c16="http://schemas.microsoft.com/office/drawing/2014/chart" uri="{C3380CC4-5D6E-409C-BE32-E72D297353CC}">
              <c16:uniqueId val="{00000000-66AA-49C4-A6BA-93E4E8F017C0}"/>
            </c:ext>
          </c:extLst>
        </c:ser>
        <c:dLbls>
          <c:showLegendKey val="0"/>
          <c:showVal val="0"/>
          <c:showCatName val="0"/>
          <c:showSerName val="0"/>
          <c:showPercent val="0"/>
          <c:showBubbleSize val="0"/>
        </c:dLbls>
        <c:gapWidth val="150"/>
        <c:axId val="828701080"/>
        <c:axId val="1"/>
      </c:barChart>
      <c:lineChart>
        <c:grouping val="standard"/>
        <c:varyColors val="0"/>
        <c:ser>
          <c:idx val="0"/>
          <c:order val="1"/>
          <c:tx>
            <c:strRef>
              <c:f>'34. Graphs 2'!$B$12</c:f>
              <c:strCache>
                <c:ptCount val="1"/>
                <c:pt idx="0">
                  <c:v>Peer</c:v>
                </c:pt>
              </c:strCache>
            </c:strRef>
          </c:tx>
          <c:spPr>
            <a:ln w="12700">
              <a:solidFill>
                <a:srgbClr val="000000"/>
              </a:solidFill>
              <a:prstDash val="solid"/>
            </a:ln>
          </c:spPr>
          <c:marker>
            <c:symbol val="triangle"/>
            <c:size val="5"/>
            <c:spPr>
              <a:solidFill>
                <a:srgbClr val="FFFFFF"/>
              </a:solidFill>
              <a:ln>
                <a:solidFill>
                  <a:srgbClr val="000000"/>
                </a:solidFill>
                <a:prstDash val="solid"/>
              </a:ln>
            </c:spPr>
          </c:marker>
          <c:cat>
            <c:strRef>
              <c:f>'34. Graphs 2'!$C$9:$G$10</c:f>
              <c:strCache>
                <c:ptCount val="5"/>
                <c:pt idx="0">
                  <c:v>09/24</c:v>
                </c:pt>
                <c:pt idx="1">
                  <c:v>12/24</c:v>
                </c:pt>
                <c:pt idx="2">
                  <c:v>03/25</c:v>
                </c:pt>
                <c:pt idx="3">
                  <c:v>06/25</c:v>
                </c:pt>
                <c:pt idx="4">
                  <c:v>09/25</c:v>
                </c:pt>
              </c:strCache>
            </c:strRef>
          </c:cat>
          <c:val>
            <c:numRef>
              <c:f>'34. Graphs 2'!$C$12:$G$12</c:f>
              <c:numCache>
                <c:formatCode>0.00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1-66AA-49C4-A6BA-93E4E8F017C0}"/>
            </c:ext>
          </c:extLst>
        </c:ser>
        <c:dLbls>
          <c:showLegendKey val="0"/>
          <c:showVal val="0"/>
          <c:showCatName val="0"/>
          <c:showSerName val="0"/>
          <c:showPercent val="0"/>
          <c:showBubbleSize val="0"/>
        </c:dLbls>
        <c:marker val="1"/>
        <c:smooth val="0"/>
        <c:axId val="3"/>
        <c:axId val="4"/>
      </c:lineChart>
      <c:catAx>
        <c:axId val="828701080"/>
        <c:scaling>
          <c:orientation val="minMax"/>
        </c:scaling>
        <c:delete val="0"/>
        <c:axPos val="b"/>
        <c:numFmt formatCode="mm/yy"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
        <c:crosses val="autoZero"/>
        <c:auto val="0"/>
        <c:lblAlgn val="ctr"/>
        <c:lblOffset val="100"/>
        <c:tickLblSkip val="1"/>
        <c:tickMarkSkip val="1"/>
        <c:noMultiLvlLbl val="0"/>
      </c:catAx>
      <c:valAx>
        <c:axId val="1"/>
        <c:scaling>
          <c:orientation val="minMax"/>
        </c:scaling>
        <c:delete val="0"/>
        <c:axPos val="l"/>
        <c:numFmt formatCode="0.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828701080"/>
        <c:crosses val="autoZero"/>
        <c:crossBetween val="between"/>
      </c:valAx>
      <c:catAx>
        <c:axId val="3"/>
        <c:scaling>
          <c:orientation val="minMax"/>
        </c:scaling>
        <c:delete val="1"/>
        <c:axPos val="b"/>
        <c:numFmt formatCode="mm/yy" sourceLinked="1"/>
        <c:majorTickMark val="out"/>
        <c:minorTickMark val="none"/>
        <c:tickLblPos val="nextTo"/>
        <c:crossAx val="4"/>
        <c:crosses val="autoZero"/>
        <c:auto val="0"/>
        <c:lblAlgn val="ctr"/>
        <c:lblOffset val="100"/>
        <c:noMultiLvlLbl val="0"/>
      </c:catAx>
      <c:valAx>
        <c:axId val="4"/>
        <c:scaling>
          <c:orientation val="minMax"/>
        </c:scaling>
        <c:delete val="1"/>
        <c:axPos val="l"/>
        <c:numFmt formatCode="0.00" sourceLinked="1"/>
        <c:majorTickMark val="out"/>
        <c:minorTickMark val="none"/>
        <c:tickLblPos val="nextTo"/>
        <c:crossAx val="3"/>
        <c:crosses val="autoZero"/>
        <c:crossBetween val="between"/>
      </c:valAx>
      <c:spPr>
        <a:solidFill>
          <a:srgbClr val="FFFFFF"/>
        </a:solidFill>
        <a:ln w="12700">
          <a:solidFill>
            <a:srgbClr val="808080"/>
          </a:solidFill>
          <a:prstDash val="solid"/>
        </a:ln>
      </c:spPr>
    </c:plotArea>
    <c:legend>
      <c:legendPos val="r"/>
      <c:layout>
        <c:manualLayout>
          <c:xMode val="edge"/>
          <c:yMode val="edge"/>
          <c:x val="0.34894653485726046"/>
          <c:y val="0.89965549925574995"/>
          <c:w val="0.35831422706819366"/>
          <c:h val="6.2283842256167309E-2"/>
        </c:manualLayout>
      </c:layout>
      <c:overlay val="0"/>
      <c:spPr>
        <a:solidFill>
          <a:srgbClr val="FFFFFF"/>
        </a:solidFill>
        <a:ln w="3175">
          <a:solidFill>
            <a:srgbClr val="000000"/>
          </a:solidFill>
          <a:prstDash val="solid"/>
        </a:ln>
      </c:spPr>
      <c:txPr>
        <a:bodyPr/>
        <a:lstStyle/>
        <a:p>
          <a:pPr>
            <a:defRPr sz="25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oddHeader>&amp;A</c:oddHeader>
      <c:oddFooter>Page &amp;P</c:oddFooter>
    </c:headerFooter>
    <c:pageMargins b="1" l="0.75" r="0.75" t="1" header="0.5" footer="0.5"/>
    <c:pageSetup orientation="landscape"/>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a:ea typeface="Arial"/>
                <a:cs typeface="Arial"/>
              </a:defRPr>
            </a:pPr>
            <a:r>
              <a:rPr lang="en-US"/>
              <a:t>Net Long Term Assets to Assets</a:t>
            </a:r>
          </a:p>
        </c:rich>
      </c:tx>
      <c:layout>
        <c:manualLayout>
          <c:xMode val="edge"/>
          <c:yMode val="edge"/>
          <c:x val="0.28235314612222145"/>
          <c:y val="3.6364086564651121E-2"/>
        </c:manualLayout>
      </c:layout>
      <c:overlay val="0"/>
      <c:spPr>
        <a:noFill/>
        <a:ln w="25400">
          <a:noFill/>
        </a:ln>
      </c:spPr>
    </c:title>
    <c:autoTitleDeleted val="0"/>
    <c:plotArea>
      <c:layout>
        <c:manualLayout>
          <c:layoutTarget val="inner"/>
          <c:xMode val="edge"/>
          <c:yMode val="edge"/>
          <c:x val="0.10823529411764705"/>
          <c:y val="0.20727272727272728"/>
          <c:w val="0.85882352941176465"/>
          <c:h val="0.54909090909090907"/>
        </c:manualLayout>
      </c:layout>
      <c:barChart>
        <c:barDir val="col"/>
        <c:grouping val="clustered"/>
        <c:varyColors val="0"/>
        <c:ser>
          <c:idx val="1"/>
          <c:order val="0"/>
          <c:tx>
            <c:strRef>
              <c:f>'34. Graphs 2'!$I$11</c:f>
              <c:strCache>
                <c:ptCount val="1"/>
                <c:pt idx="0">
                  <c:v>Net Long -Term Assets / Assets</c:v>
                </c:pt>
              </c:strCache>
            </c:strRef>
          </c:tx>
          <c:spPr>
            <a:solidFill>
              <a:srgbClr val="33CCCC"/>
            </a:solidFill>
            <a:ln w="12700">
              <a:solidFill>
                <a:srgbClr val="000000"/>
              </a:solidFill>
              <a:prstDash val="solid"/>
            </a:ln>
          </c:spPr>
          <c:invertIfNegative val="0"/>
          <c:cat>
            <c:strRef>
              <c:f>'34. Graphs 2'!$J$9:$N$10</c:f>
              <c:strCache>
                <c:ptCount val="5"/>
                <c:pt idx="0">
                  <c:v>09/24</c:v>
                </c:pt>
                <c:pt idx="1">
                  <c:v>12/24</c:v>
                </c:pt>
                <c:pt idx="2">
                  <c:v>03/25</c:v>
                </c:pt>
                <c:pt idx="3">
                  <c:v>06/25</c:v>
                </c:pt>
                <c:pt idx="4">
                  <c:v>09/25</c:v>
                </c:pt>
              </c:strCache>
            </c:strRef>
          </c:cat>
          <c:val>
            <c:numRef>
              <c:f>'34. Graphs 2'!$J$11:$N$11</c:f>
              <c:numCache>
                <c:formatCode>0.00</c:formatCode>
                <c:ptCount val="5"/>
                <c:pt idx="0">
                  <c:v>35.074102262649291</c:v>
                </c:pt>
                <c:pt idx="1">
                  <c:v>35.158778412277123</c:v>
                </c:pt>
                <c:pt idx="2">
                  <c:v>34.477504664102746</c:v>
                </c:pt>
                <c:pt idx="3">
                  <c:v>34.762022341317753</c:v>
                </c:pt>
                <c:pt idx="4">
                  <c:v>34.943091573155897</c:v>
                </c:pt>
              </c:numCache>
            </c:numRef>
          </c:val>
          <c:extLst>
            <c:ext xmlns:c16="http://schemas.microsoft.com/office/drawing/2014/chart" uri="{C3380CC4-5D6E-409C-BE32-E72D297353CC}">
              <c16:uniqueId val="{00000000-9932-4272-82DF-46C7904B59F2}"/>
            </c:ext>
          </c:extLst>
        </c:ser>
        <c:dLbls>
          <c:showLegendKey val="0"/>
          <c:showVal val="0"/>
          <c:showCatName val="0"/>
          <c:showSerName val="0"/>
          <c:showPercent val="0"/>
          <c:showBubbleSize val="0"/>
        </c:dLbls>
        <c:gapWidth val="150"/>
        <c:axId val="846748688"/>
        <c:axId val="1"/>
      </c:barChart>
      <c:lineChart>
        <c:grouping val="standard"/>
        <c:varyColors val="0"/>
        <c:ser>
          <c:idx val="0"/>
          <c:order val="1"/>
          <c:tx>
            <c:strRef>
              <c:f>'34. Graphs 2'!$I$12</c:f>
              <c:strCache>
                <c:ptCount val="1"/>
                <c:pt idx="0">
                  <c:v>Peer</c:v>
                </c:pt>
              </c:strCache>
            </c:strRef>
          </c:tx>
          <c:spPr>
            <a:ln w="12700">
              <a:solidFill>
                <a:srgbClr val="000000"/>
              </a:solidFill>
              <a:prstDash val="solid"/>
            </a:ln>
          </c:spPr>
          <c:marker>
            <c:symbol val="triangle"/>
            <c:size val="5"/>
            <c:spPr>
              <a:solidFill>
                <a:srgbClr val="FFFFFF"/>
              </a:solidFill>
              <a:ln>
                <a:solidFill>
                  <a:srgbClr val="000000"/>
                </a:solidFill>
                <a:prstDash val="solid"/>
              </a:ln>
            </c:spPr>
          </c:marker>
          <c:cat>
            <c:strRef>
              <c:f>'34. Graphs 2'!$J$9:$N$10</c:f>
              <c:strCache>
                <c:ptCount val="5"/>
                <c:pt idx="0">
                  <c:v>09/24</c:v>
                </c:pt>
                <c:pt idx="1">
                  <c:v>12/24</c:v>
                </c:pt>
                <c:pt idx="2">
                  <c:v>03/25</c:v>
                </c:pt>
                <c:pt idx="3">
                  <c:v>06/25</c:v>
                </c:pt>
                <c:pt idx="4">
                  <c:v>09/25</c:v>
                </c:pt>
              </c:strCache>
            </c:strRef>
          </c:cat>
          <c:val>
            <c:numRef>
              <c:f>'34. Graphs 2'!$J$12:$N$12</c:f>
              <c:numCache>
                <c:formatCode>0.00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1-9932-4272-82DF-46C7904B59F2}"/>
            </c:ext>
          </c:extLst>
        </c:ser>
        <c:dLbls>
          <c:showLegendKey val="0"/>
          <c:showVal val="0"/>
          <c:showCatName val="0"/>
          <c:showSerName val="0"/>
          <c:showPercent val="0"/>
          <c:showBubbleSize val="0"/>
        </c:dLbls>
        <c:marker val="1"/>
        <c:smooth val="0"/>
        <c:axId val="3"/>
        <c:axId val="4"/>
      </c:lineChart>
      <c:catAx>
        <c:axId val="846748688"/>
        <c:scaling>
          <c:orientation val="minMax"/>
        </c:scaling>
        <c:delete val="0"/>
        <c:axPos val="b"/>
        <c:numFmt formatCode="mm/yy"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
        <c:crosses val="autoZero"/>
        <c:auto val="0"/>
        <c:lblAlgn val="ctr"/>
        <c:lblOffset val="100"/>
        <c:tickLblSkip val="1"/>
        <c:tickMarkSkip val="1"/>
        <c:noMultiLvlLbl val="0"/>
      </c:catAx>
      <c:valAx>
        <c:axId val="1"/>
        <c:scaling>
          <c:orientation val="minMax"/>
        </c:scaling>
        <c:delete val="0"/>
        <c:axPos val="l"/>
        <c:numFmt formatCode="0.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846748688"/>
        <c:crosses val="autoZero"/>
        <c:crossBetween val="between"/>
      </c:valAx>
      <c:catAx>
        <c:axId val="3"/>
        <c:scaling>
          <c:orientation val="minMax"/>
        </c:scaling>
        <c:delete val="1"/>
        <c:axPos val="b"/>
        <c:numFmt formatCode="mm/yy" sourceLinked="1"/>
        <c:majorTickMark val="out"/>
        <c:minorTickMark val="none"/>
        <c:tickLblPos val="nextTo"/>
        <c:crossAx val="4"/>
        <c:crosses val="autoZero"/>
        <c:auto val="0"/>
        <c:lblAlgn val="ctr"/>
        <c:lblOffset val="100"/>
        <c:noMultiLvlLbl val="0"/>
      </c:catAx>
      <c:valAx>
        <c:axId val="4"/>
        <c:scaling>
          <c:orientation val="minMax"/>
        </c:scaling>
        <c:delete val="1"/>
        <c:axPos val="l"/>
        <c:numFmt formatCode="0.00" sourceLinked="1"/>
        <c:majorTickMark val="out"/>
        <c:minorTickMark val="none"/>
        <c:tickLblPos val="nextTo"/>
        <c:crossAx val="3"/>
        <c:crosses val="autoZero"/>
        <c:crossBetween val="between"/>
      </c:valAx>
      <c:spPr>
        <a:solidFill>
          <a:srgbClr val="FFFFFF"/>
        </a:solidFill>
        <a:ln w="12700">
          <a:solidFill>
            <a:srgbClr val="808080"/>
          </a:solidFill>
          <a:prstDash val="solid"/>
        </a:ln>
      </c:spPr>
    </c:plotArea>
    <c:legend>
      <c:legendPos val="r"/>
      <c:layout>
        <c:manualLayout>
          <c:xMode val="edge"/>
          <c:yMode val="edge"/>
          <c:x val="0.28344733969170671"/>
          <c:y val="0.90278083896497585"/>
          <c:w val="0.47165637324699999"/>
          <c:h val="5.9027977932325344E-2"/>
        </c:manualLayout>
      </c:layout>
      <c:overlay val="0"/>
      <c:spPr>
        <a:solidFill>
          <a:srgbClr val="FFFFFF"/>
        </a:solidFill>
        <a:ln w="3175">
          <a:solidFill>
            <a:srgbClr val="000000"/>
          </a:solidFill>
          <a:prstDash val="solid"/>
        </a:ln>
      </c:spPr>
      <c:txPr>
        <a:bodyPr/>
        <a:lstStyle/>
        <a:p>
          <a:pPr>
            <a:defRPr sz="25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oddHeader>&amp;A</c:oddHeader>
      <c:oddFooter>Page &amp;P</c:oddFooter>
    </c:headerFooter>
    <c:pageMargins b="1" l="0.75" r="0.75" t="1" header="0.5" footer="0.5"/>
    <c:pageSetup orientation="landscape"/>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a:ea typeface="Arial"/>
                <a:cs typeface="Arial"/>
              </a:defRPr>
            </a:pPr>
            <a:r>
              <a:rPr lang="en-US"/>
              <a:t>Net Interest Margin (NIM)</a:t>
            </a:r>
          </a:p>
        </c:rich>
      </c:tx>
      <c:layout>
        <c:manualLayout>
          <c:xMode val="edge"/>
          <c:yMode val="edge"/>
          <c:x val="0.33568159749262111"/>
          <c:y val="3.663020460510618E-2"/>
        </c:manualLayout>
      </c:layout>
      <c:overlay val="0"/>
      <c:spPr>
        <a:noFill/>
        <a:ln w="25400">
          <a:noFill/>
        </a:ln>
      </c:spPr>
    </c:title>
    <c:autoTitleDeleted val="0"/>
    <c:plotArea>
      <c:layout>
        <c:manualLayout>
          <c:layoutTarget val="inner"/>
          <c:xMode val="edge"/>
          <c:yMode val="edge"/>
          <c:x val="9.3896928864365251E-2"/>
          <c:y val="0.20879195567177367"/>
          <c:w val="0.87324143843859681"/>
          <c:h val="0.5470135992207773"/>
        </c:manualLayout>
      </c:layout>
      <c:barChart>
        <c:barDir val="col"/>
        <c:grouping val="clustered"/>
        <c:varyColors val="0"/>
        <c:ser>
          <c:idx val="1"/>
          <c:order val="0"/>
          <c:tx>
            <c:strRef>
              <c:f>'34. Graphs 2'!$B$30</c:f>
              <c:strCache>
                <c:ptCount val="1"/>
                <c:pt idx="0">
                  <c:v>NIM=(Net Interest Income-Interest Expense)/Avg Assets(annualized)</c:v>
                </c:pt>
              </c:strCache>
            </c:strRef>
          </c:tx>
          <c:spPr>
            <a:solidFill>
              <a:srgbClr val="33CCCC"/>
            </a:solidFill>
            <a:ln w="12700">
              <a:solidFill>
                <a:srgbClr val="000000"/>
              </a:solidFill>
              <a:prstDash val="solid"/>
            </a:ln>
          </c:spPr>
          <c:invertIfNegative val="0"/>
          <c:cat>
            <c:strRef>
              <c:f>'34. Graphs 2'!$C$28:$G$29</c:f>
              <c:strCache>
                <c:ptCount val="5"/>
                <c:pt idx="0">
                  <c:v>09/24</c:v>
                </c:pt>
                <c:pt idx="1">
                  <c:v>12/24</c:v>
                </c:pt>
                <c:pt idx="2">
                  <c:v>03/25</c:v>
                </c:pt>
                <c:pt idx="3">
                  <c:v>06/25</c:v>
                </c:pt>
                <c:pt idx="4">
                  <c:v>09/25</c:v>
                </c:pt>
              </c:strCache>
            </c:strRef>
          </c:cat>
          <c:val>
            <c:numRef>
              <c:f>'34. Graphs 2'!$C$30:$G$30</c:f>
              <c:numCache>
                <c:formatCode>0.00</c:formatCode>
                <c:ptCount val="5"/>
                <c:pt idx="0">
                  <c:v>3.0871221171472492</c:v>
                </c:pt>
                <c:pt idx="1">
                  <c:v>3.1210393114648123</c:v>
                </c:pt>
                <c:pt idx="2">
                  <c:v>3.2360565119452116</c:v>
                </c:pt>
                <c:pt idx="3">
                  <c:v>3.3205481897128819</c:v>
                </c:pt>
                <c:pt idx="4">
                  <c:v>3.3797924395390844</c:v>
                </c:pt>
              </c:numCache>
            </c:numRef>
          </c:val>
          <c:extLst>
            <c:ext xmlns:c16="http://schemas.microsoft.com/office/drawing/2014/chart" uri="{C3380CC4-5D6E-409C-BE32-E72D297353CC}">
              <c16:uniqueId val="{00000000-1FE0-44CB-A2BA-7E616F5096B9}"/>
            </c:ext>
          </c:extLst>
        </c:ser>
        <c:dLbls>
          <c:showLegendKey val="0"/>
          <c:showVal val="0"/>
          <c:showCatName val="0"/>
          <c:showSerName val="0"/>
          <c:showPercent val="0"/>
          <c:showBubbleSize val="0"/>
        </c:dLbls>
        <c:gapWidth val="150"/>
        <c:axId val="846746168"/>
        <c:axId val="1"/>
      </c:barChart>
      <c:lineChart>
        <c:grouping val="standard"/>
        <c:varyColors val="0"/>
        <c:ser>
          <c:idx val="0"/>
          <c:order val="1"/>
          <c:tx>
            <c:strRef>
              <c:f>'34. Graphs 2'!$B$31</c:f>
              <c:strCache>
                <c:ptCount val="1"/>
                <c:pt idx="0">
                  <c:v>Peer</c:v>
                </c:pt>
              </c:strCache>
            </c:strRef>
          </c:tx>
          <c:spPr>
            <a:ln w="12700">
              <a:solidFill>
                <a:srgbClr val="000000"/>
              </a:solidFill>
              <a:prstDash val="solid"/>
            </a:ln>
          </c:spPr>
          <c:marker>
            <c:symbol val="triangle"/>
            <c:size val="5"/>
            <c:spPr>
              <a:solidFill>
                <a:srgbClr val="FFFFFF"/>
              </a:solidFill>
              <a:ln>
                <a:solidFill>
                  <a:srgbClr val="000000"/>
                </a:solidFill>
                <a:prstDash val="solid"/>
              </a:ln>
            </c:spPr>
          </c:marker>
          <c:cat>
            <c:strRef>
              <c:f>'34. Graphs 2'!$C$28:$G$29</c:f>
              <c:strCache>
                <c:ptCount val="5"/>
                <c:pt idx="0">
                  <c:v>09/24</c:v>
                </c:pt>
                <c:pt idx="1">
                  <c:v>12/24</c:v>
                </c:pt>
                <c:pt idx="2">
                  <c:v>03/25</c:v>
                </c:pt>
                <c:pt idx="3">
                  <c:v>06/25</c:v>
                </c:pt>
                <c:pt idx="4">
                  <c:v>09/25</c:v>
                </c:pt>
              </c:strCache>
            </c:strRef>
          </c:cat>
          <c:val>
            <c:numRef>
              <c:f>'34. Graphs 2'!$C$31:$G$31</c:f>
              <c:numCache>
                <c:formatCode>0.00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1-1FE0-44CB-A2BA-7E616F5096B9}"/>
            </c:ext>
          </c:extLst>
        </c:ser>
        <c:dLbls>
          <c:showLegendKey val="0"/>
          <c:showVal val="0"/>
          <c:showCatName val="0"/>
          <c:showSerName val="0"/>
          <c:showPercent val="0"/>
          <c:showBubbleSize val="0"/>
        </c:dLbls>
        <c:marker val="1"/>
        <c:smooth val="0"/>
        <c:axId val="3"/>
        <c:axId val="4"/>
      </c:lineChart>
      <c:catAx>
        <c:axId val="846746168"/>
        <c:scaling>
          <c:orientation val="minMax"/>
        </c:scaling>
        <c:delete val="0"/>
        <c:axPos val="b"/>
        <c:numFmt formatCode="mm/yy"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
        <c:crosses val="autoZero"/>
        <c:auto val="0"/>
        <c:lblAlgn val="ctr"/>
        <c:lblOffset val="100"/>
        <c:tickLblSkip val="1"/>
        <c:tickMarkSkip val="1"/>
        <c:noMultiLvlLbl val="0"/>
      </c:catAx>
      <c:valAx>
        <c:axId val="1"/>
        <c:scaling>
          <c:orientation val="minMax"/>
        </c:scaling>
        <c:delete val="0"/>
        <c:axPos val="l"/>
        <c:numFmt formatCode="0.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846746168"/>
        <c:crosses val="autoZero"/>
        <c:crossBetween val="between"/>
      </c:valAx>
      <c:catAx>
        <c:axId val="3"/>
        <c:scaling>
          <c:orientation val="minMax"/>
        </c:scaling>
        <c:delete val="1"/>
        <c:axPos val="b"/>
        <c:numFmt formatCode="mm/yy" sourceLinked="1"/>
        <c:majorTickMark val="out"/>
        <c:minorTickMark val="none"/>
        <c:tickLblPos val="nextTo"/>
        <c:crossAx val="4"/>
        <c:crosses val="autoZero"/>
        <c:auto val="0"/>
        <c:lblAlgn val="ctr"/>
        <c:lblOffset val="100"/>
        <c:noMultiLvlLbl val="0"/>
      </c:catAx>
      <c:valAx>
        <c:axId val="4"/>
        <c:scaling>
          <c:orientation val="minMax"/>
        </c:scaling>
        <c:delete val="1"/>
        <c:axPos val="l"/>
        <c:numFmt formatCode="0.00" sourceLinked="1"/>
        <c:majorTickMark val="out"/>
        <c:minorTickMark val="none"/>
        <c:tickLblPos val="nextTo"/>
        <c:crossAx val="3"/>
        <c:crosses val="autoZero"/>
        <c:crossBetween val="between"/>
      </c:valAx>
      <c:spPr>
        <a:solidFill>
          <a:srgbClr val="FFFFFF"/>
        </a:solidFill>
        <a:ln w="12700">
          <a:solidFill>
            <a:srgbClr val="808080"/>
          </a:solidFill>
          <a:prstDash val="solid"/>
        </a:ln>
      </c:spPr>
    </c:plotArea>
    <c:legend>
      <c:legendPos val="r"/>
      <c:layout>
        <c:manualLayout>
          <c:xMode val="edge"/>
          <c:yMode val="edge"/>
          <c:x val="0.13114769095306433"/>
          <c:y val="0.90441176470588236"/>
          <c:w val="0.74941537687465332"/>
          <c:h val="5.8823529411764705E-2"/>
        </c:manualLayout>
      </c:layout>
      <c:overlay val="0"/>
      <c:spPr>
        <a:solidFill>
          <a:srgbClr val="FFFFFF"/>
        </a:solidFill>
        <a:ln w="3175">
          <a:solidFill>
            <a:srgbClr val="000000"/>
          </a:solidFill>
          <a:prstDash val="solid"/>
        </a:ln>
      </c:spPr>
      <c:txPr>
        <a:bodyPr/>
        <a:lstStyle/>
        <a:p>
          <a:pPr>
            <a:defRPr sz="25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oddHeader>&amp;A</c:oddHeader>
      <c:oddFooter>Page &amp;P</c:oddFooter>
    </c:headerFooter>
    <c:pageMargins b="1" l="0.75" r="0.75" t="1" header="0.5" footer="0.5"/>
    <c:pageSetup orientation="landscape"/>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a:ea typeface="Arial"/>
                <a:cs typeface="Arial"/>
              </a:defRPr>
            </a:pPr>
            <a:r>
              <a:rPr lang="en-US"/>
              <a:t>Cash &amp; Short-Term Investments To Assets</a:t>
            </a:r>
          </a:p>
        </c:rich>
      </c:tx>
      <c:layout>
        <c:manualLayout>
          <c:xMode val="edge"/>
          <c:yMode val="edge"/>
          <c:x val="0.21779893254083982"/>
          <c:y val="3.6765539250775477E-2"/>
        </c:manualLayout>
      </c:layout>
      <c:overlay val="0"/>
      <c:spPr>
        <a:noFill/>
        <a:ln w="25400">
          <a:noFill/>
        </a:ln>
      </c:spPr>
    </c:title>
    <c:autoTitleDeleted val="0"/>
    <c:plotArea>
      <c:layout>
        <c:manualLayout>
          <c:layoutTarget val="inner"/>
          <c:xMode val="edge"/>
          <c:yMode val="edge"/>
          <c:x val="0.10772846042573142"/>
          <c:y val="0.20955882352941177"/>
          <c:w val="0.85948576035311808"/>
          <c:h val="0.54411764705882348"/>
        </c:manualLayout>
      </c:layout>
      <c:barChart>
        <c:barDir val="col"/>
        <c:grouping val="clustered"/>
        <c:varyColors val="0"/>
        <c:ser>
          <c:idx val="1"/>
          <c:order val="0"/>
          <c:tx>
            <c:strRef>
              <c:f>'34. Graphs 2'!$I$30</c:f>
              <c:strCache>
                <c:ptCount val="1"/>
                <c:pt idx="0">
                  <c:v>Cash &amp; Short-Term Investments / Assets</c:v>
                </c:pt>
              </c:strCache>
            </c:strRef>
          </c:tx>
          <c:spPr>
            <a:solidFill>
              <a:srgbClr val="33CCCC"/>
            </a:solidFill>
            <a:ln w="12700">
              <a:solidFill>
                <a:srgbClr val="000000"/>
              </a:solidFill>
              <a:prstDash val="solid"/>
            </a:ln>
          </c:spPr>
          <c:invertIfNegative val="0"/>
          <c:cat>
            <c:strRef>
              <c:f>'34. Graphs 2'!$J$28:$N$29</c:f>
              <c:strCache>
                <c:ptCount val="5"/>
                <c:pt idx="0">
                  <c:v>09/24</c:v>
                </c:pt>
                <c:pt idx="1">
                  <c:v>12/24</c:v>
                </c:pt>
                <c:pt idx="2">
                  <c:v>03/25</c:v>
                </c:pt>
                <c:pt idx="3">
                  <c:v>06/25</c:v>
                </c:pt>
                <c:pt idx="4">
                  <c:v>09/25</c:v>
                </c:pt>
              </c:strCache>
            </c:strRef>
          </c:cat>
          <c:val>
            <c:numRef>
              <c:f>'34. Graphs 2'!$J$30:$N$30</c:f>
              <c:numCache>
                <c:formatCode>0.00</c:formatCode>
                <c:ptCount val="5"/>
                <c:pt idx="0">
                  <c:v>12.568049504067599</c:v>
                </c:pt>
                <c:pt idx="1">
                  <c:v>12.180163535010086</c:v>
                </c:pt>
                <c:pt idx="2">
                  <c:v>13.389987657637015</c:v>
                </c:pt>
                <c:pt idx="3">
                  <c:v>12.332968021953032</c:v>
                </c:pt>
                <c:pt idx="4">
                  <c:v>11.911056816825635</c:v>
                </c:pt>
              </c:numCache>
            </c:numRef>
          </c:val>
          <c:extLst>
            <c:ext xmlns:c16="http://schemas.microsoft.com/office/drawing/2014/chart" uri="{C3380CC4-5D6E-409C-BE32-E72D297353CC}">
              <c16:uniqueId val="{00000000-927B-4270-9905-91B503ADE7D4}"/>
            </c:ext>
          </c:extLst>
        </c:ser>
        <c:dLbls>
          <c:showLegendKey val="0"/>
          <c:showVal val="0"/>
          <c:showCatName val="0"/>
          <c:showSerName val="0"/>
          <c:showPercent val="0"/>
          <c:showBubbleSize val="0"/>
        </c:dLbls>
        <c:gapWidth val="150"/>
        <c:axId val="769180736"/>
        <c:axId val="1"/>
      </c:barChart>
      <c:lineChart>
        <c:grouping val="standard"/>
        <c:varyColors val="0"/>
        <c:ser>
          <c:idx val="0"/>
          <c:order val="1"/>
          <c:tx>
            <c:strRef>
              <c:f>'34. Graphs 2'!$I$31</c:f>
              <c:strCache>
                <c:ptCount val="1"/>
                <c:pt idx="0">
                  <c:v>Peer</c:v>
                </c:pt>
              </c:strCache>
            </c:strRef>
          </c:tx>
          <c:spPr>
            <a:ln w="12700">
              <a:solidFill>
                <a:srgbClr val="000000"/>
              </a:solidFill>
              <a:prstDash val="solid"/>
            </a:ln>
          </c:spPr>
          <c:marker>
            <c:symbol val="triangle"/>
            <c:size val="5"/>
            <c:spPr>
              <a:solidFill>
                <a:srgbClr val="FFFFFF"/>
              </a:solidFill>
              <a:ln>
                <a:solidFill>
                  <a:srgbClr val="000000"/>
                </a:solidFill>
                <a:prstDash val="solid"/>
              </a:ln>
            </c:spPr>
          </c:marker>
          <c:cat>
            <c:strRef>
              <c:f>'34. Graphs 2'!$J$28:$N$29</c:f>
              <c:strCache>
                <c:ptCount val="5"/>
                <c:pt idx="0">
                  <c:v>09/24</c:v>
                </c:pt>
                <c:pt idx="1">
                  <c:v>12/24</c:v>
                </c:pt>
                <c:pt idx="2">
                  <c:v>03/25</c:v>
                </c:pt>
                <c:pt idx="3">
                  <c:v>06/25</c:v>
                </c:pt>
                <c:pt idx="4">
                  <c:v>09/25</c:v>
                </c:pt>
              </c:strCache>
            </c:strRef>
          </c:cat>
          <c:val>
            <c:numRef>
              <c:f>'34. Graphs 2'!$J$31:$N$31</c:f>
              <c:numCache>
                <c:formatCode>0.00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1-927B-4270-9905-91B503ADE7D4}"/>
            </c:ext>
          </c:extLst>
        </c:ser>
        <c:dLbls>
          <c:showLegendKey val="0"/>
          <c:showVal val="0"/>
          <c:showCatName val="0"/>
          <c:showSerName val="0"/>
          <c:showPercent val="0"/>
          <c:showBubbleSize val="0"/>
        </c:dLbls>
        <c:marker val="1"/>
        <c:smooth val="0"/>
        <c:axId val="3"/>
        <c:axId val="4"/>
      </c:lineChart>
      <c:catAx>
        <c:axId val="769180736"/>
        <c:scaling>
          <c:orientation val="minMax"/>
        </c:scaling>
        <c:delete val="0"/>
        <c:axPos val="b"/>
        <c:numFmt formatCode="mm/yy"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
        <c:crosses val="autoZero"/>
        <c:auto val="0"/>
        <c:lblAlgn val="ctr"/>
        <c:lblOffset val="100"/>
        <c:tickLblSkip val="1"/>
        <c:tickMarkSkip val="1"/>
        <c:noMultiLvlLbl val="0"/>
      </c:catAx>
      <c:valAx>
        <c:axId val="1"/>
        <c:scaling>
          <c:orientation val="minMax"/>
        </c:scaling>
        <c:delete val="0"/>
        <c:axPos val="l"/>
        <c:numFmt formatCode="0.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769180736"/>
        <c:crosses val="autoZero"/>
        <c:crossBetween val="between"/>
      </c:valAx>
      <c:catAx>
        <c:axId val="3"/>
        <c:scaling>
          <c:orientation val="minMax"/>
        </c:scaling>
        <c:delete val="1"/>
        <c:axPos val="b"/>
        <c:numFmt formatCode="mm/yy" sourceLinked="1"/>
        <c:majorTickMark val="out"/>
        <c:minorTickMark val="none"/>
        <c:tickLblPos val="nextTo"/>
        <c:crossAx val="4"/>
        <c:crosses val="autoZero"/>
        <c:auto val="0"/>
        <c:lblAlgn val="ctr"/>
        <c:lblOffset val="100"/>
        <c:noMultiLvlLbl val="0"/>
      </c:catAx>
      <c:valAx>
        <c:axId val="4"/>
        <c:scaling>
          <c:orientation val="minMax"/>
        </c:scaling>
        <c:delete val="1"/>
        <c:axPos val="l"/>
        <c:numFmt formatCode="0.00" sourceLinked="1"/>
        <c:majorTickMark val="out"/>
        <c:minorTickMark val="none"/>
        <c:tickLblPos val="nextTo"/>
        <c:crossAx val="3"/>
        <c:crosses val="autoZero"/>
        <c:crossBetween val="between"/>
      </c:valAx>
      <c:spPr>
        <a:solidFill>
          <a:srgbClr val="FFFFFF"/>
        </a:solidFill>
        <a:ln w="12700">
          <a:solidFill>
            <a:srgbClr val="808080"/>
          </a:solidFill>
          <a:prstDash val="solid"/>
        </a:ln>
      </c:spPr>
    </c:plotArea>
    <c:legend>
      <c:legendPos val="r"/>
      <c:layout>
        <c:manualLayout>
          <c:xMode val="edge"/>
          <c:yMode val="edge"/>
          <c:x val="0.24153498871331827"/>
          <c:y val="0.90073529411764708"/>
          <c:w val="0.53950338600451464"/>
          <c:h val="5.8823529411764705E-2"/>
        </c:manualLayout>
      </c:layout>
      <c:overlay val="0"/>
      <c:spPr>
        <a:solidFill>
          <a:srgbClr val="FFFFFF"/>
        </a:solidFill>
        <a:ln w="3175">
          <a:solidFill>
            <a:srgbClr val="000000"/>
          </a:solidFill>
          <a:prstDash val="solid"/>
        </a:ln>
      </c:spPr>
      <c:txPr>
        <a:bodyPr/>
        <a:lstStyle/>
        <a:p>
          <a:pPr>
            <a:defRPr sz="25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oddHeader>&amp;A</c:oddHeader>
      <c:oddFooter>Page &amp;P</c:oddFooter>
    </c:headerFooter>
    <c:pageMargins b="1" l="0.75" r="0.75" t="1" header="0.5" footer="0.5"/>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0</xdr:colOff>
      <xdr:row>24</xdr:row>
      <xdr:rowOff>0</xdr:rowOff>
    </xdr:from>
    <xdr:to>
      <xdr:col>8</xdr:col>
      <xdr:colOff>0</xdr:colOff>
      <xdr:row>41</xdr:row>
      <xdr:rowOff>0</xdr:rowOff>
    </xdr:to>
    <xdr:graphicFrame macro="">
      <xdr:nvGraphicFramePr>
        <xdr:cNvPr id="40267720" name="Chart 50">
          <a:extLst>
            <a:ext uri="{FF2B5EF4-FFF2-40B4-BE49-F238E27FC236}">
              <a16:creationId xmlns:a16="http://schemas.microsoft.com/office/drawing/2014/main" id="{AE42F6A5-3E88-AE2A-D5BB-BA5691270198}"/>
            </a:ext>
            <a:ext uri="{C183D7F6-B498-43B3-948B-1728B52AA6E4}">
              <adec:decorative xmlns:adec="http://schemas.microsoft.com/office/drawing/2017/decorative" val="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9525</xdr:colOff>
      <xdr:row>7</xdr:row>
      <xdr:rowOff>38100</xdr:rowOff>
    </xdr:from>
    <xdr:to>
      <xdr:col>15</xdr:col>
      <xdr:colOff>9525</xdr:colOff>
      <xdr:row>23</xdr:row>
      <xdr:rowOff>28575</xdr:rowOff>
    </xdr:to>
    <xdr:graphicFrame macro="">
      <xdr:nvGraphicFramePr>
        <xdr:cNvPr id="40267721" name="Chart 52">
          <a:extLst>
            <a:ext uri="{FF2B5EF4-FFF2-40B4-BE49-F238E27FC236}">
              <a16:creationId xmlns:a16="http://schemas.microsoft.com/office/drawing/2014/main" id="{97529DD7-57BF-6DC5-74C3-61D53804CE72}"/>
            </a:ext>
            <a:ext uri="{C183D7F6-B498-43B3-948B-1728B52AA6E4}">
              <adec:decorative xmlns:adec="http://schemas.microsoft.com/office/drawing/2017/decorative" val="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9525</xdr:colOff>
      <xdr:row>7</xdr:row>
      <xdr:rowOff>38100</xdr:rowOff>
    </xdr:from>
    <xdr:to>
      <xdr:col>8</xdr:col>
      <xdr:colOff>9525</xdr:colOff>
      <xdr:row>23</xdr:row>
      <xdr:rowOff>28575</xdr:rowOff>
    </xdr:to>
    <xdr:graphicFrame macro="">
      <xdr:nvGraphicFramePr>
        <xdr:cNvPr id="40267722" name="Chart 54">
          <a:extLst>
            <a:ext uri="{FF2B5EF4-FFF2-40B4-BE49-F238E27FC236}">
              <a16:creationId xmlns:a16="http://schemas.microsoft.com/office/drawing/2014/main" id="{5C3F7ED1-0A85-A791-0346-934C1EF43610}"/>
            </a:ext>
            <a:ext uri="{C183D7F6-B498-43B3-948B-1728B52AA6E4}">
              <adec:decorative xmlns:adec="http://schemas.microsoft.com/office/drawing/2017/decorative" val="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0</xdr:colOff>
      <xdr:row>24</xdr:row>
      <xdr:rowOff>0</xdr:rowOff>
    </xdr:from>
    <xdr:to>
      <xdr:col>15</xdr:col>
      <xdr:colOff>0</xdr:colOff>
      <xdr:row>41</xdr:row>
      <xdr:rowOff>0</xdr:rowOff>
    </xdr:to>
    <xdr:graphicFrame macro="">
      <xdr:nvGraphicFramePr>
        <xdr:cNvPr id="40267723" name="Chart 55">
          <a:extLst>
            <a:ext uri="{FF2B5EF4-FFF2-40B4-BE49-F238E27FC236}">
              <a16:creationId xmlns:a16="http://schemas.microsoft.com/office/drawing/2014/main" id="{0A914005-2110-F634-D50E-91F133F16C5D}"/>
            </a:ext>
            <a:ext uri="{C183D7F6-B498-43B3-948B-1728B52AA6E4}">
              <adec:decorative xmlns:adec="http://schemas.microsoft.com/office/drawing/2017/decorative" val="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8</xdr:row>
      <xdr:rowOff>0</xdr:rowOff>
    </xdr:from>
    <xdr:to>
      <xdr:col>8</xdr:col>
      <xdr:colOff>0</xdr:colOff>
      <xdr:row>25</xdr:row>
      <xdr:rowOff>0</xdr:rowOff>
    </xdr:to>
    <xdr:graphicFrame macro="">
      <xdr:nvGraphicFramePr>
        <xdr:cNvPr id="40272840" name="Chart 2053">
          <a:extLst>
            <a:ext uri="{FF2B5EF4-FFF2-40B4-BE49-F238E27FC236}">
              <a16:creationId xmlns:a16="http://schemas.microsoft.com/office/drawing/2014/main" id="{A6E85545-92C6-9889-BB06-12AC0D5A040B}"/>
            </a:ext>
            <a:ext uri="{C183D7F6-B498-43B3-948B-1728B52AA6E4}">
              <adec:decorative xmlns:adec="http://schemas.microsoft.com/office/drawing/2017/decorative" val="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8</xdr:row>
      <xdr:rowOff>0</xdr:rowOff>
    </xdr:from>
    <xdr:to>
      <xdr:col>14</xdr:col>
      <xdr:colOff>714375</xdr:colOff>
      <xdr:row>24</xdr:row>
      <xdr:rowOff>152400</xdr:rowOff>
    </xdr:to>
    <xdr:graphicFrame macro="">
      <xdr:nvGraphicFramePr>
        <xdr:cNvPr id="40272841" name="Chart 2054">
          <a:extLst>
            <a:ext uri="{FF2B5EF4-FFF2-40B4-BE49-F238E27FC236}">
              <a16:creationId xmlns:a16="http://schemas.microsoft.com/office/drawing/2014/main" id="{7B7782F5-CB11-0A46-92D6-CC4FF56BC58D}"/>
            </a:ext>
            <a:ext uri="{C183D7F6-B498-43B3-948B-1728B52AA6E4}">
              <adec:decorative xmlns:adec="http://schemas.microsoft.com/office/drawing/2017/decorative" val="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27</xdr:row>
      <xdr:rowOff>0</xdr:rowOff>
    </xdr:from>
    <xdr:to>
      <xdr:col>8</xdr:col>
      <xdr:colOff>0</xdr:colOff>
      <xdr:row>43</xdr:row>
      <xdr:rowOff>0</xdr:rowOff>
    </xdr:to>
    <xdr:graphicFrame macro="">
      <xdr:nvGraphicFramePr>
        <xdr:cNvPr id="40272842" name="Chart 2055">
          <a:extLst>
            <a:ext uri="{FF2B5EF4-FFF2-40B4-BE49-F238E27FC236}">
              <a16:creationId xmlns:a16="http://schemas.microsoft.com/office/drawing/2014/main" id="{3BB77589-66A6-2267-810F-9D8945A88FF7}"/>
            </a:ext>
            <a:ext uri="{C183D7F6-B498-43B3-948B-1728B52AA6E4}">
              <adec:decorative xmlns:adec="http://schemas.microsoft.com/office/drawing/2017/decorative" val="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581025</xdr:colOff>
      <xdr:row>27</xdr:row>
      <xdr:rowOff>0</xdr:rowOff>
    </xdr:from>
    <xdr:to>
      <xdr:col>15</xdr:col>
      <xdr:colOff>0</xdr:colOff>
      <xdr:row>43</xdr:row>
      <xdr:rowOff>0</xdr:rowOff>
    </xdr:to>
    <xdr:graphicFrame macro="">
      <xdr:nvGraphicFramePr>
        <xdr:cNvPr id="40272843" name="Chart 2056">
          <a:extLst>
            <a:ext uri="{FF2B5EF4-FFF2-40B4-BE49-F238E27FC236}">
              <a16:creationId xmlns:a16="http://schemas.microsoft.com/office/drawing/2014/main" id="{A93480E5-049D-BF31-F4C7-A78FE2A8A1FC}"/>
            </a:ext>
            <a:ext uri="{C183D7F6-B498-43B3-948B-1728B52AA6E4}">
              <adec:decorative xmlns:adec="http://schemas.microsoft.com/office/drawing/2017/decorative" val="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B1:T68"/>
  <sheetViews>
    <sheetView workbookViewId="0"/>
  </sheetViews>
  <sheetFormatPr defaultColWidth="9.140625" defaultRowHeight="11.25" x14ac:dyDescent="0.2"/>
  <cols>
    <col min="1" max="1" width="9.140625" style="30" customWidth="1"/>
    <col min="2" max="2" width="10.140625" style="30" customWidth="1"/>
    <col min="3" max="4" width="20.7109375" style="30" customWidth="1"/>
    <col min="5" max="5" width="24.7109375" style="30" customWidth="1"/>
    <col min="6" max="7" width="20.7109375" style="30" customWidth="1"/>
    <col min="8" max="15" width="14.7109375" style="30" customWidth="1"/>
    <col min="16" max="16" width="9.140625" style="30" customWidth="1"/>
    <col min="17" max="16384" width="9.140625" style="30"/>
  </cols>
  <sheetData>
    <row r="1" spans="2:9" ht="12.75" customHeight="1" x14ac:dyDescent="0.2"/>
    <row r="2" spans="2:9" ht="12.75" customHeight="1" x14ac:dyDescent="0.2"/>
    <row r="3" spans="2:9" ht="12.75" customHeight="1" x14ac:dyDescent="0.2"/>
    <row r="4" spans="2:9" ht="12.75" customHeight="1" x14ac:dyDescent="0.2"/>
    <row r="5" spans="2:9" ht="12.75" customHeight="1" x14ac:dyDescent="0.2"/>
    <row r="6" spans="2:9" ht="12.75" customHeight="1" x14ac:dyDescent="0.2"/>
    <row r="7" spans="2:9" ht="12.75" customHeight="1" x14ac:dyDescent="0.2"/>
    <row r="8" spans="2:9" ht="12.75" customHeight="1" x14ac:dyDescent="0.2">
      <c r="B8" s="35"/>
      <c r="C8" s="77"/>
      <c r="D8" s="77"/>
      <c r="E8" s="77"/>
      <c r="F8" s="49"/>
      <c r="G8" s="77"/>
      <c r="H8" s="35"/>
      <c r="I8" s="35"/>
    </row>
    <row r="9" spans="2:9" ht="12.75" customHeight="1" x14ac:dyDescent="0.2"/>
    <row r="10" spans="2:9" ht="12.75" customHeight="1" x14ac:dyDescent="0.2">
      <c r="F10" s="37" t="s">
        <v>0</v>
      </c>
      <c r="G10" s="47">
        <f>(CycDat_C5)</f>
        <v>45930</v>
      </c>
    </row>
    <row r="11" spans="2:9" ht="12.6" customHeight="1" x14ac:dyDescent="0.2">
      <c r="F11" s="37" t="s">
        <v>1</v>
      </c>
      <c r="G11" s="48" t="str">
        <f>IF(Request_Date=0,"N/A",Request_Date)</f>
        <v>12/05/2025</v>
      </c>
    </row>
    <row r="12" spans="2:9" ht="12.6" customHeight="1" x14ac:dyDescent="0.2">
      <c r="F12" s="37" t="s">
        <v>2</v>
      </c>
      <c r="G12" s="27" t="str">
        <f>IF(OR(interval="1",interval=1),"Quarterly",IF(OR(interval="3",interval=3),"Semiannual",IF(OR(interval="2",interval=2),"Annual",)))</f>
        <v>Quarterly</v>
      </c>
    </row>
    <row r="13" spans="2:9" ht="12.6" customHeight="1" x14ac:dyDescent="0.2">
      <c r="B13" s="27" t="s">
        <v>3</v>
      </c>
      <c r="C13" s="29" t="s">
        <v>4</v>
      </c>
      <c r="F13" s="37" t="str">
        <f>IF(CU_NUMBER = 0,"Validated",IF(Validated = 0,"Unvalidated","Validated"))</f>
        <v>Validated</v>
      </c>
    </row>
    <row r="14" spans="2:9" ht="12.75" customHeight="1" x14ac:dyDescent="0.2">
      <c r="B14" s="111">
        <v>1</v>
      </c>
      <c r="C14" s="28" t="s">
        <v>5</v>
      </c>
    </row>
    <row r="15" spans="2:9" ht="12.75" customHeight="1" x14ac:dyDescent="0.2">
      <c r="B15" s="111">
        <v>2</v>
      </c>
      <c r="C15" s="28" t="s">
        <v>6</v>
      </c>
    </row>
    <row r="16" spans="2:9" ht="12.75" customHeight="1" x14ac:dyDescent="0.2">
      <c r="B16" s="111">
        <v>3</v>
      </c>
      <c r="C16" s="28" t="s">
        <v>7</v>
      </c>
    </row>
    <row r="17" spans="2:8" ht="12.75" customHeight="1" x14ac:dyDescent="0.2">
      <c r="B17" s="111">
        <v>4</v>
      </c>
      <c r="C17" s="28" t="s">
        <v>8</v>
      </c>
    </row>
    <row r="18" spans="2:8" s="44" customFormat="1" ht="12.75" customHeight="1" x14ac:dyDescent="0.2">
      <c r="B18" s="111">
        <v>5</v>
      </c>
      <c r="C18" s="28" t="s">
        <v>9</v>
      </c>
      <c r="D18" s="30"/>
      <c r="E18" s="30"/>
      <c r="F18" s="30"/>
      <c r="G18" s="30"/>
      <c r="H18" s="30"/>
    </row>
    <row r="19" spans="2:8" ht="12.75" customHeight="1" x14ac:dyDescent="0.2">
      <c r="B19" s="111">
        <v>6</v>
      </c>
      <c r="C19" s="28" t="s">
        <v>10</v>
      </c>
    </row>
    <row r="20" spans="2:8" ht="12.75" customHeight="1" x14ac:dyDescent="0.2">
      <c r="B20" s="111">
        <v>7</v>
      </c>
      <c r="C20" s="28" t="s">
        <v>11</v>
      </c>
    </row>
    <row r="21" spans="2:8" ht="12.75" customHeight="1" x14ac:dyDescent="0.2">
      <c r="B21" s="111">
        <v>8</v>
      </c>
      <c r="C21" s="28" t="s">
        <v>12</v>
      </c>
    </row>
    <row r="22" spans="2:8" ht="12.75" customHeight="1" x14ac:dyDescent="0.2">
      <c r="B22" s="111">
        <v>9</v>
      </c>
      <c r="C22" s="28" t="s">
        <v>13</v>
      </c>
    </row>
    <row r="23" spans="2:8" ht="12.75" customHeight="1" x14ac:dyDescent="0.2">
      <c r="B23" s="111">
        <v>10</v>
      </c>
      <c r="C23" s="28" t="s">
        <v>14</v>
      </c>
    </row>
    <row r="24" spans="2:8" ht="12.75" customHeight="1" x14ac:dyDescent="0.2">
      <c r="B24" s="111">
        <v>11</v>
      </c>
      <c r="C24" s="28" t="s">
        <v>15</v>
      </c>
    </row>
    <row r="25" spans="2:8" ht="12.75" customHeight="1" x14ac:dyDescent="0.2">
      <c r="B25" s="111">
        <v>12</v>
      </c>
      <c r="C25" s="28" t="s">
        <v>16</v>
      </c>
    </row>
    <row r="26" spans="2:8" ht="12.75" customHeight="1" x14ac:dyDescent="0.2">
      <c r="B26" s="111">
        <v>13</v>
      </c>
      <c r="C26" s="28" t="s">
        <v>17</v>
      </c>
    </row>
    <row r="27" spans="2:8" ht="12.75" customHeight="1" x14ac:dyDescent="0.2">
      <c r="B27" s="111">
        <v>14</v>
      </c>
      <c r="C27" s="28" t="s">
        <v>18</v>
      </c>
    </row>
    <row r="28" spans="2:8" ht="12.75" customHeight="1" x14ac:dyDescent="0.2">
      <c r="B28" s="111">
        <v>15</v>
      </c>
      <c r="C28" s="60" t="s">
        <v>19</v>
      </c>
      <c r="D28" s="46"/>
      <c r="E28" s="46"/>
      <c r="F28" s="44"/>
      <c r="G28" s="44"/>
      <c r="H28" s="44"/>
    </row>
    <row r="29" spans="2:8" ht="12.75" customHeight="1" x14ac:dyDescent="0.2">
      <c r="B29" s="111">
        <v>16</v>
      </c>
      <c r="C29" s="60" t="s">
        <v>20</v>
      </c>
      <c r="D29" s="60"/>
      <c r="E29" s="46"/>
      <c r="F29" s="44"/>
      <c r="G29" s="44"/>
      <c r="H29" s="44"/>
    </row>
    <row r="30" spans="2:8" ht="12.75" customHeight="1" x14ac:dyDescent="0.2">
      <c r="B30" s="111">
        <v>17</v>
      </c>
      <c r="C30" s="60" t="s">
        <v>21</v>
      </c>
    </row>
    <row r="31" spans="2:8" ht="12.75" customHeight="1" x14ac:dyDescent="0.2">
      <c r="B31" s="111">
        <v>18</v>
      </c>
      <c r="C31" s="28" t="s">
        <v>22</v>
      </c>
    </row>
    <row r="32" spans="2:8" ht="12.75" customHeight="1" x14ac:dyDescent="0.2">
      <c r="B32" s="111">
        <v>19</v>
      </c>
      <c r="C32" s="28" t="s">
        <v>23</v>
      </c>
    </row>
    <row r="33" spans="2:20" ht="12.75" customHeight="1" x14ac:dyDescent="0.2">
      <c r="B33" s="111">
        <v>20</v>
      </c>
      <c r="C33" s="28" t="s">
        <v>24</v>
      </c>
    </row>
    <row r="34" spans="2:20" ht="12.75" customHeight="1" x14ac:dyDescent="0.2">
      <c r="B34" s="111">
        <v>21</v>
      </c>
      <c r="C34" s="28" t="s">
        <v>25</v>
      </c>
    </row>
    <row r="35" spans="2:20" ht="12.75" customHeight="1" x14ac:dyDescent="0.2">
      <c r="B35" s="111">
        <v>22</v>
      </c>
      <c r="C35" s="28" t="s">
        <v>26</v>
      </c>
    </row>
    <row r="36" spans="2:20" ht="12.75" customHeight="1" x14ac:dyDescent="0.2">
      <c r="B36" s="111">
        <v>23</v>
      </c>
      <c r="C36" s="28" t="s">
        <v>27</v>
      </c>
    </row>
    <row r="37" spans="2:20" ht="12.75" customHeight="1" x14ac:dyDescent="0.2">
      <c r="B37" s="111">
        <v>24</v>
      </c>
      <c r="C37" s="28" t="s">
        <v>28</v>
      </c>
    </row>
    <row r="38" spans="2:20" ht="12.75" customHeight="1" x14ac:dyDescent="0.2">
      <c r="B38" s="111">
        <v>25</v>
      </c>
      <c r="C38" s="28" t="s">
        <v>29</v>
      </c>
    </row>
    <row r="39" spans="2:20" ht="12.75" customHeight="1" x14ac:dyDescent="0.2">
      <c r="B39" s="111">
        <v>26</v>
      </c>
      <c r="C39" s="28" t="s">
        <v>30</v>
      </c>
    </row>
    <row r="40" spans="2:20" ht="12.75" customHeight="1" x14ac:dyDescent="0.2">
      <c r="B40" s="111">
        <v>27</v>
      </c>
      <c r="C40" s="28" t="s">
        <v>31</v>
      </c>
    </row>
    <row r="41" spans="2:20" ht="12.75" customHeight="1" x14ac:dyDescent="0.2">
      <c r="B41" s="111">
        <v>28</v>
      </c>
      <c r="C41" s="28" t="s">
        <v>32</v>
      </c>
    </row>
    <row r="42" spans="2:20" ht="12.75" customHeight="1" x14ac:dyDescent="0.2">
      <c r="B42" s="111">
        <v>29</v>
      </c>
      <c r="C42" s="28" t="s">
        <v>33</v>
      </c>
      <c r="L42" s="36"/>
      <c r="M42" s="36"/>
      <c r="N42" s="36"/>
      <c r="O42" s="36"/>
      <c r="P42" s="36"/>
      <c r="Q42" s="36"/>
      <c r="R42" s="36"/>
      <c r="S42" s="36"/>
      <c r="T42" s="33"/>
    </row>
    <row r="43" spans="2:20" ht="12.75" customHeight="1" x14ac:dyDescent="0.2">
      <c r="B43" s="111">
        <v>30</v>
      </c>
      <c r="C43" s="28" t="s">
        <v>34</v>
      </c>
      <c r="L43" s="36"/>
      <c r="M43" s="36"/>
      <c r="N43" s="36"/>
      <c r="O43" s="36"/>
      <c r="P43" s="36"/>
      <c r="Q43" s="36"/>
      <c r="R43" s="36"/>
      <c r="S43" s="36"/>
      <c r="T43" s="33"/>
    </row>
    <row r="44" spans="2:20" ht="12.75" customHeight="1" x14ac:dyDescent="0.2">
      <c r="B44" s="111">
        <v>31</v>
      </c>
      <c r="C44" s="28" t="s">
        <v>35</v>
      </c>
      <c r="L44" s="36"/>
      <c r="M44" s="36"/>
      <c r="N44" s="36"/>
      <c r="O44" s="36"/>
      <c r="P44" s="36"/>
      <c r="Q44" s="36"/>
      <c r="R44" s="36"/>
      <c r="S44" s="36"/>
      <c r="T44" s="33"/>
    </row>
    <row r="45" spans="2:20" ht="12.75" customHeight="1" x14ac:dyDescent="0.2">
      <c r="B45" s="111">
        <v>32</v>
      </c>
      <c r="C45" s="28" t="s">
        <v>36</v>
      </c>
      <c r="L45" s="36"/>
      <c r="M45" s="36"/>
      <c r="N45" s="36"/>
      <c r="O45" s="36"/>
      <c r="P45" s="36"/>
      <c r="Q45" s="36"/>
      <c r="R45" s="36"/>
      <c r="S45" s="36"/>
      <c r="T45" s="33"/>
    </row>
    <row r="46" spans="2:20" ht="12.75" customHeight="1" x14ac:dyDescent="0.2">
      <c r="B46" s="111">
        <v>33</v>
      </c>
      <c r="C46" s="28" t="s">
        <v>37</v>
      </c>
      <c r="D46" s="29" t="s">
        <v>38</v>
      </c>
    </row>
    <row r="47" spans="2:20" ht="12.75" customHeight="1" x14ac:dyDescent="0.2">
      <c r="B47" s="111">
        <v>34</v>
      </c>
      <c r="C47" s="28" t="s">
        <v>39</v>
      </c>
      <c r="D47" s="29" t="s">
        <v>40</v>
      </c>
    </row>
    <row r="48" spans="2:20" ht="13.15" customHeight="1" x14ac:dyDescent="0.2">
      <c r="C48" s="38" t="s">
        <v>41</v>
      </c>
      <c r="D48" s="114" t="str">
        <f>IF(_xlnm.Criteria="","N/A",_xlnm.Criteria)</f>
        <v xml:space="preserve">Region: Nation * Peer Group: All * Types Included: All  Federally Insured Credit Unions  (FICUs) *  </v>
      </c>
      <c r="E48" s="113"/>
      <c r="F48" s="113"/>
      <c r="G48" s="113"/>
      <c r="H48" s="112"/>
      <c r="I48" s="112"/>
      <c r="J48" s="112"/>
    </row>
    <row r="49" spans="2:8" ht="12.75" customHeight="1" x14ac:dyDescent="0.2">
      <c r="D49" s="29" t="str">
        <f>IF(CU_NUMBER&gt;0,"",IF(RetPop=0,"Retroactive Population",""))</f>
        <v/>
      </c>
    </row>
    <row r="50" spans="2:8" ht="12.75" customHeight="1" x14ac:dyDescent="0.2">
      <c r="E50" s="29" t="str">
        <f>IF(Cu_Name="","",Cu_Name)</f>
        <v/>
      </c>
    </row>
    <row r="51" spans="2:8" ht="12.75" customHeight="1" x14ac:dyDescent="0.2">
      <c r="E51" s="50" t="str">
        <f>IF(Cu_Type="","", IF(Cu_Type="1", "Federal Credit Union", IF(Cu_Type="2","Credit Union", IF(Cu_Type="3", "Credit Union"))))</f>
        <v/>
      </c>
      <c r="F51" s="36"/>
      <c r="G51" s="36"/>
      <c r="H51" s="36"/>
    </row>
    <row r="52" spans="2:8" ht="12.75" customHeight="1" x14ac:dyDescent="0.2">
      <c r="E52" s="29" t="str">
        <f>IF(Street="","",Street)</f>
        <v/>
      </c>
    </row>
    <row r="53" spans="2:8" ht="12.75" customHeight="1" x14ac:dyDescent="0.2">
      <c r="E53" s="29" t="str">
        <f>IF(City="","",City&amp; "    " &amp; State &amp;"    " &amp;  TEXT(Zip_Code, "00000"))</f>
        <v/>
      </c>
    </row>
    <row r="54" spans="2:8" ht="12.75" customHeight="1" x14ac:dyDescent="0.2">
      <c r="E54" s="29" t="s">
        <v>42</v>
      </c>
      <c r="F54" s="38">
        <f>IF(CountCu_C5=0,"N/A",CountCu_C5)</f>
        <v>4331</v>
      </c>
    </row>
    <row r="55" spans="2:8" ht="12.75" customHeight="1" x14ac:dyDescent="0.2">
      <c r="E55" s="29" t="s">
        <v>43</v>
      </c>
      <c r="F55" s="38" t="str">
        <f>IF(AssetRange="","N/A",AssetRange)</f>
        <v>N/A</v>
      </c>
    </row>
    <row r="56" spans="2:8" ht="12.75" customHeight="1" x14ac:dyDescent="0.2">
      <c r="E56" s="29" t="s">
        <v>44</v>
      </c>
      <c r="F56" s="38" t="str">
        <f>IF(Peer_Group="","N/A",IF(Peer_Group="0","N/A",Peer_Group))</f>
        <v>N/A</v>
      </c>
    </row>
    <row r="57" spans="2:8" ht="12.75" customHeight="1" x14ac:dyDescent="0.2">
      <c r="E57" s="29" t="s">
        <v>45</v>
      </c>
      <c r="F57" s="38" t="str">
        <f>IF(NoCu_in_Peer_Group="","N/A",NoCu_in_Peer_Group)</f>
        <v>N/A</v>
      </c>
    </row>
    <row r="58" spans="2:8" ht="12.75" customHeight="1" x14ac:dyDescent="0.2">
      <c r="E58" s="109" t="str">
        <f>ReportSource</f>
        <v xml:space="preserve"> </v>
      </c>
      <c r="F58" s="109" t="str">
        <f>ReportSrcText</f>
        <v>September-2025 Archive</v>
      </c>
    </row>
    <row r="59" spans="2:8" ht="12.75" customHeight="1" x14ac:dyDescent="0.2"/>
    <row r="60" spans="2:8" ht="12.75" customHeight="1" x14ac:dyDescent="0.2">
      <c r="B60" s="29" t="s">
        <v>46</v>
      </c>
    </row>
    <row r="61" spans="2:8" x14ac:dyDescent="0.2">
      <c r="B61" s="29" t="str">
        <f>IF(CU_NUMBER="","N/A",CU_NUMBER) &amp; " - " &amp;IF(Region="","N/A",Region) &amp; " - " &amp; IF(SE="","N/A",SE) &amp; " - " &amp; IF(District="","N/A",District)</f>
        <v>N/A - N/A - N/A - N/A</v>
      </c>
    </row>
    <row r="63" spans="2:8" x14ac:dyDescent="0.2">
      <c r="B63" s="26" t="s">
        <v>47</v>
      </c>
      <c r="C63" s="25"/>
      <c r="D63" s="25"/>
      <c r="E63" s="25"/>
      <c r="F63" s="25"/>
    </row>
    <row r="64" spans="2:8" x14ac:dyDescent="0.2">
      <c r="B64" s="25"/>
      <c r="C64" s="25"/>
      <c r="D64" s="25"/>
      <c r="E64" s="25"/>
      <c r="F64" s="25"/>
    </row>
    <row r="65" spans="2:2" x14ac:dyDescent="0.2">
      <c r="B65" s="29" t="s">
        <v>48</v>
      </c>
    </row>
    <row r="67" spans="2:2" x14ac:dyDescent="0.2">
      <c r="B67" s="109" t="str">
        <f>ReportSrcExplanation</f>
        <v xml:space="preserve"> </v>
      </c>
    </row>
    <row r="68" spans="2:2" x14ac:dyDescent="0.2">
      <c r="B68" s="29"/>
    </row>
  </sheetData>
  <mergeCells count="1">
    <mergeCell ref="B63:F64"/>
  </mergeCells>
  <phoneticPr fontId="2" type="noConversion"/>
  <hyperlinks>
    <hyperlink ref="C14" location="'1. Summary Financial'!A1" display="Summary Financial Information" xr:uid="{00000000-0004-0000-0000-000000000000}"/>
    <hyperlink ref="C18" location="'5. Assets'!A1" display="Assets" xr:uid="{00000000-0004-0000-0000-000001000000}"/>
    <hyperlink ref="C19" location="'6. LiabShEquity'!A1" display="Liabilities, Shares &amp; Equity" xr:uid="{00000000-0004-0000-0000-000002000000}"/>
    <hyperlink ref="C26" location="'13. Del Comm Loans (con''t)'!A1" display="Delinquent Commercial Loans 2" xr:uid="{00000000-0004-0000-0000-000003000000}"/>
    <hyperlink ref="C27" location="'14. Loan Losses'!A1" display="Loan Losses " xr:uid="{00000000-0004-0000-0000-000004000000}"/>
    <hyperlink ref="C28" location="'15. Indirect Loans'!A1" display="Indirect Loans" xr:uid="{00000000-0004-0000-0000-000005000000}"/>
    <hyperlink ref="C47" location="'34. Graphs 2'!A1" display="Graphs 2" xr:uid="{00000000-0004-0000-0000-000006000000}"/>
    <hyperlink ref="C17" location="'4. Historical Ratios'!A1" display="Historical Ratios" xr:uid="{00000000-0004-0000-0000-000007000000}"/>
    <hyperlink ref="C25" location="'12. Del Comm Loans'!A1" display="Delinquent Commercial Loans 1" xr:uid="{00000000-0004-0000-0000-000008000000}"/>
    <hyperlink ref="C21" location="'8. Loans'!A1" display="Loans" xr:uid="{00000000-0004-0000-0000-000009000000}"/>
    <hyperlink ref="C23" location="'10. Delinquent Loans (con''t)'!A1" display="Delinquent Loan Information 2" xr:uid="{00000000-0004-0000-0000-00000A000000}"/>
    <hyperlink ref="C24" location="'11. Delinquent RE Loans '!A1" display="Delinquent Real Estate Loans" xr:uid="{00000000-0004-0000-0000-00000B000000}"/>
    <hyperlink ref="C33" location="'20. Commercial Loans'!A1" display="Commercial Loans" xr:uid="{00000000-0004-0000-0000-00000C000000}"/>
    <hyperlink ref="C43" location="'30. Shares and Membership'!A1" display="Shares and Membership" xr:uid="{00000000-0004-0000-0000-00000D000000}"/>
    <hyperlink ref="C15" location="'2. Key Ratios'!A1" display="Key Ratios" xr:uid="{00000000-0004-0000-0000-00000E000000}"/>
    <hyperlink ref="C16" location="'3. Supplemental Ratios'!A1" display="Supplemental Ratios" xr:uid="{00000000-0004-0000-0000-00000F000000}"/>
    <hyperlink ref="C20" location="'7. IncExp'!A1" display="Income Statement" xr:uid="{00000000-0004-0000-0000-000010000000}"/>
    <hyperlink ref="C22" location="'9. Delinquent Loans '!A1" display="Delinquent Loan Information 1" xr:uid="{00000000-0004-0000-0000-000011000000}"/>
    <hyperlink ref="C36" location="'23. Investments'!A1" display="Investments" xr:uid="{00000000-0004-0000-0000-000012000000}"/>
    <hyperlink ref="C37" location="'24. Investments (con''t)'!A1" display="Investments Continued" xr:uid="{00000000-0004-0000-0000-000013000000}"/>
    <hyperlink ref="C39" location="'26. Investments-Memoranda'!A1" display="Other Investment Information" xr:uid="{00000000-0004-0000-0000-000014000000}"/>
    <hyperlink ref="C41" location="'28. LIQ - Comm and OBS'!A1" display="Liquidity - Unfunded Commitments and Off-Balance Sheet Exposures" xr:uid="{00000000-0004-0000-0000-000015000000}"/>
    <hyperlink ref="C42" location="'29. LIQ-Borrowing Arrangements'!A1" display="Liquidity - Borrowing Arrangements" xr:uid="{00000000-0004-0000-0000-000016000000}"/>
    <hyperlink ref="C46" location="'33. Graphs 1'!A1" display="Graphs 1" xr:uid="{00000000-0004-0000-0000-000017000000}"/>
    <hyperlink ref="C34" location="'21. Comm Loan Net COs'!A1" display="Commercial Loan Net Charge Offs" xr:uid="{00000000-0004-0000-0000-000018000000}"/>
    <hyperlink ref="C38" location="'25. Investment Maturity'!A1" display="Investment Maturity" xr:uid="{00000000-0004-0000-0000-000019000000}"/>
    <hyperlink ref="C30" location="'17. Participations 701.22'!A1" display="Participation Loans 701.22" xr:uid="{00000000-0004-0000-0000-00001A000000}"/>
    <hyperlink ref="C35" location="'22. Comm Loan Losses'!A1" display="Commercial Loan Losses" xr:uid="{00000000-0004-0000-0000-00001B000000}"/>
    <hyperlink ref="C29" location="'16. Loans Purch or Sold 701.23'!A1" display="Loans Purchased or Sold 701.23" xr:uid="{00000000-0004-0000-0000-00001C000000}"/>
    <hyperlink ref="C40" location="'27. Derivatives'!A1" display="Derivatives" xr:uid="{00000000-0004-0000-0000-00001D000000}"/>
    <hyperlink ref="C44" location="'31. Share &amp; Deposit Maturity'!A1" display="Share and Deposit Maturity" xr:uid="{00000000-0004-0000-0000-00001E000000}"/>
    <hyperlink ref="C31" location="'18. RE Loans '!A1" display="Real Estate(Non-Commercial) Loans " xr:uid="{00000000-0004-0000-0000-00001F000000}"/>
    <hyperlink ref="C32" location="'19. RE Loan Losses'!A1" display="Real Estate(Non-Commercial) Loans Losses" xr:uid="{00000000-0004-0000-0000-000020000000}"/>
    <hyperlink ref="C45" location="'32. Supplemental Info'!A1" display="Supplemental Information" xr:uid="{00000000-0004-0000-0000-000021000000}"/>
  </hyperlinks>
  <printOptions horizontalCentered="1" verticalCentered="1"/>
  <pageMargins left="0.75" right="0.75" top="0.5" bottom="0.5" header="0.5" footer="0.5"/>
  <pageSetup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48"/>
  <sheetViews>
    <sheetView workbookViewId="0"/>
  </sheetViews>
  <sheetFormatPr defaultColWidth="9.140625" defaultRowHeight="11.25" x14ac:dyDescent="0.2"/>
  <cols>
    <col min="1" max="1" width="78.42578125" style="30" customWidth="1"/>
    <col min="2" max="3" width="16.7109375" style="30" customWidth="1"/>
    <col min="4" max="4" width="6.7109375" style="54" customWidth="1"/>
    <col min="5" max="5" width="16.7109375" style="30" customWidth="1"/>
    <col min="6" max="6" width="6.7109375" style="54" customWidth="1"/>
    <col min="7" max="7" width="16.7109375" style="30" customWidth="1"/>
    <col min="8" max="8" width="6.7109375" style="54" customWidth="1"/>
    <col min="9" max="9" width="16.7109375" style="30" customWidth="1"/>
    <col min="10" max="10" width="6.7109375" style="54" customWidth="1"/>
    <col min="11" max="12" width="13.85546875" style="30" customWidth="1"/>
    <col min="13" max="13" width="14.7109375" style="30" customWidth="1"/>
    <col min="14" max="14" width="9.140625" style="30" customWidth="1"/>
    <col min="15" max="16384" width="9.140625" style="30"/>
  </cols>
  <sheetData>
    <row r="1" spans="1:10" s="62" customFormat="1" ht="13.35" customHeight="1" x14ac:dyDescent="0.2">
      <c r="B1" s="282"/>
      <c r="C1" s="90" t="s">
        <v>5</v>
      </c>
      <c r="D1" s="283"/>
      <c r="F1" s="119"/>
      <c r="H1" s="119"/>
      <c r="J1" s="119"/>
    </row>
    <row r="2" spans="1:10" s="62" customFormat="1" ht="13.35" customHeight="1" x14ac:dyDescent="0.2">
      <c r="A2" s="28" t="s">
        <v>49</v>
      </c>
      <c r="B2" s="90"/>
      <c r="C2" s="67" t="s">
        <v>50</v>
      </c>
      <c r="D2" s="87" t="str">
        <f>IF(CU_NUMBER="","N/A",CU_NUMBER)</f>
        <v>N/A</v>
      </c>
      <c r="F2" s="119"/>
      <c r="H2" s="119"/>
      <c r="J2" s="119"/>
    </row>
    <row r="3" spans="1:10" s="62" customFormat="1" ht="13.35" customHeight="1" x14ac:dyDescent="0.2">
      <c r="A3" s="284" t="str">
        <f>IF(Request_Date=0,"N/A",Request_Date)</f>
        <v>12/05/2025</v>
      </c>
      <c r="B3" s="282"/>
      <c r="C3" s="67" t="s">
        <v>42</v>
      </c>
      <c r="D3" s="75">
        <f>IF(CountCu_C5=0,"N/A",CountCu_C5)</f>
        <v>4331</v>
      </c>
      <c r="F3" s="119"/>
      <c r="H3" s="119"/>
      <c r="J3" s="119"/>
    </row>
    <row r="4" spans="1:10" s="62" customFormat="1" ht="13.35" customHeight="1" x14ac:dyDescent="0.2">
      <c r="A4" s="74" t="str">
        <f>"CU Name:      "&amp;IF(Cu_Name="","N/A",Cu_Name)</f>
        <v>CU Name:      N/A</v>
      </c>
      <c r="B4" s="282"/>
      <c r="C4" s="67" t="s">
        <v>43</v>
      </c>
      <c r="D4" s="89" t="str">
        <f>IF(AssetRange="","N/A",AssetRange)</f>
        <v>N/A</v>
      </c>
      <c r="E4" s="75"/>
      <c r="F4" s="119"/>
      <c r="H4" s="119"/>
      <c r="J4" s="119"/>
    </row>
    <row r="5" spans="1:10" s="62" customFormat="1" ht="13.35" customHeight="1" x14ac:dyDescent="0.2">
      <c r="A5" s="74" t="str">
        <f>"Peer Group:      "&amp;IF(Peer_Group="","N/A",IF(Peer_Group="0","N/A",Peer_Group))</f>
        <v>Peer Group:      N/A</v>
      </c>
      <c r="B5" s="90"/>
      <c r="C5" s="67" t="s">
        <v>51</v>
      </c>
      <c r="D5" s="24" t="str">
        <f>IF(_xlnm.Criteria="","N/A",_xlnm.Criteria)</f>
        <v xml:space="preserve">Region: Nation * Peer Group: All * Types Included: All  Federally Insured Credit Unions  (FICUs) *  </v>
      </c>
      <c r="E5" s="23"/>
      <c r="F5" s="23"/>
      <c r="G5" s="23"/>
      <c r="H5" s="23"/>
      <c r="I5" s="23"/>
      <c r="J5" s="23"/>
    </row>
    <row r="6" spans="1:10" s="62" customFormat="1" ht="13.35" customHeight="1" x14ac:dyDescent="0.2">
      <c r="B6" s="22" t="s">
        <v>45</v>
      </c>
      <c r="C6" s="21"/>
      <c r="D6" s="75" t="str">
        <f>IF(NoCu_in_Peer_Group="","N/A",NoCu_in_Peer_Group)</f>
        <v>N/A</v>
      </c>
      <c r="E6" s="75" t="str">
        <f>IF(CU_NUMBER&gt;0,"",IF(RetPop=0,"Retroactive Population",""))</f>
        <v/>
      </c>
      <c r="F6" s="119"/>
      <c r="H6" s="119"/>
      <c r="J6" s="119"/>
    </row>
    <row r="7" spans="1:10" ht="13.35" customHeight="1" x14ac:dyDescent="0.2">
      <c r="B7" s="52"/>
      <c r="C7" s="96"/>
      <c r="E7" s="36"/>
    </row>
    <row r="8" spans="1:10" ht="13.35" customHeight="1" x14ac:dyDescent="0.2">
      <c r="A8" s="127"/>
      <c r="B8" s="139">
        <f>(CycDat_C1)</f>
        <v>45565</v>
      </c>
      <c r="C8" s="139">
        <f>(CycDat_C2)</f>
        <v>45657</v>
      </c>
      <c r="D8" s="184" t="s">
        <v>52</v>
      </c>
      <c r="E8" s="139">
        <f>(CycDat_C3)</f>
        <v>45747</v>
      </c>
      <c r="F8" s="184" t="s">
        <v>52</v>
      </c>
      <c r="G8" s="139">
        <f>(CycDat_C4)</f>
        <v>45838</v>
      </c>
      <c r="H8" s="184" t="s">
        <v>52</v>
      </c>
      <c r="I8" s="139">
        <f>(CycDat_C5)</f>
        <v>45930</v>
      </c>
      <c r="J8" s="184" t="s">
        <v>52</v>
      </c>
    </row>
    <row r="9" spans="1:10" ht="13.35" customHeight="1" x14ac:dyDescent="0.2">
      <c r="A9" s="123" t="s">
        <v>53</v>
      </c>
      <c r="B9" s="190" t="s">
        <v>54</v>
      </c>
      <c r="C9" s="190" t="s">
        <v>54</v>
      </c>
      <c r="D9" s="102"/>
      <c r="E9" s="190" t="s">
        <v>54</v>
      </c>
      <c r="F9" s="102"/>
      <c r="G9" s="190" t="s">
        <v>54</v>
      </c>
      <c r="H9" s="102"/>
      <c r="I9" s="190" t="s">
        <v>54</v>
      </c>
      <c r="J9" s="102"/>
    </row>
    <row r="10" spans="1:10" ht="13.35" customHeight="1" x14ac:dyDescent="0.2">
      <c r="A10" s="285" t="s">
        <v>55</v>
      </c>
      <c r="B10" s="76">
        <f>IF(B8&lt;DATEVALUE("3/31/2022"),A730A_C1+A730B_C1+A730C_C1,AAS0009_C1)</f>
        <v>216998098521</v>
      </c>
      <c r="C10" s="76">
        <f>IF(C8&lt;DATEVALUE("3/31/2022"),A730A_C2+A730B_C2+A730C_C2,AAS0009_C2)</f>
        <v>211081316598</v>
      </c>
      <c r="D10" s="102">
        <f t="shared" ref="D10:D19" si="0">IF(C10="N/A", " ", IF(B10="N/A", " ",IF(AND(B10=0,C10=0,),"N/A",IF(ABS(B10)=0, "N/A", ((C10-B10)/ABS(B10))*100))))</f>
        <v>-2.7266515067768684</v>
      </c>
      <c r="E10" s="76">
        <f>IF(E8&lt;DATEVALUE("3/31/2022"),A730A_C3+A730B_C3+A730C_C3,AAS0009_C3)</f>
        <v>247532454075</v>
      </c>
      <c r="F10" s="102">
        <f t="shared" ref="F10:F19" si="1">IF(E10="N/A", " ", IF(C10="N/A", " ",IF(AND(C10=0,E10=0,),"N/A",IF(ABS(C10)=0, "N/A", ((E10-C10)/ABS(C10))*100))))</f>
        <v>17.268765452330602</v>
      </c>
      <c r="G10" s="76">
        <f>IF(G8&lt;DATEVALUE("3/31/2022"),A730A_C4+A730B_C4+A730C_C4,AAS0009_C4)</f>
        <v>223753980104</v>
      </c>
      <c r="H10" s="102">
        <f t="shared" ref="H10:H19" si="2">IF(G10="N/A", " ", IF(E10="N/A", " ",IF(AND(E10=0,G10=0,),"N/A",IF(ABS(E10)=0, "N/A", ((G10-E10)/ABS(E10))*100))))</f>
        <v>-9.6062045923866393</v>
      </c>
      <c r="I10" s="76">
        <f>IF(I8&lt;DATEVALUE("3/31/2022"),A730A_C5+A730B_C5+A730C_C5,AAS0009_C5)</f>
        <v>215532319013</v>
      </c>
      <c r="J10" s="102">
        <f t="shared" ref="J10:J19" si="3">IF(I10="N/A", " ", IF(G10="N/A", " ",IF(AND(G10=0,I10=0,),"N/A",IF(ABS(G10)=0, "N/A", ((I10-G10)/ABS(G10))*100))))</f>
        <v>-3.6744200425747082</v>
      </c>
    </row>
    <row r="11" spans="1:10" ht="13.35" customHeight="1" x14ac:dyDescent="0.2">
      <c r="A11" t="s">
        <v>56</v>
      </c>
      <c r="B11" s="76">
        <f>IF(B8&lt;DATEVALUE("3/31/2022"),A799I_C1,AAS0013_C1+AAS0017_C1)</f>
        <v>361197722054</v>
      </c>
      <c r="C11" s="76">
        <f>IF(C8&lt;DATEVALUE("3/31/2022"),A799I_C2,AAS0013_C2+AAS0017_C2)</f>
        <v>351257419409</v>
      </c>
      <c r="D11" s="102">
        <f t="shared" si="0"/>
        <v>-2.7520391292816346</v>
      </c>
      <c r="E11" s="76">
        <f>IF(E8&lt;DATEVALUE("3/31/2022"),A799I_C3,AAS0013_C3+AAS0017_C3)</f>
        <v>359783577416</v>
      </c>
      <c r="F11" s="102">
        <f t="shared" si="1"/>
        <v>2.4273246729835596</v>
      </c>
      <c r="G11" s="76">
        <f>IF(G8&lt;DATEVALUE("3/31/2022"),A799I_C4,AAS0013_C4+AAS0017_C4)</f>
        <v>365335322720</v>
      </c>
      <c r="H11" s="102">
        <f t="shared" si="2"/>
        <v>1.5430791321474884</v>
      </c>
      <c r="I11" s="76">
        <f>IF(I8&lt;DATEVALUE("3/31/2022"),A799I_C5,AAS0013_C5+AAS0017_C5)</f>
        <v>369074933490</v>
      </c>
      <c r="J11" s="102">
        <f t="shared" si="3"/>
        <v>1.0236105127086519</v>
      </c>
    </row>
    <row r="12" spans="1:10" ht="13.35" customHeight="1" x14ac:dyDescent="0.2">
      <c r="A12" s="127" t="s">
        <v>57</v>
      </c>
      <c r="B12" s="76">
        <f>A003_C1</f>
        <v>3657996333</v>
      </c>
      <c r="C12" s="76">
        <f>A003_C2</f>
        <v>3332520624</v>
      </c>
      <c r="D12" s="102">
        <f t="shared" si="0"/>
        <v>-8.8976499528929409</v>
      </c>
      <c r="E12" s="76">
        <f>A003_C3</f>
        <v>3065526598</v>
      </c>
      <c r="F12" s="102">
        <f t="shared" si="1"/>
        <v>-8.0117741530892328</v>
      </c>
      <c r="G12" s="76">
        <f>A003_C4</f>
        <v>3605539002</v>
      </c>
      <c r="H12" s="102">
        <f t="shared" si="2"/>
        <v>17.615648950895192</v>
      </c>
      <c r="I12" s="76">
        <f>A003_C5</f>
        <v>3692716647</v>
      </c>
      <c r="J12" s="102">
        <f t="shared" si="3"/>
        <v>2.4178810699771209</v>
      </c>
    </row>
    <row r="13" spans="1:10" ht="13.35" customHeight="1" x14ac:dyDescent="0.2">
      <c r="A13" s="286" t="s">
        <v>58</v>
      </c>
      <c r="B13" s="76">
        <f>A025B_C1</f>
        <v>1630400480217</v>
      </c>
      <c r="C13" s="76">
        <f>A025B_C2</f>
        <v>1645193102116</v>
      </c>
      <c r="D13" s="102">
        <f t="shared" si="0"/>
        <v>0.90729989830665159</v>
      </c>
      <c r="E13" s="76">
        <f>A025B_C3</f>
        <v>1653740584809</v>
      </c>
      <c r="F13" s="102">
        <f t="shared" si="1"/>
        <v>0.51954282339297886</v>
      </c>
      <c r="G13" s="76">
        <f>A025B_C4</f>
        <v>1681256068236</v>
      </c>
      <c r="H13" s="102">
        <f t="shared" si="2"/>
        <v>1.6638331114174065</v>
      </c>
      <c r="I13" s="76">
        <f>A025B_C5</f>
        <v>1702727097420</v>
      </c>
      <c r="J13" s="102">
        <f t="shared" si="3"/>
        <v>1.2770826282594618</v>
      </c>
    </row>
    <row r="14" spans="1:10" ht="13.35" customHeight="1" x14ac:dyDescent="0.2">
      <c r="A14" s="181" t="s">
        <v>59</v>
      </c>
      <c r="B14" s="191">
        <f>IF(B8&lt;DATEVALUE("3/31/2019"),A719_C1,A719_C1+AAS0048_C1)</f>
        <v>20960857944</v>
      </c>
      <c r="C14" s="191">
        <f>IF(C8&gt;DATEVALUE("12/31/2018"),(A719_C2+AAS0048_C2),A719_C2)</f>
        <v>21791406027</v>
      </c>
      <c r="D14" s="102">
        <f t="shared" si="0"/>
        <v>3.9623763741872144</v>
      </c>
      <c r="E14" s="191">
        <f>IF(E8&gt;DATEVALUE("12/31/2018"),(A719_C3+AAS0048_C3),A719_C3)</f>
        <v>21692685833</v>
      </c>
      <c r="F14" s="102">
        <f t="shared" si="1"/>
        <v>-0.45302351705843874</v>
      </c>
      <c r="G14" s="191">
        <f>IF(G8&gt;DATEVALUE("12/31/2018"),(A719_C4+AAS0048_C4),A719_C4)</f>
        <v>22066025987</v>
      </c>
      <c r="H14" s="102">
        <f t="shared" si="2"/>
        <v>1.7210416306866725</v>
      </c>
      <c r="I14" s="191">
        <f>IF(I8&gt;DATEVALUE("12/31/2018"),(A719_C5+AAS0048_C5),A719_C5)</f>
        <v>22592777251</v>
      </c>
      <c r="J14" s="102">
        <f t="shared" si="3"/>
        <v>2.3871596286088428</v>
      </c>
    </row>
    <row r="15" spans="1:10" s="44" customFormat="1" ht="13.35" customHeight="1" x14ac:dyDescent="0.2">
      <c r="A15" s="181" t="s">
        <v>60</v>
      </c>
      <c r="B15" s="192">
        <f>A007_C1</f>
        <v>32471434942</v>
      </c>
      <c r="C15" s="192">
        <f>A007_C2</f>
        <v>32860023025</v>
      </c>
      <c r="D15" s="102">
        <f t="shared" si="0"/>
        <v>1.1967074559350097</v>
      </c>
      <c r="E15" s="192">
        <f>A007_C3</f>
        <v>33171673825</v>
      </c>
      <c r="F15" s="102">
        <f t="shared" si="1"/>
        <v>0.94841929892409138</v>
      </c>
      <c r="G15" s="192">
        <f>A007_C4</f>
        <v>33428569193</v>
      </c>
      <c r="H15" s="102">
        <f t="shared" si="2"/>
        <v>0.77444198129787922</v>
      </c>
      <c r="I15" s="192">
        <f>A007_C5</f>
        <v>33712814283</v>
      </c>
      <c r="J15" s="102">
        <f t="shared" si="3"/>
        <v>0.85030588165143894</v>
      </c>
    </row>
    <row r="16" spans="1:10" ht="13.35" customHeight="1" x14ac:dyDescent="0.2">
      <c r="A16" s="182" t="s">
        <v>61</v>
      </c>
      <c r="B16" s="76">
        <f>A008_C1</f>
        <v>8904637936</v>
      </c>
      <c r="C16" s="76">
        <f>A008_C2</f>
        <v>9039213940</v>
      </c>
      <c r="D16" s="102">
        <f t="shared" si="0"/>
        <v>1.5113023681280868</v>
      </c>
      <c r="E16" s="76">
        <f>A008_C3</f>
        <v>9005152150</v>
      </c>
      <c r="F16" s="102">
        <f t="shared" si="1"/>
        <v>-0.37682247843776556</v>
      </c>
      <c r="G16" s="76">
        <f>A008_C4</f>
        <v>9102634978</v>
      </c>
      <c r="H16" s="102">
        <f t="shared" si="2"/>
        <v>1.0825228311106325</v>
      </c>
      <c r="I16" s="76">
        <f>A008_C5</f>
        <v>9264329393</v>
      </c>
      <c r="J16" s="102">
        <f t="shared" si="3"/>
        <v>1.7763473476723655</v>
      </c>
    </row>
    <row r="17" spans="1:10" ht="13.35" customHeight="1" x14ac:dyDescent="0.2">
      <c r="A17" s="182" t="s">
        <v>62</v>
      </c>
      <c r="B17" s="76">
        <f>A794_C1</f>
        <v>17258701232</v>
      </c>
      <c r="C17" s="76">
        <f>A794_C2</f>
        <v>17596522724</v>
      </c>
      <c r="D17" s="102">
        <f t="shared" si="0"/>
        <v>1.957398111589258</v>
      </c>
      <c r="E17" s="76">
        <f>A794_C3</f>
        <v>17629582217</v>
      </c>
      <c r="F17" s="102">
        <f t="shared" si="1"/>
        <v>0.18787514737164498</v>
      </c>
      <c r="G17" s="76">
        <f>A794_C4</f>
        <v>17814785003</v>
      </c>
      <c r="H17" s="102">
        <f t="shared" si="2"/>
        <v>1.0505228298683738</v>
      </c>
      <c r="I17" s="76">
        <f>A794_C5</f>
        <v>17859123639</v>
      </c>
      <c r="J17" s="102">
        <f t="shared" si="3"/>
        <v>0.24888673083920684</v>
      </c>
    </row>
    <row r="18" spans="1:10" ht="13.35" customHeight="1" x14ac:dyDescent="0.2">
      <c r="A18" s="182" t="s">
        <v>63</v>
      </c>
      <c r="B18" s="76">
        <f>IF(B8&lt;=DATEVALUE("12/31/2021"),(A009_C1+A009D_C1+A798A_C1),A798A_C1+AAS0036_C1)</f>
        <v>61537576838</v>
      </c>
      <c r="C18" s="76">
        <f>IF(C8&lt;=DATEVALUE("12/31/2021"),(A009_C2+A009D_C2+A798A_C2),A798A_C2+AAS0036_C2)</f>
        <v>58841144956</v>
      </c>
      <c r="D18" s="102">
        <f t="shared" si="0"/>
        <v>-4.3817648021768214</v>
      </c>
      <c r="E18" s="76">
        <f>IF(E8&lt;=DATEVALUE("12/31/2021"),(A009_C3+A009D_C3+A798A_C3),A798A_C3+AAS0036_C3)</f>
        <v>64974530566</v>
      </c>
      <c r="F18" s="102">
        <f t="shared" si="1"/>
        <v>10.423634031231716</v>
      </c>
      <c r="G18" s="76">
        <f>IF(G8&lt;=DATEVALUE("12/31/2021"),(A009_C4+A009D_C4+A798A_C4),A798A_C4+AAS0036_C4)</f>
        <v>66740338334</v>
      </c>
      <c r="H18" s="102">
        <f t="shared" si="2"/>
        <v>2.7176922289670462</v>
      </c>
      <c r="I18" s="76">
        <f>IF(I8&lt;=DATEVALUE("12/31/2021"),(A009_C5+A009D_C5+A798A_C5),A798A_C5+AAS0036_C5)</f>
        <v>68488986848</v>
      </c>
      <c r="J18" s="102">
        <f t="shared" si="3"/>
        <v>2.6200773889532019</v>
      </c>
    </row>
    <row r="19" spans="1:10" ht="13.35" customHeight="1" x14ac:dyDescent="0.2">
      <c r="A19" s="228" t="s">
        <v>64</v>
      </c>
      <c r="B19" s="193">
        <f>A010_C1</f>
        <v>2311465790129</v>
      </c>
      <c r="C19" s="193">
        <f>A010_C2</f>
        <v>2307409857365</v>
      </c>
      <c r="D19" s="194">
        <f t="shared" si="0"/>
        <v>-0.17547016189124059</v>
      </c>
      <c r="E19" s="193">
        <f>A010_C3</f>
        <v>2367210395823</v>
      </c>
      <c r="F19" s="194">
        <f t="shared" si="1"/>
        <v>2.5916738748048256</v>
      </c>
      <c r="G19" s="193">
        <f>A010_C4</f>
        <v>2378971211583</v>
      </c>
      <c r="H19" s="194">
        <f t="shared" si="2"/>
        <v>0.49682173501570642</v>
      </c>
      <c r="I19" s="193">
        <f>A010_C5</f>
        <v>2397759543482</v>
      </c>
      <c r="J19" s="194">
        <f t="shared" si="3"/>
        <v>0.78976709795903699</v>
      </c>
    </row>
    <row r="20" spans="1:10" ht="13.35" customHeight="1" x14ac:dyDescent="0.2">
      <c r="A20" s="148"/>
      <c r="B20" s="76"/>
      <c r="C20" s="76"/>
      <c r="D20" s="102"/>
      <c r="E20" s="76"/>
      <c r="F20" s="102"/>
      <c r="G20" s="76"/>
      <c r="H20" s="102"/>
      <c r="I20" s="76"/>
      <c r="J20" s="102"/>
    </row>
    <row r="21" spans="1:10" ht="13.35" customHeight="1" x14ac:dyDescent="0.2">
      <c r="A21" s="123" t="s">
        <v>65</v>
      </c>
      <c r="B21" s="76"/>
      <c r="C21" s="76"/>
      <c r="D21" s="102"/>
      <c r="E21" s="76"/>
      <c r="F21" s="102"/>
      <c r="G21" s="76"/>
      <c r="H21" s="102"/>
      <c r="I21" s="76"/>
      <c r="J21" s="102"/>
    </row>
    <row r="22" spans="1:10" ht="13.35" customHeight="1" x14ac:dyDescent="0.2">
      <c r="A22" s="124" t="s">
        <v>66</v>
      </c>
      <c r="B22" s="76">
        <f>IF(B8&lt;DATEVALUE("3/31/2022"),A825_C1+A825A_C1+A925A_C1,A825_C1)</f>
        <v>28326846613</v>
      </c>
      <c r="C22" s="76">
        <f>IF(C8&lt;DATEVALUE("3/31/2022"),A825_C2+A825A_C2+A925A_C2,A825_C2)</f>
        <v>27635771906</v>
      </c>
      <c r="D22" s="102">
        <f t="shared" ref="D22:D31" si="4">IF(C22="N/A", " ", IF(B22="N/A", " ",IF(AND(B22=0,C22=0,),"N/A",IF(ABS(B22)=0, "N/A", ((C22-B22)/ABS(B22))*100))))</f>
        <v>-2.4396457411635999</v>
      </c>
      <c r="E22" s="76">
        <f>IF(E8&lt;DATEVALUE("3/31/2022"),A825_C3+A825A_C3+A925A_C3,A825_C3)</f>
        <v>27530164737</v>
      </c>
      <c r="F22" s="102">
        <f t="shared" ref="F22:F31" si="5">IF(E22="N/A", " ", IF(C22="N/A", " ",IF(AND(C22=0,E22=0,),"N/A",IF(ABS(C22)=0, "N/A", ((E22-C22)/ABS(C22))*100))))</f>
        <v>-0.38213938571794204</v>
      </c>
      <c r="G22" s="76">
        <f>IF(G8&lt;DATEVALUE("3/31/2022"),A825_C4+A825A_C4+A925A_C4,A825_C4)</f>
        <v>28534974395</v>
      </c>
      <c r="H22" s="102">
        <f t="shared" ref="H22:H31" si="6">IF(G22="N/A", " ", IF(E22="N/A", " ",IF(AND(E22=0,G22=0,),"N/A",IF(ABS(E22)=0, "N/A", ((G22-E22)/ABS(E22))*100))))</f>
        <v>3.6498497833162462</v>
      </c>
      <c r="I22" s="76">
        <f>IF(I8&lt;DATEVALUE("3/31/2022"),A825_C5+A825A_C5+A925A_C5,A825_C5)</f>
        <v>29299829570</v>
      </c>
      <c r="J22" s="102">
        <f t="shared" ref="J22:J31" si="7">IF(I22="N/A", " ", IF(G22="N/A", " ",IF(AND(G22=0,I22=0,),"N/A",IF(ABS(G22)=0, "N/A", ((I22-G22)/ABS(G22))*100))))</f>
        <v>2.6804130412467471</v>
      </c>
    </row>
    <row r="23" spans="1:10" ht="13.35" customHeight="1" x14ac:dyDescent="0.2">
      <c r="A23" s="183" t="s">
        <v>67</v>
      </c>
      <c r="B23" s="76">
        <f>A820A_C1</f>
        <v>1002932908</v>
      </c>
      <c r="C23" s="76">
        <f>A820A_C2</f>
        <v>1066399393</v>
      </c>
      <c r="D23" s="102">
        <f t="shared" si="4"/>
        <v>6.3280887977403975</v>
      </c>
      <c r="E23" s="76">
        <f>A820A_C3</f>
        <v>889000226</v>
      </c>
      <c r="F23" s="102">
        <f t="shared" si="5"/>
        <v>-16.635340207850248</v>
      </c>
      <c r="G23" s="76">
        <f>A820A_C4</f>
        <v>884169894</v>
      </c>
      <c r="H23" s="102">
        <f t="shared" si="6"/>
        <v>-0.54334429381798599</v>
      </c>
      <c r="I23" s="76">
        <f>A820A_C5</f>
        <v>902902939</v>
      </c>
      <c r="J23" s="102">
        <f t="shared" si="7"/>
        <v>2.1187155463133198</v>
      </c>
    </row>
    <row r="24" spans="1:10" ht="13.35" customHeight="1" x14ac:dyDescent="0.2">
      <c r="A24" s="144" t="s">
        <v>68</v>
      </c>
      <c r="B24" s="76">
        <f>ALI0003_C1</f>
        <v>147237592</v>
      </c>
      <c r="C24" s="76">
        <f>ALI0003_C2</f>
        <v>154963715</v>
      </c>
      <c r="D24" s="102">
        <f t="shared" si="4"/>
        <v>5.24738478472264</v>
      </c>
      <c r="E24" s="76">
        <f>ALI0003_C3</f>
        <v>153239076</v>
      </c>
      <c r="F24" s="102">
        <f t="shared" si="5"/>
        <v>-1.1129308561039597</v>
      </c>
      <c r="G24" s="76">
        <f>ALI0003_C4</f>
        <v>162588147</v>
      </c>
      <c r="H24" s="102">
        <f t="shared" si="6"/>
        <v>6.1009706166591604</v>
      </c>
      <c r="I24" s="76">
        <f>ALI0003_C5</f>
        <v>170839813</v>
      </c>
      <c r="J24" s="102">
        <f t="shared" si="7"/>
        <v>5.0751953031360886</v>
      </c>
    </row>
    <row r="25" spans="1:10" ht="13.35" customHeight="1" x14ac:dyDescent="0.2">
      <c r="A25" s="28" t="s">
        <v>69</v>
      </c>
      <c r="B25" s="76">
        <f>IF(B8&gt;DATEVALUE("12/31/2021"),A860C_C1,A860C_C1-A925A_C1)</f>
        <v>121860496521</v>
      </c>
      <c r="C25" s="76">
        <f>IF(C8&gt;DATEVALUE("12/31/2021"),A860C_C2,A860C_C2-A925A_C2)</f>
        <v>96453698383</v>
      </c>
      <c r="D25" s="102">
        <f t="shared" si="4"/>
        <v>-20.849084702048373</v>
      </c>
      <c r="E25" s="76">
        <f>IF(E8&gt;DATEVALUE("12/31/2021"),A860C_C3,A860C_C3-A925A_C3)</f>
        <v>87429331543</v>
      </c>
      <c r="F25" s="102">
        <f t="shared" si="5"/>
        <v>-9.3561646585762723</v>
      </c>
      <c r="G25" s="76">
        <f>IF(G8&gt;DATEVALUE("12/31/2021"),A860C_C4,A860C_C4-A925A_C4)</f>
        <v>90112873489</v>
      </c>
      <c r="H25" s="102">
        <f t="shared" si="6"/>
        <v>3.0693840369580832</v>
      </c>
      <c r="I25" s="76">
        <f>IF(I8&gt;DATEVALUE("12/31/2021"),A860C_C5,A860C_C5-A925A_C5)</f>
        <v>87900804556</v>
      </c>
      <c r="J25" s="102">
        <f t="shared" si="7"/>
        <v>-2.4547757133391439</v>
      </c>
    </row>
    <row r="26" spans="1:10" ht="13.35" customHeight="1" x14ac:dyDescent="0.2">
      <c r="A26" s="28" t="s">
        <v>70</v>
      </c>
      <c r="B26" s="76">
        <f>A018_C1</f>
        <v>1934741203143</v>
      </c>
      <c r="C26" s="76">
        <f>A018_C2</f>
        <v>1959246734224</v>
      </c>
      <c r="D26" s="102">
        <f t="shared" si="4"/>
        <v>1.2666051170663344</v>
      </c>
      <c r="E26" s="76">
        <f>A018_C3</f>
        <v>2020469553833</v>
      </c>
      <c r="F26" s="102">
        <f t="shared" si="5"/>
        <v>3.1248141716693256</v>
      </c>
      <c r="G26" s="76">
        <f>A018_C4</f>
        <v>2022039878904</v>
      </c>
      <c r="H26" s="102">
        <f t="shared" si="6"/>
        <v>7.7720798515422407E-2</v>
      </c>
      <c r="I26" s="76">
        <f>A018_C5</f>
        <v>2033695308354</v>
      </c>
      <c r="J26" s="102">
        <f t="shared" si="7"/>
        <v>0.57641936598785359</v>
      </c>
    </row>
    <row r="27" spans="1:10" ht="13.35" customHeight="1" x14ac:dyDescent="0.2">
      <c r="A27" s="275" t="s">
        <v>71</v>
      </c>
      <c r="B27" s="193">
        <f>IF(B8&lt;DATEVALUE("3/31/2019"),SUM(B22:B26),ALI0069_C1)</f>
        <v>2086078716777</v>
      </c>
      <c r="C27" s="193">
        <f>IF(C8&lt;DATEVALUE("3/31/2019"),SUM(C22:C26),ALI0069_C2)</f>
        <v>2084557567621</v>
      </c>
      <c r="D27" s="194">
        <f t="shared" si="4"/>
        <v>-7.2919067903160509E-2</v>
      </c>
      <c r="E27" s="193">
        <f>IF(E8&lt;DATEVALUE("3/31/2019"),SUM(E22:E26),ALI0069_C3)</f>
        <v>2136471289415</v>
      </c>
      <c r="F27" s="194">
        <f t="shared" si="5"/>
        <v>2.4903952090537129</v>
      </c>
      <c r="G27" s="193">
        <f>IF(G8&lt;DATEVALUE("3/31/2019"),SUM(G22:G26),ALI0069_C4)</f>
        <v>2141734484829</v>
      </c>
      <c r="H27" s="194">
        <f t="shared" si="6"/>
        <v>0.24634992476033446</v>
      </c>
      <c r="I27" s="193">
        <f>IF(I8&lt;DATEVALUE("3/31/2019"),SUM(I22:I26),ALI0069_C5)</f>
        <v>2151969685232</v>
      </c>
      <c r="J27" s="194">
        <f t="shared" si="7"/>
        <v>0.4778930570292983</v>
      </c>
    </row>
    <row r="28" spans="1:10" ht="13.35" customHeight="1" x14ac:dyDescent="0.2">
      <c r="A28" s="86" t="s">
        <v>72</v>
      </c>
      <c r="B28" s="76">
        <f>IF(B8&lt;DATEVALUE("3/31/2022"),A940_C1+A602_C1+A931_C1,A940_C1+A602_C1)</f>
        <v>205526560707</v>
      </c>
      <c r="C28" s="76">
        <f>IF(C8&lt;DATEVALUE("3/31/2022"),A940_C2+A602_C2+A931_C2,A940_C2+A602_C2)</f>
        <v>207274819310</v>
      </c>
      <c r="D28" s="102">
        <f t="shared" si="4"/>
        <v>0.85062417090330666</v>
      </c>
      <c r="E28" s="76">
        <f>IF(E8&lt;DATEVALUE("3/31/2022"),A940_C3+A602_C3+A931_C3,A940_C3+A602_C3)</f>
        <v>210430179935</v>
      </c>
      <c r="F28" s="102">
        <f t="shared" si="5"/>
        <v>1.5223077436535337</v>
      </c>
      <c r="G28" s="76">
        <f>IF(G8&lt;DATEVALUE("3/31/2022"),A940_C4+A602_C4+A931_C4,A940_C4+A602_C4)</f>
        <v>214465288026</v>
      </c>
      <c r="H28" s="102">
        <f t="shared" si="6"/>
        <v>1.9175519843429345</v>
      </c>
      <c r="I28" s="76">
        <f>IF(I8&lt;DATEVALUE("3/31/2022"),A940_C5+A602_C5+A931_C5,A940_C5+A602_C5)</f>
        <v>219875332736</v>
      </c>
      <c r="J28" s="102">
        <f t="shared" si="7"/>
        <v>2.5225735874535236</v>
      </c>
    </row>
    <row r="29" spans="1:10" ht="13.35" customHeight="1" x14ac:dyDescent="0.2">
      <c r="A29" s="144" t="s">
        <v>73</v>
      </c>
      <c r="B29" s="76">
        <f>IF(B8&lt;=DATEVALUE("12/31/2018"),A658_C1+A658A_C1+A668_C1+A945_C1+A996_C1+A945A_C1+A945B_C1+A945C_C1,IF(B8&lt;=DATEVALUE("12/31/2021"),A658_C1+A658A_C1+A668_C1+AEQ0009_C1+A996_C1+A945A_C1+A945B_C1+A945C_C1,A658_C1+A668_C1+A658A_C1+A945A_C1+A945C_C1+AEQ0009_C1+A945B_C1+A996_C1))</f>
        <v>19860512645</v>
      </c>
      <c r="C29" s="76">
        <f>IF(C8&lt;=DATEVALUE("12/31/2018"),A658_C2+A658A_C2+A668_C2+A945_C2+A996_C2+A945A_C2+A945B_C2+A945C_C2,IF(C8&lt;=DATEVALUE("12/31/2021"),A658_C2+A658A_C2+A668_C2+AEQ0009_C2+A996_C2+A945A_C2+A945B_C2+A945C_C2,A658_C2+A668_C2+A658A_C2+A945A_C2+A945C_C2+AEQ0009_C2+A945B_C2+A996_C2))</f>
        <v>15577470434</v>
      </c>
      <c r="D29" s="102">
        <f t="shared" si="4"/>
        <v>-21.565617602918628</v>
      </c>
      <c r="E29" s="76">
        <f>IF(E8&lt;=DATEVALUE("12/31/2018"),A658_C3+A658A_C3+A668_C3+A945_C3+A996_C3+A945A_C3+A945B_C3+A945C_C3,IF(E8&lt;=DATEVALUE("12/31/2021"),A658_C3+A658A_C3+A668_C3+AEQ0009_C3+A996_C3+A945A_C3+A945B_C3+A945C_C3,A658_C3+A668_C3+A658A_C3+A945A_C3+A945C_C3+AEQ0009_C3+A945B_C3+A996_C3))</f>
        <v>20308926473</v>
      </c>
      <c r="F29" s="102">
        <f t="shared" si="5"/>
        <v>30.373712208581299</v>
      </c>
      <c r="G29" s="76">
        <f>IF(G8&lt;=DATEVALUE("12/31/2018"),A658_C4+A658A_C4+A668_C4+A945_C4+A996_C4+A945A_C4+A945B_C4+A945C_C4,IF(G8&lt;=DATEVALUE("12/31/2021"),A658_C4+A658A_C4+A668_C4+AEQ0009_C4+A996_C4+A945A_C4+A945B_C4+A945C_C4,A658_C4+A668_C4+A658A_C4+A945A_C4+A945C_C4+AEQ0009_C4+A945B_C4+A996_C4))</f>
        <v>22771438728</v>
      </c>
      <c r="H29" s="102">
        <f t="shared" si="6"/>
        <v>12.125270423691882</v>
      </c>
      <c r="I29" s="76">
        <f>IF(I8&lt;=DATEVALUE("12/31/2018"),A658_C5+A658A_C5+A668_C5+A945_C5+A996_C5+A945A_C5+A945B_C5+A945C_C5,IF(I8&lt;=DATEVALUE("12/31/2021"),A658_C5+A658A_C5+A668_C5+AEQ0009_C5+A996_C5+A945A_C5+A945B_C5+A945C_C5,A658_C5+A668_C5+A658A_C5+A945A_C5+A945C_C5+AEQ0009_C5+A945B_C5+A996_C5))</f>
        <v>25914525514</v>
      </c>
      <c r="J29" s="102">
        <f t="shared" si="7"/>
        <v>13.802758901374235</v>
      </c>
    </row>
    <row r="30" spans="1:10" ht="13.35" customHeight="1" x14ac:dyDescent="0.2">
      <c r="A30" s="145" t="s">
        <v>74</v>
      </c>
      <c r="B30" s="76">
        <f>IF(B8&lt;=DATEVALUE("12/31/2018"),A658_C1+A658A_C1+A668_C1+A931_C1+A940_C1+A945_C1+A996_C1+A945A_C1+A945B_C1+A945C_C1+A602_C1,IF(B8&lt;=DATEVALUE("12/31/2021"),A658_C1+A658A_C1+A668_C1+A931_C1+A940_C1+AEQ0009_C1+A996_C1+A945A_C1+A945B_C1+A945C_C1+A602_C1,A940_C1+A658_C1+A668_C1+A658A_C1+A945A_C1+A945C_C1+AEQ0009_C1+A945B_C1+A602_C1+A996_C1))</f>
        <v>225387073352</v>
      </c>
      <c r="C30" s="76">
        <f>IF(C8&lt;=DATEVALUE("12/31/2018"),A658_C2+A658A_C2+A668_C2+A931_C2+A940_C2+A945_C2+A996_C2+A945A_C2+A945B_C2+A945C_C2+A602_C2,IF(C8&lt;=DATEVALUE("12/31/2021"),A658_C2+A658A_C2+A668_C2+A931_C2+A940_C2+AEQ0009_C2+A996_C2+A945A_C2+A945B_C2+A945C_C2+A602_C2,A940_C2+A658_C2+A668_C2+A658A_C2+A945A_C2+A945C_C2+AEQ0009_C2+A945B_C2+A602_C2+A996_C2))</f>
        <v>222852289744</v>
      </c>
      <c r="D30" s="102">
        <f t="shared" si="4"/>
        <v>-1.1246357523092205</v>
      </c>
      <c r="E30" s="76">
        <f>IF(E8&lt;=DATEVALUE("12/31/2018"),A658_C3+A658A_C3+A668_C3+A931_C3+A940_C3+A945_C3+A996_C3+A945A_C3+A945B_C3+A945C_C3+A602_C3,IF(E8&lt;=DATEVALUE("12/31/2021"),A658_C3+A658A_C3+A668_C3+A931_C3+A940_C3+AEQ0009_C3+A996_C3+A945A_C3+A945B_C3+A945C_C3+A602_C3,A940_C3+A658_C3+A668_C3+A658A_C3+A945A_C3+A945C_C3+AEQ0009_C3+A945B_C3+A602_C3+A996_C3))</f>
        <v>230739106408</v>
      </c>
      <c r="F30" s="102">
        <f t="shared" si="5"/>
        <v>3.5390332641679048</v>
      </c>
      <c r="G30" s="76">
        <f>IF(G8&lt;=DATEVALUE("12/31/2018"),A658_C4+A658A_C4+A668_C4+A931_C4+A940_C4+A945_C4+A996_C4+A945A_C4+A945B_C4+A945C_C4+A602_C4,IF(G8&lt;=DATEVALUE("12/31/2021"),A658_C4+A658A_C4+A668_C4+A931_C4+A940_C4+AEQ0009_C4+A996_C4+A945A_C4+A945B_C4+A945C_C4+A602_C4,A940_C4+A658_C4+A668_C4+A658A_C4+A945A_C4+A945C_C4+AEQ0009_C4+A945B_C4+A602_C4+A996_C4))</f>
        <v>237236726754</v>
      </c>
      <c r="H30" s="102">
        <f t="shared" si="6"/>
        <v>2.8160030812075294</v>
      </c>
      <c r="I30" s="76">
        <f>IF(I8&lt;=DATEVALUE("12/31/2018"),A658_C5+A658A_C5+A668_C5+A931_C5+A940_C5+A945_C5+A996_C5+A945A_C5+A945B_C5+A945C_C5+A602_C5,IF(I8&lt;=DATEVALUE("12/31/2021"),A658_C5+A658A_C5+A668_C5+A931_C5+A940_C5+AEQ0009_C5+A996_C5+A945A_C5+A945B_C5+A945C_C5+A602_C5,A940_C5+A658_C5+A668_C5+A658A_C5+A945A_C5+A945C_C5+AEQ0009_C5+A945B_C5+A602_C5+A996_C5))</f>
        <v>245789858250</v>
      </c>
      <c r="J30" s="102">
        <f t="shared" si="7"/>
        <v>3.6053150846534292</v>
      </c>
    </row>
    <row r="31" spans="1:10" ht="13.35" customHeight="1" x14ac:dyDescent="0.2">
      <c r="A31" s="179" t="s">
        <v>75</v>
      </c>
      <c r="B31" s="193">
        <f>A014_C1</f>
        <v>2311465790129</v>
      </c>
      <c r="C31" s="193">
        <f>A014_C2</f>
        <v>2307409857365</v>
      </c>
      <c r="D31" s="194">
        <f t="shared" si="4"/>
        <v>-0.17547016189124059</v>
      </c>
      <c r="E31" s="193">
        <f>A014_C3</f>
        <v>2367210395823</v>
      </c>
      <c r="F31" s="194">
        <f t="shared" si="5"/>
        <v>2.5916738748048256</v>
      </c>
      <c r="G31" s="193">
        <f>A014_C4</f>
        <v>2378971211583</v>
      </c>
      <c r="H31" s="194">
        <f t="shared" si="6"/>
        <v>0.49682173501570642</v>
      </c>
      <c r="I31" s="193">
        <f>A014_C5</f>
        <v>2397759543482</v>
      </c>
      <c r="J31" s="194">
        <f t="shared" si="7"/>
        <v>0.78976709795903699</v>
      </c>
    </row>
    <row r="32" spans="1:10" ht="13.35" customHeight="1" x14ac:dyDescent="0.2">
      <c r="A32" s="180"/>
      <c r="B32" s="187"/>
      <c r="C32" s="187"/>
      <c r="D32" s="186"/>
      <c r="E32" s="187"/>
      <c r="F32" s="186"/>
      <c r="G32" s="187"/>
      <c r="H32" s="186"/>
      <c r="I32" s="187"/>
      <c r="J32" s="186"/>
    </row>
    <row r="33" spans="1:11" ht="13.35" customHeight="1" x14ac:dyDescent="0.2">
      <c r="A33" s="148" t="s">
        <v>76</v>
      </c>
      <c r="B33" s="76"/>
      <c r="C33" s="76"/>
      <c r="D33" s="102"/>
      <c r="E33" s="76"/>
      <c r="F33" s="102"/>
      <c r="G33" s="76"/>
      <c r="H33" s="102"/>
      <c r="I33" s="76"/>
      <c r="J33" s="102"/>
    </row>
    <row r="34" spans="1:11" ht="13.35" customHeight="1" x14ac:dyDescent="0.2">
      <c r="A34" s="86" t="s">
        <v>77</v>
      </c>
      <c r="B34" s="76">
        <f>A115_C1</f>
        <v>85526734298</v>
      </c>
      <c r="C34" s="76">
        <f>A115_C2</f>
        <v>115168599362</v>
      </c>
      <c r="D34" s="102">
        <f t="shared" ref="D34:D40" si="8">IF(C34="N/A", " ", IF(B34="N/A", " ",IF(AND(B34=0,C34=0,),"N/A",IF(ABS(B34)=0, "N/A", ((C34*Anu_C2-B34*Anu_C1)/ABS(B34*Anu_C1))*100))))</f>
        <v>0.99350832283546897</v>
      </c>
      <c r="E34" s="76">
        <f>A115_C3</f>
        <v>29614448194</v>
      </c>
      <c r="F34" s="102">
        <f t="shared" ref="F34:F40" si="9">IF(E34="N/A", " ", IF(C34="N/A", " ",IF(AND(C34=0,E34=0,),"N/A",IF(ABS(C34)=0, "N/A", ((E34*Anu_C3-C34*Anu_C2)/ABS(C34*Anu_C2))*100))))</f>
        <v>2.8559810853141911</v>
      </c>
      <c r="G34" s="76">
        <f>A115_C4</f>
        <v>60427440893</v>
      </c>
      <c r="H34" s="102">
        <f t="shared" ref="H34:H40" si="10">IF(G34="N/A", " ", IF(E34="N/A", " ",IF(AND(E34=0,G34=0,),"N/A",IF(ABS(E34)=0, "N/A", ((G34*Anu_C4-E34*Anu_C3)/ABS(E34*Anu_C3))*100))))</f>
        <v>2.0235806812075428</v>
      </c>
      <c r="I34" s="76">
        <f>A115_C5</f>
        <v>92017771008</v>
      </c>
      <c r="J34" s="102">
        <f t="shared" ref="J34:J40" si="11">IF(I34="N/A", " ", IF(G34="N/A", " ",IF(AND(G34=0,I34=0,),"N/A",IF(ABS(G34)=0, "N/A", ((I34*Anu_C5-G34*Anu_C4)/ABS(G34*Anu_C4))*100))))</f>
        <v>1.5187467240670658</v>
      </c>
    </row>
    <row r="35" spans="1:11" ht="13.35" customHeight="1" x14ac:dyDescent="0.2">
      <c r="A35" s="86" t="s">
        <v>78</v>
      </c>
      <c r="B35" s="76">
        <f>A350_C1</f>
        <v>32654153801</v>
      </c>
      <c r="C35" s="76">
        <f>A350_C2</f>
        <v>43960594148</v>
      </c>
      <c r="D35" s="102">
        <f t="shared" si="8"/>
        <v>0.96861125824156502</v>
      </c>
      <c r="E35" s="76">
        <f>A350_C3</f>
        <v>10705279055</v>
      </c>
      <c r="F35" s="102">
        <f t="shared" si="9"/>
        <v>-2.5920439659295207</v>
      </c>
      <c r="G35" s="76">
        <f>A350_C4</f>
        <v>21524055456</v>
      </c>
      <c r="H35" s="102">
        <f t="shared" si="10"/>
        <v>0.53009989471965235</v>
      </c>
      <c r="I35" s="76">
        <f>A350_C5</f>
        <v>32383411129</v>
      </c>
      <c r="J35" s="102">
        <f t="shared" si="11"/>
        <v>0.30145479228718874</v>
      </c>
    </row>
    <row r="36" spans="1:11" ht="13.35" customHeight="1" x14ac:dyDescent="0.2">
      <c r="A36" s="86" t="s">
        <v>79</v>
      </c>
      <c r="B36" s="76">
        <f>A115_C1-A350_C1</f>
        <v>52872580497</v>
      </c>
      <c r="C36" s="76">
        <f>A115_C2-A350_C2</f>
        <v>71208005214</v>
      </c>
      <c r="D36" s="102">
        <f t="shared" si="8"/>
        <v>1.0088847725717993</v>
      </c>
      <c r="E36" s="76">
        <f>A115_C3-A350_C3</f>
        <v>18909169139</v>
      </c>
      <c r="F36" s="102">
        <f t="shared" si="9"/>
        <v>6.219344761436024</v>
      </c>
      <c r="G36" s="76">
        <f>A115_C4-A350_C4</f>
        <v>38903385437</v>
      </c>
      <c r="H36" s="102">
        <f t="shared" si="10"/>
        <v>2.8691032139590402</v>
      </c>
      <c r="I36" s="76">
        <f>A115_C5-A350_C5</f>
        <v>59634359879</v>
      </c>
      <c r="J36" s="102">
        <f t="shared" si="11"/>
        <v>2.1922371864382799</v>
      </c>
    </row>
    <row r="37" spans="1:11" s="107" customFormat="1" ht="13.35" customHeight="1" x14ac:dyDescent="0.2">
      <c r="A37" s="127" t="s">
        <v>80</v>
      </c>
      <c r="B37" s="76">
        <f>IF(B8&lt;DATEVALUE("3/31/2019"), A300_C1,AIS0017_C1+A300_C1)</f>
        <v>9937018135</v>
      </c>
      <c r="C37" s="76">
        <f>IF(C8&lt;DATEVALUE("3/31/2019"), A300_C2,AIS0017_C2+A300_C2)</f>
        <v>14295704243</v>
      </c>
      <c r="D37" s="102">
        <f t="shared" si="8"/>
        <v>7.8973393888246246</v>
      </c>
      <c r="E37" s="76">
        <f>IF(E8&lt;DATEVALUE("3/31/2019"), A300_C3,AIS0017_C3+A300_C3)</f>
        <v>3286994042</v>
      </c>
      <c r="F37" s="102">
        <f t="shared" si="9"/>
        <v>-8.0284822313807567</v>
      </c>
      <c r="G37" s="76">
        <f>IF(G8&lt;DATEVALUE("3/31/2019"), A300_C4,AIS0017_C4+A300_C4)</f>
        <v>6826036780</v>
      </c>
      <c r="H37" s="102">
        <f t="shared" si="10"/>
        <v>3.8340303143147589</v>
      </c>
      <c r="I37" s="76">
        <f>IF(I8&lt;DATEVALUE("3/31/2019"), A300_C5,AIS0017_C5+A300_C5)</f>
        <v>10453782660</v>
      </c>
      <c r="J37" s="102">
        <f t="shared" si="11"/>
        <v>2.0971416447597866</v>
      </c>
    </row>
    <row r="38" spans="1:11" ht="13.35" customHeight="1" x14ac:dyDescent="0.2">
      <c r="A38" s="86" t="s">
        <v>81</v>
      </c>
      <c r="B38" s="192">
        <f>A117_C1</f>
        <v>20234394985</v>
      </c>
      <c r="C38" s="76">
        <f>A117_C2</f>
        <v>26626369138</v>
      </c>
      <c r="D38" s="102">
        <f t="shared" si="8"/>
        <v>-1.3077639914421144</v>
      </c>
      <c r="E38" s="76">
        <f>A117_C3</f>
        <v>6155882747</v>
      </c>
      <c r="F38" s="102">
        <f t="shared" si="9"/>
        <v>-7.5220100030147785</v>
      </c>
      <c r="G38" s="76">
        <f>A117_C4</f>
        <v>13005090262</v>
      </c>
      <c r="H38" s="102">
        <f t="shared" si="10"/>
        <v>5.6314000484973832</v>
      </c>
      <c r="I38" s="76">
        <f>A117_C5</f>
        <v>20023125372</v>
      </c>
      <c r="J38" s="102">
        <f t="shared" si="11"/>
        <v>2.6425036587723763</v>
      </c>
    </row>
    <row r="39" spans="1:11" ht="13.35" customHeight="1" x14ac:dyDescent="0.2">
      <c r="A39" s="86" t="s">
        <v>82</v>
      </c>
      <c r="B39" s="76">
        <f>A671_C1</f>
        <v>51323061639</v>
      </c>
      <c r="C39" s="76">
        <f>A671_C2</f>
        <v>69240348471</v>
      </c>
      <c r="D39" s="102">
        <f t="shared" si="8"/>
        <v>1.1830933207394503</v>
      </c>
      <c r="E39" s="76">
        <f>A671_C3</f>
        <v>17863196570</v>
      </c>
      <c r="F39" s="102">
        <f t="shared" si="9"/>
        <v>3.1953013782514939</v>
      </c>
      <c r="G39" s="76">
        <f>A671_C4</f>
        <v>36229457367</v>
      </c>
      <c r="H39" s="102">
        <f t="shared" si="10"/>
        <v>1.4081024777078854</v>
      </c>
      <c r="I39" s="76">
        <f>A671_C5</f>
        <v>54863932908</v>
      </c>
      <c r="J39" s="102">
        <f t="shared" si="11"/>
        <v>0.95639827417236289</v>
      </c>
    </row>
    <row r="40" spans="1:11" s="29" customFormat="1" ht="13.35" customHeight="1" x14ac:dyDescent="0.2">
      <c r="A40" s="179" t="s">
        <v>83</v>
      </c>
      <c r="B40" s="195">
        <f>A661A_C1</f>
        <v>11846895708</v>
      </c>
      <c r="C40" s="195">
        <f>A661A_C2</f>
        <v>14298321638</v>
      </c>
      <c r="D40" s="196">
        <f t="shared" si="8"/>
        <v>-9.4805804590780145</v>
      </c>
      <c r="E40" s="195">
        <f>A661A_C3</f>
        <v>3914861274</v>
      </c>
      <c r="F40" s="196">
        <f t="shared" si="9"/>
        <v>9.519463140223424</v>
      </c>
      <c r="G40" s="195">
        <f>A661A_C4</f>
        <v>8852981552</v>
      </c>
      <c r="H40" s="196">
        <f t="shared" si="10"/>
        <v>13.068905031141597</v>
      </c>
      <c r="I40" s="195">
        <f>A661A_C5</f>
        <v>14339769683</v>
      </c>
      <c r="J40" s="196">
        <f t="shared" si="11"/>
        <v>7.984484088003577</v>
      </c>
    </row>
    <row r="41" spans="1:11" s="29" customFormat="1" ht="13.35" customHeight="1" x14ac:dyDescent="0.2">
      <c r="A41" s="179"/>
      <c r="B41" s="195"/>
      <c r="C41" s="195"/>
      <c r="D41" s="196"/>
      <c r="E41" s="195"/>
      <c r="F41" s="196"/>
      <c r="G41" s="195"/>
      <c r="H41" s="196"/>
      <c r="I41" s="195"/>
      <c r="J41" s="196"/>
    </row>
    <row r="42" spans="1:11" ht="13.35" customHeight="1" x14ac:dyDescent="0.2">
      <c r="A42" s="229" t="s">
        <v>84</v>
      </c>
      <c r="B42" s="193">
        <f>CountCu_C1</f>
        <v>4499</v>
      </c>
      <c r="C42" s="193">
        <f>CountCu_C2</f>
        <v>4455</v>
      </c>
      <c r="D42" s="194">
        <f>IF(C42="N/A", " ", IF(B42="N/A", " ",IF(AND(B42=0,C42=0,),"N/A",IF(ABS(B42)=0, "N/A", ((C42-B42)/ABS(B42))*100))))</f>
        <v>-0.97799511002444983</v>
      </c>
      <c r="E42" s="193">
        <f>CountCu_C3</f>
        <v>4411</v>
      </c>
      <c r="F42" s="194">
        <f>IF(E42="N/A", " ", IF(C42="N/A", " ",IF(AND(C42=0,E42=0,),"N/A",IF(ABS(C42)=0, "N/A", ((E42-C42)/ABS(C42))*100))))</f>
        <v>-0.98765432098765427</v>
      </c>
      <c r="G42" s="193">
        <f>CountCu_C4</f>
        <v>4370</v>
      </c>
      <c r="H42" s="194">
        <f>IF(G42="N/A", " ", IF(E42="N/A", " ",IF(AND(E42=0,G42=0,),"N/A",IF(ABS(E42)=0, "N/A", ((G42-E42)/ABS(E42))*100))))</f>
        <v>-0.92949444570392203</v>
      </c>
      <c r="I42" s="193">
        <f>CountCu_C5</f>
        <v>4331</v>
      </c>
      <c r="J42" s="194">
        <f>IF(I42="N/A", " ", IF(G42="N/A", " ",IF(AND(G42=0,I42=0,),"N/A",IF(ABS(G42)=0, "N/A", ((I42-G42)/ABS(G42))*100))))</f>
        <v>-0.89244851258581237</v>
      </c>
    </row>
    <row r="43" spans="1:11" ht="13.35" customHeight="1" x14ac:dyDescent="0.2">
      <c r="A43" s="107" t="s">
        <v>85</v>
      </c>
      <c r="B43" s="107"/>
      <c r="C43" s="84"/>
      <c r="D43" s="82"/>
      <c r="E43" s="84"/>
      <c r="F43" s="82"/>
      <c r="G43" s="84"/>
      <c r="H43" s="82"/>
      <c r="I43" s="84"/>
      <c r="J43" s="82"/>
      <c r="K43" s="42"/>
    </row>
    <row r="44" spans="1:11" ht="13.35" customHeight="1" x14ac:dyDescent="0.2">
      <c r="A44" s="107" t="s">
        <v>86</v>
      </c>
      <c r="B44" s="107"/>
      <c r="C44" s="107"/>
      <c r="D44" s="107"/>
      <c r="E44" s="107"/>
      <c r="F44" s="107"/>
      <c r="G44" s="107"/>
      <c r="H44" s="107"/>
      <c r="I44" s="84"/>
      <c r="J44" s="82"/>
      <c r="K44" s="42"/>
    </row>
    <row r="45" spans="1:11" ht="13.35" customHeight="1" x14ac:dyDescent="0.2">
      <c r="A45" s="150" t="s">
        <v>87</v>
      </c>
      <c r="B45" s="81"/>
      <c r="C45" s="81"/>
      <c r="D45" s="81"/>
      <c r="E45" s="81"/>
      <c r="F45" s="81"/>
      <c r="G45" s="81"/>
      <c r="H45" s="81"/>
      <c r="I45" s="107"/>
      <c r="J45" s="188"/>
    </row>
    <row r="46" spans="1:11" ht="13.35" customHeight="1" x14ac:dyDescent="0.2">
      <c r="A46" s="107" t="s">
        <v>88</v>
      </c>
      <c r="B46" s="81"/>
      <c r="C46" s="81"/>
      <c r="D46" s="81"/>
      <c r="E46" s="81"/>
      <c r="F46" s="81"/>
      <c r="G46" s="81"/>
      <c r="H46" s="81"/>
      <c r="I46" s="107"/>
      <c r="J46" s="188"/>
    </row>
    <row r="47" spans="1:11" ht="13.35" customHeight="1" x14ac:dyDescent="0.2">
      <c r="A47" s="107"/>
      <c r="B47" s="107"/>
      <c r="C47" s="107"/>
      <c r="D47" s="188"/>
      <c r="E47" s="107"/>
      <c r="F47" s="188"/>
      <c r="G47" s="107"/>
      <c r="H47" s="188"/>
      <c r="I47" s="107"/>
      <c r="J47" s="188"/>
    </row>
    <row r="48" spans="1:11" ht="13.35" customHeight="1" x14ac:dyDescent="0.2">
      <c r="A48" s="107"/>
      <c r="B48" s="107"/>
      <c r="C48" s="107"/>
      <c r="D48" s="188"/>
      <c r="E48" s="107"/>
      <c r="F48" s="188"/>
      <c r="H48" s="107"/>
      <c r="I48" s="104" t="s">
        <v>89</v>
      </c>
    </row>
  </sheetData>
  <mergeCells count="2">
    <mergeCell ref="D5:J5"/>
    <mergeCell ref="B6:C6"/>
  </mergeCells>
  <phoneticPr fontId="2" type="noConversion"/>
  <hyperlinks>
    <hyperlink ref="A2" location="'Cover Page'!A1" display="Return to cover" xr:uid="{00000000-0004-0000-0100-000000000000}"/>
    <hyperlink ref="A19" location="'5. Assets'!A9" display="        TOTAL ASSETS" xr:uid="{00000000-0004-0000-0100-000001000000}"/>
    <hyperlink ref="A33" location="'7. IncExp'!A9" display="INCOME &amp; EXPENSE" xr:uid="{00000000-0004-0000-0100-000002000000}"/>
    <hyperlink ref="A13" location="'8. Loans'!A9" display="Total Loans" xr:uid="{00000000-0004-0000-0100-000003000000}"/>
    <hyperlink ref="A27" location="'6. LiabShEquity'!A19" display="        TOTAL LIABILITIES" xr:uid="{00000000-0004-0000-0100-000004000000}"/>
    <hyperlink ref="A10" location="'5. Assets'!A10" display="Cash &amp; Other Deposits1" xr:uid="{00000000-0004-0000-0100-000005000000}"/>
    <hyperlink ref="A25" location="'6. LiabShEquity'!A10" display="Borrowings Notes &amp; Interest Payable" xr:uid="{00000000-0004-0000-0100-000006000000}"/>
    <hyperlink ref="A26" location="'31. Share &amp; Deposit Maturity'!A57" display="Total Shares &amp; Deposits" xr:uid="{00000000-0004-0000-0100-000007000000}"/>
  </hyperlinks>
  <printOptions horizontalCentered="1" verticalCentered="1" gridLines="1"/>
  <pageMargins left="0.75" right="0.75" top="0.5" bottom="0.5" header="0.5" footer="0.5"/>
  <pageSetup orientation="landscape" r:id="rId1"/>
  <headerFooter alignWithMargins="0"/>
  <ignoredErrors>
    <ignoredError sqref="G42 I42 G13 I13 G15 I15:I17 G31 I31 G21 I21 G17 G26 I26 I19 G19"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6">
    <pageSetUpPr fitToPage="1"/>
  </sheetPr>
  <dimension ref="A1:J100"/>
  <sheetViews>
    <sheetView workbookViewId="0"/>
  </sheetViews>
  <sheetFormatPr defaultColWidth="9.140625" defaultRowHeight="12" x14ac:dyDescent="0.2"/>
  <cols>
    <col min="1" max="1" width="49.7109375" style="62" customWidth="1"/>
    <col min="2" max="5" width="16.7109375" style="62" customWidth="1"/>
    <col min="6" max="6" width="10.7109375" style="128" customWidth="1"/>
    <col min="7" max="7" width="10.7109375" style="261" customWidth="1"/>
    <col min="8" max="9" width="10.7109375" style="62" customWidth="1"/>
    <col min="10" max="10" width="10.7109375" style="260" customWidth="1"/>
    <col min="11" max="11" width="14.7109375" style="62" customWidth="1"/>
    <col min="12" max="12" width="9.140625" style="62" customWidth="1"/>
    <col min="13" max="16384" width="9.140625" style="62"/>
  </cols>
  <sheetData>
    <row r="1" spans="1:10" ht="13.35" customHeight="1" x14ac:dyDescent="0.2">
      <c r="A1" s="149"/>
      <c r="B1" s="96"/>
      <c r="C1" s="20" t="s">
        <v>90</v>
      </c>
      <c r="D1" s="20"/>
      <c r="G1" s="250"/>
      <c r="H1" s="86"/>
      <c r="I1" s="86"/>
      <c r="J1" s="165"/>
    </row>
    <row r="2" spans="1:10" ht="13.35" customHeight="1" x14ac:dyDescent="0.2">
      <c r="A2" s="273" t="s">
        <v>49</v>
      </c>
      <c r="B2" s="96"/>
      <c r="C2" s="67" t="s">
        <v>50</v>
      </c>
      <c r="D2" s="87" t="str">
        <f>IF(CU_NUMBER="","N/A",CU_NUMBER)</f>
        <v>N/A</v>
      </c>
      <c r="E2" s="205"/>
      <c r="G2" s="251"/>
      <c r="H2" s="86"/>
      <c r="I2" s="86"/>
      <c r="J2" s="165"/>
    </row>
    <row r="3" spans="1:10" ht="13.35" customHeight="1" x14ac:dyDescent="0.2">
      <c r="A3" s="146" t="str">
        <f>IF(Request_Date=0,"N/A",Request_Date)</f>
        <v>12/05/2025</v>
      </c>
      <c r="B3" s="96"/>
      <c r="C3" s="67" t="s">
        <v>42</v>
      </c>
      <c r="D3" s="75">
        <f>IF(CountCu_C5=0,"N/A",CountCu_C5)</f>
        <v>4331</v>
      </c>
      <c r="E3" s="206"/>
      <c r="G3" s="251"/>
      <c r="H3" s="86"/>
      <c r="I3" s="86"/>
      <c r="J3" s="165"/>
    </row>
    <row r="4" spans="1:10" ht="13.35" customHeight="1" x14ac:dyDescent="0.2">
      <c r="A4" s="145" t="str">
        <f>"CU Name:      "&amp;IF(Cu_Name="","N/A",Cu_Name)</f>
        <v>CU Name:      N/A</v>
      </c>
      <c r="C4" s="67" t="s">
        <v>43</v>
      </c>
      <c r="D4" s="89" t="str">
        <f>IF(AssetRange="","N/A",AssetRange)</f>
        <v>N/A</v>
      </c>
      <c r="E4" s="89"/>
      <c r="G4" s="252"/>
      <c r="H4" s="86"/>
      <c r="I4" s="86"/>
      <c r="J4" s="165"/>
    </row>
    <row r="5" spans="1:10" ht="13.35" customHeight="1" x14ac:dyDescent="0.2">
      <c r="A5" s="145" t="str">
        <f>"Peer Group:      "&amp;IF(Peer_Group="","N/A",IF(Peer_Group="0","N/A",Peer_Group))</f>
        <v>Peer Group:      N/A</v>
      </c>
      <c r="B5" s="96"/>
      <c r="C5" s="67" t="s">
        <v>51</v>
      </c>
      <c r="D5" s="24" t="str">
        <f>IF(_xlnm.Criteria="","N/A",_xlnm.Criteria)</f>
        <v xml:space="preserve">Region: Nation * Peer Group: All * Types Included: All  Federally Insured Credit Unions  (FICUs) *  </v>
      </c>
      <c r="E5" s="24"/>
      <c r="F5" s="24"/>
      <c r="G5" s="24"/>
      <c r="H5" s="24"/>
      <c r="I5" s="24"/>
      <c r="J5" s="24"/>
    </row>
    <row r="6" spans="1:10" ht="13.35" customHeight="1" x14ac:dyDescent="0.2">
      <c r="A6" s="145"/>
      <c r="B6" s="96"/>
      <c r="C6" s="67" t="s">
        <v>45</v>
      </c>
      <c r="D6" s="75" t="str">
        <f>IF(NoCu_in_Peer_Group="","N/A",NoCu_in_Peer_Group)</f>
        <v>N/A</v>
      </c>
      <c r="E6" s="75" t="str">
        <f>IF(CU_NUMBER&gt;0,"",IF(RetPop=0,"Retroactive Population",""))</f>
        <v/>
      </c>
      <c r="F6" s="207"/>
      <c r="G6" s="253"/>
      <c r="H6" s="144"/>
      <c r="I6" s="86"/>
      <c r="J6" s="165"/>
    </row>
    <row r="7" spans="1:10" s="86" customFormat="1" ht="13.35" customHeight="1" x14ac:dyDescent="0.2">
      <c r="B7" s="91"/>
      <c r="E7" s="93"/>
      <c r="F7" s="143">
        <f>(CycDat_C4)</f>
        <v>45838</v>
      </c>
      <c r="G7" s="254"/>
      <c r="H7" s="95"/>
      <c r="I7" s="143">
        <f>(CycDat_C5)</f>
        <v>45930</v>
      </c>
      <c r="J7" s="165"/>
    </row>
    <row r="8" spans="1:10" ht="13.35" customHeight="1" x14ac:dyDescent="0.2">
      <c r="C8" s="74"/>
      <c r="E8" s="96"/>
      <c r="F8" s="142"/>
      <c r="G8" s="255"/>
      <c r="H8" s="141"/>
    </row>
    <row r="9" spans="1:10" ht="13.35" customHeight="1" x14ac:dyDescent="0.2">
      <c r="A9" s="123"/>
      <c r="B9" s="139">
        <f>(CycDat_C1)</f>
        <v>45565</v>
      </c>
      <c r="C9" s="139">
        <f>(CycDat_C2)</f>
        <v>45657</v>
      </c>
      <c r="D9" s="139">
        <f>(CycDat_C3)</f>
        <v>45747</v>
      </c>
      <c r="E9" s="139">
        <f>(CycDat_C4)</f>
        <v>45838</v>
      </c>
      <c r="F9" s="140" t="s">
        <v>91</v>
      </c>
      <c r="G9" s="256" t="s">
        <v>92</v>
      </c>
      <c r="H9" s="139">
        <f>(CycDat_C5)</f>
        <v>45930</v>
      </c>
      <c r="I9" s="91" t="s">
        <v>91</v>
      </c>
      <c r="J9" s="256" t="s">
        <v>92</v>
      </c>
    </row>
    <row r="10" spans="1:10" ht="13.35" customHeight="1" x14ac:dyDescent="0.2">
      <c r="A10" s="123" t="s">
        <v>93</v>
      </c>
      <c r="B10" s="137"/>
      <c r="C10" s="137"/>
      <c r="D10" s="137"/>
      <c r="E10" s="137"/>
      <c r="F10" s="138"/>
      <c r="G10" s="257"/>
      <c r="H10" s="137"/>
      <c r="I10" s="86"/>
      <c r="J10" s="165"/>
    </row>
    <row r="11" spans="1:10" ht="13.35" customHeight="1" x14ac:dyDescent="0.2">
      <c r="A11" s="86" t="s">
        <v>94</v>
      </c>
      <c r="B11" s="131">
        <f>IF(CountCu_C1=1,(A998_C1/100),(IF(B9&gt;=DATEVALUE("03/31/2023"), ROUND((A997_C1/(IF((A010X_C1)&gt;0,(A010X_C1-ALC0047X_C1+ANW0004X_C1),(IF(ANW0010_C1&gt;0,ANW0010_C1,1))))*100),4),
IF(B9&gt;=DATEVALUE("03/31/2022"), ROUND((A997_C1/(IF((A010X_C1)&gt;0,(A010X_C1),(IF(ANW0010_C1&gt;0,ANW0010_C1,1))))*100),4),
IF(B9&gt;=DATEVALUE("06/30/2020"), TRUNC((A997_C1/(IF((A010X_C1)&gt;0,(A010X_C1),(IF(ANW0010_C1&gt;0,ANW0010_C1,1))))*100),4),
TRUNC((A997_C1/(IF((A010X_C1)&gt;0,(A010X_C1),(IF(A010_C1&gt;0,A010_C1,1))))*100),2))))))</f>
        <v>11.1662</v>
      </c>
      <c r="C11" s="131">
        <f>IF(CountCu_C2=1,(A998_C2/100),(IF(C9&gt;=DATEVALUE("03/31/2023"), ROUND((A997_C2/(IF((A010X_C2)&gt;0,(A010X_C2-ALC0047X_C2+ANW0004X_C2),(IF(ANW0010_C2&gt;0,ANW0010_C2,1))))*100),4),
IF(C9&gt;=DATEVALUE("03/31/2022"), ROUND((A997_C2/(IF((A010X_C2)&gt;0,(A010X_C2),(IF(ANW0010_C2&gt;0,ANW0010_C2,1))))*100),4),
IF(C9&gt;=DATEVALUE("06/30/2020"), TRUNC((A997_C2/(IF((A010X_C2)&gt;0,(A010X_C2),(IF(ANW0010_C2&gt;0,ANW0010_C2,1))))*100),4),
TRUNC((A997_C2/(IF((A010X_C2)&gt;0,(A010X_C2),(IF(A010_C2&gt;0,A010_C2,1))))*100),2))))))</f>
        <v>11.196899999999999</v>
      </c>
      <c r="D11" s="131">
        <f>IF(CountCu_C3=1,(A998_C3/100),(IF(D9&gt;=DATEVALUE("03/31/2023"), ROUND((A997_C3/(IF((A010X_C3)&gt;0,(A010X_C3-ALC0047X_C3+ANW0004X_C3),(IF(ANW0010_C3&gt;0,ANW0010_C3,1))))*100),4),
IF(D9&gt;=DATEVALUE("03/31/2022"), ROUND((A997_C3/(IF((A010X_C3)&gt;0,(A010X_C3),(IF(ANW0010_C3&gt;0,ANW0010_C3,1))))*100),4),
IF(D9&gt;=DATEVALUE("06/30/2020"), TRUNC((A997_C3/(IF((A010X_C3)&gt;0,(A010X_C3),(IF(ANW0010_C3&gt;0,ANW0010_C3,1))))*100),4),
TRUNC((A997_C3/(IF((A010X_C3)&gt;0,(A010X_C3),(IF(A010_C3&gt;0,A010_C3,1))))*100),2))))))</f>
        <v>11.1045</v>
      </c>
      <c r="E11" s="131">
        <f>IF(CountCu_C4=1,(A998_C4/100),(IF(E9&gt;=DATEVALUE("03/31/2023"), ROUND((A997_C4/(IF((A010X_C4)&gt;0,(A010X_C4-ALC0047X_C4+ANW0004X_C4),(IF(ANW0010_C4&gt;0,ANW0010_C4,1))))*100),4),
IF(E9&gt;=DATEVALUE("03/31/2022"), ROUND((A997_C4/(IF((A010X_C4)&gt;0,(A010X_C4),(IF(ANW0010_C4&gt;0,ANW0010_C4,1))))*100),4),
IF(E9&gt;=DATEVALUE("06/30/2020"), TRUNC((A997_C4/(IF((A010X_C4)&gt;0,(A010X_C4),(IF(ANW0010_C4&gt;0,ANW0010_C4,1))))*100),4),
TRUNC((A997_C4/(IF((A010X_C4)&gt;0,(A010X_C4),(IF(A010_C4&gt;0,A010_C4,1))))*100),2))))))</f>
        <v>11.2334</v>
      </c>
      <c r="F11" s="132" t="str">
        <f t="array" ref="F11">IF(CU_NUMBER="","N/A",IF(PR_319_C4=0,"N/A",TRUNC(PR_319_C4,2)))</f>
        <v>N/A</v>
      </c>
      <c r="G11" s="165" t="str">
        <f t="array" ref="G11">IF(CU_NUMBER="","N/A",IF(E11="N/A","N/A",IF(AND(E11=0,R_319_C4&lt;&gt;0,),R_319_C4,IF(R_319_C4=0,"N/A",R_319_C4))))</f>
        <v>N/A</v>
      </c>
      <c r="H11" s="131">
        <f>IF(CountCu_C5=1,(A998_C5/100),(IF(H9&gt;=DATEVALUE("03/31/2023"), ROUND((A997_C5/(IF((A010X_C5)&gt;0,(A010X_C5-ALC0047X_C5+ANW0004X_C5),(IF(ANW0010_C5&gt;0,ANW0010_C5,1))))*100),4),
IF(H9&gt;=DATEVALUE("03/31/2022"), ROUND((A997_C5/(IF((A010X_C5)&gt;0,(A010X_C5),(IF(ANW0010_C5&gt;0,ANW0010_C5,1))))*100),4),
IF(H9&gt;=DATEVALUE("06/30/2020"), TRUNC((A997_C5/(IF((A010X_C5)&gt;0,(A010X_C5),(IF(ANW0010_C5&gt;0,ANW0010_C5,1))))*100),4),
TRUNC((A997_C5/(IF((A010X_C5)&gt;0,(A010X_C5),(IF(A010_C5&gt;0,A010_C5,1))))*100),2))))))</f>
        <v>11.3627</v>
      </c>
      <c r="I11" s="131" t="str">
        <f t="array" ref="I11">IF(CU_NUMBER="","N/A",IF(PR_319_C5=0,"N/A",TRUNC(PR_319_C5,2)))</f>
        <v>N/A</v>
      </c>
      <c r="J11" s="165" t="str">
        <f t="array" ref="J11">IF(CU_NUMBER="","N/A",IF(H11="N/A","N/A",IF(AND(H11=0,R_319_C5&lt;&gt;0,),R_319_C5,IF(R_319_C5=0,"N/A",R_319_C5))))</f>
        <v>N/A</v>
      </c>
    </row>
    <row r="12" spans="1:10" ht="13.35" customHeight="1" x14ac:dyDescent="0.2">
      <c r="A12" s="124" t="s">
        <v>95</v>
      </c>
      <c r="B12" s="131">
        <f>IF(B9&gt;DATEVALUE("12/31/2018"),IF((A010_C1+A719_C1+AAS0048_C1)=0,0,((A997_C1+A719_C1+AAS0048_C1)/(A010_C1+A719_C1+AAS0048_C1))*100),
IF(B9&gt;DATEVALUE("9/30/2000"),IF((A010_C1+A719_C1)=0,0,((A997_C1+A719_C1)/(A010_C1+A719_C1))*100),"N/A"))</f>
        <v>11.945469491964053</v>
      </c>
      <c r="C12" s="131">
        <f>IF(C9&gt;DATEVALUE("12/31/2018"),IF((A010_C2+A719_C2+AAS0048_C2)=0,0,((A997_C2+A719_C2+AAS0048_C2)/(A010_C2+A719_C2+AAS0048_C2))*100),IF(C9&gt;DATEVALUE("9/30/2000"),IF((A010_C2+A719_C2)=0,0,((A997_C2+A719_C2)/(A010_C2+A719_C2))*100),"N/A"))</f>
        <v>12.016569954388482</v>
      </c>
      <c r="D12" s="131">
        <f>IF(D9&gt;DATEVALUE("12/31/2018"),IF((A010_C3+A719_C3+AAS0048_C3)=0,0,((A997_C3+A719_C3+AAS0048_C3)/(A010_C3+A719_C3+AAS0048_C3))*100),IF(D9&gt;DATEVALUE("9/30/2000"),IF((A010_C3+A719_C3)=0,0,((A997_C3+A719_C3)/(A010_C3+A719_C3))*100),"N/A"))</f>
        <v>11.874265786386033</v>
      </c>
      <c r="E12" s="131">
        <f>IF(E9&gt;DATEVALUE("12/31/2018"),IF((A010_C4+A719_C4+AAS0048_C4)=0,0,((A997_C4+A719_C4+AAS0048_C4)/(A010_C4+A719_C4+AAS0048_C4))*100),IF(E9&gt;DATEVALUE("9/30/2000"),IF((A010_C4+A719_C4)=0,0,((A997_C4+A719_C4)/(A010_C4+A719_C4))*100),"N/A"))</f>
        <v>12.025144322260116</v>
      </c>
      <c r="F12" s="132" t="str">
        <f>IF(CU_NUMBER="","N/A",IF(PR_261_C4=0,"N/A",TRUNC(PR_261_C4,2)))</f>
        <v>N/A</v>
      </c>
      <c r="G12" s="165" t="str">
        <f>IF(CU_NUMBER="","N/A",IF(E12="N/A","N/A",IF(AND(E12=0,R_261_C4&lt;&gt;0,),R_261_C4,IF(R_261_C4=0,"N/A",R_261_C4))))</f>
        <v>N/A</v>
      </c>
      <c r="H12" s="131">
        <f>IF(H9&gt;DATEVALUE("12/31/2018"),IF((A010_C5+A719_C5+AAS0048_C5)=0,0,((A997_C5+A719_C5+AAS0048_C5)/(A010_C5+A719_C5+AAS0048_C5))*100),IF(H9&gt;DATEVALUE("9/30/2000"),IF((A010_C5+A719_C5)=0,0,((A997_C5+A719_C5)/(A010_C5+A719_C5))*100),"N/A"))</f>
        <v>12.170547416121215</v>
      </c>
      <c r="I12" s="131" t="str">
        <f>IF(CU_NUMBER="","N/A",IF(PR_261_C5=0,"N/A",TRUNC(PR_261_C5,2)))</f>
        <v>N/A</v>
      </c>
      <c r="J12" s="165" t="str">
        <f>IF(CU_NUMBER="","N/A",IF(H12="N/A","N/A",IF(AND(H12=0,R_261_C5&lt;&gt;0,),R_261_C5,IF(R_261_C5=0,"N/A",R_261_C5))))</f>
        <v>N/A</v>
      </c>
    </row>
    <row r="13" spans="1:10" ht="13.35" customHeight="1" x14ac:dyDescent="0.2">
      <c r="A13" s="124" t="s">
        <v>96</v>
      </c>
      <c r="B13" s="131">
        <f>IF(A010_C1&lt;=500000000,"N/A",IF(B9&gt;=DATEVALUE("3/31/2022"),IF(ARB0171_C1=0,"N/A",TRUNC(ROUND((ARB0012_C1/ARB0171_C1)*100,4),4) ),"N/A"))</f>
        <v>15.698499999999999</v>
      </c>
      <c r="C13" s="131">
        <f>IF(A010_C2&lt;=500000000,"N/A",IF(C9&gt;=DATEVALUE("3/31/2022"),IF(ARB0171_C2=0,"N/A",TRUNC(ROUND((ARB0012_C2/ARB0171_C2)*100,4),4) ),"N/A"))</f>
        <v>15.665800000000001</v>
      </c>
      <c r="D13" s="131">
        <f>IF(A010_C3&lt;=500000000,"N/A",IF(D9&gt;=DATEVALUE("3/31/2022"),IF(ARB0171_C3=0,"N/A",TRUNC(ROUND((ARB0012_C3/ARB0171_C3)*100,4),4) ),"N/A"))</f>
        <v>15.7959</v>
      </c>
      <c r="E13" s="131">
        <f>IF(A010_C4&lt;=500000000,"N/A",IF(E9&gt;=DATEVALUE("3/31/2022"),IF(ARB0171_C4=0,"N/A",TRUNC(ROUND((ARB0012_C4/ARB0171_C4)*100,4),4) ),"N/A"))</f>
        <v>15.821</v>
      </c>
      <c r="F13" s="132" t="str">
        <f>IF(CU_NUMBER="","N/A",IF(PR_316_C4=0,"N/A",TRUNC(PR_316_C4,2)))</f>
        <v>N/A</v>
      </c>
      <c r="G13" s="165" t="str">
        <f>IF(CU_NUMBER="","N/A",IF(E13="N/A","N/A",IF(AND(E13=0,R_316_C4&lt;&gt;0,),R_316_C4,IF(R_316_C4=0,"N/A",R_316_C4))))</f>
        <v>N/A</v>
      </c>
      <c r="H13" s="131">
        <f>IF(A010_C5&lt;=500000000,"N/A",IF(H9&gt;=DATEVALUE("3/31/2022"),IF(ARB0171_C5=0,"N/A",TRUNC(ROUND((ARB0012_C5/ARB0171_C5)*100,4),4) ),"N/A"))</f>
        <v>15.864699999999999</v>
      </c>
      <c r="I13" s="131" t="str">
        <f>IF(CU_NUMBER="","N/A",IF(PR_316_C5=0,"N/A",TRUNC(PR_316_C5,2)))</f>
        <v>N/A</v>
      </c>
      <c r="J13" s="165" t="str">
        <f>IF(CU_NUMBER="","N/A",IF(H13="N/A","N/A",IF(AND(H13=0,R_316_C5&lt;&gt;0,),R_316_C5,IF(R_316_C5=0,"N/A",R_316_C5))))</f>
        <v>N/A</v>
      </c>
    </row>
    <row r="14" spans="1:10" ht="13.35" customHeight="1" x14ac:dyDescent="0.2">
      <c r="A14" s="124" t="s">
        <v>97</v>
      </c>
      <c r="B14" s="131">
        <f>IF(B9&gt;DATEVALUE("12/31/2021"),IF((A010_C1)=0,0,(A940_C1+A668_C1+A658_C1+A658A_C1+A996_C1+A945B_C1+A945A_C1+AEQ0009_C1+A945C_C1+A602_C1)/(A010_C1)*100),
IF(B9&gt;DATEVALUE("12/31/2018"),IF((A010_C1)=0,0,(A940_C1+A931_C1+A668_C1+A658_C1+A658A_C1+A996_C1+A945B_C1+A945A_C1+AEQ0009_C1+A945C_C1+A602_C1)/(A010_C1)*100),
IF(B9&gt;DATEVALUE("6/30/2009"),IF((A010_C1)=0,0,(A940_C1+A931_C1+A668_C1+A658_C1+A658A_C1+A996_C1+A945B_C1+A945A_C1+A945_C1+A945C_C1+A602_C1)/(A010_C1)*100),"N/A")))</f>
        <v>9.7508288599599577</v>
      </c>
      <c r="C14" s="131">
        <f>IF(C9&gt;DATEVALUE("12/31/2021"),IF((A010_C2)=0,0,(A940_C2+A668_C2+A658_C2+A658A_C2+A996_C2+A945B_C2+A945A_C2+AEQ0009_C2+A945C_C2+A602_C2)/(A010_C2)*100),
IF(C9&gt;DATEVALUE("12/31/2018"),IF((A010_C2)=0,0,(A940_C2+A931_C2+A668_C2+A658_C2+A658A_C2+A996_C2+A945B_C2+A945A_C2+AEQ0009_C2+A945C_C2+A602_C2)/(A010_C2)*100),
IF(C9&gt;DATEVALUE("6/30/2009"),IF((A010_C2)=0,0,(A940_C2+A931_C2+A668_C2+A658_C2+A658A_C2+A996_C2+A945B_C2+A945A_C2+A945_C2+A945C_C2+A602_C2)/(A010_C2)*100),"N/A")))</f>
        <v>9.6581146618872182</v>
      </c>
      <c r="D14" s="131">
        <f>IF(D9&gt;DATEVALUE("12/31/2021"),IF((A010_C3)=0,0,(A940_C3+A668_C3+A658_C3+A658A_C3+A996_C3+A945B_C3+A945A_C3+AEQ0009_C3+A945C_C3+A602_C3)/(A010_C3)*100),
IF(D9&gt;DATEVALUE("12/31/2018"),IF((A010_C3)=0,0,(A940_C3+A931_C3+A668_C3+A658_C3+A658A_C3+A996_C3+A945B_C3+A945A_C3+AEQ0009_C3+A945C_C3+A602_C3)/(A010_C3)*100),
IF(D9&gt;DATEVALUE("6/30/2009"),IF((A010_C3)=0,0,(A940_C3+A931_C3+A668_C3+A658_C3+A658A_C3+A996_C3+A945B_C3+A945A_C3+A945_C3+A945C_C3+A602_C3)/(A010_C3)*100),"N/A")))</f>
        <v>9.7473003166573076</v>
      </c>
      <c r="E14" s="131">
        <f>IF(E9&gt;DATEVALUE("12/31/2021"),IF((A010_C4)=0,0,(A940_C4+A668_C4+A658_C4+A658A_C4+A996_C4+A945B_C4+A945A_C4+AEQ0009_C4+A945C_C4+A602_C4)/(A010_C4)*100),
IF(E9&gt;DATEVALUE("12/31/2018"),IF((A010_C4)=0,0,(A940_C4+A931_C4+A668_C4+A658_C4+A658A_C4+A996_C4+A945B_C4+A945A_C4+AEQ0009_C4+A945C_C4+A602_C4)/(A010_C4)*100),
IF(E9&gt;DATEVALUE("6/30/2009"),IF((A010_C4)=0,0,(A940_C4+A931_C4+A668_C4+A658_C4+A658A_C4+A996_C4+A945B_C4+A945A_C4+A945_C4+A945C_C4+A602_C4)/(A010_C4)*100),"N/A")))</f>
        <v>9.9722403364494454</v>
      </c>
      <c r="F14" s="132" t="str">
        <f>IF(CU_NUMBER="","N/A",IF(PR_262_C4=0,"N/A",TRUNC(PR_262_C4,2)))</f>
        <v>N/A</v>
      </c>
      <c r="G14" s="165" t="str">
        <f>IF(CU_NUMBER="","N/A",IF(E14="N/A","N/A",IF(AND(E14=0,R_262_C4&lt;&gt;0,),R_262_C4,IF(R_262_C4=0,"N/A",R_262_C4))))</f>
        <v>N/A</v>
      </c>
      <c r="H14" s="131">
        <f>IF(H9&gt;DATEVALUE("12/31/2021"),IF((A010_C5)=0,0,(A940_C5+A668_C5+A658_C5+A658A_C5+A996_C5+A945B_C5+A945A_C5+AEQ0009_C5+A945C_C5+A602_C5)/(A010_C5)*100),
IF(H9&gt;DATEVALUE("12/31/2018"),IF((A010_C5)=0,0,(A940_C5+A931_C5+A668_C5+A658_C5+A658A_C5+A996_C5+A945B_C5+A945A_C5+AEQ0009_C5+A945C_C5+A602_C5)/(A010_C5)*100),
IF(H9&gt;DATEVALUE("6/30/2009"),IF((A010_C5)=0,0,(A940_C5+A931_C5+A668_C5+A658_C5+A658A_C5+A996_C5+A945B_C5+A945A_C5+A945_C5+A945C_C5+A602_C5)/(A010_C5)*100),"N/A")))</f>
        <v>10.250813469521914</v>
      </c>
      <c r="I14" s="131" t="str">
        <f>IF(CU_NUMBER="","N/A",IF(PR_262_C5=0,"N/A",TRUNC(PR_262_C5,2)))</f>
        <v>N/A</v>
      </c>
      <c r="J14" s="165" t="str">
        <f>IF(CU_NUMBER="","N/A",IF(H14="N/A","N/A",IF(AND(H14=0,R_262_C5&lt;&gt;0,),R_262_C5,IF(R_262_C5=0,"N/A",R_262_C5))))</f>
        <v>N/A</v>
      </c>
    </row>
    <row r="15" spans="1:10" ht="13.35" customHeight="1" x14ac:dyDescent="0.2">
      <c r="A15" s="124" t="s">
        <v>98</v>
      </c>
      <c r="B15" s="131">
        <f>IF(B9&gt;DATEVALUE("3/31/2022"),IF(( A997_C1 +  A719_C1 +  AAS0048_C1)= 0,0,(( A020B_C1 +  A041B_C1 +  A644_C1 +  A798A_C1 +  A1001F_C1) / ( A997_C1 +  A719_C1 +  AAS0048_C1))) * 100, IF(B9&gt;DATEVALUE("3/31/2020"), IF( ( A997_C1 +  A719_C1 +  AAS0048_C1)= 0,0, (( A020B_C1 +  A041B_C1 +  A071F_C1 +  A071J_C1 +  A644_C1 +  A798A_C1 +  A1001F_C1 -  A020U_C1 -  A041U_C1 -  A020V_C1 -  A041V_C1 -  A020X_C1 -  A041X_C1 -  A020Y1_C1 -  A041Y1_C1) / ( A997_C1 +  A719_C1 +  AAS0048_C1))) * 100,IF(B9&gt;DATEVALUE("3/31/2019"), IF((A997_C1 + A719_C1 +AAS0048_C1)=0,0,((A020B_C1 + A041B_C1 +A071F_C1 +A071J_C1+ A644_C1 + A798A_C1 + A1001F_C1 - A020U_C1 - A041U_C1 - A020V_C1 - A041V_C1 - A020X_C1 - A041X_C1 - A020Y1_C1 - A041Y1_C1)/ (A997_C1 + A719_C1+AAS0048_C1)) )*100,IF(B9&gt;DATEVALUE("9/30/2017"),IF((A997_C1 + A719_C1)=0,0,((A020B_C1 + A041B_C1 + A071F_C1 + A071J_C1 + A644_C1 + A798A_C1 +  A1001F_C1 - A020U_C1 - A041U_C1 - A020V_C1 - A041V_C1 - A020X_C1 - A041X_C1 - A020Y1_C1 - A041Y1_C1) / (A997_C1 + A719_C1) ))*100))))</f>
        <v>13.284562161080027</v>
      </c>
      <c r="C15" s="131">
        <f>IF(C9&gt;DATEVALUE("3/31/2022"),IF(( A997_C2 +  A719_C2 +  AAS0048_C2)= 0,0,(( A020B_C2 +  A041B_C2 +  A644_C2 +  A798A_C2 +  A1001F_C2) / ( A997_C2 +  A719_C2 +  AAS0048_C2))) * 100, IF(C9&gt;DATEVALUE("3/31/2020"), IF( ( A997_C2 +  A719_C2 +  AAS0048_C2)= 0,0, (( A020B_C2 +  A041B_C2 +  A071F_C2 +  A071J_C2 +  A644_C2 +  A798A_C2 +  A1001F_C2 -  A020U_C2 -  A041U_C2 -  A020V_C2 -  A041V_C2 -  A020X_C2 -  A041X_C2 -  A020Y1_C2 -  A041Y1_C2) / ( A997_C2 +  A719_C2 +  AAS0048_C2))) * 100,IF(C9&gt;DATEVALUE("3/31/2019"), IF((A997_C2 + A719_C2 +AAS0048_C2)=0,0,((A020B_C2 + A041B_C2 +A071F_C2 +A071J_C2+ A644_C2 + A798A_C2 + A1001F_C2 - A020U_C2 - A041U_C2 - A020V_C2 - A041V_C2 - A020X_C2 - A041X_C2 - A020Y1_C2 - A041Y1_C2)/ (A997_C2 + A719_C2+AAS0048_C2)) )*100,IF(C9&gt;DATEVALUE("9/30/2017"),IF((A997_C2 + A719_C2)=0,0,((A020B_C2 + A041B_C2 + A071F_C2 + A071J_C2 + A644_C2 + A798A_C2 +  A1001F_C2 - A020U_C2 - A041U_C2 - A020V_C2 - A041V_C2 - A020X_C2 - A041X_C2 - A020Y1_C2 - A041Y1_C2) / (A997_C2 + A719_C2) ))*100))))</f>
        <v>15.689344250638419</v>
      </c>
      <c r="D15" s="131">
        <f>IF(D9&gt;DATEVALUE("3/31/2022"),IF(( A997_C3 +  A719_C3 +  AAS0048_C3)= 0,0,(( A020B_C3 +  A041B_C3 +  A644_C3 +  A798A_C3 +  A1001F_C3) / ( A997_C3 +  A719_C3 +  AAS0048_C3))) * 100, IF(D9&gt;DATEVALUE("3/31/2020"), IF( ( A997_C3 +  A719_C3 +  AAS0048_C3)= 0,0, (( A020B_C3 +  A041B_C3 +  A071F_C3 +  A071J_C3 +  A644_C3 +  A798A_C3 +  A1001F_C3 -  A020U_C3 -  A041U_C3 -  A020V_C3 -  A041V_C3 -  A020X_C3 -  A041X_C3 -  A020Y1_C3 -  A041Y1_C3) / ( A997_C3 +  A719_C3 +  AAS0048_C3))) * 100,IF(D9&gt;DATEVALUE("3/31/2019"), IF((A997_C3 + A719_C3 +AAS0048_C3)=0,0,((A020B_C3 + A041B_C3 +A071F_C3 +A071J_C3+ A644_C3 + A798A_C3 + A1001F_C3 - A020U_C3 - A041U_C3 - A020V_C3 - A041V_C3 - A020X_C3 - A041X_C3 - A020Y1_C3 - A041Y1_C3)/ (A997_C3 + A719_C3+AAS0048_C3)) )*100,IF(D9&gt;DATEVALUE("9/30/2017"),IF((A997_C3 + A719_C3)=0,0,((A020B_C3 + A041B_C3 + A071F_C3 + A071J_C3 + A644_C3 + A798A_C3 +  A1001F_C3 - A020U_C3 - A041U_C3 - A020V_C3 - A041V_C3 - A020X_C3 - A041X_C3 - A020Y1_C3 - A041Y1_C3) / (A997_C3 + A719_C3) ))*100))))</f>
        <v>14.411012202215289</v>
      </c>
      <c r="E15" s="131">
        <f>IF(E9&gt;DATEVALUE("3/31/2022"),IF(( A997_C4 +  A719_C4 +  AAS0048_C4)= 0,0,(( A020B_C4 +  A041B_C4 +  A644_C4 +  A798A_C4 +  A1001F_C4) / ( A997_C4 +  A719_C4 +  AAS0048_C4))) * 100, IF(E9&gt;DATEVALUE("3/31/2020"), IF( ( A997_C4 +  A719_C4 +  AAS0048_C4)= 0,0, (( A020B_C4 +  A041B_C4 +  A071F_C4 +  A071J_C4 +  A644_C4 +  A798A_C4 +  A1001F_C4 -  A020U_C4 -  A041U_C4 -  A020V_C4 -  A041V_C4 -  A020X_C4 -  A041X_C4 -  A020Y1_C4 -  A041Y1_C4) / ( A997_C4 +  A719_C4 +  AAS0048_C4))) * 100,IF(E9&gt;DATEVALUE("3/31/2019"), IF((A997_C4 + A719_C4 +AAS0048_C4)=0,0,((A020B_C4 + A041B_C4 +A071F_C4 +A071J_C4+ A644_C4 + A798A_C4 + A1001F_C4 - A020U_C4 - A041U_C4 - A020V_C4 - A041V_C4 - A020X_C4 - A041X_C4 - A020Y1_C4 - A041Y1_C4)/ (A997_C4 + A719_C4+AAS0048_C4)) )*100,IF(E9&gt;DATEVALUE("9/30/2017"),IF((A997_C4 + A719_C4)=0,0,((A020B_C4 + A041B_C4 + A071F_C4 + A071J_C4 + A644_C4 + A798A_C4 +  A1001F_C4 - A020U_C4 - A041U_C4 - A020V_C4 - A041V_C4 - A020X_C4 - A041X_C4 - A020Y1_C4 - A041Y1_C4) / (A997_C4 + A719_C4) ))*100))))</f>
        <v>13.51898104677838</v>
      </c>
      <c r="F15" s="132" t="str">
        <f>IF(CU_NUMBER="","N/A",IF(PR_168_C4=0,"N/A",TRUNC(PR_168_C4,2)))</f>
        <v>N/A</v>
      </c>
      <c r="G15" s="165" t="str">
        <f>IF(CU_NUMBER="","N/A",IF(E15="N/A","N/A",IF(AND(E15=0,R_168_C4&lt;&gt;0,),R_168_C4,IF(R_168_C4=0,"N/A",R_168_C4))))</f>
        <v>N/A</v>
      </c>
      <c r="H15" s="131">
        <f>IF(H9&gt;DATEVALUE("3/31/2022"),IF(( A997_C5 +  A719_C5 +  AAS0048_C5)= 0,0,(( A020B_C5 +  A041B_C5 +  A644_C5 +  A798A_C5 +  A1001F_C5) / ( A997_C5 +  A719_C5 +  AAS0048_C5))) * 100, IF(H9&gt;DATEVALUE("3/31/2020"), IF( ( A997_C5 +  A719_C5 +  AAS0048_C5)= 0,0, (( A020B_C5 +  A041B_C5 +  A071F_C5 +  A071J_C5 +  A644_C5 +  A798A_C5 +  A1001F_C5 -  A020U_C5 -  A041U_C5 -  A020V_C5 -  A041V_C5 -  A020X_C5 -  A041X_C5 -  A020Y1_C5 -  A041Y1_C5) / ( A997_C5 +  A719_C5 +  AAS0048_C5))) * 100,IF(H9&gt;DATEVALUE("3/31/2019"), IF((A997_C5 + A719_C5 +AAS0048_C5)=0,0,((A020B_C5 + A041B_C5 +A071F_C5 +A071J_C5+ A644_C5 + A798A_C5 + A1001F_C5 - A020U_C5 - A041U_C5 - A020V_C5 - A041V_C5 - A020X_C5 - A041X_C5 - A020Y1_C5 - A041Y1_C5)/ (A997_C5 + A719_C5+AAS0048_C5)) )*100,IF(H9&gt;DATEVALUE("9/30/2017"),IF((A997_C5 + A719_C5)=0,0,((A020B_C5 + A041B_C5 + A071F_C5 + A071J_C5 + A644_C5 + A798A_C5 +  A1001F_C5 - A020U_C5 - A041U_C5 - A020V_C5 - A041V_C5 - A020X_C5 - A041X_C5 - A020Y1_C5 - A041Y1_C5) / (A997_C5 + A719_C5) ))*100))))</f>
        <v>13.925537430479126</v>
      </c>
      <c r="I15" s="131" t="str">
        <f>IF(CU_NUMBER="","N/A",IF(PR_168_C5=0,"N/A",TRUNC(PR_168_C5,2)))</f>
        <v>N/A</v>
      </c>
      <c r="J15" s="165" t="str">
        <f>IF(CU_NUMBER="","N/A",IF(H15="N/A","N/A",IF(AND(H15=0,R_168_C5&lt;&gt;0,),R_168_C5,IF(R_168_C5=0,"N/A",R_168_C5))))</f>
        <v>N/A</v>
      </c>
    </row>
    <row r="16" spans="1:10" ht="13.35" customHeight="1" x14ac:dyDescent="0.2">
      <c r="A16" s="124"/>
      <c r="B16" s="131"/>
      <c r="C16" s="131"/>
      <c r="D16" s="131"/>
      <c r="E16" s="131"/>
      <c r="F16" s="132"/>
      <c r="G16" s="165"/>
      <c r="H16" s="131"/>
      <c r="I16" s="131"/>
      <c r="J16" s="165"/>
    </row>
    <row r="17" spans="1:10" ht="13.35" customHeight="1" x14ac:dyDescent="0.2">
      <c r="A17" s="125" t="s">
        <v>99</v>
      </c>
      <c r="B17" s="131"/>
      <c r="C17" s="131"/>
      <c r="D17" s="131"/>
      <c r="E17" s="131"/>
      <c r="F17" s="132"/>
      <c r="G17" s="165"/>
      <c r="H17" s="131"/>
      <c r="I17" s="131"/>
      <c r="J17" s="165"/>
    </row>
    <row r="18" spans="1:10" ht="13.35" customHeight="1" x14ac:dyDescent="0.2">
      <c r="A18" s="86" t="s">
        <v>100</v>
      </c>
      <c r="B18" s="131">
        <f>IF(B9&gt;DATEVALUE("09/30/1995"), IF(A025B_C1=0,0,(A041B_C1/A025B_C1))* 100,0)</f>
        <v>0.90908045224737022</v>
      </c>
      <c r="C18" s="131">
        <f>IF(C9&gt;DATEVALUE("09/30/1995"), IF(A025B_C2=0,0,(A041B_C2/A025B_C2))* 100,0)</f>
        <v>0.97546493632626841</v>
      </c>
      <c r="D18" s="131">
        <f>IF(D9&gt;DATEVALUE("09/30/1995"), IF(A025B_C3=0,0,(A041B_C3/A025B_C3))* 100,0)</f>
        <v>0.79651548658832383</v>
      </c>
      <c r="E18" s="131">
        <f>IF(E9&gt;DATEVALUE("09/30/1995"), IF(A025B_C4=0,0,(A041B_C4/A025B_C4))* 100,0)</f>
        <v>0.90585959686553652</v>
      </c>
      <c r="F18" s="132" t="str">
        <f>IF(CU_NUMBER="","N/A",IF(PR_6_C4=0,"N/A",TRUNC(PR_6_C4,2)))</f>
        <v>N/A</v>
      </c>
      <c r="G18" s="165" t="str">
        <f>IF(CU_NUMBER="","N/A",IF(E18="N/A","N/A",IF(AND(E18=0,R_6_C4&lt;&gt;0,),R_6_C4,IF(R_6_C4=0,"N/A",R_6_C4))))</f>
        <v>N/A</v>
      </c>
      <c r="H18" s="131">
        <f>IF(H9&gt;DATEVALUE("09/30/1995"), IF(A025B_C5=0,0,(A041B_C5/A025B_C5))* 100,0)</f>
        <v>0.94814885852596342</v>
      </c>
      <c r="I18" s="131" t="str">
        <f>IF(CU_NUMBER="","N/A",IF(PR_6_C5=0,"N/A",TRUNC(PR_6_C5,2)))</f>
        <v>N/A</v>
      </c>
      <c r="J18" s="165" t="str">
        <f>IF(CU_NUMBER="","N/A",IF(H18="N/A","N/A",IF(AND(H18=0,R_6_C5&lt;&gt;0,),R_6_C5,IF(R_6_C5=0,"N/A",R_6_C5))))</f>
        <v>N/A</v>
      </c>
    </row>
    <row r="19" spans="1:10" ht="13.35" customHeight="1" x14ac:dyDescent="0.2">
      <c r="A19" s="86" t="s">
        <v>101</v>
      </c>
      <c r="B19" s="131">
        <f>IF(A997_C1=0,0,(A041B_C1/A997_C1))* 100</f>
        <v>5.7524415479990063</v>
      </c>
      <c r="C19" s="131">
        <f>IF(A997_C2=0,0,(A041B_C2/A997_C2))* 100</f>
        <v>6.2178857432711334</v>
      </c>
      <c r="D19" s="131">
        <f>IF(A997_C3=0,0,(A041B_C3/A997_C3))* 100</f>
        <v>5.028132429629947</v>
      </c>
      <c r="E19" s="131">
        <f>IF(A997_C4=0,0,(A041B_C4/A997_C4))* 100</f>
        <v>5.7112786601104188</v>
      </c>
      <c r="F19" s="132" t="str">
        <f>IF(CU_NUMBER="","N/A",IF(PR_3_C4=0,"N/A",TRUNC(PR_3_C4,2)))</f>
        <v>N/A</v>
      </c>
      <c r="G19" s="165" t="str">
        <f>IF(CU_NUMBER="","N/A",IF(E19="N/A","N/A",IF(AND(E19=0,R_3_C4&lt;&gt;0,),R_3_C4,IF(R_3_C4=0,"N/A",R_3_C4))))</f>
        <v>N/A</v>
      </c>
      <c r="H19" s="131">
        <f>IF(A997_C5=0,0,(A041B_C5/A997_C5))* 100</f>
        <v>5.9359309011840695</v>
      </c>
      <c r="I19" s="131" t="str">
        <f>IF(CU_NUMBER="","N/A",IF(PR_3_C5=0,"N/A",TRUNC(PR_3_C5,2)))</f>
        <v>N/A</v>
      </c>
      <c r="J19" s="165" t="str">
        <f>IF(CU_NUMBER="","N/A",IF(H19="N/A","N/A",IF(AND(H19=0,R_3_C5&lt;&gt;0,),R_3_C5,IF(R_3_C5=0,"N/A",R_3_C5))))</f>
        <v>N/A</v>
      </c>
    </row>
    <row r="20" spans="1:10" ht="13.35" customHeight="1" x14ac:dyDescent="0.2">
      <c r="A20" s="86" t="s">
        <v>102</v>
      </c>
      <c r="B20" s="131">
        <f>IF(B9&lt;DATEVALUE("6/30/1990"),"N/A",IF((A025B_C1+qA025B_C1)=0,0,(((A550_C1 - A551_C1) + (pA550_C1 - pA551_C1) - (qA550_C1 - qA551_C1))/((A025B_C1+qA025B_C1)/2))*100))</f>
        <v>0.77995768292624235</v>
      </c>
      <c r="C20" s="131">
        <f>IF(C9&lt;DATEVALUE("6/30/1990"),"N/A",IF((A025B_C2+qA025B_C2)=0,0,(((A550_C2 - A551_C2) + (pA550_C2 - pA551_C2) - (qA550_C2 - qA551_C2))/((A025B_C2+qA025B_C2)/2))*100))</f>
        <v>0.80069074459265066</v>
      </c>
      <c r="D20" s="131">
        <f>IF(D9&lt;DATEVALUE("6/30/1990"),"N/A",IF((A025B_C3+qA025B_C3)=0,0,(((A550_C3 - A551_C3) + (pA550_C3 - pA551_C3) - (qA550_C3 - qA551_C3))/((A025B_C3+qA025B_C3)/2))*100))</f>
        <v>0.80961241399359996</v>
      </c>
      <c r="E20" s="131">
        <f>IF(E9&lt;DATEVALUE("6/30/1990"),"N/A",IF((A025B_C4+qA025B_C4)=0,0,(((A550_C4 - A551_C4) + (pA550_C4 - pA551_C4) - (qA550_C4 - qA551_C4))/((A025B_C4+qA025B_C4)/2))*100))</f>
        <v>0.80043025498784648</v>
      </c>
      <c r="F20" s="132" t="str">
        <f>IF(CU_NUMBER="","N/A",IF(PR_266_C4=0,"N/A",TRUNC(PR_266_C4,2)))</f>
        <v>N/A</v>
      </c>
      <c r="G20" s="165" t="str">
        <f>IF(CU_NUMBER="","N/A",IF(E20="N/A","N/A",IF(AND(E20=0,R_266_C4&lt;&gt;0,),R_266_C4,IF(R_266_C4=0,"N/A",R_266_C4))))</f>
        <v>N/A</v>
      </c>
      <c r="H20" s="131">
        <f>IF(H9&lt;DATEVALUE("6/30/1990"),"N/A",IF((A025B_C5+qA025B_C5)=0,0,(((A550_C5 - A551_C5) + (pA550_C5 - pA551_C5) - (qA550_C5 - qA551_C5))/((A025B_C5+qA025B_C5)/2))*100))</f>
        <v>0.79058663901132653</v>
      </c>
      <c r="I20" s="131" t="str">
        <f>IF(CU_NUMBER="","N/A",IF(PR_266_C5=0,"N/A",TRUNC(PR_266_C5,2)))</f>
        <v>N/A</v>
      </c>
      <c r="J20" s="165" t="str">
        <f>IF(CU_NUMBER="","N/A",IF(H20="N/A","N/A",IF(AND(H20=0,R_266_C5&lt;&gt;0,),R_266_C5,IF(R_266_C5=0,"N/A",R_266_C5))))</f>
        <v>N/A</v>
      </c>
    </row>
    <row r="21" spans="1:10" ht="13.35" customHeight="1" x14ac:dyDescent="0.2">
      <c r="A21" s="124" t="s">
        <v>103</v>
      </c>
      <c r="B21" s="131">
        <f>IF(B9&lt;DATEVALUE("6/30/1990"),"N/A",IF((A025B_C1+qA025B_C1)/2=0,0,((A041B_C1+((A550_C1- A551_C1) + (pA550_C1 - pA551_C1) - (qA550_C1 - qA551_C1)))/((A025B_C1+qA025B_C1)/2))) * 100)</f>
        <v>1.700516538792803</v>
      </c>
      <c r="C21" s="131">
        <f>IF(C9&lt;DATEVALUE("6/30/1990"),"N/A",IF((A025B_C2+qA025B_C2)/2=0,0,((A041B_C2+((A550_C2- A551_C2) + (pA550_C2 - pA551_C2) - (qA550_C2 - qA551_C2)))/((A025B_C2+qA025B_C2)/2))) * 100)</f>
        <v>1.7888805888979256</v>
      </c>
      <c r="D21" s="131">
        <f>IF(D9&lt;DATEVALUE("6/30/1990"),"N/A",IF((A025B_C3+qA025B_C3)/2=0,0,((A041B_C3+((A550_C3- A551_C3) + (pA550_C3 - pA551_C3) - (qA550_C3 - qA551_C3)))/((A025B_C3+qA025B_C3)/2))) * 100)</f>
        <v>1.6190401952120677</v>
      </c>
      <c r="E21" s="131">
        <f>IF(E9&lt;DATEVALUE("6/30/1990"),"N/A",IF((A025B_C4+qA025B_C4)/2=0,0,((A041B_C4+((A550_C4- A551_C4) + (pA550_C4 - pA551_C4) - (qA550_C4 - qA551_C4)))/((A025B_C4+qA025B_C4)/2))) * 100)</f>
        <v>1.7237401124315204</v>
      </c>
      <c r="F21" s="132" t="str">
        <f>IF(CU_NUMBER="","N/A",IF(PR_263_C4=0,"N/A",TRUNC(PR_263_C4,2)))</f>
        <v>N/A</v>
      </c>
      <c r="G21" s="165" t="str">
        <f>IF(CU_NUMBER="","N/A",IF(E21="N/A","N/A",IF(AND(E21=0,R_263_C4&lt;&gt;0,),R_263_C4,IF(R_263_C4=0,"N/A",R_263_C4))))</f>
        <v>N/A</v>
      </c>
      <c r="H21" s="131">
        <f>IF(H9&lt;DATEVALUE("6/30/1990"),"N/A",IF((A025B_C5+qA025B_C5)/2=0,0,((A041B_C5+((A550_C5- A551_C5) + (pA550_C5 - pA551_C5) - (qA550_C5 - qA551_C5)))/((A025B_C5+qA025B_C5)/2))) * 100)</f>
        <v>1.7593096873769376</v>
      </c>
      <c r="I21" s="131" t="str">
        <f>IF(CU_NUMBER="","N/A",IF(PR_263_C5=0,"N/A",TRUNC(PR_263_C5,2)))</f>
        <v>N/A</v>
      </c>
      <c r="J21" s="165" t="str">
        <f>IF(CU_NUMBER="","N/A",IF(H21="N/A","N/A",IF(AND(H21=0,R_263_C5&lt;&gt;0,),R_263_C5,IF(R_263_C5=0,"N/A",R_263_C5))))</f>
        <v>N/A</v>
      </c>
    </row>
    <row r="22" spans="1:10" ht="13.35" customHeight="1" x14ac:dyDescent="0.2">
      <c r="A22" s="86" t="s">
        <v>104</v>
      </c>
      <c r="B22" s="131">
        <f>IF(B9&lt;DATEVALUE("3/31/2004"),"N/A",IF((A010_C1)=0,0,(A798A_C1/A010_C1)*100))</f>
        <v>3.8752887878561626E-2</v>
      </c>
      <c r="C22" s="131">
        <f>IF(C9&gt;DATEVALUE("12/31/2003"),IF((A010_C2)=0,0,(A798A_C2/A010_C2)*100),"N/A")</f>
        <v>4.0659204519103945E-2</v>
      </c>
      <c r="D22" s="131">
        <f>IF(D9&gt;DATEVALUE("12/31/2003"),IF((A010_C3)=0,0,(A798A_C3/A010_C3)*100),"N/A")</f>
        <v>4.2271926642671834E-2</v>
      </c>
      <c r="E22" s="131">
        <f>IF(E9&gt;DATEVALUE("12/31/2003"),IF((A010_C4)=0,0,(A798A_C4/A010_C4)*100),"N/A")</f>
        <v>4.1802409552416063E-2</v>
      </c>
      <c r="F22" s="132" t="str">
        <f>IF(CU_NUMBER="","N/A",IF(PR_264_C4=0,"N/A",TRUNC(PR_264_C4,2)))</f>
        <v>N/A</v>
      </c>
      <c r="G22" s="165" t="str">
        <f>IF(CU_NUMBER="","N/A",IF(E22="N/A","N/A",IF(AND(E22=0,R_264_C4&lt;&gt;0,),R_264_C4,IF(R_264_C4=0,"N/A",R_264_C4))))</f>
        <v>N/A</v>
      </c>
      <c r="H22" s="131">
        <f>IF(H9&gt;DATEVALUE("12/31/2003"),IF((A010_C5)=0,0,(A798A_C5/A010_C5)*100),"N/A")</f>
        <v>4.4695813219189272E-2</v>
      </c>
      <c r="I22" s="131" t="str">
        <f>IF(CU_NUMBER="","N/A",IF(PR_264_C5=0,"N/A",TRUNC(PR_264_C5,2)))</f>
        <v>N/A</v>
      </c>
      <c r="J22" s="165" t="str">
        <f>IF(CU_NUMBER="","N/A",IF(H22="N/A","N/A",IF(AND(H22=0,R_264_C5&lt;&gt;0,),R_264_C5,IF(R_264_C5=0,"N/A",R_264_C5))))</f>
        <v>N/A</v>
      </c>
    </row>
    <row r="23" spans="1:10" ht="13.35" customHeight="1" x14ac:dyDescent="0.2">
      <c r="A23" s="86"/>
      <c r="B23" s="131"/>
      <c r="C23" s="131"/>
      <c r="D23" s="131"/>
      <c r="E23" s="131"/>
      <c r="F23" s="132"/>
      <c r="G23" s="165"/>
      <c r="H23" s="131"/>
      <c r="I23" s="131"/>
      <c r="J23" s="165"/>
    </row>
    <row r="24" spans="1:10" ht="13.35" customHeight="1" x14ac:dyDescent="0.2">
      <c r="A24" s="123" t="s">
        <v>105</v>
      </c>
      <c r="B24" s="131"/>
      <c r="C24" s="131"/>
      <c r="D24" s="131"/>
      <c r="E24" s="131"/>
      <c r="F24" s="132"/>
      <c r="G24" s="165"/>
      <c r="H24" s="131"/>
      <c r="I24" s="131"/>
      <c r="J24" s="165"/>
    </row>
    <row r="25" spans="1:10" ht="13.35" customHeight="1" x14ac:dyDescent="0.2">
      <c r="A25" s="86" t="s">
        <v>106</v>
      </c>
      <c r="B25" s="131">
        <f>IF(ABS(pA997_C1)=0,0,((A997_C1 - pA997_C1)/ABS(pA997_C1))) * 100 * Anu_C1</f>
        <v>6.1752638790926611</v>
      </c>
      <c r="C25" s="131">
        <f>IF(ABS(pA997_C2)=0,0,((A997_C2 - pA997_C2)/ABS(pA997_C2))) * 100 * Anu_C2</f>
        <v>4.8102220968599507</v>
      </c>
      <c r="D25" s="131">
        <f>IF(ABS(pA997_C3)=0,0,((A997_C3 - pA997_C3)/ABS(pA997_C3))) * 100 * Anu_C3</f>
        <v>6.0028545630702723</v>
      </c>
      <c r="E25" s="131">
        <f>IF(ABS(pA997_C4)=0,0,((A997_C4 - pA997_C4)/ABS(pA997_C4))) * 100 * Anu_C4</f>
        <v>6.635813447888399</v>
      </c>
      <c r="F25" s="132" t="str">
        <f>IF(CU_NUMBER="","N/A",IF(PR_38_C4=0,"N/A",TRUNC(PR_38_C4,2)))</f>
        <v>N/A</v>
      </c>
      <c r="G25" s="165" t="str">
        <f>IF(CU_NUMBER="","N/A",IF(E25="N/A","N/A",IF(AND(E25=0,R_38_C4&lt;&gt;0,),R_38_C4,IF(R_38_C4=0,"N/A",R_38_C4))))</f>
        <v>N/A</v>
      </c>
      <c r="H25" s="131">
        <f>IF(ABS(pA997_C5)=0,0,((A997_C5 - pA997_C5)/ABS(pA997_C5))) * 100 * Anu_C5</f>
        <v>7.1696896220599164</v>
      </c>
      <c r="I25" s="131" t="str">
        <f>IF(CU_NUMBER="","N/A",IF(PR_38_C5=0,"N/A",TRUNC(PR_38_C5,2)))</f>
        <v>N/A</v>
      </c>
      <c r="J25" s="165" t="str">
        <f>IF(CU_NUMBER="","N/A",IF(H25="N/A","N/A",IF(AND(H25=0,R_38_C5&lt;&gt;0,),R_38_C5,IF(R_38_C5=0,"N/A",R_38_C5))))</f>
        <v>N/A</v>
      </c>
    </row>
    <row r="26" spans="1:10" ht="13.35" customHeight="1" x14ac:dyDescent="0.2">
      <c r="A26" s="86" t="s">
        <v>107</v>
      </c>
      <c r="B26" s="131">
        <f>IF(B9&gt;DATEVALUE("09/30/1995"),(IF( pA018_C1=0,0,((A018_C1-pA018_C1)/ pA018_C1) )* 100) * Anu_C1,0 )</f>
        <v>3.8024223724479427</v>
      </c>
      <c r="C26" s="131">
        <f>IF(C9&gt;DATEVALUE("09/30/1995"),(IF( pA018_C2=0,0,((A018_C2-pA018_C2)/ pA018_C2) )* 100) * Anu_C2,0 )</f>
        <v>4.1545431536587172</v>
      </c>
      <c r="D26" s="131">
        <f>IF(D9&gt;DATEVALUE("09/30/1995"),(IF( pA018_C3=0,0,((A018_C3-pA018_C3)/ pA018_C3) )* 100) * Anu_C3,0 )</f>
        <v>12.499256686677302</v>
      </c>
      <c r="E26" s="131">
        <f>IF(E9&gt;DATEVALUE("09/30/1995"),(IF( pA018_C4=0,0,((A018_C4-pA018_C4)/ pA018_C4) )* 100) * Anu_C4,0 )</f>
        <v>6.4099272014221844</v>
      </c>
      <c r="F26" s="132" t="str">
        <f>IF(CU_NUMBER="","N/A",IF(PR_39_C4=0,"N/A",TRUNC(PR_39_C4,2)))</f>
        <v>N/A</v>
      </c>
      <c r="G26" s="165" t="str">
        <f>IF(CU_NUMBER="","N/A",IF(E26="N/A","N/A",IF(AND(E26=0,R_39_C4&lt;&gt;0,),R_39_C4,IF(R_39_C4=0,"N/A",R_39_C4))))</f>
        <v>N/A</v>
      </c>
      <c r="H26" s="131">
        <f>IF(H9&gt;DATEVALUE("09/30/1995"),(IF( pA018_C5=0,0,((A018_C5-pA018_C5)/ pA018_C5) )* 100) * Anu_C5,0 )</f>
        <v>5.0664759967550754</v>
      </c>
      <c r="I26" s="131" t="str">
        <f>IF(CU_NUMBER="","N/A",IF(PR_39_C5=0,"N/A",TRUNC(PR_39_C5,2)))</f>
        <v>N/A</v>
      </c>
      <c r="J26" s="165" t="str">
        <f>IF(CU_NUMBER="","N/A",IF(H26="N/A","N/A",IF(AND(H26=0,R_39_C5&lt;&gt;0,),R_39_C5,IF(R_39_C5=0,"N/A",R_39_C5))))</f>
        <v>N/A</v>
      </c>
    </row>
    <row r="27" spans="1:10" ht="13.35" customHeight="1" x14ac:dyDescent="0.2">
      <c r="A27" s="86" t="s">
        <v>108</v>
      </c>
      <c r="B27" s="131">
        <f>IF(B9&gt;DATEVALUE("09/30/1995"),(IF(pA025B_C1=0,0,((A025B_C1-pA025B_C1)/pA025B_C1)) * 100) * Anu_C1,0 )</f>
        <v>2.2940891896745135</v>
      </c>
      <c r="C27" s="131">
        <f>IF(C9&gt;DATEVALUE("09/30/1995"),(IF(pA025B_C2=0,0,((A025B_C2-pA025B_C2)/pA025B_C2)) * 100) * Anu_C2,0 )</f>
        <v>2.6434774922262725</v>
      </c>
      <c r="D27" s="131">
        <f>IF(D9&gt;DATEVALUE("09/30/1995"),(IF(pA025B_C3=0,0,((A025B_C3-pA025B_C3)/pA025B_C3)) * 100) * Anu_C3,0 )</f>
        <v>2.0781712935719154</v>
      </c>
      <c r="E27" s="131">
        <f>IF(E9&gt;DATEVALUE("09/30/1995"),(IF(pA025B_C4=0,0,((A025B_C4-pA025B_C4)/pA025B_C4)) * 100) * Anu_C4,0 )</f>
        <v>4.3840405206679813</v>
      </c>
      <c r="F27" s="132" t="str">
        <f>IF(CU_NUMBER="","N/A",IF(PR_40_C4=0,"N/A",TRUNC(PR_40_C4,2)))</f>
        <v>N/A</v>
      </c>
      <c r="G27" s="165" t="str">
        <f>IF(CU_NUMBER="","N/A",IF(E27="N/A","N/A",IF(AND(E27=0,R_40_C4&lt;&gt;0,),R_40_C4,IF(R_40_C4=0,"N/A",R_40_C4))))</f>
        <v>N/A</v>
      </c>
      <c r="H27" s="131">
        <f>IF(H9&gt;DATEVALUE("09/30/1995"),(IF(pA025B_C5=0,0,((A025B_C5-pA025B_C5)/pA025B_C5)) * 100) * Anu_C5,0 )</f>
        <v>4.662795731394807</v>
      </c>
      <c r="I27" s="131" t="str">
        <f>IF(CU_NUMBER="","N/A",IF(PR_40_C5=0,"N/A",TRUNC(PR_40_C5,2)))</f>
        <v>N/A</v>
      </c>
      <c r="J27" s="165" t="str">
        <f>IF(CU_NUMBER="","N/A",IF(H27="N/A","N/A",IF(AND(H27=0,R_40_C5&lt;&gt;0,),R_40_C5,IF(R_40_C5=0,"N/A",R_40_C5))))</f>
        <v>N/A</v>
      </c>
    </row>
    <row r="28" spans="1:10" ht="13.35" customHeight="1" x14ac:dyDescent="0.2">
      <c r="A28" s="86" t="s">
        <v>109</v>
      </c>
      <c r="B28" s="131">
        <f>IF(B9&gt;DATEVALUE("09/30/1995"),(IF(pA010_C1=0,0,((A010_C1 - pA010_C1)/pA010_C1)) * 100) * Anu_C1,0)</f>
        <v>3.2971467117896589</v>
      </c>
      <c r="C28" s="131">
        <f>IF(C9&gt;DATEVALUE("09/30/1995"),(IF(pA010_C2=0,0,((A010_C2 - pA010_C2)/pA010_C2)) * 100) * Anu_C2,0)</f>
        <v>2.2930507404462768</v>
      </c>
      <c r="D28" s="131">
        <f>IF(D9&gt;DATEVALUE("09/30/1995"),(IF(pA010_C3=0,0,((A010_C3 - pA010_C3)/pA010_C3)) * 100) * Anu_C3,0)</f>
        <v>10.366695499219302</v>
      </c>
      <c r="E28" s="131">
        <f>IF(E9&gt;DATEVALUE("09/30/1995"),(IF(pA010_C4=0,0,((A010_C4 - pA010_C4)/pA010_C4)) * 100) * Anu_C4,0)</f>
        <v>6.2027432178625723</v>
      </c>
      <c r="F28" s="132" t="str">
        <f>IF(CU_NUMBER="","N/A",IF(PR_41_C4=0,"N/A",TRUNC(PR_41_C4,2)))</f>
        <v>N/A</v>
      </c>
      <c r="G28" s="165" t="str">
        <f>IF(CU_NUMBER="","N/A",IF(E28="N/A","N/A",IF(AND(E28=0,R_41_C4&lt;&gt;0,),R_41_C4,IF(R_41_C4=0,"N/A",R_41_C4))))</f>
        <v>N/A</v>
      </c>
      <c r="H28" s="131">
        <f>IF(H9&gt;DATEVALUE("09/30/1995"),(IF(pA010_C5=0,0,((A010_C5 - pA010_C5)/pA010_C5)) * 100) * Anu_C5,0)</f>
        <v>5.2208430925908065</v>
      </c>
      <c r="I28" s="131" t="str">
        <f>IF(CU_NUMBER="","N/A",IF(PR_41_C5=0,"N/A",TRUNC(PR_41_C5,2)))</f>
        <v>N/A</v>
      </c>
      <c r="J28" s="165" t="str">
        <f>IF(CU_NUMBER="","N/A",IF(H28="N/A","N/A",IF(AND(H28=0,R_41_C5&lt;&gt;0,),R_41_C5,IF(R_41_C5=0,"N/A",R_41_C5))))</f>
        <v>N/A</v>
      </c>
    </row>
    <row r="29" spans="1:10" ht="13.35" customHeight="1" x14ac:dyDescent="0.2">
      <c r="A29" s="86" t="s">
        <v>110</v>
      </c>
      <c r="B29" s="131">
        <f>IF(B9&gt;=DATEVALUE("3/31/2023"),(IF( (pANV0158_C1 + pA730B_C1)=0,0,(((ANV0158_C1+A730B_C1) - (pANV0158_C1 + pA730B_C1))/ (pANV0158_C1 + pA730B_C1))) * 100) * Anu_C1,IF(B9&gt;=DATEVALUE("3/31/2022"),(IF((pA799I_C1+pA730B_C1+pA730C_C1-pA781_C1)=0,0,((ANV0158_C1+A730B_C1) - (pA799I_C1+pA730B_C1+pA730C_C1-pA781_C1)) /(pA799I_C1+pA730B_C1+pA730C_C1-pA781_C1)) * 100)*Anu_C1,IF(B9&gt;DATEVALUE("6/30/2006"),( IF((pA799I_C1+pA730B_C1+pA730C_C1-pA781_C1)=0,0,(((A799I_C1+A730B_C1+A730C_C1-A781_C1)-(pA799I_C1+pA730B_C1+pA730C_C1-pA781_C1))/ (pA799I_C1+pA730B_C1+pA730C_C1-pA781_C1))) * 100) * Anu_C1,0)))</f>
        <v>6.3634918878241358</v>
      </c>
      <c r="C29" s="131">
        <f>IF(C9&gt;=DATEVALUE("3/31/2023"),(IF( (pANV0158_C2 + pA730B_C2)=0,0,(((ANV0158_C2+A730B_C2) - (pANV0158_C2 + pA730B_C2))/ (pANV0158_C2 + pA730B_C2))) * 100) * Anu_C2,IF(C9&gt;=DATEVALUE("3/31/2022"),(IF((pA799I_C2+pA730B_C2+pA730C_C2-pA781_C2)=0,0,((ANV0158_C2+A730B_C2) - (pA799I_C2+pA730B_C2+pA730C_C2-pA781_C2)) /(pA799I_C2+pA730B_C2+pA730C_C2-pA781_C2)) * 100)*Anu_C2,IF(C9&gt;DATEVALUE("6/30/2006"),( IF((pA799I_C2+pA730B_C2+pA730C_C2-pA781_C2)=0,0,(((A799I_C2+A730B_C2+A730C_C2-A781_C2)-(pA799I_C2+pA730B_C2+pA730C_C2-pA781_C2))/ (pA799I_C2+pA730B_C2+pA730C_C2-pA781_C2))) * 100) * Anu_C2,0)))</f>
        <v>0.91120499017970835</v>
      </c>
      <c r="D29" s="131">
        <f>IF(D9&gt;=DATEVALUE("3/31/2023"),(IF( (pANV0158_C3 + pA730B_C3)=0,0,(((ANV0158_C3+A730B_C3) - (pANV0158_C3 + pA730B_C3))/ (pANV0158_C3 + pA730B_C3))) * 100) * Anu_C3,IF(D9&gt;=DATEVALUE("3/31/2022"),(IF((pA799I_C3+pA730B_C3+pA730C_C3-pA781_C3)=0,0,((ANV0158_C3+A730B_C3) - (pA799I_C3+pA730B_C3+pA730C_C3-pA781_C3)) /(pA799I_C3+pA730B_C3+pA730C_C3-pA781_C3)) * 100)*Anu_C3,IF(D9&gt;DATEVALUE("6/30/2006"),( IF((pA799I_C3+pA730B_C3+pA730C_C3-pA781_C3)=0,0,(((A799I_C3+A730B_C3+A730C_C3-A781_C3)-(pA799I_C3+pA730B_C3+pA730C_C3-pA781_C3))/ (pA799I_C3+pA730B_C3+pA730C_C3-pA781_C3))) * 100) * Anu_C3,0)))</f>
        <v>36.610920532641856</v>
      </c>
      <c r="E29" s="131">
        <f>IF(E9&gt;=DATEVALUE("3/31/2023"),(IF( (pANV0158_C4 + pA730B_C4)=0,0,(((ANV0158_C4+A730B_C4) - (pANV0158_C4 + pA730B_C4))/ (pANV0158_C4 + pA730B_C4))) * 100) * Anu_C4,IF(E9&gt;=DATEVALUE("3/31/2022"),(IF((pA799I_C4+pA730B_C4+pA730C_C4-pA781_C4)=0,0,((ANV0158_C4+A730B_C4) - (pA799I_C4+pA730B_C4+pA730C_C4-pA781_C4)) /(pA799I_C4+pA730B_C4+pA730C_C4-pA781_C4)) * 100)*Anu_C4,IF(E9&gt;DATEVALUE("6/30/2006"),( IF((pA799I_C4+pA730B_C4+pA730C_C4-pA781_C4)=0,0,(((A799I_C4+A730B_C4+A730C_C4-A781_C4)-(pA799I_C4+pA730B_C4+pA730C_C4-pA781_C4))/ (pA799I_C4+pA730B_C4+pA730C_C4-pA781_C4))) * 100) * Anu_C4,0)))</f>
        <v>11.524351235879028</v>
      </c>
      <c r="F29" s="132" t="str">
        <f>IF(CU_NUMBER="","N/A",IF(PR_42_C4=0,"N/A",TRUNC(PR_42_C4,2)))</f>
        <v>N/A</v>
      </c>
      <c r="G29" s="165" t="str">
        <f>IF(CU_NUMBER="","N/A",IF(E29="N/A","N/A",IF(AND(E29=0,R_42_C4&lt;&gt;0,),R_42_C4,IF(R_42_C4=0,"N/A",R_42_C4))))</f>
        <v>N/A</v>
      </c>
      <c r="H29" s="131">
        <f>IF(H9&gt;=DATEVALUE("3/31/2023"),(IF( (pANV0158_C5 + pA730B_C5)=0,0,(((ANV0158_C5+A730B_C5) - (pANV0158_C5 + pA730B_C5))/ (pANV0158_C5 + pA730B_C5))) * 100) * Anu_C5,IF(H9&gt;=DATEVALUE("3/31/2022"),(IF((pA799I_C5+pA730B_C5+pA730C_C5-pA781_C5)=0,0,((ANV0158_C5+A730B_C5) - (pA799I_C5+pA730B_C5+pA730C_C5-pA781_C5)) /(pA799I_C5+pA730B_C5+pA730C_C5-pA781_C5)) * 100)*Anu_C5,IF(H9&gt;DATEVALUE("6/30/2006"),( IF((pA799I_C5+pA730B_C5+pA730C_C5-pA781_C5)=0,0,(((A799I_C5+A730B_C5+A730C_C5-A781_C5)-(pA799I_C5+pA730B_C5+pA730C_C5-pA781_C5))/ (pA799I_C5+pA730B_C5+pA730C_C5-pA781_C5))) * 100) * Anu_C5,0)))</f>
        <v>6.6347834007680664</v>
      </c>
      <c r="I29" s="131" t="str">
        <f>IF(CU_NUMBER="","N/A",IF(PR_42_C5=0,"N/A",TRUNC(PR_42_C5,2)))</f>
        <v>N/A</v>
      </c>
      <c r="J29" s="165" t="str">
        <f>IF(CU_NUMBER="","N/A",IF(H29="N/A","N/A",IF(AND(H29=0,R_42_C5&lt;&gt;0,),R_42_C5,IF(R_42_C5=0,"N/A",R_42_C5))))</f>
        <v>N/A</v>
      </c>
    </row>
    <row r="30" spans="1:10" ht="13.35" customHeight="1" x14ac:dyDescent="0.2">
      <c r="A30" s="86" t="s">
        <v>111</v>
      </c>
      <c r="B30" s="131">
        <f>IF(pA083_C1=0,0,((A083_C1-pA083_C1)/pA083_C1)*100*Anu_C1)</f>
        <v>2.5254549844132219</v>
      </c>
      <c r="C30" s="131">
        <f>IF(pA083_C2=0,0,((A083_C2-pA083_C2)/pA083_C2)*100*Anu_C2)</f>
        <v>2.2126034630089677</v>
      </c>
      <c r="D30" s="131">
        <f>IF(pA083_C3=0,0,((A083_C3-pA083_C3)/pA083_C3)*100*Anu_C3)</f>
        <v>2.5502156800298565</v>
      </c>
      <c r="E30" s="131">
        <f>IF(pA083_C4=0,0,((A083_C4-pA083_C4)/pA083_C4)*100*Anu_C4)</f>
        <v>2.0359025733430487</v>
      </c>
      <c r="F30" s="132" t="str">
        <f>IF(CU_NUMBER="","N/A",IF(PR_80_C4=0,"N/A",TRUNC(PR_80_C4,2)))</f>
        <v>N/A</v>
      </c>
      <c r="G30" s="165" t="str">
        <f>IF(CU_NUMBER="","N/A",IF(E30="N/A","N/A",IF(AND(E30=0,R_80_C4&lt;&gt;0,),R_80_C4,IF(R_80_C4=0,"N/A",R_80_C4))))</f>
        <v>N/A</v>
      </c>
      <c r="H30" s="131">
        <f>IF(pA083_C5=0,0,((A083_C5-pA083_C5)/pA083_C5)*100*Anu_C5)</f>
        <v>2.4662261005306805</v>
      </c>
      <c r="I30" s="131" t="str">
        <f>IF(CU_NUMBER="","N/A",IF(PR_80_C5=0,"N/A",TRUNC(PR_80_C5,2)))</f>
        <v>N/A</v>
      </c>
      <c r="J30" s="165" t="str">
        <f>IF(CU_NUMBER="","N/A",IF(H30="N/A","N/A",IF(AND(H30=0,R_80_C5&lt;&gt;0,),R_80_C5,IF(R_80_C5=0,"N/A",R_80_C5))))</f>
        <v>N/A</v>
      </c>
    </row>
    <row r="31" spans="1:10" ht="13.35" customHeight="1" x14ac:dyDescent="0.2">
      <c r="A31" s="123"/>
      <c r="B31" s="131"/>
      <c r="C31" s="131"/>
      <c r="D31" s="131"/>
      <c r="E31" s="131"/>
      <c r="F31" s="132"/>
      <c r="G31" s="165"/>
      <c r="H31" s="131"/>
      <c r="I31" s="131"/>
      <c r="J31" s="165"/>
    </row>
    <row r="32" spans="1:10" ht="13.35" customHeight="1" x14ac:dyDescent="0.2">
      <c r="A32" s="126" t="s">
        <v>112</v>
      </c>
      <c r="B32" s="133"/>
      <c r="C32" s="133"/>
      <c r="D32" s="133"/>
      <c r="E32" s="133"/>
      <c r="F32" s="134"/>
      <c r="G32" s="250"/>
      <c r="H32" s="133"/>
      <c r="I32" s="131"/>
      <c r="J32" s="165"/>
    </row>
    <row r="33" spans="1:10" ht="13.35" customHeight="1" x14ac:dyDescent="0.2">
      <c r="A33" s="127" t="s">
        <v>113</v>
      </c>
      <c r="B33" s="133">
        <f>IF( ((A010_C1 + pA010_C1)/2)=0,0,( A661A_C1/ ((A010_C1 + pA010_C1)/2))) * 100 * Anu_C1</f>
        <v>0.69171607316913086</v>
      </c>
      <c r="C33" s="133">
        <f>IF( ((A010_C2 + pA010_C2)/2)=0,0,( A661A_C2/ ((A010_C2 + pA010_C2)/2))) * 100 * Anu_C2</f>
        <v>0.62669391996101353</v>
      </c>
      <c r="D33" s="133">
        <f>IF( ((A010_C3 + pA010_C3)/2)=0,0,( A661A_C3/ ((A010_C3 + pA010_C3)/2))) * 100 * Anu_C3</f>
        <v>0.66997720661140614</v>
      </c>
      <c r="E33" s="133">
        <f>IF( ((A010_C4 + pA010_C4)/2)=0,0,( A661A_C4/ ((A010_C4 + pA010_C4)/2))) * 100 * Anu_C4</f>
        <v>0.75563479979551207</v>
      </c>
      <c r="F33" s="132" t="str">
        <f>IF(CU_NUMBER="","N/A",IF(PR_11_C4=0,"N/A",TRUNC(PR_11_C4,2)))</f>
        <v>N/A</v>
      </c>
      <c r="G33" s="165" t="str">
        <f>IF(CU_NUMBER="","N/A",IF(E33="N/A","N/A",IF(AND(E33=0,R_11_C4&lt;&gt;0,),R_11_C4,IF(R_11_C4=0,"N/A",R_11_C4))))</f>
        <v>N/A</v>
      </c>
      <c r="H33" s="133">
        <f>IF( ((A010_C5 + pA010_C5)/2)=0,0,( A661A_C5/ ((A010_C5 + pA010_C5)/2))) * 100 * Anu_C5</f>
        <v>0.81271007616536983</v>
      </c>
      <c r="I33" s="131" t="str">
        <f>IF(CU_NUMBER="","N/A",IF(PR_11_C5=0,"N/A",TRUNC(PR_11_C5,2)))</f>
        <v>N/A</v>
      </c>
      <c r="J33" s="165" t="str">
        <f>IF(CU_NUMBER="","N/A",IF(H33="N/A","N/A",IF(AND(H33=0,R_11_C5&lt;&gt;0,),R_11_C5,IF(R_11_C5=0,"N/A",R_11_C5))))</f>
        <v>N/A</v>
      </c>
    </row>
    <row r="34" spans="1:10" ht="13.35" customHeight="1" x14ac:dyDescent="0.2">
      <c r="A34" s="86" t="s">
        <v>114</v>
      </c>
      <c r="B34" s="131">
        <f>IF(B9&lt;DATEVALUE("03/31/2014"),"N/A", IF(B9&gt;=DATEVALUE("3/31/2021"),IF(A010_C1+pA010_C1=0,0, ((A661A_C1-AIS0046_C1-AIS0047_C1-A421_C1-A430_C1-A431_C1-AIS0029_C1-AIS0030_C1)/((A010_C1+pA010_C1)/2))*100)*Anu_C1,IF(A010_C1+pA010_C1=0,0, ((A661A_C1-AIS0021_C1-AIS0022_C1-A421_C1-A430_C1-A431_C1)/((A010_C1+pA010_C1)/2))*100)*Anu_C1))</f>
        <v>0.58806517889383192</v>
      </c>
      <c r="C34" s="131">
        <f>IF(C9&lt;DATEVALUE("03/31/2014"),"N/A", IF(C9&gt;=DATEVALUE("3/31/2021"),IF(A010_C2+pA010_C2=0,0, ((A661A_C2-AIS0046_C2-AIS0047_C2-A421_C2-A430_C2-A431_C2-AIS0029_C2-AIS0030_C2)/((A010_C2+pA010_C2)/2))*100)*Anu_C2,IF(A010_C2+pA010_C2=0,0, ((A661A_C2-AIS0021_C2-AIS0022_C2-A421_C2-A430_C2-A431_C2)/((A010_C2+pA010_C2)/2))*100)*Anu_C2))</f>
        <v>0.54517640712580862</v>
      </c>
      <c r="D34" s="131">
        <f>IF(D9&lt;DATEVALUE("03/31/2014"),"N/A", IF(D9&gt;=DATEVALUE("3/31/2021"),IF(A010_C3+pA010_C3=0,0, ((A661A_C3-AIS0046_C3-AIS0047_C3-A421_C3-A430_C3-A431_C3-AIS0029_C3-AIS0030_C3)/((A010_C3+pA010_C3)/2))*100)*Anu_C3,IF(A010_C3+pA010_C3=0,0, ((A661A_C3-AIS0021_C3-AIS0022_C3-A421_C3-A430_C3-A431_C3)/((A010_C3+pA010_C3)/2))*100)*Anu_C3))</f>
        <v>0.64546112132686495</v>
      </c>
      <c r="E34" s="131">
        <f>IF(E9&lt;DATEVALUE("03/31/2014"),"N/A", IF(E9&gt;=DATEVALUE("3/31/2021"),IF(A010_C4+pA010_C4=0,0, ((A661A_C4-AIS0046_C4-AIS0047_C4-A421_C4-A430_C4-A431_C4-AIS0029_C4-AIS0030_C4)/((A010_C4+pA010_C4)/2))*100)*Anu_C4,IF(A010_C4+pA010_C4=0,0, ((A661A_C4-AIS0021_C4-AIS0022_C4-A421_C4-A430_C4-A431_C4)/((A010_C4+pA010_C4)/2))*100)*Anu_C4))</f>
        <v>0.70159929506929375</v>
      </c>
      <c r="F34" s="132" t="str">
        <f>IF(CU_NUMBER="","N/A",IF(PR_265_C4=0,"N/A",TRUNC(PR_265_C4,2)))</f>
        <v>N/A</v>
      </c>
      <c r="G34" s="165" t="str">
        <f>IF(CU_NUMBER="","N/A",IF(E34="N/A","N/A",IF(AND(E34=0,R_265_C4&lt;&gt;0,),R_265_C4,IF(R_265_C4=0,"N/A",R_265_C4))))</f>
        <v>N/A</v>
      </c>
      <c r="H34" s="131">
        <f>IF(H9&lt;DATEVALUE("03/31/2014"),"N/A", IF(H9&gt;=DATEVALUE("3/31/2021"),IF(A010_C5+pA010_C5=0,0, ((A661A_C5-AIS0046_C5-AIS0047_C5-A421_C5-A430_C5-A431_C5-AIS0029_C5-AIS0030_C5)/((A010_C5+pA010_C5)/2))*100)*Anu_C5,IF(A010_C5+pA010_C5=0,0, ((A661A_C5-AIS0021_C5-AIS0022_C5-A421_C5-A430_C5-A431_C5)/((A010_C5+pA010_C5)/2))*100)*Anu_C5))</f>
        <v>0.75109641785985881</v>
      </c>
      <c r="I34" s="131" t="str">
        <f>IF(CU_NUMBER="","N/A",IF(PR_265_C5=0,"N/A",TRUNC(PR_265_C5,2)))</f>
        <v>N/A</v>
      </c>
      <c r="J34" s="165" t="str">
        <f>IF(CU_NUMBER="","N/A",IF(H34="N/A","N/A",IF(AND(H34=0,R_265_C5&lt;&gt;0,),R_265_C5,IF(R_265_C5=0,"N/A",R_265_C5))))</f>
        <v>N/A</v>
      </c>
    </row>
    <row r="35" spans="1:10" ht="13.35" customHeight="1" x14ac:dyDescent="0.2">
      <c r="A35" s="127" t="s">
        <v>115</v>
      </c>
      <c r="B35" s="133">
        <f>IF(((A010_C1+pA010_C1)/2)=0,0,(A671_C1/((A010_C1+pA010_C1)/2)) )* 100 * Anu_C1</f>
        <v>2.996648871988731</v>
      </c>
      <c r="C35" s="133">
        <f>IF(((A010_C2+pA010_C2)/2)=0,0,(A671_C2/((A010_C2+pA010_C2)/2)) )* 100 * Anu_C2</f>
        <v>3.0347971252398791</v>
      </c>
      <c r="D35" s="133">
        <f>IF(((A010_C3+pA010_C3)/2)=0,0,(A671_C3/((A010_C3+pA010_C3)/2)) )* 100 * Anu_C3</f>
        <v>3.0570520132098684</v>
      </c>
      <c r="E35" s="133">
        <f>IF(((A010_C4+pA010_C4)/2)=0,0,(A671_C4/((A010_C4+pA010_C4)/2)) )* 100 * Anu_C4</f>
        <v>3.0923185147752226</v>
      </c>
      <c r="F35" s="132" t="str">
        <f>IF(CU_NUMBER="","N/A",IF(PR_18_C4=0,"N/A",TRUNC(PR_18_C4,2)))</f>
        <v>N/A</v>
      </c>
      <c r="G35" s="165" t="str">
        <f>IF(CU_NUMBER="","N/A",IF(E35="N/A","N/A",IF(AND(E35=0,R_18_C4&lt;&gt;0,),R_18_C4,IF(R_18_C4=0,"N/A",R_18_C4))))</f>
        <v>N/A</v>
      </c>
      <c r="H35" s="133">
        <f>IF(((A010_C5+pA010_C5)/2)=0,0,(A671_C5/((A010_C5+pA010_C5)/2)) )* 100 * Anu_C5</f>
        <v>3.1094272835673706</v>
      </c>
      <c r="I35" s="131" t="str">
        <f>IF(CU_NUMBER="","N/A",IF(PR_18_C5=0,"N/A",TRUNC(PR_18_C5,2)))</f>
        <v>N/A</v>
      </c>
      <c r="J35" s="165" t="str">
        <f>IF(CU_NUMBER="","N/A",IF(H35="N/A","N/A",IF(AND(H35=0,R_18_C5&lt;&gt;0,),R_18_C5,IF(R_18_C5=0,"N/A",R_18_C5))))</f>
        <v>N/A</v>
      </c>
    </row>
    <row r="36" spans="1:10" ht="13.35" customHeight="1" x14ac:dyDescent="0.2">
      <c r="A36" s="127" t="s">
        <v>116</v>
      </c>
      <c r="B36" s="133">
        <f>IF(B9 &gt; DATEVALUE("12/31/2018"), (IF(((A010_C1 + pA010_C1)/2)=0,0,((A300_C1+AIS0011_C1)/((A010_C1 + pA010_C1)/2))) * 100) * Anu_C1,
IF(B9 &gt; DATEVALUE("12/31/2008"),(IF(((A010_C1+ pA010_C1)/2)=0,0,( A300_C1/((A010_C1+ pA010_C1)/2)))* 100) * Anu_C1,0))</f>
        <v>0.57993378337601542</v>
      </c>
      <c r="C36" s="133">
        <f>IF(C9 &gt; DATEVALUE("12/31/2018"), (IF(((A010_C2 + pA010_C2)/2)=0,0,((A300_C2+AIS0011_C2)/((A010_C2 + pA010_C2)/2))) * 100) * Anu_C2,
IF(C9 &gt; DATEVALUE("12/31/2008"),(IF(((A010_C2+ pA010_C2)/2)=0,0,( A300_C2/((A010_C2+ pA010_C2)/2)))* 100) * Anu_C2,0))</f>
        <v>0.6260106784931363</v>
      </c>
      <c r="D36" s="133">
        <f>IF(D9 &gt; DATEVALUE("12/31/2018"), (IF(((A010_C3 + pA010_C3)/2)=0,0,((A300_C3+AIS0011_C3)/((A010_C3 + pA010_C3)/2))) * 100) * Anu_C3,
IF(D9 &gt; DATEVALUE("12/31/2008"),(IF(((A010_C3+ pA010_C3)/2)=0,0,( A300_C3/((A010_C3+ pA010_C3)/2)))* 100) * Anu_C3,0))</f>
        <v>0.56116174412478026</v>
      </c>
      <c r="E36" s="135">
        <f>IF(E9 &gt; DATEVALUE("12/31/2018"), (IF(((A010_C4 + pA010_C4)/2)=0,0,((A300_C4+AIS0011_C4)/((A010_C4 + pA010_C4)/2))) * 100) * Anu_C4,
IF(E9 &gt; DATEVALUE("12/31/2008"),(IF(((A010_C4+ pA010_C4)/2)=0,0,( A300_C4/((A010_C4+ pA010_C4)/2)))* 100) * Anu_C4,0))</f>
        <v>0.58112364793487481</v>
      </c>
      <c r="F36" s="132" t="str">
        <f>IF(CU_NUMBER="","N/A",IF(PR_19_C4=0,"N/A",TRUNC(PR_19_C4,2)))</f>
        <v>N/A</v>
      </c>
      <c r="G36" s="165" t="str">
        <f>IF(CU_NUMBER="","N/A",IF(E36="N/A","N/A",IF(AND(E36=0,R_19_C4&lt;&gt;0,),R_19_C4,IF(R_19_C4=0,"N/A",R_19_C4))))</f>
        <v>N/A</v>
      </c>
      <c r="H36" s="135">
        <f>IF(H9 &gt; DATEVALUE("12/31/2018"), (IF(((A010_C5 + pA010_C5)/2)=0,0,((A300_C5+AIS0011_C5)/((A010_C5 + pA010_C5)/2))) * 100) * Anu_C5,
IF(H9 &gt; DATEVALUE("12/31/2008"),(IF(((A010_C5+ pA010_C5)/2)=0,0,( A300_C5/((A010_C5+ pA010_C5)/2)))* 100) * Anu_C5,0))</f>
        <v>0.59137643563533282</v>
      </c>
      <c r="I36" s="131" t="str">
        <f>IF(CU_NUMBER="","N/A",IF(PR_19_C5=0,"N/A",TRUNC(PR_19_C5,2)))</f>
        <v>N/A</v>
      </c>
      <c r="J36" s="165" t="str">
        <f>IF(CU_NUMBER="","N/A",IF(H36="N/A","N/A",IF(AND(H36=0,R_19_C5&lt;&gt;0,),R_19_C5,IF(R_19_C5=0,"N/A",R_19_C5))))</f>
        <v>N/A</v>
      </c>
    </row>
    <row r="37" spans="1:10" ht="13.35" customHeight="1" x14ac:dyDescent="0.2">
      <c r="A37" s="127"/>
      <c r="B37" s="133"/>
      <c r="C37" s="133"/>
      <c r="D37" s="133"/>
      <c r="E37" s="133"/>
      <c r="F37" s="134"/>
      <c r="G37" s="250"/>
      <c r="H37" s="133"/>
      <c r="I37" s="131"/>
      <c r="J37" s="165"/>
    </row>
    <row r="38" spans="1:10" ht="13.35" customHeight="1" x14ac:dyDescent="0.2">
      <c r="A38" s="126" t="s">
        <v>117</v>
      </c>
      <c r="B38" s="133"/>
      <c r="C38" s="133"/>
      <c r="D38" s="133"/>
      <c r="E38" s="133"/>
      <c r="F38" s="134"/>
      <c r="G38" s="250"/>
      <c r="H38" s="133"/>
      <c r="I38" s="131"/>
      <c r="J38" s="165"/>
    </row>
    <row r="39" spans="1:10" ht="13.35" customHeight="1" x14ac:dyDescent="0.2">
      <c r="A39" s="127" t="s">
        <v>118</v>
      </c>
      <c r="B39" s="133">
        <f>IF(B9 &gt; DATEVALUE("09/30/1995"),IF(A010_C1=0,0,(A025B_C1/A010_C1)) * 100,0)</f>
        <v>70.53534978451961</v>
      </c>
      <c r="C39" s="133">
        <f>IF(C9 &gt; DATEVALUE("09/30/1995"),IF(A010_C2=0,0,(A025B_C2/A010_C2)) * 100,0)</f>
        <v>71.300427917681091</v>
      </c>
      <c r="D39" s="133">
        <f>IF(D9 &gt; DATEVALUE("09/30/1995"),IF(A010_C3=0,0,(A025B_C3/A010_C3)) * 100,0)</f>
        <v>69.860312700850983</v>
      </c>
      <c r="E39" s="133">
        <f>IF(E9 &gt; DATEVALUE("09/30/1995"),IF(A010_C4=0,0,(A025B_C4/A010_C4)) * 100,0)</f>
        <v>70.67156004453156</v>
      </c>
      <c r="F39" s="132" t="str">
        <f>IF(CU_NUMBER="","N/A",IF(PR_27_C4=0,"N/A",TRUNC(PR_27_C4,2)))</f>
        <v>N/A</v>
      </c>
      <c r="G39" s="165" t="str">
        <f>IF(CU_NUMBER="","N/A",IF(E39="N/A","N/A",IF(AND(E39=0,R_27_C4&lt;&gt;0,),R_27_C4,IF(R_27_C4=0,"N/A",R_27_C4))))</f>
        <v>N/A</v>
      </c>
      <c r="H39" s="133">
        <f>IF(H9 &gt; DATEVALUE("09/30/1995"),IF(A010_C5=0,0,(A025B_C5/A010_C5)) * 100,0)</f>
        <v>71.013254938287872</v>
      </c>
      <c r="I39" s="131" t="str">
        <f>IF(CU_NUMBER="","N/A",IF(PR_27_C5=0,"N/A",TRUNC(PR_27_C5,2)))</f>
        <v>N/A</v>
      </c>
      <c r="J39" s="165" t="str">
        <f>IF(CU_NUMBER="","N/A",IF(H39="N/A","N/A",IF(AND(H39=0,R_27_C5&lt;&gt;0,),R_27_C5,IF(R_27_C5=0,"N/A",R_27_C5))))</f>
        <v>N/A</v>
      </c>
    </row>
    <row r="40" spans="1:10" ht="13.35" customHeight="1" x14ac:dyDescent="0.2">
      <c r="A40" s="127" t="s">
        <v>119</v>
      </c>
      <c r="B40" s="133">
        <f>IF(B9&gt; DATEVALUE("12/31/2021"),IF(A010_C1=0,0,((A730A_C1+A730B_C1+ANV0153_C1)/A010_C1)) * 100,
IF(B9&gt; DATEVALUE("03/31/2006"),IF(A010_C1=0,0,((A730A_C1+A730B_C1+A730C_C1+A799A1_C1)/A010_C1)) * 100,0))</f>
        <v>12.568049504067599</v>
      </c>
      <c r="C40" s="133">
        <f>IF(C9&gt; DATEVALUE("12/31/2021"),IF(A010_C2=0,0,((A730A_C2+A730B_C2+ANV0153_C2)/A010_C2)) * 100,
IF(C9&gt; DATEVALUE("03/31/2006"),IF(A010_C2=0,0,((A730A_C2+A730B_C2+A730C_C2+A799A1_C2)/A010_C2)) * 100,0))</f>
        <v>12.180163535010086</v>
      </c>
      <c r="D40" s="135">
        <f>IF(D9&gt; DATEVALUE("12/31/2021"),IF(A010_C3=0,0,((A730A_C3+A730B_C3+ANV0153_C3)/A010_C3)) * 100,
IF(D9&gt; DATEVALUE("03/31/2006"),IF(A010_C3=0,0,((A730A_C3+A730B_C3+A730C_C3+A799A1_C3)/A010_C3)) * 100,0))</f>
        <v>13.389987657637015</v>
      </c>
      <c r="E40" s="133">
        <f>IF(E9&gt; DATEVALUE("12/31/2021"),IF(A010_C4=0,0,((A730A_C4+A730B_C4+ANV0153_C4)/A010_C4)) * 100,
IF(E9&gt; DATEVALUE("03/31/2006"),IF(A010_C4=0,0,((A730A_C4+A730B_C4+A730C_C4+A799A1_C4)/A010_C4)) * 100,0))</f>
        <v>12.332968021953032</v>
      </c>
      <c r="F40" s="132" t="str">
        <f>IF(CU_NUMBER="","N/A",IF(PR_28_C4=0,"N/A",TRUNC(PR_28_C4,2)))</f>
        <v>N/A</v>
      </c>
      <c r="G40" s="165" t="str">
        <f>IF(CU_NUMBER="","N/A",IF(E40="N/A","N/A",IF(AND(E40=0,R_28_C4&lt;&gt;0,),R_28_C4,IF(R_28_C4=0,"N/A",R_28_C4))))</f>
        <v>N/A</v>
      </c>
      <c r="H40" s="133">
        <f>IF(H9&gt; DATEVALUE("12/31/2021"),IF(A010_C5=0,0,((A730A_C5+A730B_C5+ANV0153_C5)/A010_C5)) * 100,
IF(H9&gt; DATEVALUE("03/31/2006"),IF(A010_C5=0,0,((A730A_C5+A730B_C5+A730C_C5+A799A1_C5)/A010_C5)) * 100,0))</f>
        <v>11.911056816825635</v>
      </c>
      <c r="I40" s="131" t="str">
        <f>IF(CU_NUMBER="","N/A",IF(PR_28_C5=0,"N/A",TRUNC(PR_28_C5,2)))</f>
        <v>N/A</v>
      </c>
      <c r="J40" s="165" t="str">
        <f>IF(CU_NUMBER="","N/A",IF(H40="N/A","N/A",IF(AND(H40=0,R_28_C5&lt;&gt;0,),R_28_C5,IF(R_28_C5=0,"N/A",R_28_C5))))</f>
        <v>N/A</v>
      </c>
    </row>
    <row r="41" spans="1:10" ht="13.35" customHeight="1" x14ac:dyDescent="0.2">
      <c r="A41" s="127"/>
      <c r="B41" s="133"/>
      <c r="C41" s="133"/>
      <c r="D41" s="135"/>
      <c r="E41" s="133"/>
      <c r="F41" s="132"/>
      <c r="G41" s="165"/>
      <c r="H41" s="133"/>
      <c r="I41" s="131"/>
      <c r="J41" s="165"/>
    </row>
    <row r="42" spans="1:10" ht="13.35" customHeight="1" x14ac:dyDescent="0.2">
      <c r="A42" s="126" t="s">
        <v>120</v>
      </c>
      <c r="B42" s="133"/>
      <c r="C42" s="133"/>
      <c r="D42" s="133"/>
      <c r="E42" s="133"/>
      <c r="F42" s="134"/>
      <c r="G42" s="250"/>
      <c r="H42" s="133"/>
      <c r="I42" s="131"/>
      <c r="J42" s="165"/>
    </row>
    <row r="43" spans="1:10" ht="13.35" customHeight="1" x14ac:dyDescent="0.2">
      <c r="A43" s="127" t="s">
        <v>121</v>
      </c>
      <c r="B43" s="131" t="str">
        <f>IF(A010_C1&gt;500000000,"N/A, Assets&gt;$500M",IF(B9&lt;DATEVALUE("03/31/2014"),"N/A",B96))</f>
        <v>N/A, Assets&gt;$500M</v>
      </c>
      <c r="C43" s="131" t="str">
        <f>IF(A010_C2 &gt; 500000000,"N/A, Assets&gt;$500M",IF(C9&lt;DATEVALUE("03/31/2014"),"N/A",C96))</f>
        <v>N/A, Assets&gt;$500M</v>
      </c>
      <c r="D43" s="131" t="str">
        <f>IF(A010_C3 &gt; 500000000,"N/A, Assets&gt;$500M",IF(D9&lt;DATEVALUE("03/31/2014"),"N/A",D96))</f>
        <v>N/A, Assets&gt;$500M</v>
      </c>
      <c r="E43" s="131" t="str">
        <f>IF(A010_C4 &gt; 500000000,"N/A, Assets&gt;$500M",IF(E9&lt;DATEVALUE("03/31/2014"),"N/A",E96))</f>
        <v>N/A, Assets&gt;$500M</v>
      </c>
      <c r="F43" s="132" t="str">
        <f>IF(CU_NUMBER="","N/A",IF(E43 ="N/A, Assets&gt;$500M","N/A",IF(PR_306_C4=0,"N/A",TRUNC(PR_306_C4,2))))</f>
        <v>N/A</v>
      </c>
      <c r="G43" s="165" t="str">
        <f>IF(CU_NUMBER="","N/A",IF(E43="N/A, Assets&gt;$500M","N/A",IF(AND(E43=0,R_306_C4&lt;&gt;0,),R_306_C4,IF(R_306_C4=0,"N/A",R_306_C4))))</f>
        <v>N/A</v>
      </c>
      <c r="H43" s="131" t="str">
        <f>IF(A010_C5 &gt; 500000000,"N/A, Assets&gt;$500M",IF(H9&lt;DATEVALUE("03/31/2014"),"N/A",H96))</f>
        <v>N/A, Assets&gt;$500M</v>
      </c>
      <c r="I43" s="131" t="str">
        <f>IF(CU_NUMBER="","N/A",IF(H43="N/A, Assets&gt;$500M","N/A",IF(PR_306_C5=0,"N/A",TRUNC(PR_306_C5,2))))</f>
        <v>N/A</v>
      </c>
      <c r="J43" s="165" t="str">
        <f>IF(CU_NUMBER="","N/A",IF(H43="N/A, Assets&gt;$500M","N/A",IF(AND(H43=0,R_306_C5&lt;&gt;0,),R_306_C5,IF(R_306_C5=0,"N/A",R_306_C5))))</f>
        <v>N/A</v>
      </c>
    </row>
    <row r="44" spans="1:10" ht="13.35" customHeight="1" x14ac:dyDescent="0.2">
      <c r="A44" s="127" t="s">
        <v>122</v>
      </c>
      <c r="B44" s="131" t="str">
        <f>IF(A010_C1 &gt; 500000000,"N/A, Assets&gt;$500M",IF(B9&lt;DATEVALUE("03/31/2014"),"N/A",B97))</f>
        <v>N/A, Assets&gt;$500M</v>
      </c>
      <c r="C44" s="131" t="str">
        <f>IF(A010_C2 &gt; 500000000,"N/A, Assets&gt;$500M",IF(C9&lt;DATEVALUE("03/31/2014"),"N/A",C97))</f>
        <v>N/A, Assets&gt;$500M</v>
      </c>
      <c r="D44" s="131" t="str">
        <f>IF(A010_C3 &gt; 500000000,"N/A, Assets&gt;$500M",IF(D9&lt;DATEVALUE("03/31/2014"),"N/A",D97))</f>
        <v>N/A, Assets&gt;$500M</v>
      </c>
      <c r="E44" s="131" t="str">
        <f>IF(A010_C4 &gt; 500000000,"N/A, Assets&gt;$500M",IF(E9&lt;DATEVALUE("03/31/2014"),"N/A",E97))</f>
        <v>N/A, Assets&gt;$500M</v>
      </c>
      <c r="F44" s="132" t="str">
        <f>IF(CU_NUMBER="","N/A",IF(E44 ="N/A, Assets&gt;$500M","N/A",IF(PR_307_C4=0,"N/A",TRUNC(PR_307_C4,2))))</f>
        <v>N/A</v>
      </c>
      <c r="G44" s="165" t="str">
        <f>IF(CU_NUMBER="","N/A",IF(E44="N/A, Assets&gt;$500M","N/A",IF(AND(E44=0,R_307_C4&lt;&gt;0,),R_307_C4,IF(R_307_C4=0,"N/A",R_307_C4))))</f>
        <v>N/A</v>
      </c>
      <c r="H44" s="131" t="str">
        <f>IF(A010_C5 &gt; 500000000,"N/A, Assets&gt;$500M",IF(H9&lt;DATEVALUE("03/31/2014"),"N/A",H97))</f>
        <v>N/A, Assets&gt;$500M</v>
      </c>
      <c r="I44" s="131" t="str">
        <f>IF(CU_NUMBER="","N/A",IF(H44="N/A, Assets&gt;$500M","N/A",IF(PR_307_C5=0,"N/A",TRUNC(PR_307_C5,2))))</f>
        <v>N/A</v>
      </c>
      <c r="J44" s="165" t="str">
        <f>IF(CU_NUMBER="","N/A",IF(H44="N/A, Assets&gt;$500M","N/A",IF(AND(H44=0,R_307_C5&lt;&gt;0,),R_307_C5,IF(R_307_C5=0,"N/A",R_307_C5))))</f>
        <v>N/A</v>
      </c>
    </row>
    <row r="45" spans="1:10" ht="13.15" customHeight="1" x14ac:dyDescent="0.2">
      <c r="A45" s="175" t="s">
        <v>123</v>
      </c>
      <c r="B45" s="245"/>
      <c r="C45" s="245"/>
      <c r="D45" s="245"/>
      <c r="E45" s="245"/>
      <c r="F45" s="246"/>
      <c r="G45" s="258"/>
      <c r="H45" s="245"/>
      <c r="I45" s="201"/>
      <c r="J45" s="258"/>
    </row>
    <row r="46" spans="1:10" ht="13.15" customHeight="1" x14ac:dyDescent="0.2">
      <c r="A46" s="107" t="s">
        <v>124</v>
      </c>
      <c r="B46" s="247"/>
      <c r="C46" s="247"/>
      <c r="D46" s="247"/>
      <c r="E46" s="247"/>
      <c r="F46" s="248"/>
      <c r="G46" s="259"/>
      <c r="H46" s="247"/>
      <c r="I46" s="84"/>
      <c r="J46" s="259"/>
    </row>
    <row r="47" spans="1:10" s="107" customFormat="1" ht="13.35" customHeight="1" x14ac:dyDescent="0.2">
      <c r="A47" s="19" t="s">
        <v>125</v>
      </c>
      <c r="B47" s="19"/>
      <c r="C47" s="19"/>
      <c r="D47" s="19"/>
      <c r="E47" s="19"/>
      <c r="F47" s="19"/>
      <c r="G47" s="19"/>
      <c r="H47" s="19"/>
      <c r="I47" s="19"/>
      <c r="J47" s="19"/>
    </row>
    <row r="48" spans="1:10" ht="13.15" customHeight="1" x14ac:dyDescent="0.2">
      <c r="A48" s="107" t="s">
        <v>126</v>
      </c>
      <c r="B48" s="247"/>
      <c r="C48" s="247"/>
      <c r="D48" s="247"/>
      <c r="E48" s="247"/>
      <c r="F48" s="248"/>
      <c r="G48" s="259"/>
      <c r="H48" s="247"/>
      <c r="I48" s="84"/>
      <c r="J48" s="259"/>
    </row>
    <row r="49" spans="1:10" ht="13.15" customHeight="1" x14ac:dyDescent="0.2">
      <c r="A49" s="19" t="s">
        <v>127</v>
      </c>
      <c r="B49" s="19"/>
      <c r="C49" s="19"/>
      <c r="D49" s="19"/>
      <c r="E49" s="19"/>
      <c r="F49" s="248"/>
      <c r="G49" s="259"/>
      <c r="H49" s="247"/>
      <c r="I49" s="84"/>
      <c r="J49" s="259"/>
    </row>
    <row r="50" spans="1:10" s="276" customFormat="1" ht="26.25" customHeight="1" x14ac:dyDescent="0.2">
      <c r="A50" s="18" t="s">
        <v>128</v>
      </c>
      <c r="B50" s="18"/>
      <c r="C50" s="18"/>
      <c r="D50" s="18"/>
      <c r="E50" s="18"/>
      <c r="F50" s="18"/>
      <c r="G50" s="18"/>
      <c r="H50" s="18"/>
      <c r="I50" s="18"/>
      <c r="J50" s="18"/>
    </row>
    <row r="51" spans="1:10" customFormat="1" ht="12.75" hidden="1" customHeight="1" x14ac:dyDescent="0.2">
      <c r="A51" s="62"/>
      <c r="B51" s="62"/>
      <c r="C51" s="62"/>
      <c r="D51" s="62"/>
      <c r="E51" s="62"/>
      <c r="F51" s="62"/>
      <c r="G51" s="62"/>
      <c r="H51" s="62"/>
      <c r="I51" s="62"/>
      <c r="J51" s="62" t="s">
        <v>129</v>
      </c>
    </row>
    <row r="52" spans="1:10" ht="12" hidden="1" customHeight="1" x14ac:dyDescent="0.2">
      <c r="A52" s="62" t="s">
        <v>130</v>
      </c>
      <c r="B52" s="62">
        <f>IF(B9&gt;DATEVALUE("12/31/2019"),IF( A940_C1 + A018_C1 + A602_C1 - (A631_C1 + A880_C1)=0,0,((A631_C1 + A880_C1) / (A940_C1 + A018_C1 + A602_C1 - (A631_C1 + A880_C1)))),0)</f>
        <v>1.5806756059162656E-2</v>
      </c>
      <c r="C52" s="62">
        <f>IF(C9&gt;DATEVALUE("12/31/2019"),IF( A940_C2 + A018_C2 + A602_C2 - (A631_C2 + A880_C2)=0,0,((A631_C2 + A880_C2) / (A940_C2 + A018_C2 + A602_C2 - (A631_C2 + A880_C2)))),0)</f>
        <v>1.5572425236237733E-2</v>
      </c>
      <c r="D52" s="62">
        <f>IF(D9&gt;DATEVALUE("12/31/2019"),IF( A940_C3 + A018_C3 + A602_C3 - (A631_C3 + A880_C3)=0,0,((A631_C3 + A880_C3) / (A940_C3 + A018_C3 + A602_C3 - (A631_C3 + A880_C3)))),0)</f>
        <v>1.4366687201871326E-2</v>
      </c>
      <c r="E52" s="62">
        <f>IF(E9&gt;DATEVALUE("12/31/2019"),IF( A940_C4 + A018_C4 + A602_C4 - (A631_C4 + A880_C4)=0,0,((A631_C4 + A880_C4) / (A940_C4 + A018_C4 + A602_C4 - (A631_C4 + A880_C4)))),0)</f>
        <v>1.4201706253926421E-2</v>
      </c>
      <c r="H52" s="62">
        <f>IF(H9&gt;DATEVALUE("12/31/2019"),IF( A940_C5 + A018_C5 + A602_C5 - (A631_C5 + A880_C5)=0,0,((A631_C5 + A880_C5) / (A940_C5 + A018_C5 + A602_C5 - (A631_C5 + A880_C5)))),0)</f>
        <v>1.4457142929799879E-2</v>
      </c>
      <c r="I52" s="62" t="s">
        <v>131</v>
      </c>
    </row>
    <row r="53" spans="1:10" ht="12" hidden="1" customHeight="1" x14ac:dyDescent="0.2">
      <c r="A53" s="62" t="s">
        <v>132</v>
      </c>
      <c r="B53" s="62">
        <f>IF(B9&gt;DATEVALUE("12/31/2019"),IF((A940_C1 + A018_C1 + A602_C1) =0,0,((A631_C1 + A880_C1 + A860C_C1) / (A940_C1 + A018_C1 + A602_C1))),0)</f>
        <v>7.2497823544229525E-2</v>
      </c>
      <c r="C53" s="62">
        <f>IF(C9&gt;DATEVALUE("12/31/2019"),IF((A940_C2 + A018_C2 + A602_C2) =0,0,((A631_C2 + A880_C2 + A860C_C2) / (A940_C2 + A018_C2 + A602_C2))),0)</f>
        <v>5.9853716529834178E-2</v>
      </c>
      <c r="D53" s="62">
        <f>IF(D9&gt;DATEVALUE("12/31/2019"),IF((A940_C3 + A018_C3 + A602_C3) =0,0,((A631_C3 + A880_C3 + A860C_C3) / (A940_C3 + A018_C3 + A602_C3))),0)</f>
        <v>5.3353375101248712E-2</v>
      </c>
      <c r="E53" s="62">
        <f>IF(E9&gt;DATEVALUE("12/31/2019"),IF((A940_C4 + A018_C4 + A602_C4) =0,0,((A631_C4 + A880_C4 + A860C_C4) / (A940_C4 + A018_C4 + A602_C4))),0)</f>
        <v>5.4294666419968357E-2</v>
      </c>
      <c r="H53" s="62">
        <f>IF(H9&gt;DATEVALUE("12/31/2019"),IF((A940_C5 + A018_C5 + A602_C5) =0,0,((A631_C5 + A880_C5 + A860C_C5) / (A940_C5 + A018_C5 + A602_C5))),0)</f>
        <v>5.3256237560385819E-2</v>
      </c>
      <c r="I53" s="62" t="s">
        <v>133</v>
      </c>
    </row>
    <row r="54" spans="1:10" ht="12" hidden="1" customHeight="1" x14ac:dyDescent="0.2">
      <c r="A54" s="62" t="s">
        <v>134</v>
      </c>
      <c r="B54" s="62">
        <f>IF(B9&gt;DATEVALUE("12/31/2019"), (A631_C1 + A880_C1),"N/A")</f>
        <v>33304258160</v>
      </c>
      <c r="C54" s="62">
        <f>IF(C9&gt;DATEVALUE("12/31/2019"), (A631_C2 + A880_C2),"N/A")</f>
        <v>33220668538</v>
      </c>
      <c r="D54" s="62">
        <f>IF(D9&gt;DATEVALUE("12/31/2019"), (A631_C3 + A880_C3),"N/A")</f>
        <v>31596698766</v>
      </c>
      <c r="E54" s="62">
        <f>IF(E9&gt;DATEVALUE("12/31/2019"), (A631_C4 + A880_C4),"N/A")</f>
        <v>31317428496</v>
      </c>
      <c r="H54" s="62">
        <f>IF(H9&gt;DATEVALUE("12/31/2019"), (A631_C5 + A880_C5),"N/A")</f>
        <v>32115888865</v>
      </c>
      <c r="I54" s="62" t="s">
        <v>135</v>
      </c>
    </row>
    <row r="55" spans="1:10" ht="12" hidden="1" customHeight="1" x14ac:dyDescent="0.2">
      <c r="A55" s="62" t="s">
        <v>136</v>
      </c>
      <c r="B55" s="62">
        <f>IF(B9&gt;DATEVALUE("12/31/2021"),(A730A_C1 + A730B_C1 + AAS0008_C1),(IF(B9&gt;DATEVALUE("12/31/2013"),(A730A_C1 + A730B_C1 + A730C_C1),0)))</f>
        <v>186052858550</v>
      </c>
      <c r="C55" s="62">
        <f>IF(C9&gt;DATEVALUE("12/31/2021"),(A730A_C2 + A730B_C2 + AAS0008_C2),(IF(C9&gt;DATEVALUE("12/31/2013"),(A730A_C2 + A730B_C2 + A730C_C2),0)))</f>
        <v>180511644706</v>
      </c>
      <c r="D55" s="62">
        <f>IF(D9&gt;DATEVALUE("12/31/2021"),(A730A_C3 + A730B_C3 + AAS0008_C3),(IF(D9&gt;DATEVALUE("12/31/2013"),(A730A_C3 + A730B_C3 + A730C_C3),0)))</f>
        <v>216217145518</v>
      </c>
      <c r="E55" s="62">
        <f>IF(E9&gt;DATEVALUE("12/31/2021"),(A730A_C4 + A730B_C4 + AAS0008_C4),(IF(E9&gt;DATEVALUE("12/31/2013"),(A730A_C4 + A730B_C4 + A730C_C4),0)))</f>
        <v>192223859879</v>
      </c>
      <c r="H55" s="62">
        <f>IF(H9&gt;DATEVALUE("12/31/2021"),(A730A_C5 + A730B_C5 + AAS0008_C5),(IF(H9&gt;DATEVALUE("12/31/2013"),(A730A_C5 + A730B_C5 + A730C_C5),0)))</f>
        <v>183929502265</v>
      </c>
      <c r="I55" s="62" t="s">
        <v>137</v>
      </c>
    </row>
    <row r="56" spans="1:10" ht="12" hidden="1" customHeight="1" x14ac:dyDescent="0.2">
      <c r="A56" s="62" t="s">
        <v>138</v>
      </c>
      <c r="B56" s="62">
        <f>IF(B9&gt;DATEVALUE("12/31/2021"),( ANV0153_C1 + ANV0154_C1 + ANV0155_C1 + ANV0156_C1 + ANV0157_C1),IF(B9&gt;DATEVALUE("12/31/2013"), (A799A1_C1 + A799B_C1 + A799C1_C1 + A799C2_C1 + A799D_C1),0))</f>
        <v>392147128246</v>
      </c>
      <c r="C56" s="62">
        <f>IF(C9&gt;DATEVALUE("12/31/2021"),( ANV0153_C2 + ANV0154_C2 + ANV0155_C2 + ANV0156_C2 + ANV0157_C2),IF(C9&gt;DATEVALUE("12/31/2013"), (A799A1_C2 + A799B_C2 + A799C1_C2 + A799C2_C2 + A799D_C2),0))</f>
        <v>381831064768</v>
      </c>
      <c r="D56" s="62">
        <f>IF(D9&gt;DATEVALUE("12/31/2021"),( ANV0153_C3 + ANV0154_C3 + ANV0155_C3 + ANV0156_C3 + ANV0157_C3),IF(D9&gt;DATEVALUE("12/31/2013"), (A799A1_C3 + A799B_C3 + A799C1_C3 + A799C2_C3 + A799D_C3),0))</f>
        <v>391102993416</v>
      </c>
      <c r="E56" s="62">
        <f>IF(E9&gt;DATEVALUE("12/31/2021"),( ANV0153_C4 + ANV0154_C4 + ANV0155_C4 + ANV0156_C4 + ANV0157_C4),IF(E9&gt;DATEVALUE("12/31/2013"), (A799A1_C4 + A799B_C4 + A799C1_C4 + A799C2_C4 + A799D_C4),0))</f>
        <v>396869472043</v>
      </c>
      <c r="H56" s="62">
        <f>IF(H9&gt;DATEVALUE("12/31/2021"),( ANV0153_C5 + ANV0154_C5 + ANV0155_C5 + ANV0156_C5 + ANV0157_C5),IF(H9&gt;DATEVALUE("12/31/2013"), (A799A1_C5 + A799B_C5 + A799C1_C5 + A799C2_C5 + A799D_C5),0))</f>
        <v>400681836846</v>
      </c>
      <c r="I56" s="62" t="s">
        <v>139</v>
      </c>
    </row>
    <row r="57" spans="1:10" ht="12" hidden="1" customHeight="1" x14ac:dyDescent="0.2">
      <c r="A57" s="62" t="s">
        <v>140</v>
      </c>
      <c r="B57" s="62">
        <f>IF(B9&gt;DATEVALUE("12/31/2021"), (A396_C1 + A385_C1 + A370_C1 + ARL0002_C1 + ARL0005_C1 + ARL0008_C1 + ARL0011_C1 + ARL0014_C1 + ARL0019_C1 + ARL0022_C1 + ARL0025_C1 + ARL0028_C1 + ARL0033_C1 + ARL0036_C1 + ARL0039_C1 + ARL0042_C1 + A397A_C1 + A698A_C1 + A397_C1 + A002_C1 + A698C_C1 + A718A5_C1 + A400P_C1), (IF(B9&gt;DATEVALUE("6/30/2017"),( A396_C1 + A385_C1 + A370_C1 + A704A_C1 + A704B_C1 + A704C_C1 + A704D_C1 + A704E_C1 + A705A_C1 + A705B_C1 + A706_C1 + A707_C1 + A708_C1 + A708B_C1 + A397A_C1 + A698A_C1 + A397_C1 + A002_C1 + A698C_C1 + A400P_C1),IF(B9&gt;DATEVALUE("12/31/2013"),(A396_C1+A385_C1+A370_C1+A704A_C1+A704B_C1+A704C_C1+A704D_C1+A704E_C1+A705A_C1+A705B_C1+A706_C1+A707_C1+A708_C1+A708B_C1+A397A_C1+A698A_C1+A397_C1+A002_C1+A698_C1),0))))</f>
        <v>1630400479735</v>
      </c>
      <c r="C57" s="62">
        <f>IF(C9&gt;DATEVALUE("12/31/2021"), (A396_C2 + A385_C2 + A370_C2 + ARL0002_C2 + ARL0005_C2 + ARL0008_C2 + ARL0011_C2 + ARL0014_C2 + ARL0019_C2 + ARL0022_C2 + ARL0025_C2 + ARL0028_C2 + ARL0033_C2 + ARL0036_C2 + ARL0039_C2 + ARL0042_C2 + A397A_C2 + A698A_C2 + A397_C2 + A002_C2 + A698C_C2 + A718A5_C2 + A400P_C2), (IF(C9&gt;DATEVALUE("6/30/2017"),( A396_C2 + A385_C2 + A370_C2 + A704A_C2 + A704B_C2 + A704C_C2 + A704D_C2 + A704E_C2 + A705A_C2 + A705B_C2 + A706_C2 + A707_C2 + A708_C2 + A708B_C2 + A397A_C2 + A698A_C2 + A397_C2 + A002_C2 + A698C_C2 + A400P_C2),IF(C9&gt;DATEVALUE("12/31/2013"),(A396_C2+A385_C2+A370_C2+A704A_C2+A704B_C2+A704C_C2+A704D_C2+A704E_C2+A705A_C2+A705B_C2+A706_C2+A707_C2+A708_C2+A708B_C2+A397A_C2+A698A_C2+A397_C2+A002_C2+A698_C2),0))))</f>
        <v>1645193101572</v>
      </c>
      <c r="D57" s="62">
        <f>IF(D9&gt;DATEVALUE("12/31/2021"), (A396_C3 + A385_C3 + A370_C3 + ARL0002_C3 + ARL0005_C3 + ARL0008_C3 + ARL0011_C3 + ARL0014_C3 + ARL0019_C3 + ARL0022_C3 + ARL0025_C3 + ARL0028_C3 + ARL0033_C3 + ARL0036_C3 + ARL0039_C3 + ARL0042_C3 + A397A_C3 + A698A_C3 + A397_C3 + A002_C3 + A698C_C3 + A718A5_C3 + A400P_C3), (IF(D9&gt;DATEVALUE("6/30/2017"),( A396_C3 + A385_C3 + A370_C3 + A704A_C3 + A704B_C3 + A704C_C3 + A704D_C3 + A704E_C3 + A705A_C3 + A705B_C3 + A706_C3 + A707_C3 + A708_C3 + A708B_C3 + A397A_C3 + A698A_C3 + A397_C3 + A002_C3 + A698C_C3 + A400P_C3),IF(D9&gt;DATEVALUE("12/31/2013"),(A396_C3+A385_C3+A370_C3+A704A_C3+A704B_C3+A704C_C3+A704D_C3+A704E_C3+A705A_C3+A705B_C3+A706_C3+A707_C3+A708_C3+A708B_C3+A397A_C3+A698A_C3+A397_C3+A002_C3+A698_C3),0))))</f>
        <v>1653740584345</v>
      </c>
      <c r="E57" s="62">
        <f>IF(E9&gt;DATEVALUE("12/31/2021"), (A396_C4 + A385_C4 + A370_C4 + ARL0002_C4 + ARL0005_C4 + ARL0008_C4 + ARL0011_C4 + ARL0014_C4 + ARL0019_C4 + ARL0022_C4 + ARL0025_C4 + ARL0028_C4 + ARL0033_C4 + ARL0036_C4 + ARL0039_C4 + ARL0042_C4 + A397A_C4 + A698A_C4 + A397_C4 + A002_C4 + A698C_C4 + A718A5_C4 + A400P_C4), (IF(E9&gt;DATEVALUE("6/30/2017"),( A396_C4 + A385_C4 + A370_C4 + A704A_C4 + A704B_C4 + A704C_C4 + A704D_C4 + A704E_C4 + A705A_C4 + A705B_C4 + A706_C4 + A707_C4 + A708_C4 + A708B_C4 + A397A_C4 + A698A_C4 + A397_C4 + A002_C4 + A698C_C4 + A400P_C4),IF(E9&gt;DATEVALUE("12/31/2013"),(A396_C4+A385_C4+A370_C4+A704A_C4+A704B_C4+A704C_C4+A704D_C4+A704E_C4+A705A_C4+A705B_C4+A706_C4+A707_C4+A708_C4+A708B_C4+A397A_C4+A698A_C4+A397_C4+A002_C4+A698_C4),0))))</f>
        <v>1681256067679</v>
      </c>
      <c r="H57" s="62">
        <f>IF(H9&gt;DATEVALUE("12/31/2021"), (A396_C5 + A385_C5 + A370_C5 + ARL0002_C5 + ARL0005_C5 + ARL0008_C5 + ARL0011_C5 + ARL0014_C5 + ARL0019_C5 + ARL0022_C5 + ARL0025_C5 + ARL0028_C5 + ARL0033_C5 + ARL0036_C5 + ARL0039_C5 + ARL0042_C5 + A397A_C5 + A698A_C5 + A397_C5 + A002_C5 + A698C_C5 + A718A5_C5 + A400P_C5), (IF(H9&gt;DATEVALUE("6/30/2017"),( A396_C5 + A385_C5 + A370_C5 + A704A_C5 + A704B_C5 + A704C_C5 + A704D_C5 + A704E_C5 + A705A_C5 + A705B_C5 + A706_C5 + A707_C5 + A708_C5 + A708B_C5 + A397A_C5 + A698A_C5 + A397_C5 + A002_C5 + A698C_C5 + A400P_C5),IF(H9&gt;DATEVALUE("12/31/2013"),(A396_C5+A385_C5+A370_C5+A704A_C5+A704B_C5+A704C_C5+A704D_C5+A704E_C5+A705A_C5+A705B_C5+A706_C5+A707_C5+A708_C5+A708B_C5+A397A_C5+A698A_C5+A397_C5+A002_C5+A698_C5),0))))</f>
        <v>1702727096997</v>
      </c>
      <c r="I57" s="62" t="s">
        <v>141</v>
      </c>
    </row>
    <row r="58" spans="1:10" ht="12" hidden="1" customHeight="1" x14ac:dyDescent="0.2">
      <c r="A58" s="62" t="s">
        <v>142</v>
      </c>
      <c r="B58" s="62">
        <f>IF(B9&gt;DATEVALUE("12/31/2021"),(A798A_C1 + A007_C1 + A008_C1 + A003_C1 - A719_C1 - AAS0048_C1 - AAS0041_C1 + A794_C1 + AAS0036_C1),(IF(B9&gt;DATEVALUE("12/31/2018"),(A798A_C1 + A007_C1 + A008_C1 + A003_C1 - A719_C1 - AAS0048_C1 - AAS0041_C1 + A794_C1 + A009D_C1 + A009_C1),IF(B9&gt;DATEVALUE("12/31/2013"),(A798A_C1+A007_C1+A008_C1+A003_C1-A719_C1+A794_C1+A009D_C1+A009_C1),0))))</f>
        <v>102865323108</v>
      </c>
      <c r="C58" s="62">
        <f>IF(C9&gt;DATEVALUE("12/31/2021"),(A798A_C2 + A007_C2 + A008_C2 + A003_C2 - A719_C2 - AAS0048_C2 - AAS0041_C2 + A794_C2 + AAS0036_C2),(IF(C9&gt;DATEVALUE("12/31/2018"),(A798A_C2 + A007_C2 + A008_C2 + A003_C2 - A719_C2 - AAS0048_C2 - AAS0041_C2 + A794_C2 + A009D_C2 + A009_C2),IF(C9&gt;DATEVALUE("12/31/2013"),(A798A_C2+A007_C2+A008_C2+A003_C2-A719_C2+A794_C2+A009D_C2+A009_C2),0))))</f>
        <v>99874045737</v>
      </c>
      <c r="D58" s="62">
        <f>IF(D9&gt;DATEVALUE("12/31/2021"),(A798A_C3 + A007_C3 + A008_C3 + A003_C3 - A719_C3 - AAS0048_C3 - AAS0041_C3 + A794_C3 + AAS0036_C3),(IF(D9&gt;DATEVALUE("12/31/2018"),(A798A_C3 + A007_C3 + A008_C3 + A003_C3 - A719_C3 - AAS0048_C3 - AAS0041_C3 + A794_C3 + A009D_C3 + A009_C3),IF(D9&gt;DATEVALUE("12/31/2013"),(A798A_C3+A007_C3+A008_C3+A003_C3-A719_C3+A794_C3+A009D_C3+A009_C3),0))))</f>
        <v>106149672086</v>
      </c>
      <c r="E58" s="62">
        <f>IF(E9&gt;DATEVALUE("12/31/2021"),(A798A_C4 + A007_C4 + A008_C4 + A003_C4 - A719_C4 - AAS0048_C4 - AAS0041_C4 + A794_C4 + AAS0036_C4),(IF(E9&gt;DATEVALUE("12/31/2018"),(A798A_C4 + A007_C4 + A008_C4 + A003_C4 - A719_C4 - AAS0048_C4 - AAS0041_C4 + A794_C4 + A009D_C4 + A009_C4),IF(E9&gt;DATEVALUE("12/31/2013"),(A798A_C4+A007_C4+A008_C4+A003_C4-A719_C4+A794_C4+A009D_C4+A009_C4),0))))</f>
        <v>108621811401</v>
      </c>
      <c r="H58" s="62">
        <f>IF(H9&gt;DATEVALUE("12/31/2021"),(A798A_C5 + A007_C5 + A008_C5 + A003_C5 - A719_C5 - AAS0048_C5 - AAS0041_C5 + A794_C5 + AAS0036_C5),(IF(H9&gt;DATEVALUE("12/31/2018"),(A798A_C5 + A007_C5 + A008_C5 + A003_C5 - A719_C5 - AAS0048_C5 - AAS0041_C5 + A794_C5 + A009D_C5 + A009_C5),IF(H9&gt;DATEVALUE("12/31/2013"),(A798A_C5+A007_C5+A008_C5+A003_C5-A719_C5+A794_C5+A009D_C5+A009_C5),0))))</f>
        <v>110421106909</v>
      </c>
      <c r="I58" s="62" t="s">
        <v>143</v>
      </c>
    </row>
    <row r="59" spans="1:10" ht="12" hidden="1" customHeight="1" x14ac:dyDescent="0.2">
      <c r="A59" s="62" t="s">
        <v>144</v>
      </c>
      <c r="B59" s="62">
        <f>SUM(B55:B58)</f>
        <v>2311465789639</v>
      </c>
      <c r="C59" s="62">
        <f>SUM(C55:C58)</f>
        <v>2307409856783</v>
      </c>
      <c r="D59" s="62">
        <f>SUM(D55:D58)</f>
        <v>2367210395365</v>
      </c>
      <c r="E59" s="62">
        <f>SUM(E55:E58)</f>
        <v>2378971211002</v>
      </c>
      <c r="H59" s="62">
        <f>SUM(H55:H58)</f>
        <v>2397759543017</v>
      </c>
      <c r="I59" s="62" t="s">
        <v>145</v>
      </c>
    </row>
    <row r="60" spans="1:10" ht="12" hidden="1" customHeight="1" x14ac:dyDescent="0.2">
      <c r="A60" s="62" t="s">
        <v>146</v>
      </c>
      <c r="B60" s="62">
        <f>IF(B9&gt;DATEVALUE("12/31/2013"),( A860A_C1 + A860B1_C1+ A860B2_C1),0)</f>
        <v>121860496517</v>
      </c>
      <c r="C60" s="62">
        <f>IF(C9&gt;DATEVALUE("12/31/2013"),( A860A_C2 + A860B1_C2+ A860B2_C2),0)</f>
        <v>96453698378</v>
      </c>
      <c r="D60" s="62">
        <f>IF(D9&gt;DATEVALUE("12/31/2013"),( A860A_C3 + A860B1_C3+ A860B2_C3),0)</f>
        <v>87429331538</v>
      </c>
      <c r="E60" s="62">
        <f>IF(E9&gt;DATEVALUE("12/31/2013"),( A860A_C4 + A860B1_C4+ A860B2_C4),0)</f>
        <v>90112873482</v>
      </c>
      <c r="H60" s="62">
        <f>IF(H9&gt;DATEVALUE("12/31/2013"),( A860A_C5 + A860B1_C5+ A860B2_C5),0)</f>
        <v>87900804549</v>
      </c>
      <c r="I60" s="62" t="s">
        <v>147</v>
      </c>
    </row>
    <row r="61" spans="1:10" ht="12" hidden="1" customHeight="1" x14ac:dyDescent="0.2">
      <c r="A61" s="62" t="s">
        <v>148</v>
      </c>
      <c r="B61" s="62">
        <f>IF(B9&gt;DATEVALUE("12/31/2021"),(A820A_C1 + A825_C1),IF(B9&gt;DATEVALUE("12/31/2013"),( A825A_C1 + A820A_C1 + A825_C1),0))</f>
        <v>29329779521</v>
      </c>
      <c r="C61" s="62">
        <f>IF(C9&gt;DATEVALUE("12/31/2021"),(A820A_C2 + A825_C2),IF(C9&gt;DATEVALUE("12/31/2013"),( A825A_C2 + A820A_C2 + A825_C2),0))</f>
        <v>28702171299</v>
      </c>
      <c r="D61" s="62">
        <f>IF(D9&gt;DATEVALUE("12/31/2021"),(A820A_C3 + A825_C3),IF(D9&gt;DATEVALUE("12/31/2013"),( A825A_C3 + A820A_C3 + A825_C3),0))</f>
        <v>28419164963</v>
      </c>
      <c r="E61" s="62">
        <f>IF(E9&gt;DATEVALUE("12/31/2021"),(A820A_C4 + A825_C4),IF(E9&gt;DATEVALUE("12/31/2013"),( A825A_C4 + A820A_C4 + A825_C4),0))</f>
        <v>29419144289</v>
      </c>
      <c r="H61" s="62">
        <f>IF(H9&gt;DATEVALUE("12/31/2021"),(A820A_C5 + A825_C5),IF(H9&gt;DATEVALUE("12/31/2013"),( A825A_C5 + A820A_C5 + A825_C5),0))</f>
        <v>30202732509</v>
      </c>
      <c r="I61" s="62" t="s">
        <v>149</v>
      </c>
    </row>
    <row r="62" spans="1:10" ht="12" hidden="1" customHeight="1" x14ac:dyDescent="0.2">
      <c r="A62" s="62" t="s">
        <v>150</v>
      </c>
      <c r="B62" s="62">
        <f>IF(B9&gt;DATEVALUE("12/31/2013"),(A902_C1 + A657_C1 + A911_C1),0)</f>
        <v>1257302078827</v>
      </c>
      <c r="C62" s="62">
        <f>IF(C9&gt;DATEVALUE("12/31/2013"),(A902_C2 + A657_C2 + A911_C2),0)</f>
        <v>1272481720512</v>
      </c>
      <c r="D62" s="62">
        <f>IF(D9&gt;DATEVALUE("12/31/2013"),(A902_C3 + A657_C3 + A911_C3),0)</f>
        <v>1324307862652</v>
      </c>
      <c r="E62" s="62">
        <f>IF(E9&gt;DATEVALUE("12/31/2013"),(A902_C4 + A657_C4 + A911_C4),0)</f>
        <v>1318283032920</v>
      </c>
      <c r="H62" s="62">
        <f>IF(H9&gt;DATEVALUE("12/31/2013"),(A902_C5 + A657_C5 + A911_C5),0)</f>
        <v>1317094813250</v>
      </c>
      <c r="I62" s="62" t="s">
        <v>151</v>
      </c>
    </row>
    <row r="63" spans="1:10" ht="12" hidden="1" customHeight="1" x14ac:dyDescent="0.2">
      <c r="A63" s="62" t="s">
        <v>152</v>
      </c>
      <c r="B63" s="62">
        <f>IF(B9&gt;DATEVALUE("12/31/2013"),(A908A_C1 + A906A_C1 + A630A_C1 + A880A_C1 + A908B1_C1 + A906B1_C1 + A630B1_C1 + A880B1_C1 + A908B2_C1 + A906B2_C1 + A630B2_C1 + A880B2_C1),0)</f>
        <v>677439123994</v>
      </c>
      <c r="C63" s="62">
        <f>IF(C9&gt;DATEVALUE("12/31/2013"),(A908A_C2 + A906A_C2 + A630A_C2 + A880A_C2 + A908B1_C2 + A906B1_C2 + A630B1_C2 + A880B1_C2 + A908B2_C2 + A906B2_C2 + A630B2_C2 + A880B2_C2),0)</f>
        <v>686765013278</v>
      </c>
      <c r="D63" s="62">
        <f>IF(D9&gt;DATEVALUE("12/31/2013"),(A908A_C3 + A906A_C3 + A630A_C3 + A880A_C3 + A908B1_C3 + A906B1_C3 + A630B1_C3 + A880B1_C3 + A908B2_C3 + A906B2_C3 + A630B2_C3 + A880B2_C3),0)</f>
        <v>696161690784</v>
      </c>
      <c r="E63" s="62">
        <f>IF(E9&gt;DATEVALUE("12/31/2013"),(A908A_C4 + A906A_C4 + A630A_C4 + A880A_C4 + A908B1_C4 + A906B1_C4 + A630B1_C4 + A880B1_C4 + A908B2_C4 + A906B2_C4 + A630B2_C4 + A880B2_C4),0)</f>
        <v>703756845645</v>
      </c>
      <c r="H63" s="62">
        <f>IF(H9&gt;DATEVALUE("12/31/2013"),(A908A_C5 + A906A_C5 + A630A_C5 + A880A_C5 + A908B1_C5 + A906B1_C5 + A630B1_C5 + A880B1_C5 + A908B2_C5 + A906B2_C5 + A630B2_C5 + A880B2_C5),0)</f>
        <v>716600494767</v>
      </c>
      <c r="I63" s="62" t="s">
        <v>153</v>
      </c>
    </row>
    <row r="64" spans="1:10" ht="12" hidden="1" customHeight="1" x14ac:dyDescent="0.2">
      <c r="A64" s="62" t="s">
        <v>154</v>
      </c>
      <c r="B64" s="62">
        <f>SUM(B60:B63)</f>
        <v>2085931478859</v>
      </c>
      <c r="C64" s="62">
        <f>SUM(C60:C63)</f>
        <v>2084402603467</v>
      </c>
      <c r="D64" s="62">
        <f>SUM(D60:D63)</f>
        <v>2136318049937</v>
      </c>
      <c r="E64" s="62">
        <f>SUM(E60:E63)</f>
        <v>2141571896336</v>
      </c>
      <c r="H64" s="62">
        <f>SUM(H60:H63)</f>
        <v>2151798845075</v>
      </c>
      <c r="I64" s="62" t="s">
        <v>155</v>
      </c>
    </row>
    <row r="65" spans="1:10" ht="12" hidden="1" customHeight="1" x14ac:dyDescent="0.2">
      <c r="A65" s="62" t="s">
        <v>156</v>
      </c>
      <c r="B65" s="62">
        <f>B59-B64</f>
        <v>225534310780</v>
      </c>
      <c r="C65" s="62">
        <f>C59-C64</f>
        <v>223007253316</v>
      </c>
      <c r="D65" s="62">
        <f>D59-D64</f>
        <v>230892345428</v>
      </c>
      <c r="E65" s="62">
        <f>E59-E64</f>
        <v>237399314666</v>
      </c>
      <c r="H65" s="62">
        <f>H59-H64</f>
        <v>245960697942</v>
      </c>
      <c r="I65" s="62" t="s">
        <v>157</v>
      </c>
    </row>
    <row r="66" spans="1:10" s="129" customFormat="1" ht="12" hidden="1" customHeight="1" x14ac:dyDescent="0.2">
      <c r="A66" s="62" t="s">
        <v>158</v>
      </c>
      <c r="B66" s="62">
        <f>(B65/B59)</f>
        <v>9.7571987347138497E-2</v>
      </c>
      <c r="C66" s="62">
        <f>(C65/C59)</f>
        <v>9.6648305744397575E-2</v>
      </c>
      <c r="D66" s="62">
        <f>(D65/D59)</f>
        <v>9.7537737194838034E-2</v>
      </c>
      <c r="E66" s="62">
        <f>(E65/E59)</f>
        <v>9.979074718016856E-2</v>
      </c>
      <c r="F66" s="62"/>
      <c r="G66" s="62"/>
      <c r="H66" s="62">
        <f>(H65/H59)</f>
        <v>0.10257938443340235</v>
      </c>
      <c r="I66" s="62" t="s">
        <v>159</v>
      </c>
      <c r="J66" s="62"/>
    </row>
    <row r="67" spans="1:10" ht="12" hidden="1" customHeight="1" x14ac:dyDescent="0.2">
      <c r="A67" s="62" t="s">
        <v>160</v>
      </c>
      <c r="B67" s="62">
        <f>IF(B9&gt;DATEVALUE("12/31/2021"),(A730A_C1 * (1 + 0) + A730B_C1 * (1 + 0) + AAS0008_C1 * (1 + 0)),IF(B9&gt;DATEVALUE("12/31/2013"),(A730A_C1 * (1 + 0) + A730B_C1 * (1 + 0) + A730C_C1 * (1 + 0)),0))</f>
        <v>186052858550</v>
      </c>
      <c r="C67" s="62">
        <f>IF(C9&gt;DATEVALUE("12/31/2021"),(A730A_C2 * (1 + 0) + A730B_C2 * (1 + 0) + AAS0008_C2 * (1 + 0)),IF(C9&gt;DATEVALUE("12/31/2013"),(A730A_C2 * (1 + 0) + A730B_C2 * (1 + 0) + A730C_C2 * (1 + 0)),0))</f>
        <v>180511644706</v>
      </c>
      <c r="D67" s="62">
        <f>IF(D9&gt;DATEVALUE("12/31/2021"),(A730A_C3 * (1 + 0) + A730B_C3 * (1 + 0) + AAS0008_C3 * (1 + 0)),IF(D9&gt;DATEVALUE("12/31/2013"),(A730A_C3 * (1 + 0) + A730B_C3 * (1 + 0) + A730C_C3 * (1 + 0)),0))</f>
        <v>216217145518</v>
      </c>
      <c r="E67" s="62">
        <f>IF(E9&gt;DATEVALUE("12/31/2021"),(A730A_C4 * (1 + 0) + A730B_C4 * (1 + 0) + AAS0008_C4 * (1 + 0)),IF(E9&gt;DATEVALUE("12/31/2013"),(A730A_C4 * (1 + 0) + A730B_C4 * (1 + 0) + A730C_C4 * (1 + 0)),0))</f>
        <v>192223859879</v>
      </c>
      <c r="H67" s="62">
        <f>IF(H9&gt;DATEVALUE("12/31/2021"),(A730A_C5 * (1 + 0) + A730B_C5 * (1 + 0) + AAS0008_C5 * (1 + 0)),IF(H9&gt;DATEVALUE("12/31/2013"),(A730A_C5 * (1 + 0) + A730B_C5 * (1 + 0) + A730C_C5 * (1 + 0)),0))</f>
        <v>183929502265</v>
      </c>
      <c r="I67" s="62" t="s">
        <v>161</v>
      </c>
    </row>
    <row r="68" spans="1:10" ht="12" hidden="1" customHeight="1" x14ac:dyDescent="0.2">
      <c r="A68" s="62" t="s">
        <v>162</v>
      </c>
      <c r="B68" s="62">
        <f>IF(B9&gt;DATEVALUE("12/31/2021"),IF(AAS0073_C1&gt;0,(ANV0153_C1-(AAS0073_C1-A801_C1)*AAS0068_C1/AAS0073_C1)*(1+0)+(ANV0154_C1-(AAS0073_C1-A801_C1)*AAS0069_C1/AAS0073_C1)*(1+0)+(ANV0155_C1-(AAS0073_C1-A801_C1)*AAS0070_C1/AAS0073_C1)*(1+0)+(ANV0156_C1-(AAS0073_C1-A801_C1)*AAS0071_C1/AAS0073_C1)*(1+0)+(ANV0157_C1-(AAS0073_C1-A801_C1)*AAS0072_C1/AAS0073_C1)*(1+0),ANV0153_C1*(1+0)+ANV0154_C1*(1+0)+ANV0155_C1*(1+0)+ANV0156_C1*(1+0)+ANV0157_C1*(1+0)),IF(B9&gt;DATEVALUE("12/31/2019"),IF(AAS0073_C1=0,(A799A1_C1+A799B_C1+A799C1_C1+A799C2_C1+A799D_C1),((A799A1_C1-(((AAS0068_C1)/(AAS0073_C1))*((AAS0073_C1)-A801_C1)))+(A799B_C1-(((AAS0069_C1)/(AAS0073_C1))*((AAS0073_C1)-A801_C1)))+(A799C1_C1-(((AAS0070_C1)/(AAS0073_C1))*((AAS0073_C1)-A801_C1)))+(A799C2_C1-(((AAS0071_C1)/(AAS0073_C1))*((AAS0073_C1)-A801_C1)))+(A799D_C1-(((AAS0072_C1)/(AAS0073_C1))*((AAS0073_C1)-A801_C1))))),IF(B9&gt;DATEVALUE("12/31/2018"),IF((A796E_C1+AAS0073_C1)=0,A799A1_C1+A799B_C1+A799C1_C1+A799C2_C1+A799D_C1,((A799A1_C1-(((A796A_C1+AAS0068_C1)/(A796E_C1+AAS0073_C1))*((A796E_C1+AAS0073_C1)-A801_C1)))+(A799B_C1-(((A796B_C1+AAS0069_C1)/(A796E_C1+AAS0073_C1))*((A796E_C1+AAS0073_C1)-A801_C1)))+(A799C1_C1-(((A796C1_C1+AAS0070_C1)/(A796E_C1+AAS0073_C1))*((A796E_C1+AAS0073_C1)-A801_C1)))+(A799C2_C1-(((A796C2_C1+AAS0071_C1)/(A796E_C1+AAS0073_C1))*((A796E_C1+AAS0073_C1)-A801_C1)))+(A799D_C1-(((A796D_C1+AAS0072_C1)/(A796E_C1+AAS0073_C1))*((A796E_C1+AAS0073_C1)-A801_C1))))),IF(B9&gt;DATEVALUE("12/31/2013"),IF(A796E_C1=0,(A799A1_C1+A799B_C1+A799C1_C1+A799C2_C1+A799D_C1),((A799A1_C1-(((A796A_C1)/(A796E_C1))*((A796E_C1)-A801_C1)))+(A799B_C1-(((A796B_C1)/(A796E_C1))*((A796E_C1)-A801_C1)))+(A799C1_C1-(((A796C1_C1)/(A796E_C1))*((A796E_C1)-A801_C1)))+(A799C2_C1-(((A796C2_C1)/(A796E_C1))*((A796E_C1)-A801_C1)))+(A799D_C1-(((A796D_C1)/(A796E_C1))*((A796E_C1)-A801_C1))))),0))))</f>
        <v>389495817504.5849</v>
      </c>
      <c r="C68" s="62">
        <f>IF(C9&gt;DATEVALUE("12/31/2021"),IF(AAS0073_C2&gt;0,(ANV0153_C2-(AAS0073_C2-A801_C2)*AAS0068_C2/AAS0073_C2)*(1+0)+(ANV0154_C2-(AAS0073_C2-A801_C2)*AAS0069_C2/AAS0073_C2)*(1+0)+(ANV0155_C2-(AAS0073_C2-A801_C2)*AAS0070_C2/AAS0073_C2)*(1+0)+(ANV0156_C2-(AAS0073_C2-A801_C2)*AAS0071_C2/AAS0073_C2)*(1+0)+(ANV0157_C2-(AAS0073_C2-A801_C2)*AAS0072_C2/AAS0073_C2)*(1+0),ANV0153_C2*(1+0)+ANV0154_C2*(1+0)+ANV0155_C2*(1+0)+ANV0156_C2*(1+0)+ANV0157_C2*(1+0)),IF(C9&gt;DATEVALUE("12/31/2019"),IF(AAS0073_C2=0,(A799A1_C2+A799B_C2+A799C1_C2+A799C2_C2+A799D_C2),((A799A1_C2-(((AAS0068_C2)/(AAS0073_C2))*((AAS0073_C2)-A801_C2)))+(A799B_C2-(((AAS0069_C2)/(AAS0073_C2))*((AAS0073_C2)-A801_C2)))+(A799C1_C2-(((AAS0070_C2)/(AAS0073_C2))*((AAS0073_C2)-A801_C2)))+(A799C2_C2-(((AAS0071_C2)/(AAS0073_C2))*((AAS0073_C2)-A801_C2)))+(A799D_C2-(((AAS0072_C2)/(AAS0073_C2))*((AAS0073_C2)-A801_C2))))),IF(C9&gt;DATEVALUE("12/31/2018"),IF((A796E_C2+AAS0073_C2)=0,A799A1_C2+A799B_C2+A799C1_C2+A799C2_C2+A799D_C2,((A799A1_C2-(((A796A_C2+AAS0068_C2)/(A796E_C2+AAS0073_C2))*((A796E_C2+AAS0073_C2)-A801_C2)))+(A799B_C2-(((A796B_C2+AAS0069_C2)/(A796E_C2+AAS0073_C2))*((A796E_C2+AAS0073_C2)-A801_C2)))+(A799C1_C2-(((A796C1_C2+AAS0070_C2)/(A796E_C2+AAS0073_C2))*((A796E_C2+AAS0073_C2)-A801_C2)))+(A799C2_C2-(((A796C2_C2+AAS0071_C2)/(A796E_C2+AAS0073_C2))*((A796E_C2+AAS0073_C2)-A801_C2)))+(A799D_C2-(((A796D_C2+AAS0072_C2)/(A796E_C2+AAS0073_C2))*((A796E_C2+AAS0073_C2)-A801_C2))))),IF(C9&gt;DATEVALUE("12/31/2013"),IF(A796E_C2=0,(A799A1_C2+A799B_C2+A799C1_C2+A799C2_C2+A799D_C2),((A799A1_C2-(((A796A_C2)/(A796E_C2))*((A796E_C2)-A801_C2)))+(A799B_C2-(((A796B_C2)/(A796E_C2))*((A796E_C2)-A801_C2)))+(A799C1_C2-(((A796C1_C2)/(A796E_C2))*((A796E_C2)-A801_C2)))+(A799C2_C2-(((A796C2_C2)/(A796E_C2))*((A796E_C2)-A801_C2)))+(A799D_C2-(((A796D_C2)/(A796E_C2))*((A796E_C2)-A801_C2))))),0))))</f>
        <v>379177212315.75995</v>
      </c>
      <c r="D68" s="62">
        <f>IF(D9&gt;DATEVALUE("12/31/2021"),IF(AAS0073_C3&gt;0,(ANV0153_C3-(AAS0073_C3-A801_C3)*AAS0068_C3/AAS0073_C3)*(1+0)+(ANV0154_C3-(AAS0073_C3-A801_C3)*AAS0069_C3/AAS0073_C3)*(1+0)+(ANV0155_C3-(AAS0073_C3-A801_C3)*AAS0070_C3/AAS0073_C3)*(1+0)+(ANV0156_C3-(AAS0073_C3-A801_C3)*AAS0071_C3/AAS0073_C3)*(1+0)+(ANV0157_C3-(AAS0073_C3-A801_C3)*AAS0072_C3/AAS0073_C3)*(1+0),ANV0153_C3*(1+0)+ANV0154_C3*(1+0)+ANV0155_C3*(1+0)+ANV0156_C3*(1+0)+ANV0157_C3*(1+0)),IF(D9&gt;DATEVALUE("12/31/2019"),IF(AAS0073_C3=0,(A799A1_C3+A799B_C3+A799C1_C3+A799C2_C3+A799D_C3),((A799A1_C3-(((AAS0068_C3)/(AAS0073_C3))*((AAS0073_C3)-A801_C3)))+(A799B_C3-(((AAS0069_C3)/(AAS0073_C3))*((AAS0073_C3)-A801_C3)))+(A799C1_C3-(((AAS0070_C3)/(AAS0073_C3))*((AAS0073_C3)-A801_C3)))+(A799C2_C3-(((AAS0071_C3)/(AAS0073_C3))*((AAS0073_C3)-A801_C3)))+(A799D_C3-(((AAS0072_C3)/(AAS0073_C3))*((AAS0073_C3)-A801_C3))))),IF(D9&gt;DATEVALUE("12/31/2018"),IF((A796E_C3+AAS0073_C3)=0,A799A1_C3+A799B_C3+A799C1_C3+A799C2_C3+A799D_C3,((A799A1_C3-(((A796A_C3+AAS0068_C3)/(A796E_C3+AAS0073_C3))*((A796E_C3+AAS0073_C3)-A801_C3)))+(A799B_C3-(((A796B_C3+AAS0069_C3)/(A796E_C3+AAS0073_C3))*((A796E_C3+AAS0073_C3)-A801_C3)))+(A799C1_C3-(((A796C1_C3+AAS0070_C3)/(A796E_C3+AAS0073_C3))*((A796E_C3+AAS0073_C3)-A801_C3)))+(A799C2_C3-(((A796C2_C3+AAS0071_C3)/(A796E_C3+AAS0073_C3))*((A796E_C3+AAS0073_C3)-A801_C3)))+(A799D_C3-(((A796D_C3+AAS0072_C3)/(A796E_C3+AAS0073_C3))*((A796E_C3+AAS0073_C3)-A801_C3))))),IF(D9&gt;DATEVALUE("12/31/2013"),IF(A796E_C3=0,(A799A1_C3+A799B_C3+A799C1_C3+A799C2_C3+A799D_C3),((A799A1_C3-(((A796A_C3)/(A796E_C3))*((A796E_C3)-A801_C3)))+(A799B_C3-(((A796B_C3)/(A796E_C3))*((A796E_C3)-A801_C3)))+(A799C1_C3-(((A796C1_C3)/(A796E_C3))*((A796E_C3)-A801_C3)))+(A799C2_C3-(((A796C2_C3)/(A796E_C3))*((A796E_C3)-A801_C3)))+(A799D_C3-(((A796D_C3)/(A796E_C3))*((A796E_C3)-A801_C3))))),0))))</f>
        <v>388948419824.66644</v>
      </c>
      <c r="E68" s="62">
        <f>IF(E9&gt;DATEVALUE("12/31/2021"),IF(AAS0073_C4&gt;0,(ANV0153_C4-(AAS0073_C4-A801_C4)*AAS0068_C4/AAS0073_C4)*(1+0)+(ANV0154_C4-(AAS0073_C4-A801_C4)*AAS0069_C4/AAS0073_C4)*(1+0)+(ANV0155_C4-(AAS0073_C4-A801_C4)*AAS0070_C4/AAS0073_C4)*(1+0)+(ANV0156_C4-(AAS0073_C4-A801_C4)*AAS0071_C4/AAS0073_C4)*(1+0)+(ANV0157_C4-(AAS0073_C4-A801_C4)*AAS0072_C4/AAS0073_C4)*(1+0),ANV0153_C4*(1+0)+ANV0154_C4*(1+0)+ANV0155_C4*(1+0)+ANV0156_C4*(1+0)+ANV0157_C4*(1+0)),IF(E9&gt;DATEVALUE("12/31/2019"),IF(AAS0073_C4=0,(A799A1_C4+A799B_C4+A799C1_C4+A799C2_C4+A799D_C4),((A799A1_C4-(((AAS0068_C4)/(AAS0073_C4))*((AAS0073_C4)-A801_C4)))+(A799B_C4-(((AAS0069_C4)/(AAS0073_C4))*((AAS0073_C4)-A801_C4)))+(A799C1_C4-(((AAS0070_C4)/(AAS0073_C4))*((AAS0073_C4)-A801_C4)))+(A799C2_C4-(((AAS0071_C4)/(AAS0073_C4))*((AAS0073_C4)-A801_C4)))+(A799D_C4-(((AAS0072_C4)/(AAS0073_C4))*((AAS0073_C4)-A801_C4))))),IF(E9&gt;DATEVALUE("12/31/2018"),IF((A796E_C4+AAS0073_C4)=0,A799A1_C4+A799B_C4+A799C1_C4+A799C2_C4+A799D_C4,((A799A1_C4-(((A796A_C4+AAS0068_C4)/(A796E_C4+AAS0073_C4))*((A796E_C4+AAS0073_C4)-A801_C4)))+(A799B_C4-(((A796B_C4+AAS0069_C4)/(A796E_C4+AAS0073_C4))*((A796E_C4+AAS0073_C4)-A801_C4)))+(A799C1_C4-(((A796C1_C4+AAS0070_C4)/(A796E_C4+AAS0073_C4))*((A796E_C4+AAS0073_C4)-A801_C4)))+(A799C2_C4-(((A796C2_C4+AAS0071_C4)/(A796E_C4+AAS0073_C4))*((A796E_C4+AAS0073_C4)-A801_C4)))+(A799D_C4-(((A796D_C4+AAS0072_C4)/(A796E_C4+AAS0073_C4))*((A796E_C4+AAS0073_C4)-A801_C4))))),IF(E9&gt;DATEVALUE("12/31/2013"),IF(A796E_C4=0,(A799A1_C4+A799B_C4+A799C1_C4+A799C2_C4+A799D_C4),((A799A1_C4-(((A796A_C4)/(A796E_C4))*((A796E_C4)-A801_C4)))+(A799B_C4-(((A796B_C4)/(A796E_C4))*((A796E_C4)-A801_C4)))+(A799C1_C4-(((A796C1_C4)/(A796E_C4))*((A796E_C4)-A801_C4)))+(A799C2_C4-(((A796C2_C4)/(A796E_C4))*((A796E_C4)-A801_C4)))+(A799D_C4-(((A796D_C4)/(A796E_C4))*((A796E_C4)-A801_C4))))),0))))</f>
        <v>394976877568.51056</v>
      </c>
      <c r="H68" s="62">
        <f>IF(H9&gt;DATEVALUE("12/31/2021"),IF(AAS0073_C5&gt;0,(ANV0153_C5-(AAS0073_C5-A801_C5)*AAS0068_C5/AAS0073_C5)*(1+0)+(ANV0154_C5-(AAS0073_C5-A801_C5)*AAS0069_C5/AAS0073_C5)*(1+0)+(ANV0155_C5-(AAS0073_C5-A801_C5)*AAS0070_C5/AAS0073_C5)*(1+0)+(ANV0156_C5-(AAS0073_C5-A801_C5)*AAS0071_C5/AAS0073_C5)*(1+0)+(ANV0157_C5-(AAS0073_C5-A801_C5)*AAS0072_C5/AAS0073_C5)*(1+0),ANV0153_C5*(1+0)+ANV0154_C5*(1+0)+ANV0155_C5*(1+0)+ANV0156_C5*(1+0)+ANV0157_C5*(1+0)),IF(H9&gt;DATEVALUE("12/31/2019"),IF(AAS0073_C5=0,(A799A1_C5+A799B_C5+A799C1_C5+A799C2_C5+A799D_C5),((A799A1_C5-(((AAS0068_C5)/(AAS0073_C5))*((AAS0073_C5)-A801_C5)))+(A799B_C5-(((AAS0069_C5)/(AAS0073_C5))*((AAS0073_C5)-A801_C5)))+(A799C1_C5-(((AAS0070_C5)/(AAS0073_C5))*((AAS0073_C5)-A801_C5)))+(A799C2_C5-(((AAS0071_C5)/(AAS0073_C5))*((AAS0073_C5)-A801_C5)))+(A799D_C5-(((AAS0072_C5)/(AAS0073_C5))*((AAS0073_C5)-A801_C5))))),IF(H9&gt;DATEVALUE("12/31/2018"),IF((A796E_C5+AAS0073_C5)=0,A799A1_C5+A799B_C5+A799C1_C5+A799C2_C5+A799D_C5,((A799A1_C5-(((A796A_C5+AAS0068_C5)/(A796E_C5+AAS0073_C5))*((A796E_C5+AAS0073_C5)-A801_C5)))+(A799B_C5-(((A796B_C5+AAS0069_C5)/(A796E_C5+AAS0073_C5))*((A796E_C5+AAS0073_C5)-A801_C5)))+(A799C1_C5-(((A796C1_C5+AAS0070_C5)/(A796E_C5+AAS0073_C5))*((A796E_C5+AAS0073_C5)-A801_C5)))+(A799C2_C5-(((A796C2_C5+AAS0071_C5)/(A796E_C5+AAS0073_C5))*((A796E_C5+AAS0073_C5)-A801_C5)))+(A799D_C5-(((A796D_C5+AAS0072_C5)/(A796E_C5+AAS0073_C5))*((A796E_C5+AAS0073_C5)-A801_C5))))),IF(H9&gt;DATEVALUE("12/31/2013"),IF(A796E_C5=0,(A799A1_C5+A799B_C5+A799C1_C5+A799C2_C5+A799D_C5),((A799A1_C5-(((A796A_C5)/(A796E_C5))*((A796E_C5)-A801_C5)))+(A799B_C5-(((A796B_C5)/(A796E_C5))*((A796E_C5)-A801_C5)))+(A799C1_C5-(((A796C1_C5)/(A796E_C5))*((A796E_C5)-A801_C5)))+(A799C2_C5-(((A796C2_C5)/(A796E_C5))*((A796E_C5)-A801_C5)))+(A799D_C5-(((A796D_C5)/(A796E_C5))*((A796E_C5)-A801_C5))))),0))))</f>
        <v>399165600500.72302</v>
      </c>
      <c r="I68" s="62" t="s">
        <v>163</v>
      </c>
    </row>
    <row r="69" spans="1:10" ht="12" hidden="1" customHeight="1" x14ac:dyDescent="0.2">
      <c r="A69" s="62" t="s">
        <v>164</v>
      </c>
      <c r="B69" s="62">
        <f>IF(B9&gt;DATEVALUE("12/31/2021"),A396_C1*(1+0)+A385_C1*(1+0)+A370_C1*(1+0)+ARL0002_C1*(1+0)+ARL0005_C1*(1+0)+
ARL0008_C1*(1+0)+ARL0011_C1*(1+0)+ARL0014_C1*(1+0)+ARL0019_C1*(1+0)+
ARL0022_C1*(1+0)+ARL0025_C1*(1+0)+ARL0028_C1*(1+0)+ARL0033_C1*(1+0)+
ARL0036_C1*(1+0)+ARL0039_C1*(1+0)+ARL0042_C1*(1+0)+A397A_C1*(1+0)+
A698A_C1*(1+0)+A397_C1*(1+0)+A002_C1*(1+0)+A698C_C1*(1+0)+A400P_C1*(1+0)+
(IF(A718A5_C1&lt;=ACM0099_C1,A718A5_C1*(1+0),(A718A5_C1-ACM0099_C1)*(1+0)+ACM0099_C1*(1+0))),IF(B9&gt;DATEVALUE("6/30/2017"),A396_C1*(1+0)+A385_C1*(1+0)+A370_C1*(1+0)+A704A_C1*(1+0)+A704B_C1*(1+0)+A704C_C1*(1+0)+A704D_C1*(1+0)+A704E_C1*(1+0)+A705A_C1*(1+0)+A705B_C1*(1+0)+A706_C1*(1+0)+A707_C1*(1+0)+A708_C1*(1+0)+A708B_C1*(1+0)+(A397A_C1+A698A_C1+A397_C1+A002_C1+A698C_C1+A400P_C1)*(1+0),IF(B9&gt;DATEVALUE("12/31/2013"), A396_C1 * (1 + 0) + A385_C1 * (1 + 0) + A370_C1 * (1 + 0) + A704A_C1 * (1 + 0) + A704B_C1 * (1 + 0) + A704C_C1 * (1 + 0) + A704D_C1 * (1 + 0) + A704E_C1 * (1 + 0) + A705A_C1 * (1 + 0) + A705B_C1 * (1 + 0) + A706_C1 * (1 + 0) + A707_C1 * (1 + 0) + A708_C1 * (1 + 0) + A708B_C1 * (1 + 0) + (A397_C1 + A397A_C1 + A698A_C1 + A002_C1 + A698_C1) * (1 + 0),0)))</f>
        <v>1630400479735</v>
      </c>
      <c r="C69" s="62">
        <f>IF(C9&gt;DATEVALUE("12/31/2021"),A396_C2*(1+0)+A385_C2*(1+0)+A370_C2*(1+0)+ARL0002_C2*(1+0)+ARL0005_C2*(1+0)+
ARL0008_C2*(1+0)+ARL0011_C2*(1+0)+ARL0014_C2*(1+0)+ARL0019_C2*(1+0)+
ARL0022_C2*(1+0)+ARL0025_C2*(1+0)+ARL0028_C2*(1+0)+ARL0033_C2*(1+0)+
ARL0036_C2*(1+0)+ARL0039_C2*(1+0)+ARL0042_C2*(1+0)+A397A_C2*(1+0)+
A698A_C2*(1+0)+A397_C2*(1+0)+A002_C2*(1+0)+A698C_C2*(1+0)+A400P_C2*(1+0)+
(IF(A718A5_C2&lt;=ACM0099_C2,A718A5_C2*(1+0),(A718A5_C2-ACM0099_C2)*(1+0)+ACM0099_C2*(1+0))),IF(C9&gt;DATEVALUE("6/30/2017"),A396_C2*(1+0)+A385_C2*(1+0)+A370_C2*(1+0)+A704A_C2*(1+0)+A704B_C2*(1+0)+A704C_C2*(1+0)+A704D_C2*(1+0)+A704E_C2*(1+0)+A705A_C2*(1+0)+A705B_C2*(1+0)+A706_C2*(1+0)+A707_C2*(1+0)+A708_C2*(1+0)+A708B_C2*(1+0)+(A397A_C2+A698A_C2+A397_C2+A002_C2+A698C_C2+A400P_C2)*(1+0),IF(C9&gt;DATEVALUE("12/31/2013"), A396_C2 * (1 + 0) + A385_C2 * (1 + 0) + A370_C2 * (1 + 0) + A704A_C2 * (1 + 0) + A704B_C2 * (1 + 0) + A704C_C2 * (1 + 0) + A704D_C2 * (1 + 0) + A704E_C2 * (1 + 0) + A705A_C2 * (1 + 0) + A705B_C2 * (1 + 0) + A706_C2 * (1 + 0) + A707_C2 * (1 + 0) + A708_C2 * (1 + 0) + A708B_C2 * (1 + 0) + (A397_C2 + A397A_C2 + A698A_C2 + A002_C2 + A698_C2) * (1 + 0),0)))</f>
        <v>1645193101572</v>
      </c>
      <c r="D69" s="62">
        <f>IF(D9&gt;DATEVALUE("12/31/2021"),A396_C3*(1+0)+A385_C3*(1+0)+A370_C3*(1+0)+ARL0002_C3*(1+0)+ARL0005_C3*(1+0)+
ARL0008_C3*(1+0)+ARL0011_C3*(1+0)+ARL0014_C3*(1+0)+ARL0019_C3*(1+0)+
ARL0022_C3*(1+0)+ARL0025_C3*(1+0)+ARL0028_C3*(1+0)+ARL0033_C3*(1+0)+
ARL0036_C3*(1+0)+ARL0039_C3*(1+0)+ARL0042_C3*(1+0)+A397A_C3*(1+0)+
A698A_C3*(1+0)+A397_C3*(1+0)+A002_C3*(1+0)+A698C_C3*(1+0)+A400P_C3*(1+0)+
(IF(A718A5_C3&lt;=ACM0099_C3,A718A5_C3*(1+0),(A718A5_C3-ACM0099_C3)*(1+0)+ACM0099_C3*(1+0))),IF(D9&gt;DATEVALUE("6/30/2017"),A396_C3*(1+0)+A385_C3*(1+0)+A370_C3*(1+0)+A704A_C3*(1+0)+A704B_C3*(1+0)+A704C_C3*(1+0)+A704D_C3*(1+0)+A704E_C3*(1+0)+A705A_C3*(1+0)+A705B_C3*(1+0)+A706_C3*(1+0)+A707_C3*(1+0)+A708_C3*(1+0)+A708B_C3*(1+0)+(A397A_C3+A698A_C3+A397_C3+A002_C3+A698C_C3+A400P_C3)*(1+0),IF(D9&gt;DATEVALUE("12/31/2013"), A396_C3 * (1 + 0) + A385_C3 * (1 + 0) + A370_C3 * (1 + 0) + A704A_C3 * (1 + 0) + A704B_C3 * (1 + 0) + A704C_C3 * (1 + 0) + A704D_C3 * (1 + 0) + A704E_C3 * (1 + 0) + A705A_C3 * (1 + 0) + A705B_C3 * (1 + 0) + A706_C3 * (1 + 0) + A707_C3 * (1 + 0) + A708_C3 * (1 + 0) + A708B_C3 * (1 + 0) + (A397_C3 + A397A_C3 + A698A_C3 + A002_C3 + A698_C3) * (1 + 0),0)))</f>
        <v>1653740584345</v>
      </c>
      <c r="E69" s="62">
        <f>IF(E9&gt;DATEVALUE("12/31/2021"),A396_C4*(1+0)+A385_C4*(1+0)+A370_C4*(1+0)+ARL0002_C4*(1+0)+ARL0005_C4*(1+0)+
ARL0008_C4*(1+0)+ARL0011_C4*(1+0)+ARL0014_C4*(1+0)+ARL0019_C4*(1+0)+
ARL0022_C4*(1+0)+ARL0025_C4*(1+0)+ARL0028_C4*(1+0)+ARL0033_C4*(1+0)+
ARL0036_C4*(1+0)+ARL0039_C4*(1+0)+ARL0042_C4*(1+0)+A397A_C4*(1+0)+
A698A_C4*(1+0)+A397_C4*(1+0)+A002_C4*(1+0)+A698C_C4*(1+0)+A400P_C4*(1+0)+
(IF(A718A5_C4&lt;=ACM0099_C4,A718A5_C4*(1+0),(A718A5_C4-ACM0099_C4)*(1+0)+ACM0099_C4*(1+0))),IF(E9&gt;DATEVALUE("6/30/2017"),A396_C4*(1+0)+A385_C4*(1+0)+A370_C4*(1+0)+A704A_C4*(1+0)+A704B_C4*(1+0)+A704C_C4*(1+0)+A704D_C4*(1+0)+A704E_C4*(1+0)+A705A_C4*(1+0)+A705B_C4*(1+0)+A706_C4*(1+0)+A707_C4*(1+0)+A708_C4*(1+0)+A708B_C4*(1+0)+(A397A_C4+A698A_C4+A397_C4+A002_C4+A698C_C4+A400P_C4)*(1+0),IF(E9&gt;DATEVALUE("12/31/2013"), A396_C4 * (1 + 0) + A385_C4 * (1 + 0) + A370_C4 * (1 + 0) + A704A_C4 * (1 + 0) + A704B_C4 * (1 + 0) + A704C_C4 * (1 + 0) + A704D_C4 * (1 + 0) + A704E_C4 * (1 + 0) + A705A_C4 * (1 + 0) + A705B_C4 * (1 + 0) + A706_C4 * (1 + 0) + A707_C4 * (1 + 0) + A708_C4 * (1 + 0) + A708B_C4 * (1 + 0) + (A397_C4 + A397A_C4 + A698A_C4 + A002_C4 + A698_C4) * (1 + 0),0)))</f>
        <v>1681256067679</v>
      </c>
      <c r="H69" s="62">
        <f>IF(H9&gt;DATEVALUE("12/31/2021"),A396_C5*(1+0)+A385_C5*(1+0)+A370_C5*(1+0)+ARL0002_C5*(1+0)+ARL0005_C5*(1+0)+
ARL0008_C5*(1+0)+ARL0011_C5*(1+0)+ARL0014_C5*(1+0)+ARL0019_C5*(1+0)+
ARL0022_C5*(1+0)+ARL0025_C5*(1+0)+ARL0028_C5*(1+0)+ARL0033_C5*(1+0)+
ARL0036_C5*(1+0)+ARL0039_C5*(1+0)+ARL0042_C5*(1+0)+A397A_C5*(1+0)+
A698A_C5*(1+0)+A397_C5*(1+0)+A002_C5*(1+0)+A698C_C5*(1+0)+A400P_C5*(1+0)+
(IF(A718A5_C5&lt;=ACM0099_C5,A718A5_C5*(1+0),(A718A5_C5-ACM0099_C5)*(1+0)+ACM0099_C5*(1+0))),IF(H9&gt;DATEVALUE("6/30/2017"),A396_C5*(1+0)+A385_C5*(1+0)+A370_C5*(1+0)+A704A_C5*(1+0)+A704B_C5*(1+0)+A704C_C5*(1+0)+A704D_C5*(1+0)+A704E_C5*(1+0)+A705A_C5*(1+0)+A705B_C5*(1+0)+A706_C5*(1+0)+A707_C5*(1+0)+A708_C5*(1+0)+A708B_C5*(1+0)+(A397A_C5+A698A_C5+A397_C5+A002_C5+A698C_C5+A400P_C5)*(1+0),IF(H9&gt;DATEVALUE("12/31/2013"), A396_C5 * (1 + 0) + A385_C5 * (1 + 0) + A370_C5 * (1 + 0) + A704A_C5 * (1 + 0) + A704B_C5 * (1 + 0) + A704C_C5 * (1 + 0) + A704D_C5 * (1 + 0) + A704E_C5 * (1 + 0) + A705A_C5 * (1 + 0) + A705B_C5 * (1 + 0) + A706_C5 * (1 + 0) + A707_C5 * (1 + 0) + A708_C5 * (1 + 0) + A708B_C5 * (1 + 0) + (A397_C5 + A397A_C5 + A698A_C5 + A002_C5 + A698_C5) * (1 + 0),0)))</f>
        <v>1702727096997</v>
      </c>
      <c r="I69" s="62" t="s">
        <v>165</v>
      </c>
    </row>
    <row r="70" spans="1:10" ht="12" hidden="1" customHeight="1" x14ac:dyDescent="0.2">
      <c r="A70" s="62" t="s">
        <v>166</v>
      </c>
      <c r="B70" s="62">
        <f>IF(B9&gt;DATEVALUE("12/31/2021"),( A798A_C1 * (1 + 0) + (A007_C1 + A008_C1) * (1 + 0) + (A003_C1 - A719_C1 - AAS0048_C1 - AAS0041_C1 + A794_C1 + AAS0036_C1) * (1 + 0) ),IF(B9&gt;DATEVALUE("12/31/2018"),( A798A_C1 * (1 + 0) + (A007_C1 + A008_C1) * (1 + 0) + (A003_C1 - A719_C1 - AAS0048_C1 - AAS0041_C1 + A794_C1 + A009D_C1 + A009_C1) * (1 + 0)),IF(B9&gt;DATEVALUE("12/31/2013"),A798A_C1*(1+0)+(A007_C1+A008_C1)*(1+0)+(A003_C1-A719_C1+A794_C1+A009D_C1+A009_C1)*(1+0),0)))</f>
        <v>102865323108</v>
      </c>
      <c r="C70" s="62">
        <f>IF(C9&gt;DATEVALUE("12/31/2021"),( A798A_C2 * (1 + 0) + (A007_C2 + A008_C2) * (1 + 0) + (A003_C2 - A719_C2 - AAS0048_C2 - AAS0041_C2 + A794_C2 + AAS0036_C2) * (1 + 0) ),IF(C9&gt;DATEVALUE("12/31/2018"),( A798A_C2 * (1 + 0) + (A007_C2 + A008_C2) * (1 + 0) + (A003_C2 - A719_C2 - AAS0048_C2 - AAS0041_C2 + A794_C2 + A009D_C2 + A009_C2) * (1 + 0)),IF(C9&gt;DATEVALUE("12/31/2013"),A798A_C2*(1+0)+(A007_C2+A008_C2)*(1+0)+(A003_C2-A719_C2+A794_C2+A009D_C2+A009_C2)*(1+0),0)))</f>
        <v>99874045737</v>
      </c>
      <c r="D70" s="62">
        <f>IF(D9&gt;DATEVALUE("12/31/2021"),( A798A_C3 * (1 + 0) + (A007_C3 + A008_C3) * (1 + 0) + (A003_C3 - A719_C3 - AAS0048_C3 - AAS0041_C3 + A794_C3 + AAS0036_C3) * (1 + 0) ),IF(D9&gt;DATEVALUE("12/31/2018"),( A798A_C3 * (1 + 0) + (A007_C3 + A008_C3) * (1 + 0) + (A003_C3 - A719_C3 - AAS0048_C3 - AAS0041_C3 + A794_C3 + A009D_C3 + A009_C3) * (1 + 0)),IF(D9&gt;DATEVALUE("12/31/2013"),A798A_C3*(1+0)+(A007_C3+A008_C3)*(1+0)+(A003_C3-A719_C3+A794_C3+A009D_C3+A009_C3)*(1+0),0)))</f>
        <v>106149672086</v>
      </c>
      <c r="E70" s="62">
        <f>IF(E9&gt;DATEVALUE("12/31/2021"),( A798A_C4 * (1 + 0) + (A007_C4 + A008_C4) * (1 + 0) + (A003_C4 - A719_C4 - AAS0048_C4 - AAS0041_C4 + A794_C4 + AAS0036_C4) * (1 + 0) ),IF(E9&gt;DATEVALUE("12/31/2018"),( A798A_C4 * (1 + 0) + (A007_C4 + A008_C4) * (1 + 0) + (A003_C4 - A719_C4 - AAS0048_C4 - AAS0041_C4 + A794_C4 + A009D_C4 + A009_C4) * (1 + 0)),IF(E9&gt;DATEVALUE("12/31/2013"),A798A_C4*(1+0)+(A007_C4+A008_C4)*(1+0)+(A003_C4-A719_C4+A794_C4+A009D_C4+A009_C4)*(1+0),0)))</f>
        <v>108621811401</v>
      </c>
      <c r="H70" s="62">
        <f>IF(H9&gt;DATEVALUE("12/31/2021"),( A798A_C5 * (1 + 0) + (A007_C5 + A008_C5) * (1 + 0) + (A003_C5 - A719_C5 - AAS0048_C5 - AAS0041_C5 + A794_C5 + AAS0036_C5) * (1 + 0) ),IF(H9&gt;DATEVALUE("12/31/2018"),( A798A_C5 * (1 + 0) + (A007_C5 + A008_C5) * (1 + 0) + (A003_C5 - A719_C5 - AAS0048_C5 - AAS0041_C5 + A794_C5 + A009D_C5 + A009_C5) * (1 + 0)),IF(H9&gt;DATEVALUE("12/31/2013"),A798A_C5*(1+0)+(A007_C5+A008_C5)*(1+0)+(A003_C5-A719_C5+A794_C5+A009D_C5+A009_C5)*(1+0),0)))</f>
        <v>110421106909</v>
      </c>
      <c r="I70" s="62" t="s">
        <v>167</v>
      </c>
    </row>
    <row r="71" spans="1:10" ht="12" hidden="1" customHeight="1" x14ac:dyDescent="0.2">
      <c r="A71" s="62" t="s">
        <v>168</v>
      </c>
      <c r="B71" s="62">
        <f>SUM(B67,B68,B69,B70)</f>
        <v>2308814478897.585</v>
      </c>
      <c r="C71" s="62">
        <f>SUM(C67,C68,C69,C70)</f>
        <v>2304756004330.7598</v>
      </c>
      <c r="D71" s="62">
        <f>SUM(D67,D68,D69,D70)</f>
        <v>2365055821773.6665</v>
      </c>
      <c r="E71" s="62">
        <f>SUM(E67,E68,E69,E70)</f>
        <v>2377078616527.5107</v>
      </c>
      <c r="H71" s="62">
        <f>SUM(H67,H68,H69,H70)</f>
        <v>2396243306671.7231</v>
      </c>
      <c r="I71" s="62" t="s">
        <v>169</v>
      </c>
    </row>
    <row r="72" spans="1:10" ht="12" hidden="1" customHeight="1" x14ac:dyDescent="0.2">
      <c r="A72" s="62" t="s">
        <v>170</v>
      </c>
      <c r="B72" s="62">
        <f>IF(B9&gt;DATEVALUE("12/31/2021"),( A860A_C1 * (1 + 0) + A860B1_C1 * (1 + 0) + A860B2_C1 * (1 + 0) ), (IF(B9&gt;DATEVALUE("6/30/2019"),( A860A_C1 * (1 + 0) * (1 + 0) + (A860B1_C1) * (1 + 0) * (1 + 0) + (A860B2_C1) * (1 + 0) * (1 + 0)),IF(B9&gt;DATEVALUE("12/31/2013"),A860A_C1*(1+0)*(1+0.0025)+A860B1_C1*(1+0)*(1+0.0025)+A860B2_C1*(1+0)*(1+0.0025),0))))</f>
        <v>121860496517</v>
      </c>
      <c r="C72" s="62">
        <f>IF(C9&gt;DATEVALUE("12/31/2021"),( A860A_C2 * (1 + 0) + A860B1_C2 * (1 + 0) + A860B2_C2 * (1 + 0) ), (IF(C9&gt;DATEVALUE("6/30/2019"),( A860A_C2 * (1 + 0) * (1 + 0) + (A860B1_C2) * (1 + 0) * (1 + 0) + (A860B2_C2) * (1 + 0) * (1 + 0)),IF(C9&gt;DATEVALUE("12/31/2013"),A860A_C2*(1+0)*(1+0.0025)+A860B1_C2*(1+0)*(1+0.0025)+A860B2_C2*(1+0)*(1+0.0025),0))))</f>
        <v>96453698378</v>
      </c>
      <c r="D72" s="62">
        <f>IF(D9&gt;DATEVALUE("12/31/2021"),( A860A_C3 * (1 + 0) + A860B1_C3 * (1 + 0) + A860B2_C3 * (1 + 0) ), (IF(D9&gt;DATEVALUE("6/30/2019"),( A860A_C3 * (1 + 0) * (1 + 0) + (A860B1_C3) * (1 + 0) * (1 + 0) + (A860B2_C3) * (1 + 0) * (1 + 0)),IF(D9&gt;DATEVALUE("12/31/2013"),A860A_C3*(1+0)*(1+0.0025)+A860B1_C3*(1+0)*(1+0.0025)+A860B2_C3*(1+0)*(1+0.0025),0))))</f>
        <v>87429331538</v>
      </c>
      <c r="E72" s="62">
        <f>IF(E9&gt;DATEVALUE("12/31/2021"),( A860A_C4 * (1 + 0) + A860B1_C4 * (1 + 0) + A860B2_C4 * (1 + 0) ), (IF(E9&gt;DATEVALUE("6/30/2019"),( A860A_C4 * (1 + 0) * (1 + 0) + (A860B1_C4) * (1 + 0) * (1 + 0) + (A860B2_C4) * (1 + 0) * (1 + 0)),IF(E9&gt;DATEVALUE("12/31/2013"),A860A_C4*(1+0)*(1+0.0025)+A860B1_C4*(1+0)*(1+0.0025)+A860B2_C4*(1+0)*(1+0.0025),0))))</f>
        <v>90112873482</v>
      </c>
      <c r="H72" s="62">
        <f>IF(H9&gt;DATEVALUE("12/31/2021"),( A860A_C5 * (1 + 0) + A860B1_C5 * (1 + 0) + A860B2_C5 * (1 + 0) ), (IF(H9&gt;DATEVALUE("6/30/2019"),( A860A_C5 * (1 + 0) * (1 + 0) + (A860B1_C5) * (1 + 0) * (1 + 0) + (A860B2_C5) * (1 + 0) * (1 + 0)),IF(H9&gt;DATEVALUE("12/31/2013"),A860A_C5*(1+0)*(1+0.0025)+A860B1_C5*(1+0)*(1+0.0025)+A860B2_C5*(1+0)*(1+0.0025),0))))</f>
        <v>87900804549</v>
      </c>
      <c r="I72" s="62" t="s">
        <v>171</v>
      </c>
    </row>
    <row r="73" spans="1:10" ht="12" hidden="1" customHeight="1" x14ac:dyDescent="0.2">
      <c r="A73" s="62" t="s">
        <v>172</v>
      </c>
      <c r="B73" s="62">
        <f>IF(B9&gt;DATEVALUE("12/31/2021"),(A820A_C1 * (1 + 0) + A825_C1 * (1 + 0) ),IF(B9&gt;DATEVALUE("12/31/2013"),((A825A_C1 + A820A_C1 + A825_C1) * (1 + 0)),0))</f>
        <v>29329779521</v>
      </c>
      <c r="C73" s="62">
        <f>IF(C9&gt;DATEVALUE("12/31/2021"),(A820A_C2 * (1 + 0) + A825_C2 * (1 + 0) ),IF(C9&gt;DATEVALUE("12/31/2013"),((A825A_C2 + A820A_C2 + A825_C2) * (1 + 0)),0))</f>
        <v>28702171299</v>
      </c>
      <c r="D73" s="62">
        <f>IF(D9&gt;DATEVALUE("12/31/2021"),(A820A_C3 * (1 + 0) + A825_C3 * (1 + 0) ),IF(D9&gt;DATEVALUE("12/31/2013"),((A825A_C3 + A820A_C3 + A825_C3) * (1 + 0)),0))</f>
        <v>28419164963</v>
      </c>
      <c r="E73" s="62">
        <f>IF(E9&gt;DATEVALUE("12/31/2021"),(A820A_C4 * (1 + 0) + A825_C4 * (1 + 0) ),IF(E9&gt;DATEVALUE("12/31/2013"),((A825A_C4 + A820A_C4 + A825_C4) * (1 + 0)),0))</f>
        <v>29419144289</v>
      </c>
      <c r="H73" s="62">
        <f>IF(H9&gt;DATEVALUE("12/31/2021"),(A820A_C5 * (1 + 0) + A825_C5 * (1 + 0) ),IF(H9&gt;DATEVALUE("12/31/2013"),((A825A_C5 + A820A_C5 + A825_C5) * (1 + 0)),0))</f>
        <v>30202732509</v>
      </c>
      <c r="I73" s="62" t="s">
        <v>173</v>
      </c>
    </row>
    <row r="74" spans="1:10" ht="12" hidden="1" customHeight="1" x14ac:dyDescent="0.2">
      <c r="A74" s="62" t="s">
        <v>174</v>
      </c>
      <c r="B74" s="62">
        <f>IF(B9&gt;DATEVALUE("12/31/2013"),(A902_C1 * (1 + -0.01) + A657_C1 * (1 + -0.01) + A911_C1 * (1 + -0.01)),0)</f>
        <v>1244729058038.73</v>
      </c>
      <c r="C74" s="62">
        <f>IF(C9&gt;DATEVALUE("12/31/2013"),(A902_C2 * (1 + -0.01) + A657_C2 * (1 + -0.01) + A911_C2 * (1 + -0.01)),0)</f>
        <v>1259756903306.8799</v>
      </c>
      <c r="D74" s="62">
        <f>IF(D9&gt;DATEVALUE("12/31/2013"),(A902_C3 * (1 + -0.01) + A657_C3 * (1 + -0.01) + A911_C3 * (1 + -0.01)),0)</f>
        <v>1311064784025.48</v>
      </c>
      <c r="E74" s="62">
        <f>IF(E9&gt;DATEVALUE("12/31/2013"),(A902_C4 * (1 + -0.01) + A657_C4 * (1 + -0.01) + A911_C4 * (1 + -0.01)),0)</f>
        <v>1305100202590.8</v>
      </c>
      <c r="H74" s="62">
        <f>IF(H9&gt;DATEVALUE("12/31/2013"),(A902_C5 * (1 + -0.01) + A657_C5 * (1 + -0.01) + A911_C5 * (1 + -0.01)),0)</f>
        <v>1303923865117.5</v>
      </c>
      <c r="I74" s="62" t="s">
        <v>175</v>
      </c>
    </row>
    <row r="75" spans="1:10" ht="12" hidden="1" customHeight="1" x14ac:dyDescent="0.2">
      <c r="A75" s="62" t="s">
        <v>176</v>
      </c>
      <c r="B75" s="62">
        <f>IF(B9&gt;DATEVALUE("12/31/2021"),A908A_C1 * (1 + 0) + A906A_C1 * (1 + 0) + A630A_C1 * (1 + 0) + A880A_C1 * (1 + 0) + A908B1_C1 * (1 + 0) + A906B1_C1 * (1 + 0) + A630B1_C1 * (1 + 0) + A880B1_C1 * (1 + 0) + A908B2_C1 * (1 + 0) + A906B2_C1 * (1 + 0) + A630B2_C1 * (1 + 0) + A880B2_C1 * (1 + 0),IF(B9&gt;DATEVALUE("6/30/2019"),(A908A_C1 + A906A_C1 + A630A_C1 + A880A_C1) * (1 + 0) * (1 + 0) + (A908B1_C1 + A906B1_C1 + A630B1_C1 + A880B1_C1) * (1 + 0) * (1 + 0) + (A908B2_C1 + A906B2_C1 + A630B2_C1 + A880B2_C1) * (1 + 0) * (1 + 0),IF(B9&gt;DATEVALUE("12/31/2013"),(A908A_C1 + A906A_C1 + A630A_C1 + A880A_C1) * (1 + 0) * (1 + 0.0025) + (A908B1_C1 + A906B1_C1 + A630B1_C1 + A880B1_C1) * (1 + 0) * (1 + 0.0025) + (A908B2_C1 + A906B2_C1 + A630B2_C1 + A880B2_C1) * (1 + 0) * (1 + 0.0025),0)))</f>
        <v>677439123994</v>
      </c>
      <c r="C75" s="62">
        <f>IF(C9&gt;DATEVALUE("12/31/2021"),A908A_C2 * (1 + 0) + A906A_C2 * (1 + 0) + A630A_C2 * (1 + 0) + A880A_C2 * (1 + 0) + A908B1_C2 * (1 + 0) + A906B1_C2 * (1 + 0) + A630B1_C2 * (1 + 0) + A880B1_C2 * (1 + 0) + A908B2_C2 * (1 + 0) + A906B2_C2 * (1 + 0) + A630B2_C2 * (1 + 0) + A880B2_C2 * (1 + 0),IF(C9&gt;DATEVALUE("6/30/2019"),(A908A_C2 + A906A_C2 + A630A_C2 + A880A_C2) * (1 + 0) * (1 + 0) + (A908B1_C2 + A906B1_C2 + A630B1_C2 + A880B1_C2) * (1 + 0) * (1 + 0) + (A908B2_C2 + A906B2_C2 + A630B2_C2 + A880B2_C2) * (1 + 0) * (1 + 0),IF(C9&gt;DATEVALUE("12/31/2013"),(A908A_C2 + A906A_C2 + A630A_C2 + A880A_C2) * (1 + 0) * (1 + 0.0025) + (A908B1_C2 + A906B1_C2 + A630B1_C2 + A880B1_C2) * (1 + 0) * (1 + 0.0025) + (A908B2_C2 + A906B2_C2 + A630B2_C2 + A880B2_C2) * (1 + 0) * (1 + 0.0025),0)))</f>
        <v>686765013278</v>
      </c>
      <c r="D75" s="62">
        <f>IF(D9&gt;DATEVALUE("12/31/2021"),A908A_C3 * (1 + 0) + A906A_C3 * (1 + 0) + A630A_C3 * (1 + 0) + A880A_C3 * (1 + 0) + A908B1_C3 * (1 + 0) + A906B1_C3 * (1 + 0) + A630B1_C3 * (1 + 0) + A880B1_C3 * (1 + 0) + A908B2_C3 * (1 + 0) + A906B2_C3 * (1 + 0) + A630B2_C3 * (1 + 0) + A880B2_C3 * (1 + 0),IF(D9&gt;DATEVALUE("6/30/2019"),(A908A_C3 + A906A_C3 + A630A_C3 + A880A_C3) * (1 + 0) * (1 + 0) + (A908B1_C3 + A906B1_C3 + A630B1_C3 + A880B1_C3) * (1 + 0) * (1 + 0) + (A908B2_C3 + A906B2_C3 + A630B2_C3 + A880B2_C3) * (1 + 0) * (1 + 0),IF(D9&gt;DATEVALUE("12/31/2013"),(A908A_C3 + A906A_C3 + A630A_C3 + A880A_C3) * (1 + 0) * (1 + 0.0025) + (A908B1_C3 + A906B1_C3 + A630B1_C3 + A880B1_C3) * (1 + 0) * (1 + 0.0025) + (A908B2_C3 + A906B2_C3 + A630B2_C3 + A880B2_C3) * (1 + 0) * (1 + 0.0025),0)))</f>
        <v>696161690784</v>
      </c>
      <c r="E75" s="62">
        <f>IF(E9&gt;DATEVALUE("12/31/2021"),A908A_C4 * (1 + 0) + A906A_C4 * (1 + 0) + A630A_C4 * (1 + 0) + A880A_C4 * (1 + 0) + A908B1_C4 * (1 + 0) + A906B1_C4 * (1 + 0) + A630B1_C4 * (1 + 0) + A880B1_C4 * (1 + 0) + A908B2_C4 * (1 + 0) + A906B2_C4 * (1 + 0) + A630B2_C4 * (1 + 0) + A880B2_C4 * (1 + 0),IF(E9&gt;DATEVALUE("6/30/2019"),(A908A_C4 + A906A_C4 + A630A_C4 + A880A_C4) * (1 + 0) * (1 + 0) + (A908B1_C4 + A906B1_C4 + A630B1_C4 + A880B1_C4) * (1 + 0) * (1 + 0) + (A908B2_C4 + A906B2_C4 + A630B2_C4 + A880B2_C4) * (1 + 0) * (1 + 0),IF(E9&gt;DATEVALUE("12/31/2013"),(A908A_C4 + A906A_C4 + A630A_C4 + A880A_C4) * (1 + 0) * (1 + 0.0025) + (A908B1_C4 + A906B1_C4 + A630B1_C4 + A880B1_C4) * (1 + 0) * (1 + 0.0025) + (A908B2_C4 + A906B2_C4 + A630B2_C4 + A880B2_C4) * (1 + 0) * (1 + 0.0025),0)))</f>
        <v>703756845645</v>
      </c>
      <c r="H75" s="62">
        <f>IF(H9&gt;DATEVALUE("12/31/2021"),A908A_C5 * (1 + 0) + A906A_C5 * (1 + 0) + A630A_C5 * (1 + 0) + A880A_C5 * (1 + 0) + A908B1_C5 * (1 + 0) + A906B1_C5 * (1 + 0) + A630B1_C5 * (1 + 0) + A880B1_C5 * (1 + 0) + A908B2_C5 * (1 + 0) + A906B2_C5 * (1 + 0) + A630B2_C5 * (1 + 0) + A880B2_C5 * (1 + 0),IF(H9&gt;DATEVALUE("6/30/2019"),(A908A_C5 + A906A_C5 + A630A_C5 + A880A_C5) * (1 + 0) * (1 + 0) + (A908B1_C5 + A906B1_C5 + A630B1_C5 + A880B1_C5) * (1 + 0) * (1 + 0) + (A908B2_C5 + A906B2_C5 + A630B2_C5 + A880B2_C5) * (1 + 0) * (1 + 0),IF(H9&gt;DATEVALUE("12/31/2013"),(A908A_C5 + A906A_C5 + A630A_C5 + A880A_C5) * (1 + 0) * (1 + 0.0025) + (A908B1_C5 + A906B1_C5 + A630B1_C5 + A880B1_C5) * (1 + 0) * (1 + 0.0025) + (A908B2_C5 + A906B2_C5 + A630B2_C5 + A880B2_C5) * (1 + 0) * (1 + 0.0025),0)))</f>
        <v>716600494767</v>
      </c>
      <c r="I75" s="62" t="s">
        <v>177</v>
      </c>
    </row>
    <row r="76" spans="1:10" ht="12" hidden="1" customHeight="1" x14ac:dyDescent="0.2">
      <c r="A76" s="62" t="s">
        <v>178</v>
      </c>
      <c r="B76" s="62">
        <f>SUM(B72:B75)</f>
        <v>2073358458070.73</v>
      </c>
      <c r="C76" s="62">
        <f>SUM(C72:C75)</f>
        <v>2071677786261.8799</v>
      </c>
      <c r="D76" s="62">
        <f>SUM(D72:D75)</f>
        <v>2123074971310.48</v>
      </c>
      <c r="E76" s="62">
        <f>SUM(E72:E75)</f>
        <v>2128389066006.8</v>
      </c>
      <c r="H76" s="62">
        <f>SUM(H72:H75)</f>
        <v>2138627896942.5</v>
      </c>
      <c r="I76" s="62" t="s">
        <v>179</v>
      </c>
    </row>
    <row r="77" spans="1:10" ht="12" hidden="1" customHeight="1" x14ac:dyDescent="0.2">
      <c r="A77" s="62" t="s">
        <v>180</v>
      </c>
      <c r="B77" s="62">
        <f>B71-B76</f>
        <v>235456020826.85498</v>
      </c>
      <c r="C77" s="62">
        <f>C71-C76</f>
        <v>233078218068.87988</v>
      </c>
      <c r="D77" s="62">
        <f>D71-D76</f>
        <v>241980850463.18652</v>
      </c>
      <c r="E77" s="62">
        <f>E71-E76</f>
        <v>248689550520.71069</v>
      </c>
      <c r="H77" s="62">
        <f>H71-H76</f>
        <v>257615409729.22314</v>
      </c>
      <c r="I77" s="62" t="s">
        <v>181</v>
      </c>
    </row>
    <row r="78" spans="1:10" ht="13.35" hidden="1" customHeight="1" x14ac:dyDescent="0.2">
      <c r="A78" s="62" t="s">
        <v>182</v>
      </c>
      <c r="B78" s="62">
        <f>(B77/B71)</f>
        <v>0.10198135145933455</v>
      </c>
      <c r="C78" s="62">
        <f>(C77/C71)</f>
        <v>0.10112923781559238</v>
      </c>
      <c r="D78" s="62">
        <f>(D77/D71)</f>
        <v>0.10231506936767087</v>
      </c>
      <c r="E78" s="62">
        <f>(E77/E71)</f>
        <v>0.10461982569343958</v>
      </c>
      <c r="H78" s="62">
        <f>(H77/H71)</f>
        <v>0.10750803518656027</v>
      </c>
      <c r="I78" s="62" t="s">
        <v>183</v>
      </c>
    </row>
    <row r="79" spans="1:10" ht="12" hidden="1" customHeight="1" x14ac:dyDescent="0.2">
      <c r="A79" s="62" t="s">
        <v>184</v>
      </c>
      <c r="B79" s="62">
        <f>IF(B9&gt;DATEVALUE("12/31/2021"), A730A_C1 * (1 + 0) * (1 + 0) + A730B_C1 * (1 + 0) * (1 + 0) + AAS0008_C1 * (1 + 0) * (1 + 0),IF(B9&gt;DATEVALUE("12/31/2013"), A730A_C1 * (1 + 0) * (1 + 0) + A730B_C1 * (1 + 0) * (1 + 0) + A730C_C1 * (1 + 0) * (1 + 0),0))</f>
        <v>186052858550</v>
      </c>
      <c r="C79" s="62">
        <f>IF(C9&gt;DATEVALUE("12/31/2021"), A730A_C2 * (1 + 0) * (1 + 0) + A730B_C2 * (1 + 0) * (1 + 0) + AAS0008_C2 * (1 + 0) * (1 + 0),IF(C9&gt;DATEVALUE("12/31/2013"), A730A_C2 * (1 + 0) * (1 + 0) + A730B_C2 * (1 + 0) * (1 + 0) + A730C_C2 * (1 + 0) * (1 + 0),0))</f>
        <v>180511644706</v>
      </c>
      <c r="D79" s="62">
        <f>IF(D9&gt;DATEVALUE("12/31/2021"), A730A_C3 * (1 + 0) * (1 + 0) + A730B_C3 * (1 + 0) * (1 + 0) + AAS0008_C3 * (1 + 0) * (1 + 0),IF(D9&gt;DATEVALUE("12/31/2013"), A730A_C3 * (1 + 0) * (1 + 0) + A730B_C3 * (1 + 0) * (1 + 0) + A730C_C3 * (1 + 0) * (1 + 0),0))</f>
        <v>216217145518</v>
      </c>
      <c r="E79" s="62">
        <f>IF(E9&gt;DATEVALUE("12/31/2021"), A730A_C4 * (1 + 0) * (1 + 0) + A730B_C4 * (1 + 0) * (1 + 0) + AAS0008_C4 * (1 + 0) * (1 + 0),IF(E9&gt;DATEVALUE("12/31/2013"), A730A_C4 * (1 + 0) * (1 + 0) + A730B_C4 * (1 + 0) * (1 + 0) + A730C_C4 * (1 + 0) * (1 + 0),0))</f>
        <v>192223859879</v>
      </c>
      <c r="H79" s="62">
        <f>IF(H9&gt;DATEVALUE("12/31/2021"), A730A_C5 * (1 + 0) * (1 + 0) + A730B_C5 * (1 + 0) * (1 + 0) + AAS0008_C5 * (1 + 0) * (1 + 0),IF(H9&gt;DATEVALUE("12/31/2013"), A730A_C5 * (1 + 0) * (1 + 0) + A730B_C5 * (1 + 0) * (1 + 0) + A730C_C5 * (1 + 0) * (1 + 0),0))</f>
        <v>183929502265</v>
      </c>
      <c r="I79" s="62" t="s">
        <v>185</v>
      </c>
    </row>
    <row r="80" spans="1:10" ht="12" hidden="1" customHeight="1" x14ac:dyDescent="0.2">
      <c r="A80" s="62" t="s">
        <v>186</v>
      </c>
      <c r="B80" s="62">
        <f>IF(B9&gt;DATEVALUE("12/31/2021"),IF(AAS0073_C1&gt;0,(ANV0153_C1-(AAS0073_C1-A801_C1)*AAS0068_C1/AAS0073_C1)*(1+0)*(1+-0.015)+(ANV0154_C1-(AAS0073_C1-A801_C1)*AAS0069_C1/AAS0073_C1)*(1+0)*(1+-0.052)+(ANV0155_C1-(AAS0073_C1-A801_C1)*AAS0070_C1/AAS0073_C1)*(1+0)*(1+-0.108)+(ANV0156_C1-(AAS0073_C1-A801_C1)*AAS0071_C1/AAS0073_C1)*(1+0)*(1+-0.176)+(ANV0157_C1-(AAS0073_C1-A801_C1)*AAS0072_C1/AAS0073_C1)*(1+0)*(1+-0.268),(ANV0153_C1*(1+0)*(1+-0.015)+ANV0154_C1*(1+0)*(1+-0.052)+ANV0155_C1*(1+0)*(1+-0.108)+ANV0156_C1*(1+0)*(1+-0.176)+ANV0157_C1*(1+0)*(1+-0.268))),IF(B9&gt;DATEVALUE("12/31/2019"),IF(AAS0073_C1=0,((A799A1_C1*(1+-0.015)+A799B_C1*(1+-0.052)+A799C1_C1*(1+-0.108)+A799C2_C1*(1+-0.176)+A799D_C1*(1+-0.268))),((A799A1_C1-((AAS0068_C1/AAS0073_C1)*(AAS0073_C1-A801_C1)))*(1+-0.015)+(A799B_C1-((AAS0069_C1/AAS0073_C1)*(AAS0073_C1-A801_C1)))*(1+-0.052)+(A799C1_C1-((AAS0070_C1/AAS0073_C1)*(AAS0073_C1-A801_C1)))*(1+-0.108)+(A799C2_C1-((AAS0071_C1/AAS0073_C1)*(AAS0073_C1-A801_C1)))*(1+-0.176)+(A799D_C1-((AAS0072_C1/AAS0073_C1)*(AAS0073_C1-A801_C1)))*(1+-0.268))),0))</f>
        <v>354658226172.32697</v>
      </c>
      <c r="C80" s="62">
        <f>IF(C9&gt;DATEVALUE("12/31/2021"),IF(AAS0073_C2&gt;0,(ANV0153_C2-(AAS0073_C2-A801_C2)*AAS0068_C2/AAS0073_C2)*(1+0)*(1+-0.015)+(ANV0154_C2-(AAS0073_C2-A801_C2)*AAS0069_C2/AAS0073_C2)*(1+0)*(1+-0.052)+(ANV0155_C2-(AAS0073_C2-A801_C2)*AAS0070_C2/AAS0073_C2)*(1+0)*(1+-0.108)+(ANV0156_C2-(AAS0073_C2-A801_C2)*AAS0071_C2/AAS0073_C2)*(1+0)*(1+-0.176)+(ANV0157_C2-(AAS0073_C2-A801_C2)*AAS0072_C2/AAS0073_C2)*(1+0)*(1+-0.268),(ANV0153_C2*(1+0)*(1+-0.015)+ANV0154_C2*(1+0)*(1+-0.052)+ANV0155_C2*(1+0)*(1+-0.108)+ANV0156_C2*(1+0)*(1+-0.176)+ANV0157_C2*(1+0)*(1+-0.268))),IF(C9&gt;DATEVALUE("12/31/2019"),IF(AAS0073_C2=0,((A799A1_C2*(1+-0.015)+A799B_C2*(1+-0.052)+A799C1_C2*(1+-0.108)+A799C2_C2*(1+-0.176)+A799D_C2*(1+-0.268))),((A799A1_C2-((AAS0068_C2/AAS0073_C2)*(AAS0073_C2-A801_C2)))*(1+-0.015)+(A799B_C2-((AAS0069_C2/AAS0073_C2)*(AAS0073_C2-A801_C2)))*(1+-0.052)+(A799C1_C2-((AAS0070_C2/AAS0073_C2)*(AAS0073_C2-A801_C2)))*(1+-0.108)+(A799C2_C2-((AAS0071_C2/AAS0073_C2)*(AAS0073_C2-A801_C2)))*(1+-0.176)+(A799D_C2-((AAS0072_C2/AAS0073_C2)*(AAS0073_C2-A801_C2)))*(1+-0.268))),0))</f>
        <v>344890819718.20221</v>
      </c>
      <c r="D80" s="62">
        <f>IF(D9&gt;DATEVALUE("12/31/2021"),IF(AAS0073_C3&gt;0,(ANV0153_C3-(AAS0073_C3-A801_C3)*AAS0068_C3/AAS0073_C3)*(1+0)*(1+-0.015)+(ANV0154_C3-(AAS0073_C3-A801_C3)*AAS0069_C3/AAS0073_C3)*(1+0)*(1+-0.052)+(ANV0155_C3-(AAS0073_C3-A801_C3)*AAS0070_C3/AAS0073_C3)*(1+0)*(1+-0.108)+(ANV0156_C3-(AAS0073_C3-A801_C3)*AAS0071_C3/AAS0073_C3)*(1+0)*(1+-0.176)+(ANV0157_C3-(AAS0073_C3-A801_C3)*AAS0072_C3/AAS0073_C3)*(1+0)*(1+-0.268),(ANV0153_C3*(1+0)*(1+-0.015)+ANV0154_C3*(1+0)*(1+-0.052)+ANV0155_C3*(1+0)*(1+-0.108)+ANV0156_C3*(1+0)*(1+-0.176)+ANV0157_C3*(1+0)*(1+-0.268))),IF(D9&gt;DATEVALUE("12/31/2019"),IF(AAS0073_C3=0,((A799A1_C3*(1+-0.015)+A799B_C3*(1+-0.052)+A799C1_C3*(1+-0.108)+A799C2_C3*(1+-0.176)+A799D_C3*(1+-0.268))),((A799A1_C3-((AAS0068_C3/AAS0073_C3)*(AAS0073_C3-A801_C3)))*(1+-0.015)+(A799B_C3-((AAS0069_C3/AAS0073_C3)*(AAS0073_C3-A801_C3)))*(1+-0.052)+(A799C1_C3-((AAS0070_C3/AAS0073_C3)*(AAS0073_C3-A801_C3)))*(1+-0.108)+(A799C2_C3-((AAS0071_C3/AAS0073_C3)*(AAS0073_C3-A801_C3)))*(1+-0.176)+(A799D_C3-((AAS0072_C3/AAS0073_C3)*(AAS0073_C3-A801_C3)))*(1+-0.268))),0))</f>
        <v>353460508218.73615</v>
      </c>
      <c r="E80" s="62">
        <f>IF(E9&gt;DATEVALUE("12/31/2021"),IF(AAS0073_C4&gt;0,(ANV0153_C4-(AAS0073_C4-A801_C4)*AAS0068_C4/AAS0073_C4)*(1+0)*(1+-0.015)+(ANV0154_C4-(AAS0073_C4-A801_C4)*AAS0069_C4/AAS0073_C4)*(1+0)*(1+-0.052)+(ANV0155_C4-(AAS0073_C4-A801_C4)*AAS0070_C4/AAS0073_C4)*(1+0)*(1+-0.108)+(ANV0156_C4-(AAS0073_C4-A801_C4)*AAS0071_C4/AAS0073_C4)*(1+0)*(1+-0.176)+(ANV0157_C4-(AAS0073_C4-A801_C4)*AAS0072_C4/AAS0073_C4)*(1+0)*(1+-0.268),(ANV0153_C4*(1+0)*(1+-0.015)+ANV0154_C4*(1+0)*(1+-0.052)+ANV0155_C4*(1+0)*(1+-0.108)+ANV0156_C4*(1+0)*(1+-0.176)+ANV0157_C4*(1+0)*(1+-0.268))),IF(E9&gt;DATEVALUE("12/31/2019"),IF(AAS0073_C4=0,((A799A1_C4*(1+-0.015)+A799B_C4*(1+-0.052)+A799C1_C4*(1+-0.108)+A799C2_C4*(1+-0.176)+A799D_C4*(1+-0.268))),((A799A1_C4-((AAS0068_C4/AAS0073_C4)*(AAS0073_C4-A801_C4)))*(1+-0.015)+(A799B_C4-((AAS0069_C4/AAS0073_C4)*(AAS0073_C4-A801_C4)))*(1+-0.052)+(A799C1_C4-((AAS0070_C4/AAS0073_C4)*(AAS0073_C4-A801_C4)))*(1+-0.108)+(A799C2_C4-((AAS0071_C4/AAS0073_C4)*(AAS0073_C4-A801_C4)))*(1+-0.176)+(A799D_C4-((AAS0072_C4/AAS0073_C4)*(AAS0073_C4-A801_C4)))*(1+-0.268))),0))</f>
        <v>358976011680.64655</v>
      </c>
      <c r="H80" s="62">
        <f>IF(H9&gt;DATEVALUE("12/31/2021"),IF(AAS0073_C5&gt;0,(ANV0153_C5-(AAS0073_C5-A801_C5)*AAS0068_C5/AAS0073_C5)*(1+0)*(1+-0.015)+(ANV0154_C5-(AAS0073_C5-A801_C5)*AAS0069_C5/AAS0073_C5)*(1+0)*(1+-0.052)+(ANV0155_C5-(AAS0073_C5-A801_C5)*AAS0070_C5/AAS0073_C5)*(1+0)*(1+-0.108)+(ANV0156_C5-(AAS0073_C5-A801_C5)*AAS0071_C5/AAS0073_C5)*(1+0)*(1+-0.176)+(ANV0157_C5-(AAS0073_C5-A801_C5)*AAS0072_C5/AAS0073_C5)*(1+0)*(1+-0.268),(ANV0153_C5*(1+0)*(1+-0.015)+ANV0154_C5*(1+0)*(1+-0.052)+ANV0155_C5*(1+0)*(1+-0.108)+ANV0156_C5*(1+0)*(1+-0.176)+ANV0157_C5*(1+0)*(1+-0.268))),IF(H9&gt;DATEVALUE("12/31/2019"),IF(AAS0073_C5=0,((A799A1_C5*(1+-0.015)+A799B_C5*(1+-0.052)+A799C1_C5*(1+-0.108)+A799C2_C5*(1+-0.176)+A799D_C5*(1+-0.268))),((A799A1_C5-((AAS0068_C5/AAS0073_C5)*(AAS0073_C5-A801_C5)))*(1+-0.015)+(A799B_C5-((AAS0069_C5/AAS0073_C5)*(AAS0073_C5-A801_C5)))*(1+-0.052)+(A799C1_C5-((AAS0070_C5/AAS0073_C5)*(AAS0073_C5-A801_C5)))*(1+-0.108)+(A799C2_C5-((AAS0071_C5/AAS0073_C5)*(AAS0073_C5-A801_C5)))*(1+-0.176)+(A799D_C5-((AAS0072_C5/AAS0073_C5)*(AAS0073_C5-A801_C5)))*(1+-0.268))),0))</f>
        <v>362895452348.09705</v>
      </c>
      <c r="I80" s="62" t="s">
        <v>187</v>
      </c>
    </row>
    <row r="81" spans="1:9" ht="12" hidden="1" customHeight="1" x14ac:dyDescent="0.2">
      <c r="A81" s="62" t="s">
        <v>188</v>
      </c>
      <c r="B81" s="62">
        <f>IF(B9&lt;=DATEVALUE("12/31/2019"),IF((A796E_C1+AAS0073_C1)=0,((A799A1_C1*(1+-0.015)+A799B_C1*(1+-0.052)+A799C1_C1*(1+-0.108)+A799C2_C1*(1+-0.176)+A799D_C1*(1+-0.268))),((A799A1_C1-(((A796A_C1+AAS0068_C1)/(A796E_C1+AAS0073_C1))*((A796E_C1+AAS0073_C1)-A801_C1)))*(1+-0.015)+(A799B_C1-(((A796B_C1+AAS0069_C1)/(A796E_C1+AAS0073_C1))*((A796E_C1+AAS0073_C1)-A801_C1)))*(1+-0.052)+(A799C1_C1-(((A796C1_C1+AAS0070_C1)/(A796E_C1+AAS0073_C1))*((A796E_C1+AAS0073_C1)-A801_C1)))*(1+-0.108)+(A799C2_C1-(((A796C2_C1+AAS0071_C1)/(A796E_C1+AAS0073_C1))*((A796E_C1+AAS0073_C1)-A801_C1)))*(1+-0.176)+(A799D_C1-(((A796D_C1+AAS0072_C1)/(A796E_C1+AAS0073_C1))*((A796E_C1+AAS0073_C1)-A801_C1)))*(1+-0.268))),IF(B9&lt;=DATEVALUE("12/31/2018"),IF((A796E_C1)=0,((A799A1_C1*(1+-0.015)+A799B_C1*(1+-0.052)+A799C1_C1*(1+-0.108)+A799C2_C1*(1+-0.176)+A799D_C1*(1+-0.268))),((A799A1_C1-(((A796A_C1)/(A796E_C1))*((A796E_C1)-A801_C1)))*(1+-0.015)+(A799B_C1-(((A796B_C1)/(A796E_C1))*((A796E_C1))-A801_C1)))*(1+-0.052) +(A799C1_C1-(((A796C1_C1)/(A796E_C1))*((A796E_C1)-A801_C1)))*(1+-0.108)+(A799C2_C1-(((A796C2_C1)/(A796E_C1))*((A796E_C1)-A801_C1)))*(1+-0.176)+(A799D_C1-(((A796D_C1)/(A796E_C1))*((A796E_C1)-A801_C1)))*(1+-0.268)),0))</f>
        <v>0</v>
      </c>
      <c r="C81" s="62">
        <f>IF(C9&lt;=DATEVALUE("12/31/2019"),IF((A796E_C2+AAS0073_C2)=0,((A799A1_C2*(1+-0.015)+A799B_C2*(1+-0.052)+A799C1_C2*(1+-0.108)+A799C2_C2*(1+-0.176)+A799D_C2*(1+-0.268))),((A799A1_C2-(((A796A_C2+AAS0068_C2)/(A796E_C2+AAS0073_C2))*((A796E_C2+AAS0073_C2)-A801_C2)))*(1+-0.015)+(A799B_C2-(((A796B_C2+AAS0069_C2)/(A796E_C2+AAS0073_C2))*((A796E_C2+AAS0073_C2)-A801_C2)))*(1+-0.052)+(A799C1_C2-(((A796C1_C2+AAS0070_C2)/(A796E_C2+AAS0073_C2))*((A796E_C2+AAS0073_C2)-A801_C2)))*(1+-0.108)+(A799C2_C2-(((A796C2_C2+AAS0071_C2)/(A796E_C2+AAS0073_C2))*((A796E_C2+AAS0073_C2)-A801_C2)))*(1+-0.176)+(A799D_C2-(((A796D_C2+AAS0072_C2)/(A796E_C2+AAS0073_C2))*((A796E_C2+AAS0073_C2)-A801_C2)))*(1+-0.268))),IF(C9&lt;=DATEVALUE("12/31/2018"),IF((A796E_C2)=0,((A799A1_C2*(1+-0.015)+A799B_C2*(1+-0.052)+A799C1_C2*(1+-0.108)+A799C2_C2*(1+-0.176)+A799D_C2*(1+-0.268))),((A799A1_C2-(((A796A_C2)/(A796E_C2))*((A796E_C2)-A801_C2)))*(1+-0.015)+(A799B_C2-(((A796B_C2)/(A796E_C2))*((A796E_C2))-A801_C2)))*(1+-0.052) +(A799C1_C2-(((A796C1_C2)/(A796E_C2))*((A796E_C2)-A801_C2)))*(1+-0.108)+(A799C2_C2-(((A796C2_C2)/(A796E_C2))*((A796E_C2)-A801_C2)))*(1+-0.176)+(A799D_C2-(((A796D_C2)/(A796E_C2))*((A796E_C2)-A801_C2)))*(1+-0.268)),0))</f>
        <v>0</v>
      </c>
      <c r="D81" s="62">
        <f>IF(D9&lt;=DATEVALUE("12/31/2019"),IF((A796E_C3+AAS0073_C3)=0,((A799A1_C3*(1+-0.015)+A799B_C3*(1+-0.052)+A799C1_C3*(1+-0.108)+A799C2_C3*(1+-0.176)+A799D_C3*(1+-0.268))),((A799A1_C3-(((A796A_C3+AAS0068_C3)/(A796E_C3+AAS0073_C3))*((A796E_C3+AAS0073_C3)-A801_C3)))*(1+-0.015)+(A799B_C3-(((A796B_C3+AAS0069_C3)/(A796E_C3+AAS0073_C3))*((A796E_C3+AAS0073_C3)-A801_C3)))*(1+-0.052)+(A799C1_C3-(((A796C1_C3+AAS0070_C3)/(A796E_C3+AAS0073_C3))*((A796E_C3+AAS0073_C3)-A801_C3)))*(1+-0.108)+(A799C2_C3-(((A796C2_C3+AAS0071_C3)/(A796E_C3+AAS0073_C3))*((A796E_C3+AAS0073_C3)-A801_C3)))*(1+-0.176)+(A799D_C3-(((A796D_C3+AAS0072_C3)/(A796E_C3+AAS0073_C3))*((A796E_C3+AAS0073_C3)-A801_C3)))*(1+-0.268))),IF(D9&lt;=DATEVALUE("12/31/2018"),IF((A796E_C3)=0,((A799A1_C3*(1+-0.015)+A799B_C3*(1+-0.052)+A799C1_C3*(1+-0.108)+A799C2_C3*(1+-0.176)+A799D_C3*(1+-0.268))),((A799A1_C3-(((A796A_C3)/(A796E_C3))*((A796E_C3)-A801_C3)))*(1+-0.015)+(A799B_C3-(((A796B_C3)/(A796E_C3))*((A796E_C3))-A801_C3)))*(1+-0.052) +(A799C1_C3-(((A796C1_C3)/(A796E_C3))*((A796E_C3)-A801_C3)))*(1+-0.108)+(A799C2_C3-(((A796C2_C3)/(A796E_C3))*((A796E_C3)-A801_C3)))*(1+-0.176)+(A799D_C3-(((A796D_C3)/(A796E_C3))*((A796E_C3)-A801_C3)))*(1+-0.268)),0))</f>
        <v>0</v>
      </c>
      <c r="E81" s="62">
        <f>IF(E9&lt;=DATEVALUE("12/31/2019"),IF((A796E_C4+AAS0073_C4)=0,((A799A1_C4*(1+-0.015)+A799B_C4*(1+-0.052)+A799C1_C4*(1+-0.108)+A799C2_C4*(1+-0.176)+A799D_C4*(1+-0.268))),((A799A1_C4-(((A796A_C4+AAS0068_C4)/(A796E_C4+AAS0073_C4))*((A796E_C4+AAS0073_C4)-A801_C4)))*(1+-0.015)+(A799B_C4-(((A796B_C4+AAS0069_C4)/(A796E_C4+AAS0073_C4))*((A796E_C4+AAS0073_C4)-A801_C4)))*(1+-0.052)+(A799C1_C4-(((A796C1_C4+AAS0070_C4)/(A796E_C4+AAS0073_C4))*((A796E_C4+AAS0073_C4)-A801_C4)))*(1+-0.108)+(A799C2_C4-(((A796C2_C4+AAS0071_C4)/(A796E_C4+AAS0073_C4))*((A796E_C4+AAS0073_C4)-A801_C4)))*(1+-0.176)+(A799D_C4-(((A796D_C4+AAS0072_C4)/(A796E_C4+AAS0073_C4))*((A796E_C4+AAS0073_C4)-A801_C4)))*(1+-0.268))),IF(E9&lt;=DATEVALUE("12/31/2018"),IF((A796E_C4)=0,((A799A1_C4*(1+-0.015)+A799B_C4*(1+-0.052)+A799C1_C4*(1+-0.108)+A799C2_C4*(1+-0.176)+A799D_C4*(1+-0.268))),((A799A1_C4-(((A796A_C4)/(A796E_C4))*((A796E_C4)-A801_C4)))*(1+-0.015)+(A799B_C4-(((A796B_C4)/(A796E_C4))*((A796E_C4))-A801_C4)))*(1+-0.052) +(A799C1_C4-(((A796C1_C4)/(A796E_C4))*((A796E_C4)-A801_C4)))*(1+-0.108)+(A799C2_C4-(((A796C2_C4)/(A796E_C4))*((A796E_C4)-A801_C4)))*(1+-0.176)+(A799D_C4-(((A796D_C4)/(A796E_C4))*((A796E_C4)-A801_C4)))*(1+-0.268)),0))</f>
        <v>0</v>
      </c>
      <c r="H81" s="62">
        <f>IF(H9&lt;=DATEVALUE("12/31/2019"),IF((A796E_C5+AAS0073_C5)=0,((A799A1_C5*(1+-0.015)+A799B_C5*(1+-0.052)+A799C1_C5*(1+-0.108)+A799C2_C5*(1+-0.176)+A799D_C5*(1+-0.268))),((A799A1_C5-(((A796A_C5+AAS0068_C5)/(A796E_C5+AAS0073_C5))*((A796E_C5+AAS0073_C5)-A801_C5)))*(1+-0.015)+(A799B_C5-(((A796B_C5+AAS0069_C5)/(A796E_C5+AAS0073_C5))*((A796E_C5+AAS0073_C5)-A801_C5)))*(1+-0.052)+(A799C1_C5-(((A796C1_C5+AAS0070_C5)/(A796E_C5+AAS0073_C5))*((A796E_C5+AAS0073_C5)-A801_C5)))*(1+-0.108)+(A799C2_C5-(((A796C2_C5+AAS0071_C5)/(A796E_C5+AAS0073_C5))*((A796E_C5+AAS0073_C5)-A801_C5)))*(1+-0.176)+(A799D_C5-(((A796D_C5+AAS0072_C5)/(A796E_C5+AAS0073_C5))*((A796E_C5+AAS0073_C5)-A801_C5)))*(1+-0.268))),IF(H9&lt;=DATEVALUE("12/31/2018"),IF((A796E_C5)=0,((A799A1_C5*(1+-0.015)+A799B_C5*(1+-0.052)+A799C1_C5*(1+-0.108)+A799C2_C5*(1+-0.176)+A799D_C5*(1+-0.268))),((A799A1_C5-(((A796A_C5)/(A796E_C5))*((A796E_C5)-A801_C5)))*(1+-0.015)+(A799B_C5-(((A796B_C5)/(A796E_C5))*((A796E_C5))-A801_C5)))*(1+-0.052) +(A799C1_C5-(((A796C1_C5)/(A796E_C5))*((A796E_C5)-A801_C5)))*(1+-0.108)+(A799C2_C5-(((A796C2_C5)/(A796E_C5))*((A796E_C5)-A801_C5)))*(1+-0.176)+(A799D_C5-(((A796D_C5)/(A796E_C5))*((A796E_C5)-A801_C5)))*(1+-0.268)),0))</f>
        <v>0</v>
      </c>
      <c r="I81" s="62" t="s">
        <v>187</v>
      </c>
    </row>
    <row r="82" spans="1:9" ht="12" hidden="1" customHeight="1" x14ac:dyDescent="0.2">
      <c r="A82" s="62" t="s">
        <v>189</v>
      </c>
      <c r="B82" s="62">
        <f>IF(B9&gt;DATEVALUE("12/31/2019"), B80, B81)</f>
        <v>354658226172.32697</v>
      </c>
      <c r="C82" s="62">
        <f>IF(C9&gt;DATEVALUE("12/31/2019"), C80, C81)</f>
        <v>344890819718.20221</v>
      </c>
      <c r="D82" s="62">
        <f>IF(D9&gt;DATEVALUE("12/31/2019"), D80, D81)</f>
        <v>353460508218.73615</v>
      </c>
      <c r="E82" s="62">
        <f>IF(E9&gt;DATEVALUE("12/31/2019"), E80, E81)</f>
        <v>358976011680.64655</v>
      </c>
      <c r="H82" s="62">
        <f>IF(H9&gt;DATEVALUE("12/31/2019"), H80, H81)</f>
        <v>362895452348.09705</v>
      </c>
      <c r="I82" s="62" t="s">
        <v>187</v>
      </c>
    </row>
    <row r="83" spans="1:9" ht="12" hidden="1" customHeight="1" x14ac:dyDescent="0.2">
      <c r="A83" s="62" t="s">
        <v>190</v>
      </c>
      <c r="B83" s="62">
        <f>IF(B9&gt;DATEVALUE("12/31/2021"),A396_C1*(1+0)*(1+-0.053)+A385_C1*(1+0)*(1+-0.051)+A370_C1*(1+0)*(1+-0.051)+ARL0002_C1*(1+0)*(1+-0.158)+ARL0005_C1*(1+0)*(1+-0.098)+ARL0008_C1*(1+0)*(1+-0.095)+ARL0011_C1*(1+0)*(1+-0.066)+ARL0014_C1*(1+0)*(1+-0.097)+ARL0019_C1*(1+0)*(1+-0.045)+ARL0022_C1*(1+0)*(1+-0.023)+ARL0025_C1*(1+0)*(1+-0.045)+ARL0028_C1*(1+0)*(1+-0.023)+ARL0033_C1*(1+0)*(1+-0.123)+ARL0036_C1*(1+0)*(1+-0.064)+ARL0039_C1*(1+0)*(1+-0.221)+ARL0042_C1*(1+0)*(1+-0.023)+A397A_C1*(1+0)*(1+-0.045)+A698A_C1*(1+0)*(1+-0.045)+A397_C1*(1+0)*(1+-0.045)+A002_C1*(1+0)*(1+-0.045)+A698C_C1*(1+0)*(1+-0.045)+A400P_C1*(1+0)*(1+-0.045)+(IF(A718A5_C1&lt;=ACM0099_C1,A718A5_C1*(1+0)*(1+-0.095),(A718A5_C1-ACM0099_C1)*(1+0)*(1+-0.095)+ACM0099_C1*(1+0)*(1+-0.066))),IF(B9&gt;DATEVALUE("6/30/2019"),A396_C1*(1+0)*(1+-0.053)+A385_C1*(1+0)*(1+-0.051)+A370_C1*(1+0)*(1+-0.051)+A704A_C1*(1+0)*(1+-0.158)+A704B_C1*(1+0)*(1+-0.098)+A704C_C1*(1+0)*(1+-0.095)+A704D_C1*(1+0)*(1+-0.066)+A704E_C1*(1+0)*(1+-0.045)+A705A_C1*(1+0)*(1+-0.01)+A705B_C1*(1+0)*(1+-0.097)+A706_C1*(1+0)*(1+-0.123)+A707_C1*(1+0)*(1+-0.064)+A708_C1*(1+0)*(1+-0.023)+A708B_C1*(1+0)*(1+-0.221)+(A397_C1+A397A_C1+A698A_C1+A002_C1+A698C_C1+A400P_C1)*(1+0)*(1+-0.045),IF(B9&gt;DATEVALUE("12/31/2013"),B85)))</f>
        <v>1503175468505.8613</v>
      </c>
      <c r="C83" s="62">
        <f>IF(C9&gt;DATEVALUE("12/31/2021"),A396_C2*(1+0)*(1+-0.053)+A385_C2*(1+0)*(1+-0.051)+A370_C2*(1+0)*(1+-0.051)+ARL0002_C2*(1+0)*(1+-0.158)+ARL0005_C2*(1+0)*(1+-0.098)+ARL0008_C2*(1+0)*(1+-0.095)+ARL0011_C2*(1+0)*(1+-0.066)+ARL0014_C2*(1+0)*(1+-0.097)+ARL0019_C2*(1+0)*(1+-0.045)+ARL0022_C2*(1+0)*(1+-0.023)+ARL0025_C2*(1+0)*(1+-0.045)+ARL0028_C2*(1+0)*(1+-0.023)+ARL0033_C2*(1+0)*(1+-0.123)+ARL0036_C2*(1+0)*(1+-0.064)+ARL0039_C2*(1+0)*(1+-0.221)+ARL0042_C2*(1+0)*(1+-0.023)+A397A_C2*(1+0)*(1+-0.045)+A698A_C2*(1+0)*(1+-0.045)+A397_C2*(1+0)*(1+-0.045)+A002_C2*(1+0)*(1+-0.045)+A698C_C2*(1+0)*(1+-0.045)+A400P_C2*(1+0)*(1+-0.045)+(IF(A718A5_C2&lt;=ACM0099_C2,A718A5_C2*(1+0)*(1+-0.095),(A718A5_C2-ACM0099_C2)*(1+0)*(1+-0.095)+ACM0099_C2*(1+0)*(1+-0.066))),IF(C9&gt;DATEVALUE("6/30/2019"),A396_C2*(1+0)*(1+-0.053)+A385_C2*(1+0)*(1+-0.051)+A370_C2*(1+0)*(1+-0.051)+A704A_C2*(1+0)*(1+-0.158)+A704B_C2*(1+0)*(1+-0.098)+A704C_C2*(1+0)*(1+-0.095)+A704D_C2*(1+0)*(1+-0.066)+A704E_C2*(1+0)*(1+-0.045)+A705A_C2*(1+0)*(1+-0.01)+A705B_C2*(1+0)*(1+-0.097)+A706_C2*(1+0)*(1+-0.123)+A707_C2*(1+0)*(1+-0.064)+A708_C2*(1+0)*(1+-0.023)+A708B_C2*(1+0)*(1+-0.221)+(A397_C2+A397A_C2+A698A_C2+A002_C2+A698C_C2+A400P_C2)*(1+0)*(1+-0.045),IF(C9&gt;DATEVALUE("12/31/2013"),C85)))</f>
        <v>1516976890410.4661</v>
      </c>
      <c r="D83" s="62">
        <f>IF(D9&gt;DATEVALUE("12/31/2021"),A396_C3*(1+0)*(1+-0.053)+A385_C3*(1+0)*(1+-0.051)+A370_C3*(1+0)*(1+-0.051)+ARL0002_C3*(1+0)*(1+-0.158)+ARL0005_C3*(1+0)*(1+-0.098)+ARL0008_C3*(1+0)*(1+-0.095)+ARL0011_C3*(1+0)*(1+-0.066)+ARL0014_C3*(1+0)*(1+-0.097)+ARL0019_C3*(1+0)*(1+-0.045)+ARL0022_C3*(1+0)*(1+-0.023)+ARL0025_C3*(1+0)*(1+-0.045)+ARL0028_C3*(1+0)*(1+-0.023)+ARL0033_C3*(1+0)*(1+-0.123)+ARL0036_C3*(1+0)*(1+-0.064)+ARL0039_C3*(1+0)*(1+-0.221)+ARL0042_C3*(1+0)*(1+-0.023)+A397A_C3*(1+0)*(1+-0.045)+A698A_C3*(1+0)*(1+-0.045)+A397_C3*(1+0)*(1+-0.045)+A002_C3*(1+0)*(1+-0.045)+A698C_C3*(1+0)*(1+-0.045)+A400P_C3*(1+0)*(1+-0.045)+(IF(A718A5_C3&lt;=ACM0099_C3,A718A5_C3*(1+0)*(1+-0.095),(A718A5_C3-ACM0099_C3)*(1+0)*(1+-0.095)+ACM0099_C3*(1+0)*(1+-0.066))),IF(D9&gt;DATEVALUE("6/30/2019"),A396_C3*(1+0)*(1+-0.053)+A385_C3*(1+0)*(1+-0.051)+A370_C3*(1+0)*(1+-0.051)+A704A_C3*(1+0)*(1+-0.158)+A704B_C3*(1+0)*(1+-0.098)+A704C_C3*(1+0)*(1+-0.095)+A704D_C3*(1+0)*(1+-0.066)+A704E_C3*(1+0)*(1+-0.045)+A705A_C3*(1+0)*(1+-0.01)+A705B_C3*(1+0)*(1+-0.097)+A706_C3*(1+0)*(1+-0.123)+A707_C3*(1+0)*(1+-0.064)+A708_C3*(1+0)*(1+-0.023)+A708B_C3*(1+0)*(1+-0.221)+(A397_C3+A397A_C3+A698A_C3+A002_C3+A698C_C3+A400P_C3)*(1+0)*(1+-0.045),IF(D9&gt;DATEVALUE("12/31/2013"),D85)))</f>
        <v>1525020643924.9629</v>
      </c>
      <c r="E83" s="62">
        <f>IF(E9&gt;DATEVALUE("12/31/2021"),A396_C4*(1+0)*(1+-0.053)+A385_C4*(1+0)*(1+-0.051)+A370_C4*(1+0)*(1+-0.051)+ARL0002_C4*(1+0)*(1+-0.158)+ARL0005_C4*(1+0)*(1+-0.098)+ARL0008_C4*(1+0)*(1+-0.095)+ARL0011_C4*(1+0)*(1+-0.066)+ARL0014_C4*(1+0)*(1+-0.097)+ARL0019_C4*(1+0)*(1+-0.045)+ARL0022_C4*(1+0)*(1+-0.023)+ARL0025_C4*(1+0)*(1+-0.045)+ARL0028_C4*(1+0)*(1+-0.023)+ARL0033_C4*(1+0)*(1+-0.123)+ARL0036_C4*(1+0)*(1+-0.064)+ARL0039_C4*(1+0)*(1+-0.221)+ARL0042_C4*(1+0)*(1+-0.023)+A397A_C4*(1+0)*(1+-0.045)+A698A_C4*(1+0)*(1+-0.045)+A397_C4*(1+0)*(1+-0.045)+A002_C4*(1+0)*(1+-0.045)+A698C_C4*(1+0)*(1+-0.045)+A400P_C4*(1+0)*(1+-0.045)+(IF(A718A5_C4&lt;=ACM0099_C4,A718A5_C4*(1+0)*(1+-0.095),(A718A5_C4-ACM0099_C4)*(1+0)*(1+-0.095)+ACM0099_C4*(1+0)*(1+-0.066))),IF(E9&gt;DATEVALUE("6/30/2019"),A396_C4*(1+0)*(1+-0.053)+A385_C4*(1+0)*(1+-0.051)+A370_C4*(1+0)*(1+-0.051)+A704A_C4*(1+0)*(1+-0.158)+A704B_C4*(1+0)*(1+-0.098)+A704C_C4*(1+0)*(1+-0.095)+A704D_C4*(1+0)*(1+-0.066)+A704E_C4*(1+0)*(1+-0.045)+A705A_C4*(1+0)*(1+-0.01)+A705B_C4*(1+0)*(1+-0.097)+A706_C4*(1+0)*(1+-0.123)+A707_C4*(1+0)*(1+-0.064)+A708_C4*(1+0)*(1+-0.023)+A708B_C4*(1+0)*(1+-0.221)+(A397_C4+A397A_C4+A698A_C4+A002_C4+A698C_C4+A400P_C4)*(1+0)*(1+-0.045),IF(E9&gt;DATEVALUE("12/31/2013"),E85)))</f>
        <v>1550654455815.2126</v>
      </c>
      <c r="H83" s="62">
        <f>IF(H9&gt;DATEVALUE("12/31/2021"),A396_C5*(1+0)*(1+-0.053)+A385_C5*(1+0)*(1+-0.051)+A370_C5*(1+0)*(1+-0.051)+ARL0002_C5*(1+0)*(1+-0.158)+ARL0005_C5*(1+0)*(1+-0.098)+ARL0008_C5*(1+0)*(1+-0.095)+ARL0011_C5*(1+0)*(1+-0.066)+ARL0014_C5*(1+0)*(1+-0.097)+ARL0019_C5*(1+0)*(1+-0.045)+ARL0022_C5*(1+0)*(1+-0.023)+ARL0025_C5*(1+0)*(1+-0.045)+ARL0028_C5*(1+0)*(1+-0.023)+ARL0033_C5*(1+0)*(1+-0.123)+ARL0036_C5*(1+0)*(1+-0.064)+ARL0039_C5*(1+0)*(1+-0.221)+ARL0042_C5*(1+0)*(1+-0.023)+A397A_C5*(1+0)*(1+-0.045)+A698A_C5*(1+0)*(1+-0.045)+A397_C5*(1+0)*(1+-0.045)+A002_C5*(1+0)*(1+-0.045)+A698C_C5*(1+0)*(1+-0.045)+A400P_C5*(1+0)*(1+-0.045)+(IF(A718A5_C5&lt;=ACM0099_C5,A718A5_C5*(1+0)*(1+-0.095),(A718A5_C5-ACM0099_C5)*(1+0)*(1+-0.095)+ACM0099_C5*(1+0)*(1+-0.066))),IF(H9&gt;DATEVALUE("6/30/2019"),A396_C5*(1+0)*(1+-0.053)+A385_C5*(1+0)*(1+-0.051)+A370_C5*(1+0)*(1+-0.051)+A704A_C5*(1+0)*(1+-0.158)+A704B_C5*(1+0)*(1+-0.098)+A704C_C5*(1+0)*(1+-0.095)+A704D_C5*(1+0)*(1+-0.066)+A704E_C5*(1+0)*(1+-0.045)+A705A_C5*(1+0)*(1+-0.01)+A705B_C5*(1+0)*(1+-0.097)+A706_C5*(1+0)*(1+-0.123)+A707_C5*(1+0)*(1+-0.064)+A708_C5*(1+0)*(1+-0.023)+A708B_C5*(1+0)*(1+-0.221)+(A397_C5+A397A_C5+A698A_C5+A002_C5+A698C_C5+A400P_C5)*(1+0)*(1+-0.045),IF(H9&gt;DATEVALUE("12/31/2013"),H85)))</f>
        <v>1570586565183.8459</v>
      </c>
      <c r="I83" s="62" t="s">
        <v>191</v>
      </c>
    </row>
    <row r="84" spans="1:9" ht="12" hidden="1" customHeight="1" x14ac:dyDescent="0.2">
      <c r="A84" s="62" t="s">
        <v>192</v>
      </c>
      <c r="B84" s="62">
        <f>IF(B9&gt;DATEVALUE("3/31/2019"),A396_C1*(1+0)*(1+-0.053)+A385_C1*(1+0)*(1+-0.051)+A370_C1*(1+0)*(1+-0.029)+A704A_C1*(1+0)*(1+-0.158)+A704B_C1*(1+0)*(1+-0.098)+A704C_C1*(1+0)*(1+-0.095)+A704D_C1*(1+0)*(1+-0.066)+A704E_C1*(1+0)*(1+-0.045)+A705A_C1*(1+0)*(1+-0.01)+A705B_C1*(1+0)*(1+-0.097)+A706_C1*(1+0)*(1+-0.123)+A707_C1*(1+0)*(1+-0.064)+A708_C1*(1+0)*(1+-0.023)+A708B_C1*(1+0)*(1+-0.221)+(A397_C1+A397A_C1+A698A_C1+A002_C1+A698C_C1+A400P_C1)*(1+0)*(1+-0.045),IF(B9&gt;DATEVALUE("12/31/2013"),B85))</f>
        <v>706220326886.15698</v>
      </c>
      <c r="C84" s="62">
        <f>IF(C9&gt;DATEVALUE("3/31/2019"),A396_C2*(1+0)*(1+-0.053)+A385_C2*(1+0)*(1+-0.051)+A370_C2*(1+0)*(1+-0.029)+A704A_C2*(1+0)*(1+-0.158)+A704B_C2*(1+0)*(1+-0.098)+A704C_C2*(1+0)*(1+-0.095)+A704D_C2*(1+0)*(1+-0.066)+A704E_C2*(1+0)*(1+-0.045)+A705A_C2*(1+0)*(1+-0.01)+A705B_C2*(1+0)*(1+-0.097)+A706_C2*(1+0)*(1+-0.123)+A707_C2*(1+0)*(1+-0.064)+A708_C2*(1+0)*(1+-0.023)+A708B_C2*(1+0)*(1+-0.221)+(A397_C2+A397A_C2+A698A_C2+A002_C2+A698C_C2+A400P_C2)*(1+0)*(1+-0.045),IF(C9&gt;DATEVALUE("12/31/2013"),C85))</f>
        <v>703765032117.46399</v>
      </c>
      <c r="D84" s="62">
        <f>IF(D9&gt;DATEVALUE("3/31/2019"),A396_C3*(1+0)*(1+-0.053)+A385_C3*(1+0)*(1+-0.051)+A370_C3*(1+0)*(1+-0.029)+A704A_C3*(1+0)*(1+-0.158)+A704B_C3*(1+0)*(1+-0.098)+A704C_C3*(1+0)*(1+-0.095)+A704D_C3*(1+0)*(1+-0.066)+A704E_C3*(1+0)*(1+-0.045)+A705A_C3*(1+0)*(1+-0.01)+A705B_C3*(1+0)*(1+-0.097)+A706_C3*(1+0)*(1+-0.123)+A707_C3*(1+0)*(1+-0.064)+A708_C3*(1+0)*(1+-0.023)+A708B_C3*(1+0)*(1+-0.221)+(A397_C3+A397A_C3+A698A_C3+A002_C3+A698C_C3+A400P_C3)*(1+0)*(1+-0.045),IF(D9&gt;DATEVALUE("12/31/2013"),D85))</f>
        <v>700176332240.82996</v>
      </c>
      <c r="E84" s="62">
        <f>IF(E9&gt;DATEVALUE("3/31/2019"),A396_C4*(1+0)*(1+-0.053)+A385_C4*(1+0)*(1+-0.051)+A370_C4*(1+0)*(1+-0.029)+A704A_C4*(1+0)*(1+-0.158)+A704B_C4*(1+0)*(1+-0.098)+A704C_C4*(1+0)*(1+-0.095)+A704D_C4*(1+0)*(1+-0.066)+A704E_C4*(1+0)*(1+-0.045)+A705A_C4*(1+0)*(1+-0.01)+A705B_C4*(1+0)*(1+-0.097)+A706_C4*(1+0)*(1+-0.123)+A707_C4*(1+0)*(1+-0.064)+A708_C4*(1+0)*(1+-0.023)+A708B_C4*(1+0)*(1+-0.221)+(A397_C4+A397A_C4+A698A_C4+A002_C4+A698C_C4+A400P_C4)*(1+0)*(1+-0.045),IF(E9&gt;DATEVALUE("12/31/2013"),E85))</f>
        <v>706091504694.19202</v>
      </c>
      <c r="H84" s="62">
        <f>IF(H9&gt;DATEVALUE("3/31/2019"),A396_C5*(1+0)*(1+-0.053)+A385_C5*(1+0)*(1+-0.051)+A370_C5*(1+0)*(1+-0.029)+A704A_C5*(1+0)*(1+-0.158)+A704B_C5*(1+0)*(1+-0.098)+A704C_C5*(1+0)*(1+-0.095)+A704D_C5*(1+0)*(1+-0.066)+A704E_C5*(1+0)*(1+-0.045)+A705A_C5*(1+0)*(1+-0.01)+A705B_C5*(1+0)*(1+-0.097)+A706_C5*(1+0)*(1+-0.123)+A707_C5*(1+0)*(1+-0.064)+A708_C5*(1+0)*(1+-0.023)+A708B_C5*(1+0)*(1+-0.221)+(A397_C5+A397A_C5+A698A_C5+A002_C5+A698C_C5+A400P_C5)*(1+0)*(1+-0.045),IF(H9&gt;DATEVALUE("12/31/2013"),H85))</f>
        <v>706557976420.495</v>
      </c>
      <c r="I84" s="62" t="s">
        <v>191</v>
      </c>
    </row>
    <row r="85" spans="1:9" ht="12" hidden="1" customHeight="1" x14ac:dyDescent="0.2">
      <c r="A85" s="62" t="s">
        <v>193</v>
      </c>
      <c r="B85" s="62">
        <f>IF(B9&gt;DATEVALUE("6/30/2017"),A396_C1*(1+0)*(1+-0.053)+A385_C1*(1+0)*(1+-0.051)+A370_C1*(1+0)*(1+-0.029)+A704A_C1*(1+0)*(1+-0.158)+A704B_C1*(1+0)*(1+-0.098)+A704C_C1*(1+0)*(1+-0.095)+A704D_C1*(1+0)*(1+-0.066)+A704E_C1*(1+0)*(1+-0.045)+A705A_C1*(1+0)*(1+-0.01)+A705B_C1*(1+0)*(1+-0.097)+A706_C1*(1+0)*(1+-0.123)+A707_C1*(1+0)*(1+-0.064)+A708_C1*(1+0)*(1+-0.023)+A708B_C1*(1+0)*(1+-0.221)+(A397A_C1+A698A_C1+A397_C1+A002_C1+A698C_C1+A400P_C1)*(1+0)*(1+-0.045),IF(B9&gt;DATEVALUE("12/31/2013"),A396_C1*(1+0)*(1+-0.053)+A385_C1*(1+0)*(1+-0.051)+A370_C1*(1+0)*(1+-0.029)+A704A_C1*(1+0)*(1+-0.158)+A704B_C1*(1+0)*(1+-0.098)+A704C_C1*(1+0)*(1+-0.095)+A704D_C1*(1+0)*(1+-0.066)+A704E_C1*(1+0)*(1+-0.045)+A705A_C1*(1+0)*(1+-0.01)+A705B_C1*(1+0)*(1+-0.097)+A706_C1*(1+0)*(1+-0.123)+A707_C1*(1+0)*(1+-0.064)+A708_C1*(1+0)*(1+-0.023)+A708B_C1*(1+0)*(1+-0.221)+(A397_C1+A397A_C1+A698A_C1+A002_C1+A698_C1)*(1+0)*(1+-0.045)))</f>
        <v>706220326886.15698</v>
      </c>
      <c r="C85" s="62">
        <f>IF(C9&gt;DATEVALUE("6/30/2017"),A396_C2*(1+0)*(1+-0.053)+A385_C2*(1+0)*(1+-0.051)+A370_C2*(1+0)*(1+-0.029)+A704A_C2*(1+0)*(1+-0.158)+A704B_C2*(1+0)*(1+-0.098)+A704C_C2*(1+0)*(1+-0.095)+A704D_C2*(1+0)*(1+-0.066)+A704E_C2*(1+0)*(1+-0.045)+A705A_C2*(1+0)*(1+-0.01)+A705B_C2*(1+0)*(1+-0.097)+A706_C2*(1+0)*(1+-0.123)+A707_C2*(1+0)*(1+-0.064)+A708_C2*(1+0)*(1+-0.023)+A708B_C2*(1+0)*(1+-0.221)+(A397A_C2+A698A_C2+A397_C2+A002_C2+A698C_C2+A400P_C2)*(1+0)*(1+-0.045),IF(C9&gt;DATEVALUE("12/31/2013"),A396_C2*(1+0)*(1+-0.053)+A385_C2*(1+0)*(1+-0.051)+A370_C2*(1+0)*(1+-0.029)+A704A_C2*(1+0)*(1+-0.158)+A704B_C2*(1+0)*(1+-0.098)+A704C_C2*(1+0)*(1+-0.095)+A704D_C2*(1+0)*(1+-0.066)+A704E_C2*(1+0)*(1+-0.045)+A705A_C2*(1+0)*(1+-0.01)+A705B_C2*(1+0)*(1+-0.097)+A706_C2*(1+0)*(1+-0.123)+A707_C2*(1+0)*(1+-0.064)+A708_C2*(1+0)*(1+-0.023)+A708B_C2*(1+0)*(1+-0.221)+(A397_C2+A397A_C2+A698A_C2+A002_C2+A698_C2)*(1+0)*(1+-0.045)))</f>
        <v>703765032117.46399</v>
      </c>
      <c r="D85" s="62">
        <f>IF(D9&gt;DATEVALUE("6/30/2017"),A396_C3*(1+0)*(1+-0.053)+A385_C3*(1+0)*(1+-0.051)+A370_C3*(1+0)*(1+-0.029)+A704A_C3*(1+0)*(1+-0.158)+A704B_C3*(1+0)*(1+-0.098)+A704C_C3*(1+0)*(1+-0.095)+A704D_C3*(1+0)*(1+-0.066)+A704E_C3*(1+0)*(1+-0.045)+A705A_C3*(1+0)*(1+-0.01)+A705B_C3*(1+0)*(1+-0.097)+A706_C3*(1+0)*(1+-0.123)+A707_C3*(1+0)*(1+-0.064)+A708_C3*(1+0)*(1+-0.023)+A708B_C3*(1+0)*(1+-0.221)+(A397A_C3+A698A_C3+A397_C3+A002_C3+A698C_C3+A400P_C3)*(1+0)*(1+-0.045),IF(D9&gt;DATEVALUE("12/31/2013"),A396_C3*(1+0)*(1+-0.053)+A385_C3*(1+0)*(1+-0.051)+A370_C3*(1+0)*(1+-0.029)+A704A_C3*(1+0)*(1+-0.158)+A704B_C3*(1+0)*(1+-0.098)+A704C_C3*(1+0)*(1+-0.095)+A704D_C3*(1+0)*(1+-0.066)+A704E_C3*(1+0)*(1+-0.045)+A705A_C3*(1+0)*(1+-0.01)+A705B_C3*(1+0)*(1+-0.097)+A706_C3*(1+0)*(1+-0.123)+A707_C3*(1+0)*(1+-0.064)+A708_C3*(1+0)*(1+-0.023)+A708B_C3*(1+0)*(1+-0.221)+(A397_C3+A397A_C3+A698A_C3+A002_C3+A698_C3)*(1+0)*(1+-0.045)))</f>
        <v>700176332240.82996</v>
      </c>
      <c r="E85" s="62">
        <f>IF(E9&gt;DATEVALUE("6/30/2017"),A396_C4*(1+0)*(1+-0.053)+A385_C4*(1+0)*(1+-0.051)+A370_C4*(1+0)*(1+-0.029)+A704A_C4*(1+0)*(1+-0.158)+A704B_C4*(1+0)*(1+-0.098)+A704C_C4*(1+0)*(1+-0.095)+A704D_C4*(1+0)*(1+-0.066)+A704E_C4*(1+0)*(1+-0.045)+A705A_C4*(1+0)*(1+-0.01)+A705B_C4*(1+0)*(1+-0.097)+A706_C4*(1+0)*(1+-0.123)+A707_C4*(1+0)*(1+-0.064)+A708_C4*(1+0)*(1+-0.023)+A708B_C4*(1+0)*(1+-0.221)+(A397A_C4+A698A_C4+A397_C4+A002_C4+A698C_C4+A400P_C4)*(1+0)*(1+-0.045),IF(E9&gt;DATEVALUE("12/31/2013"),A396_C4*(1+0)*(1+-0.053)+A385_C4*(1+0)*(1+-0.051)+A370_C4*(1+0)*(1+-0.029)+A704A_C4*(1+0)*(1+-0.158)+A704B_C4*(1+0)*(1+-0.098)+A704C_C4*(1+0)*(1+-0.095)+A704D_C4*(1+0)*(1+-0.066)+A704E_C4*(1+0)*(1+-0.045)+A705A_C4*(1+0)*(1+-0.01)+A705B_C4*(1+0)*(1+-0.097)+A706_C4*(1+0)*(1+-0.123)+A707_C4*(1+0)*(1+-0.064)+A708_C4*(1+0)*(1+-0.023)+A708B_C4*(1+0)*(1+-0.221)+(A397_C4+A397A_C4+A698A_C4+A002_C4+A698_C4)*(1+0)*(1+-0.045)))</f>
        <v>706091504694.19202</v>
      </c>
      <c r="H85" s="62">
        <f>IF(H9&gt;DATEVALUE("6/30/2017"),A396_C5*(1+0)*(1+-0.053)+A385_C5*(1+0)*(1+-0.051)+A370_C5*(1+0)*(1+-0.029)+A704A_C5*(1+0)*(1+-0.158)+A704B_C5*(1+0)*(1+-0.098)+A704C_C5*(1+0)*(1+-0.095)+A704D_C5*(1+0)*(1+-0.066)+A704E_C5*(1+0)*(1+-0.045)+A705A_C5*(1+0)*(1+-0.01)+A705B_C5*(1+0)*(1+-0.097)+A706_C5*(1+0)*(1+-0.123)+A707_C5*(1+0)*(1+-0.064)+A708_C5*(1+0)*(1+-0.023)+A708B_C5*(1+0)*(1+-0.221)+(A397A_C5+A698A_C5+A397_C5+A002_C5+A698C_C5+A400P_C5)*(1+0)*(1+-0.045),IF(H9&gt;DATEVALUE("12/31/2013"),A396_C5*(1+0)*(1+-0.053)+A385_C5*(1+0)*(1+-0.051)+A370_C5*(1+0)*(1+-0.029)+A704A_C5*(1+0)*(1+-0.158)+A704B_C5*(1+0)*(1+-0.098)+A704C_C5*(1+0)*(1+-0.095)+A704D_C5*(1+0)*(1+-0.066)+A704E_C5*(1+0)*(1+-0.045)+A705A_C5*(1+0)*(1+-0.01)+A705B_C5*(1+0)*(1+-0.097)+A706_C5*(1+0)*(1+-0.123)+A707_C5*(1+0)*(1+-0.064)+A708_C5*(1+0)*(1+-0.023)+A708B_C5*(1+0)*(1+-0.221)+(A397_C5+A397A_C5+A698A_C5+A002_C5+A698_C5)*(1+0)*(1+-0.045)))</f>
        <v>706557976420.495</v>
      </c>
      <c r="I85" s="62" t="s">
        <v>191</v>
      </c>
    </row>
    <row r="86" spans="1:9" ht="12" hidden="1" customHeight="1" x14ac:dyDescent="0.2">
      <c r="A86" s="62" t="s">
        <v>194</v>
      </c>
      <c r="B86" s="62">
        <f>IF(B9&gt;DATEVALUE("6/30/2019"), B83, IF(B9&gt;DATEVALUE("3/31/2019"), B84, IF(B9&gt;DATEVALUE("12/31/2013"),B85)))</f>
        <v>1503175468505.8613</v>
      </c>
      <c r="C86" s="62">
        <f>IF(C9&gt;DATEVALUE("6/30/2019"), C83, IF(C9&gt;DATEVALUE("3/31/2019"), C84, IF(C9&gt;DATEVALUE("12/31/2013"),C85)))</f>
        <v>1516976890410.4661</v>
      </c>
      <c r="D86" s="62">
        <f>IF(D9&gt;DATEVALUE("6/30/2019"), D83, IF(D9&gt;DATEVALUE("3/31/2019"), D84, IF(D9&gt;DATEVALUE("12/31/2013"),D85)))</f>
        <v>1525020643924.9629</v>
      </c>
      <c r="E86" s="62">
        <f>IF(E9&gt;DATEVALUE("6/30/2019"), E83, IF(E9&gt;DATEVALUE("3/31/2019"), E84, IF(E9&gt;DATEVALUE("12/31/2013"),E85)))</f>
        <v>1550654455815.2126</v>
      </c>
      <c r="H86" s="62">
        <f>IF(H9&gt;DATEVALUE("6/30/2019"), H83, IF(H9&gt;DATEVALUE("3/31/2019"), H84, IF(H9&gt;DATEVALUE("12/31/2013"),H85)))</f>
        <v>1570586565183.8459</v>
      </c>
      <c r="I86" s="62" t="s">
        <v>191</v>
      </c>
    </row>
    <row r="87" spans="1:9" ht="12" hidden="1" customHeight="1" x14ac:dyDescent="0.2">
      <c r="A87" s="62" t="s">
        <v>195</v>
      </c>
      <c r="B87" s="62">
        <f>IF(B9&gt;DATEVALUE("12/31/2021"),A798A_C1 * (1 + 0) * (1 + 0) + A007_C1 * (1 + 0) * (1 + 0) + A008_C1 * (1 + 0) * (1 + 0) + A003_C1 * (1 + 0) * (1 + 0) - A719_C1 * (1 + 0) * (1 + 0) - AAS0048_C1 * (1 + 0) * (1 + 0) - AAS0041_C1 * (1 + 0) * (1 + 0) + A794_C1 * (1 + 0) * (1 + 0) + AAS0036_C1 * (1 + 0) * (1 + 0), IF(B9&gt;DATEVALUE("12/31/2018"), A798A_C1 * (1 + 0) * (1 + 0) + (A007_C1 + A008_C1) * (1 + 0) * (1 + 0) + (A003_C1 - A719_C1 - AAS0048_C1 + A794_C1 + A009D_C1 + A009_C1) * (1 + 0) * (1 + 0),IF(B9&gt;DATEVALUE("12/31/2013"),A798A_C1*(1+0)*(1+0)+(A007_C1+A008_C1)*(1+0)*(1+0)+(A003_C1-A719_C1+A794_C1+A009D_C1+A009_C1)*(1+0)*(1+0),0)))</f>
        <v>102865323108</v>
      </c>
      <c r="C87" s="62">
        <f>IF(C9&gt;DATEVALUE("12/31/2021"),A798A_C2 * (1 + 0) * (1 + 0) + A007_C2 * (1 + 0) * (1 + 0) + A008_C2 * (1 + 0) * (1 + 0) + A003_C2 * (1 + 0) * (1 + 0) - A719_C2 * (1 + 0) * (1 + 0) - AAS0048_C2 * (1 + 0) * (1 + 0) - AAS0041_C2 * (1 + 0) * (1 + 0) + A794_C2 * (1 + 0) * (1 + 0) + AAS0036_C2 * (1 + 0) * (1 + 0), IF(C9&gt;DATEVALUE("12/31/2018"), A798A_C2 * (1 + 0) * (1 + 0) + (A007_C2 + A008_C2) * (1 + 0) * (1 + 0) + (A003_C2 - A719_C2 - AAS0048_C2 + A794_C2 + A009D_C2 + A009_C2) * (1 + 0) * (1 + 0),IF(C9&gt;DATEVALUE("12/31/2013"),A798A_C2*(1+0)*(1+0)+(A007_C2+A008_C2)*(1+0)*(1+0)+(A003_C2-A719_C2+A794_C2+A009D_C2+A009_C2)*(1+0)*(1+0),0)))</f>
        <v>99874045737</v>
      </c>
      <c r="D87" s="62">
        <f>IF(D9&gt;DATEVALUE("12/31/2021"),A798A_C3 * (1 + 0) * (1 + 0) + A007_C3 * (1 + 0) * (1 + 0) + A008_C3 * (1 + 0) * (1 + 0) + A003_C3 * (1 + 0) * (1 + 0) - A719_C3 * (1 + 0) * (1 + 0) - AAS0048_C3 * (1 + 0) * (1 + 0) - AAS0041_C3 * (1 + 0) * (1 + 0) + A794_C3 * (1 + 0) * (1 + 0) + AAS0036_C3 * (1 + 0) * (1 + 0), IF(D9&gt;DATEVALUE("12/31/2018"), A798A_C3 * (1 + 0) * (1 + 0) + (A007_C3 + A008_C3) * (1 + 0) * (1 + 0) + (A003_C3 - A719_C3 - AAS0048_C3 + A794_C3 + A009D_C3 + A009_C3) * (1 + 0) * (1 + 0),IF(D9&gt;DATEVALUE("12/31/2013"),A798A_C3*(1+0)*(1+0)+(A007_C3+A008_C3)*(1+0)*(1+0)+(A003_C3-A719_C3+A794_C3+A009D_C3+A009_C3)*(1+0)*(1+0),0)))</f>
        <v>106149672086</v>
      </c>
      <c r="E87" s="62">
        <f>IF(E9&gt;DATEVALUE("12/31/2021"),A798A_C4 * (1 + 0) * (1 + 0) + A007_C4 * (1 + 0) * (1 + 0) + A008_C4 * (1 + 0) * (1 + 0) + A003_C4 * (1 + 0) * (1 + 0) - A719_C4 * (1 + 0) * (1 + 0) - AAS0048_C4 * (1 + 0) * (1 + 0) - AAS0041_C4 * (1 + 0) * (1 + 0) + A794_C4 * (1 + 0) * (1 + 0) + AAS0036_C4 * (1 + 0) * (1 + 0), IF(E9&gt;DATEVALUE("12/31/2018"), A798A_C4 * (1 + 0) * (1 + 0) + (A007_C4 + A008_C4) * (1 + 0) * (1 + 0) + (A003_C4 - A719_C4 - AAS0048_C4 + A794_C4 + A009D_C4 + A009_C4) * (1 + 0) * (1 + 0),IF(E9&gt;DATEVALUE("12/31/2013"),A798A_C4*(1+0)*(1+0)+(A007_C4+A008_C4)*(1+0)*(1+0)+(A003_C4-A719_C4+A794_C4+A009D_C4+A009_C4)*(1+0)*(1+0),0)))</f>
        <v>108621811401</v>
      </c>
      <c r="H87" s="62">
        <f>IF(H9&gt;DATEVALUE("12/31/2021"),A798A_C5 * (1 + 0) * (1 + 0) + A007_C5 * (1 + 0) * (1 + 0) + A008_C5 * (1 + 0) * (1 + 0) + A003_C5 * (1 + 0) * (1 + 0) - A719_C5 * (1 + 0) * (1 + 0) - AAS0048_C5 * (1 + 0) * (1 + 0) - AAS0041_C5 * (1 + 0) * (1 + 0) + A794_C5 * (1 + 0) * (1 + 0) + AAS0036_C5 * (1 + 0) * (1 + 0), IF(H9&gt;DATEVALUE("12/31/2018"), A798A_C5 * (1 + 0) * (1 + 0) + (A007_C5 + A008_C5) * (1 + 0) * (1 + 0) + (A003_C5 - A719_C5 - AAS0048_C5 + A794_C5 + A009D_C5 + A009_C5) * (1 + 0) * (1 + 0),IF(H9&gt;DATEVALUE("12/31/2013"),A798A_C5*(1+0)*(1+0)+(A007_C5+A008_C5)*(1+0)*(1+0)+(A003_C5-A719_C5+A794_C5+A009D_C5+A009_C5)*(1+0)*(1+0),0)))</f>
        <v>110421106909</v>
      </c>
      <c r="I87" s="62" t="s">
        <v>196</v>
      </c>
    </row>
    <row r="88" spans="1:9" ht="12" hidden="1" customHeight="1" x14ac:dyDescent="0.2">
      <c r="A88" s="62" t="s">
        <v>197</v>
      </c>
      <c r="B88" s="62">
        <f>SUM(B79,B82,B86,B87)</f>
        <v>2146751876336.1882</v>
      </c>
      <c r="C88" s="62">
        <f>SUM(C79,C82,C86,C87)</f>
        <v>2142253400571.6682</v>
      </c>
      <c r="D88" s="62">
        <f>SUM(D79,D82,D86,D87)</f>
        <v>2200847969747.6992</v>
      </c>
      <c r="E88" s="62">
        <f>SUM(E79,E82,E86,E87)</f>
        <v>2210476138775.8594</v>
      </c>
      <c r="H88" s="62">
        <f>SUM(H79,H82,H86,H87)</f>
        <v>2227832626705.9429</v>
      </c>
      <c r="I88" s="62" t="s">
        <v>198</v>
      </c>
    </row>
    <row r="89" spans="1:9" ht="12" hidden="1" customHeight="1" x14ac:dyDescent="0.2">
      <c r="A89" s="62" t="s">
        <v>199</v>
      </c>
      <c r="B89" s="62">
        <f>IF(B9&gt;DATEVALUE("12/31/2021"),A860A_C1 * (1 + -0.015) + A860B1_C1 * (1 + -0.06) + A860B2_C1 * (1 + -0.12), IF(B9&gt;DATEVALUE("6/30/2019"),  (A860A_C1 * (1 + 0) * (1 + -0.015)) + (A860B1_C1 * (1 + 0) * (1 + -0.06)) + (A860B2_C1 * (1 + 0) * (1 + -0.12)),IF(B9&gt;DATEVALUE("12/31/2013"), (A860A_C1 * (1 + 0.0025) * (1 + -0.015)) + (A860B1_C1 * (1 + 0.0025) * (1 + -0.06) )+ (A860B2_C1 * (1 + 0.0025) * (1 + -0.12)),0)))</f>
        <v>115815370358.17999</v>
      </c>
      <c r="C89" s="62">
        <f>IF(C9&gt;DATEVALUE("12/31/2021"),A860A_C2 * (1 + -0.015) + A860B1_C2 * (1 + -0.06) + A860B2_C2 * (1 + -0.12), IF(C9&gt;DATEVALUE("6/30/2019"),  (A860A_C2 * (1 + 0) * (1 + -0.015)) + (A860B1_C2 * (1 + 0) * (1 + -0.06)) + (A860B2_C2 * (1 + 0) * (1 + -0.12)),IF(C9&gt;DATEVALUE("12/31/2013"), (A860A_C2 * (1 + 0.0025) * (1 + -0.015)) + (A860B1_C2 * (1 + 0.0025) * (1 + -0.06) )+ (A860B2_C2 * (1 + 0.0025) * (1 + -0.12)),0)))</f>
        <v>91155251109.695007</v>
      </c>
      <c r="D89" s="62">
        <f>IF(D9&gt;DATEVALUE("12/31/2021"),A860A_C3 * (1 + -0.015) + A860B1_C3 * (1 + -0.06) + A860B2_C3 * (1 + -0.12), IF(D9&gt;DATEVALUE("6/30/2019"),  (A860A_C3 * (1 + 0) * (1 + -0.015)) + (A860B1_C3 * (1 + 0) * (1 + -0.06)) + (A860B2_C3 * (1 + 0) * (1 + -0.12)),IF(D9&gt;DATEVALUE("12/31/2013"), (A860A_C3 * (1 + 0.0025) * (1 + -0.015)) + (A860B1_C3 * (1 + 0.0025) * (1 + -0.06) )+ (A860B2_C3 * (1 + 0.0025) * (1 + -0.12)),0)))</f>
        <v>82543504604.869995</v>
      </c>
      <c r="E89" s="62">
        <f>IF(E9&gt;DATEVALUE("12/31/2021"),A860A_C4 * (1 + -0.015) + A860B1_C4 * (1 + -0.06) + A860B2_C4 * (1 + -0.12), IF(E9&gt;DATEVALUE("6/30/2019"),  (A860A_C4 * (1 + 0) * (1 + -0.015)) + (A860B1_C4 * (1 + 0) * (1 + -0.06)) + (A860B2_C4 * (1 + 0) * (1 + -0.12)),IF(E9&gt;DATEVALUE("12/31/2013"), (A860A_C4 * (1 + 0.0025) * (1 + -0.015)) + (A860B1_C4 * (1 + 0.0025) * (1 + -0.06) )+ (A860B2_C4 * (1 + 0.0025) * (1 + -0.12)),0)))</f>
        <v>85427362324.394989</v>
      </c>
      <c r="H89" s="62">
        <f>IF(H9&gt;DATEVALUE("12/31/2021"),A860A_C5 * (1 + -0.015) + A860B1_C5 * (1 + -0.06) + A860B2_C5 * (1 + -0.12), IF(H9&gt;DATEVALUE("6/30/2019"),  (A860A_C5 * (1 + 0) * (1 + -0.015)) + (A860B1_C5 * (1 + 0) * (1 + -0.06)) + (A860B2_C5 * (1 + 0) * (1 + -0.12)),IF(H9&gt;DATEVALUE("12/31/2013"), (A860A_C5 * (1 + 0.0025) * (1 + -0.015)) + (A860B1_C5 * (1 + 0.0025) * (1 + -0.06) )+ (A860B2_C5 * (1 + 0.0025) * (1 + -0.12)),0)))</f>
        <v>83530454902.785004</v>
      </c>
      <c r="I89" s="62" t="s">
        <v>200</v>
      </c>
    </row>
    <row r="90" spans="1:9" ht="12" hidden="1" customHeight="1" x14ac:dyDescent="0.2">
      <c r="A90" s="62" t="s">
        <v>201</v>
      </c>
      <c r="B90" s="62">
        <f>IF(B9&gt;DATEVALUE("12/31/2021"),A820A_C1 * (1 + 0) * (1 + 0) + A825_C1 * (1 + 0) * (1 + 0),IF(B9&gt;DATEVALUE("12/31/2013"), (A825A_C1 + A820A_C1 + A825_C1) * (1 + 0) * (1 + 0),0))</f>
        <v>29329779521</v>
      </c>
      <c r="C90" s="62">
        <f>IF(C9&gt;DATEVALUE("12/31/2021"),A820A_C2 * (1 + 0) * (1 + 0) + A825_C2 * (1 + 0) * (1 + 0),IF(C9&gt;DATEVALUE("12/31/2013"), (A825A_C2 + A820A_C2 + A825_C2) * (1 + 0) * (1 + 0),0))</f>
        <v>28702171299</v>
      </c>
      <c r="D90" s="62">
        <f>IF(D9&gt;DATEVALUE("12/31/2021"),A820A_C3 * (1 + 0) * (1 + 0) + A825_C3 * (1 + 0) * (1 + 0),IF(D9&gt;DATEVALUE("12/31/2013"), (A825A_C3 + A820A_C3 + A825_C3) * (1 + 0) * (1 + 0),0))</f>
        <v>28419164963</v>
      </c>
      <c r="E90" s="62">
        <f>IF(E9&gt;DATEVALUE("12/31/2021"),A820A_C4 * (1 + 0) * (1 + 0) + A825_C4 * (1 + 0) * (1 + 0),IF(E9&gt;DATEVALUE("12/31/2013"), (A825A_C4 + A820A_C4 + A825_C4) * (1 + 0) * (1 + 0),0))</f>
        <v>29419144289</v>
      </c>
      <c r="H90" s="62">
        <f>IF(H9&gt;DATEVALUE("12/31/2021"),A820A_C5 * (1 + 0) * (1 + 0) + A825_C5 * (1 + 0) * (1 + 0),IF(H9&gt;DATEVALUE("12/31/2013"), (A825A_C5 + A820A_C5 + A825_C5) * (1 + 0) * (1 + 0),0))</f>
        <v>30202732509</v>
      </c>
      <c r="I90" s="62" t="s">
        <v>202</v>
      </c>
    </row>
    <row r="91" spans="1:9" ht="12" hidden="1" customHeight="1" x14ac:dyDescent="0.2">
      <c r="A91" s="62" t="s">
        <v>203</v>
      </c>
      <c r="B91" s="62">
        <f>IF(B9&gt;DATEVALUE("12/31/2013"), A902_C1 * (1 + -0.01) * (1 + -0.04) + A657_C1 * (1 + -0.01) * (1 + -0.04) + A911_C1 * (1 + -0.01) * (1 + -0.04),0)</f>
        <v>1194939895717.1807</v>
      </c>
      <c r="C91" s="62">
        <f>IF(C9&gt;DATEVALUE("12/31/2013"), A902_C2 * (1 + -0.01) * (1 + -0.04) + A657_C2 * (1 + -0.01) * (1 + -0.04) + A911_C2 * (1 + -0.01) * (1 + -0.04),0)</f>
        <v>1209366627174.6047</v>
      </c>
      <c r="D91" s="62">
        <f>IF(D9&gt;DATEVALUE("12/31/2013"), A902_C3 * (1 + -0.01) * (1 + -0.04) + A657_C3 * (1 + -0.01) * (1 + -0.04) + A911_C3 * (1 + -0.01) * (1 + -0.04),0)</f>
        <v>1258622192664.4609</v>
      </c>
      <c r="E91" s="62">
        <f>IF(E9&gt;DATEVALUE("12/31/2013"), A902_C4 * (1 + -0.01) * (1 + -0.04) + A657_C4 * (1 + -0.01) * (1 + -0.04) + A911_C4 * (1 + -0.01) * (1 + -0.04),0)</f>
        <v>1252896194487.168</v>
      </c>
      <c r="H91" s="62">
        <f>IF(H9&gt;DATEVALUE("12/31/2013"), A902_C5 * (1 + -0.01) * (1 + -0.04) + A657_C5 * (1 + -0.01) * (1 + -0.04) + A911_C5 * (1 + -0.01) * (1 + -0.04),0)</f>
        <v>1251766910512.7998</v>
      </c>
      <c r="I91" s="62" t="s">
        <v>204</v>
      </c>
    </row>
    <row r="92" spans="1:9" ht="12" hidden="1" customHeight="1" x14ac:dyDescent="0.2">
      <c r="A92" s="62" t="s">
        <v>205</v>
      </c>
      <c r="B92" s="62">
        <f>IF(B9&gt;DATEVALUE("12/31/2021"), A908A_C1 * (1 + 0) * (1 + -0.015) + A906A_C1 * (1 + 0) * (1 + -0.015) + A630A_C1 * (1 + 0) * (1 + -0.015) + A880A_C1 * (1 + 0) * (1 + -0.015) + A908B1_C1 * (1 + 0) * (1 + -0.06) + A906B1_C1 * (1 + 0) * (1 + -0.06) + A630B1_C1 * (1 + 0) * (1 + -0.06) + A880B1_C1 * (1 + 0) * (1 + -0.06) + A908B2_C1 * (1 + 0) * (1 + -0.12) + A906B2_C1 * (1 + 0) * (1 + -0.12) + A630B2_C1 * (1 + 0) * (1 + -0.12) + A880B2_C1 * (1 + 0) * (1 + -0.12),IF(B9&gt;DATEVALUE("6/30/2019"), (A908A_C1 + A906A_C1 + A630A_C1 + A880A_C1) * (1 + 0) * (1 + -0.015) + (A908B1_C1 + A906B1_C1 + A630B1_C1 + A880B1_C1) * (1 + 0) * (1 + -0.06) + (A908B2_C1 + A906B2_C1 + A630B2_C1 + A880B2_C1) * (1 + 0) * (1 + -0.12),IF(B9&gt;DATEVALUE("12/31/2013"),(A908A_C1+A906A_C1+A630A_C1+A880A_C1)*(1+0.0025)*(1+-0.015)+ (A908B1_C1+A906B1_C1+A630B1_C1+A880B1_C1)*(1+0.0025)*(1+-0.06)+ (A908B2_C1+A906B2_C1+A630B2_C1+A880B2_C1)*(1+0.0025)*(1+-0.12),0)))</f>
        <v>659486236795.58508</v>
      </c>
      <c r="C92" s="62">
        <f>IF(C9&gt;DATEVALUE("12/31/2021"), A908A_C2 * (1 + 0) * (1 + -0.015) + A906A_C2 * (1 + 0) * (1 + -0.015) + A630A_C2 * (1 + 0) * (1 + -0.015) + A880A_C2 * (1 + 0) * (1 + -0.015) + A908B1_C2 * (1 + 0) * (1 + -0.06) + A906B1_C2 * (1 + 0) * (1 + -0.06) + A630B1_C2 * (1 + 0) * (1 + -0.06) + A880B1_C2 * (1 + 0) * (1 + -0.06) + A908B2_C2 * (1 + 0) * (1 + -0.12) + A906B2_C2 * (1 + 0) * (1 + -0.12) + A630B2_C2 * (1 + 0) * (1 + -0.12) + A880B2_C2 * (1 + 0) * (1 + -0.12),IF(C9&gt;DATEVALUE("6/30/2019"), (A908A_C2 + A906A_C2 + A630A_C2 + A880A_C2) * (1 + 0) * (1 + -0.015) + (A908B1_C2 + A906B1_C2 + A630B1_C2 + A880B1_C2) * (1 + 0) * (1 + -0.06) + (A908B2_C2 + A906B2_C2 + A630B2_C2 + A880B2_C2) * (1 + 0) * (1 + -0.12),IF(C9&gt;DATEVALUE("12/31/2013"),(A908A_C2+A906A_C2+A630A_C2+A880A_C2)*(1+0.0025)*(1+-0.015)+ (A908B1_C2+A906B1_C2+A630B1_C2+A880B1_C2)*(1+0.0025)*(1+-0.06)+ (A908B2_C2+A906B2_C2+A630B2_C2+A880B2_C2)*(1+0.0025)*(1+-0.12),0)))</f>
        <v>669340707887.71973</v>
      </c>
      <c r="D92" s="62">
        <f>IF(D9&gt;DATEVALUE("12/31/2021"), A908A_C3 * (1 + 0) * (1 + -0.015) + A906A_C3 * (1 + 0) * (1 + -0.015) + A630A_C3 * (1 + 0) * (1 + -0.015) + A880A_C3 * (1 + 0) * (1 + -0.015) + A908B1_C3 * (1 + 0) * (1 + -0.06) + A906B1_C3 * (1 + 0) * (1 + -0.06) + A630B1_C3 * (1 + 0) * (1 + -0.06) + A880B1_C3 * (1 + 0) * (1 + -0.06) + A908B2_C3 * (1 + 0) * (1 + -0.12) + A906B2_C3 * (1 + 0) * (1 + -0.12) + A630B2_C3 * (1 + 0) * (1 + -0.12) + A880B2_C3 * (1 + 0) * (1 + -0.12),IF(D9&gt;DATEVALUE("6/30/2019"), (A908A_C3 + A906A_C3 + A630A_C3 + A880A_C3) * (1 + 0) * (1 + -0.015) + (A908B1_C3 + A906B1_C3 + A630B1_C3 + A880B1_C3) * (1 + 0) * (1 + -0.06) + (A908B2_C3 + A906B2_C3 + A630B2_C3 + A880B2_C3) * (1 + 0) * (1 + -0.12),IF(D9&gt;DATEVALUE("12/31/2013"),(A908A_C3+A906A_C3+A630A_C3+A880A_C3)*(1+0.0025)*(1+-0.015)+ (A908B1_C3+A906B1_C3+A630B1_C3+A880B1_C3)*(1+0.0025)*(1+-0.06)+ (A908B2_C3+A906B2_C3+A630B2_C3+A880B2_C3)*(1+0.0025)*(1+-0.12),0)))</f>
        <v>678527748784.21497</v>
      </c>
      <c r="E92" s="62">
        <f>IF(E9&gt;DATEVALUE("12/31/2021"), A908A_C4 * (1 + 0) * (1 + -0.015) + A906A_C4 * (1 + 0) * (1 + -0.015) + A630A_C4 * (1 + 0) * (1 + -0.015) + A880A_C4 * (1 + 0) * (1 + -0.015) + A908B1_C4 * (1 + 0) * (1 + -0.06) + A906B1_C4 * (1 + 0) * (1 + -0.06) + A630B1_C4 * (1 + 0) * (1 + -0.06) + A880B1_C4 * (1 + 0) * (1 + -0.06) + A908B2_C4 * (1 + 0) * (1 + -0.12) + A906B2_C4 * (1 + 0) * (1 + -0.12) + A630B2_C4 * (1 + 0) * (1 + -0.12) + A880B2_C4 * (1 + 0) * (1 + -0.12),IF(E9&gt;DATEVALUE("6/30/2019"), (A908A_C4 + A906A_C4 + A630A_C4 + A880A_C4) * (1 + 0) * (1 + -0.015) + (A908B1_C4 + A906B1_C4 + A630B1_C4 + A880B1_C4) * (1 + 0) * (1 + -0.06) + (A908B2_C4 + A906B2_C4 + A630B2_C4 + A880B2_C4) * (1 + 0) * (1 + -0.12),IF(E9&gt;DATEVALUE("12/31/2013"),(A908A_C4+A906A_C4+A630A_C4+A880A_C4)*(1+0.0025)*(1+-0.015)+ (A908B1_C4+A906B1_C4+A630B1_C4+A880B1_C4)*(1+0.0025)*(1+-0.06)+ (A908B2_C4+A906B2_C4+A630B2_C4+A880B2_C4)*(1+0.0025)*(1+-0.12),0)))</f>
        <v>686020062421.13989</v>
      </c>
      <c r="H92" s="62">
        <f>IF(H9&gt;DATEVALUE("12/31/2021"), A908A_C5 * (1 + 0) * (1 + -0.015) + A906A_C5 * (1 + 0) * (1 + -0.015) + A630A_C5 * (1 + 0) * (1 + -0.015) + A880A_C5 * (1 + 0) * (1 + -0.015) + A908B1_C5 * (1 + 0) * (1 + -0.06) + A906B1_C5 * (1 + 0) * (1 + -0.06) + A630B1_C5 * (1 + 0) * (1 + -0.06) + A880B1_C5 * (1 + 0) * (1 + -0.06) + A908B2_C5 * (1 + 0) * (1 + -0.12) + A906B2_C5 * (1 + 0) * (1 + -0.12) + A630B2_C5 * (1 + 0) * (1 + -0.12) + A880B2_C5 * (1 + 0) * (1 + -0.12),IF(H9&gt;DATEVALUE("6/30/2019"), (A908A_C5 + A906A_C5 + A630A_C5 + A880A_C5) * (1 + 0) * (1 + -0.015) + (A908B1_C5 + A906B1_C5 + A630B1_C5 + A880B1_C5) * (1 + 0) * (1 + -0.06) + (A908B2_C5 + A906B2_C5 + A630B2_C5 + A880B2_C5) * (1 + 0) * (1 + -0.12),IF(H9&gt;DATEVALUE("12/31/2013"),(A908A_C5+A906A_C5+A630A_C5+A880A_C5)*(1+0.0025)*(1+-0.015)+ (A908B1_C5+A906B1_C5+A630B1_C5+A880B1_C5)*(1+0.0025)*(1+-0.06)+ (A908B2_C5+A906B2_C5+A630B2_C5+A880B2_C5)*(1+0.0025)*(1+-0.12),0)))</f>
        <v>698457413786.15991</v>
      </c>
      <c r="I92" s="62" t="s">
        <v>206</v>
      </c>
    </row>
    <row r="93" spans="1:9" ht="12" hidden="1" customHeight="1" x14ac:dyDescent="0.2">
      <c r="A93" s="62" t="s">
        <v>207</v>
      </c>
      <c r="B93" s="62">
        <f>IF(B9&gt;DATEVALUE("12/31/2021"),0,IF(B9&gt;DATEVALUE("12/31/2013"),IF((A1020_C1+A1021_C1+A1023_C1)=0,0,((-((A1020_C1*0.135*A1020Y_C1/5)+(A1021_C1*-0.135*A1021Y_C1/5)+(A1023_C1*0.07*A1023Y_C1/5)))+(A1020C_C1+A1021C_C1+A1022C_C1))/100),0))</f>
        <v>0</v>
      </c>
      <c r="C93" s="62">
        <f>IF(C9&gt;DATEVALUE("12/31/2021"),0,IF(C9&gt;DATEVALUE("12/31/2013"),IF((A1020_C2+A1021_C2+A1023_C2)=0,0,((-((A1020_C2*0.135*A1020Y_C2/5)+(A1021_C2*-0.135*A1021Y_C2/5)+(A1023_C2*0.07*A1023Y_C2/5)))+(A1020C_C2+A1021C_C2+A1022C_C2))/100),0))</f>
        <v>0</v>
      </c>
      <c r="D93" s="62">
        <f>IF(D9&gt;DATEVALUE("12/31/2021"),0,IF(D9&gt;DATEVALUE("12/31/2013"),IF((A1020_C3+A1021_C3+A1023_C3)=0,0,((-((A1020_C3*0.135*A1020Y_C3/5)+(A1021_C3*-0.135*A1021Y_C3/5)+(A1023_C3*0.07*A1023Y_C3/5)))+(A1020C_C3+A1021C_C3+A1022C_C3))/100),0))</f>
        <v>0</v>
      </c>
      <c r="E93" s="62">
        <f>IF(E9&gt;DATEVALUE("12/31/2021"),0,IF(E9&gt;DATEVALUE("12/31/2013"),IF((A1020_C4+A1021_C4+A1023_C4)=0,0,((-((A1020_C4*0.135*A1020Y_C4/5)+(A1021_C4*-0.135*A1021Y_C4/5)+(A1023_C4*0.07*A1023Y_C4/5)))+(A1020C_C4+A1021C_C4+A1022C_C4))/100),0))</f>
        <v>0</v>
      </c>
      <c r="H93" s="62">
        <f>IF(H9&gt;DATEVALUE("12/31/2021"),0,IF(H9&gt;DATEVALUE("12/31/2013"),IF((A1020_C5+A1021_C5+A1023_C5)=0,0,((-((A1020_C5*0.135*A1020Y_C5/5)+(A1021_C5*-0.135*A1021Y_C5/5)+(A1023_C5*0.07*A1023Y_C5/5)))+(A1020C_C5+A1021C_C5+A1022C_C5))/100),0))</f>
        <v>0</v>
      </c>
      <c r="I93" s="62" t="s">
        <v>208</v>
      </c>
    </row>
    <row r="94" spans="1:9" ht="12" hidden="1" customHeight="1" x14ac:dyDescent="0.2">
      <c r="A94" s="62" t="s">
        <v>209</v>
      </c>
      <c r="B94" s="62">
        <f>IF(B9&gt;=DATEVALUE("12/31/2021"),SUM(B89:B92),IF(B9&gt;=DATEVALUE("12/31/2013"),SUM(B89:B93),0))</f>
        <v>1999571282391.9458</v>
      </c>
      <c r="C94" s="62">
        <f>IF(C9&gt;=DATEVALUE("12/31/2021"),SUM(C89:C92),IF(C9&gt;=DATEVALUE("12/31/2013"),SUM(C89:C93),0))</f>
        <v>1998564757471.0195</v>
      </c>
      <c r="D94" s="62">
        <f>IF(D9&gt;=DATEVALUE("12/31/2021"),SUM(D89:D92),IF(D9&gt;=DATEVALUE("12/31/2013"),SUM(D89:D93),0))</f>
        <v>2048112611016.5459</v>
      </c>
      <c r="E94" s="62">
        <f>IF(E9&gt;=DATEVALUE("12/31/2021"),SUM(E89:E92),IF(E9&gt;=DATEVALUE("12/31/2013"),SUM(E89:E93),0))</f>
        <v>2053762763521.7029</v>
      </c>
      <c r="H94" s="62">
        <f>IF(H9&gt;=DATEVALUE("12/31/2021"),SUM(H89:H92),IF(H9&gt;=DATEVALUE("12/31/2013"),SUM(H89:H93),0))</f>
        <v>2063957511710.7446</v>
      </c>
      <c r="I94" s="62" t="s">
        <v>210</v>
      </c>
    </row>
    <row r="95" spans="1:9" ht="12" hidden="1" customHeight="1" x14ac:dyDescent="0.2">
      <c r="A95" s="62" t="s">
        <v>211</v>
      </c>
      <c r="B95" s="62">
        <f>IF(B9&gt;DATEVALUE("12/31/2013"),B88-B94,0)</f>
        <v>147180593944.24243</v>
      </c>
      <c r="C95" s="62">
        <f>IF(C9&gt;DATEVALUE("12/31/2013"),C88-C94,0)</f>
        <v>143688643100.64868</v>
      </c>
      <c r="D95" s="62">
        <f>IF(D9&gt;DATEVALUE("12/31/2013"),D88-D94,0)</f>
        <v>152735358731.15332</v>
      </c>
      <c r="E95" s="62">
        <f>IF(E9&gt;DATEVALUE("12/31/2013"),E88-E94,0)</f>
        <v>156713375254.15649</v>
      </c>
      <c r="H95" s="62">
        <f>IF(H9&gt;DATEVALUE("12/31/2013"),H88-H94,0)</f>
        <v>163875114995.19824</v>
      </c>
      <c r="I95" s="62" t="s">
        <v>212</v>
      </c>
    </row>
    <row r="96" spans="1:9" ht="12" hidden="1" customHeight="1" x14ac:dyDescent="0.2">
      <c r="A96" s="62" t="s">
        <v>213</v>
      </c>
      <c r="B96" s="62">
        <f>IF(B9&gt;DATEVALUE("12/31/2013"),IF(B88&lt;&gt;0,(B95/B88)*100,0))</f>
        <v>6.8559667079659032</v>
      </c>
      <c r="C96" s="62">
        <f>IF(C9&gt;DATEVALUE("12/31/2013"),IF(C88&lt;&gt;0,(C95/C88)*100,0))</f>
        <v>6.7073597858360188</v>
      </c>
      <c r="D96" s="62">
        <f>IF(D9&gt;DATEVALUE("12/31/2013"),IF(D88&lt;&gt;0,(D95/D88)*100,0))</f>
        <v>6.9398414079761537</v>
      </c>
      <c r="E96" s="62">
        <f>IF(E9&gt;DATEVALUE("12/31/2013"),IF(E88&lt;&gt;0,(E95/E88)*100,0))</f>
        <v>7.0895755219933232</v>
      </c>
      <c r="H96" s="62">
        <f>IF(H9&gt;DATEVALUE("12/31/2013"),IF(H88&lt;&gt;0,(H95/H88)*100,0))</f>
        <v>7.355809095834223</v>
      </c>
      <c r="I96" s="62" t="s">
        <v>214</v>
      </c>
    </row>
    <row r="97" spans="1:10" ht="12" hidden="1" customHeight="1" x14ac:dyDescent="0.2">
      <c r="A97" s="62" t="s">
        <v>215</v>
      </c>
      <c r="B97" s="62">
        <f>IF(B9&gt;=DATEVALUE("03/31/2020"),IF(B77=0,0,IF(B77&lt;0,(((B95/B77)-1)*-1)*100,((B95/B77)-1)*100)),IF(B9&gt;DATEVALUE("12/31/2013"),IF(B77=0,0,((B95/B77)-1)*100)))</f>
        <v>-37.491259120329225</v>
      </c>
      <c r="C97" s="62">
        <f>IF(C9&gt;=DATEVALUE("03/31/2020"),IF(C77=0,0,IF(C77&lt;0,(((C95/C77)-1)*-1)*100,((C95/C77)-1)*100)),IF(C9&gt;DATEVALUE("12/31/2013"),IF(C77=0,0,((C95/C77)-1)*100)))</f>
        <v>-38.351749772608336</v>
      </c>
      <c r="D97" s="62">
        <f>IF(D9&gt;=DATEVALUE("03/31/2020"),IF(D77=0,0,IF(D77&lt;0,(((D95/D77)-1)*-1)*100,((D95/D77)-1)*100)),IF(D9&gt;DATEVALUE("12/31/2013"),IF(D77=0,0,((D95/D77)-1)*100)))</f>
        <v>-36.88122079131648</v>
      </c>
      <c r="E97" s="62">
        <f>IF(E9&gt;=DATEVALUE("03/31/2020"),IF(E77=0,0,IF(E77&lt;0,(((E95/E77)-1)*-1)*100,((E95/E77)-1)*100)),IF(E9&gt;DATEVALUE("12/31/2013"),IF(E77=0,0,((E95/E77)-1)*100)))</f>
        <v>-36.984334514245901</v>
      </c>
      <c r="H97" s="62">
        <f>IF(H9&gt;=DATEVALUE("03/31/2020"),IF(H77=0,0,IF(H77&lt;0,(((H95/H77)-1)*-1)*100,((H95/H77)-1)*100)),IF(H9&gt;DATEVALUE("12/31/2013"),IF(H77=0,0,((H95/H77)-1)*100)))</f>
        <v>-36.387689242873456</v>
      </c>
      <c r="I97" s="62" t="s">
        <v>216</v>
      </c>
    </row>
    <row r="98" spans="1:10" ht="12" hidden="1" customHeight="1" x14ac:dyDescent="0.2"/>
    <row r="99" spans="1:10" x14ac:dyDescent="0.2">
      <c r="A99" s="62" t="s">
        <v>217</v>
      </c>
    </row>
    <row r="100" spans="1:10" x14ac:dyDescent="0.2">
      <c r="J100" s="267" t="s">
        <v>129</v>
      </c>
    </row>
  </sheetData>
  <mergeCells count="5">
    <mergeCell ref="C1:D1"/>
    <mergeCell ref="D5:J5"/>
    <mergeCell ref="A47:J47"/>
    <mergeCell ref="A49:E49"/>
    <mergeCell ref="A50:J50"/>
  </mergeCells>
  <phoneticPr fontId="24" type="noConversion"/>
  <hyperlinks>
    <hyperlink ref="A2" location="'Cover Page'!A1" display="Return to cover" xr:uid="{00000000-0004-0000-0200-000000000000}"/>
  </hyperlinks>
  <printOptions horizontalCentered="1" verticalCentered="1" gridLines="1"/>
  <pageMargins left="0.75" right="0.75" top="0.5" bottom="0.5" header="0.5" footer="0.5"/>
  <pageSetup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I58"/>
  <sheetViews>
    <sheetView workbookViewId="0"/>
  </sheetViews>
  <sheetFormatPr defaultColWidth="9.140625" defaultRowHeight="11.25" x14ac:dyDescent="0.2"/>
  <cols>
    <col min="1" max="1" width="93.5703125" style="44" customWidth="1"/>
    <col min="2" max="6" width="16.7109375" style="30" customWidth="1"/>
    <col min="7" max="7" width="9.140625" style="30" customWidth="1"/>
    <col min="8" max="16384" width="9.140625" style="30"/>
  </cols>
  <sheetData>
    <row r="1" spans="1:9" s="62" customFormat="1" ht="13.35" customHeight="1" x14ac:dyDescent="0.2">
      <c r="A1" s="144"/>
      <c r="B1" s="120"/>
      <c r="C1" s="85" t="s">
        <v>218</v>
      </c>
      <c r="D1" s="120"/>
      <c r="E1" s="144"/>
      <c r="F1" s="86"/>
    </row>
    <row r="2" spans="1:9" s="62" customFormat="1" ht="13.35" customHeight="1" x14ac:dyDescent="0.2">
      <c r="A2" s="274" t="s">
        <v>49</v>
      </c>
      <c r="B2" s="120"/>
      <c r="C2" s="91" t="s">
        <v>50</v>
      </c>
      <c r="D2" s="147" t="str">
        <f>IF(CU_NUMBER="","N/A",CU_NUMBER)</f>
        <v>N/A</v>
      </c>
      <c r="E2" s="159"/>
      <c r="F2" s="86"/>
    </row>
    <row r="3" spans="1:9" s="62" customFormat="1" ht="13.35" customHeight="1" x14ac:dyDescent="0.2">
      <c r="A3" s="158" t="str">
        <f>IF(Request_Date=0,"N/A",Request_Date)</f>
        <v>12/05/2025</v>
      </c>
      <c r="B3" s="120"/>
      <c r="C3" s="91" t="s">
        <v>42</v>
      </c>
      <c r="D3" s="92">
        <f>IF(CountCu_C5=0,"N/A",CountCu_C5)</f>
        <v>4331</v>
      </c>
      <c r="E3" s="120"/>
      <c r="F3" s="86"/>
    </row>
    <row r="4" spans="1:9" s="62" customFormat="1" ht="13.35" customHeight="1" x14ac:dyDescent="0.2">
      <c r="A4" s="145" t="str">
        <f>"CU Name:      "&amp;IF(Cu_Name="","N/A",Cu_Name)</f>
        <v>CU Name:      N/A</v>
      </c>
      <c r="B4" s="120"/>
      <c r="C4" s="91" t="s">
        <v>43</v>
      </c>
      <c r="D4" s="167" t="str">
        <f>IF(AssetRange="","N/A",AssetRange)</f>
        <v>N/A</v>
      </c>
      <c r="E4" s="167"/>
      <c r="F4" s="167"/>
      <c r="G4" s="167"/>
    </row>
    <row r="5" spans="1:9" s="62" customFormat="1" ht="24.95" customHeight="1" x14ac:dyDescent="0.2">
      <c r="A5" s="145" t="str">
        <f>"Peer Group:      "&amp;IF(Peer_Group="","N/A",IF(Peer_Group="0","N/A",Peer_Group))</f>
        <v>Peer Group:      N/A</v>
      </c>
      <c r="B5" s="85"/>
      <c r="C5" s="91" t="s">
        <v>51</v>
      </c>
      <c r="D5" s="17" t="str">
        <f>IF(_xlnm.Criteria="","N/A",_xlnm.Criteria)</f>
        <v xml:space="preserve">Region: Nation * Peer Group: All * Types Included: All  Federally Insured Credit Unions  (FICUs) *  </v>
      </c>
      <c r="E5" s="17"/>
      <c r="F5" s="17"/>
      <c r="G5" s="232"/>
      <c r="H5" s="232"/>
      <c r="I5" s="232"/>
    </row>
    <row r="6" spans="1:9" s="62" customFormat="1" ht="13.35" customHeight="1" x14ac:dyDescent="0.2">
      <c r="A6" s="153"/>
      <c r="B6" s="91"/>
      <c r="C6" s="91" t="s">
        <v>45</v>
      </c>
      <c r="D6" s="92" t="str">
        <f>IF(NoCu_in_Peer_Group="","N/A",NoCu_in_Peer_Group)</f>
        <v>N/A</v>
      </c>
      <c r="E6" s="92" t="str">
        <f>IF(CU_NUMBER&gt;0,"",IF(RetPop=0,"Retroactive Population",""))</f>
        <v/>
      </c>
      <c r="F6" s="157"/>
    </row>
    <row r="7" spans="1:9" ht="13.35" customHeight="1" x14ac:dyDescent="0.2">
      <c r="A7" s="156"/>
      <c r="B7" s="107"/>
      <c r="C7" s="107"/>
      <c r="D7" s="107"/>
      <c r="E7" s="155"/>
      <c r="F7" s="154"/>
    </row>
    <row r="8" spans="1:9" ht="13.35" customHeight="1" x14ac:dyDescent="0.2">
      <c r="A8" s="153"/>
      <c r="B8" s="139">
        <f>(CycDat_C1)</f>
        <v>45565</v>
      </c>
      <c r="C8" s="139">
        <f>(CycDat_C2)</f>
        <v>45657</v>
      </c>
      <c r="D8" s="139">
        <f>(CycDat_C3)</f>
        <v>45747</v>
      </c>
      <c r="E8" s="139">
        <f>(CycDat_C4)</f>
        <v>45838</v>
      </c>
      <c r="F8" s="139">
        <f>(CycDat_C5)</f>
        <v>45930</v>
      </c>
      <c r="G8" s="130"/>
      <c r="H8" s="35"/>
    </row>
    <row r="9" spans="1:9" ht="13.35" customHeight="1" x14ac:dyDescent="0.2">
      <c r="A9" s="144" t="s">
        <v>219</v>
      </c>
      <c r="B9" s="136">
        <f>IF(AND(B8&gt;DATEVALUE("3/31/2004"),B8&lt;=DATEVALUE("12/31/2018")),IF(A041B_C1=0,0,(A719_C1/A041B_C1))*100,IF(B8&gt;DATEVALUE("12/31/2018"),IF(A041B_C1=0,0,((A719_C1+AAS0048_C1)/A041B_C1))*100,"N/A"))</f>
        <v>141.42052357295859</v>
      </c>
      <c r="C9" s="136">
        <f>IF(AND(C8&gt;DATEVALUE("3/31/2004"),C8&lt;=DATEVALUE("12/31/2018")),IF(A041B_C2=0,0,(A719_C2/A041B_C2))*100,IF(C8&gt;DATEVALUE("12/31/2018"),IF(A041B_C2=0,0,((A719_C2+AAS0048_C2)/A041B_C2))*100,"N/A"))</f>
        <v>135.7865361296073</v>
      </c>
      <c r="D9" s="131">
        <f>IF(AND(D8&gt;DATEVALUE("3/31/2004"),D8&lt;=DATEVALUE("12/31/2018")),IF(A041B_C3=0,0,(A719_C3/A041B_C3))*100,IF(D8&gt;DATEVALUE("12/31/2018"),IF(A041B_C3=0,0,((A719_C3+AAS0048_C3)/A041B_C3))*100,"N/A"))</f>
        <v>164.68411783573649</v>
      </c>
      <c r="E9" s="131">
        <f>IF(AND(E8&gt;DATEVALUE("3/31/2004"),E8&lt;=DATEVALUE("12/31/2018")),IF(A041B_C4=0,0,(A719_C4/A041B_C4))*100,IF(E8&gt;DATEVALUE("12/31/2018"),IF(A041B_C4=0,0,((A719_C4+AAS0048_C4)/A041B_C4))*100,"N/A"))</f>
        <v>144.88698353276249</v>
      </c>
      <c r="F9" s="131">
        <f>IF(AND(F8&gt;DATEVALUE("3/31/2004"),F8&lt;=DATEVALUE("12/31/2018")),IF(A041B_C5=0,0,(A719_C5/A041B_C5))*100,IF(F8&gt;DATEVALUE("12/31/2018"),IF(A041B_C5=0,0,((A719_C5+AAS0048_C5)/A041B_C5))*100,"N/A"))</f>
        <v>139.94199035313073</v>
      </c>
      <c r="G9" s="86"/>
    </row>
    <row r="10" spans="1:9" ht="13.35" customHeight="1" x14ac:dyDescent="0.2">
      <c r="A10" s="152" t="s">
        <v>220</v>
      </c>
      <c r="B10" s="131"/>
      <c r="C10" s="131"/>
      <c r="D10" s="131"/>
      <c r="E10" s="131"/>
      <c r="F10" s="131"/>
      <c r="G10" s="86"/>
    </row>
    <row r="11" spans="1:9" ht="13.35" customHeight="1" x14ac:dyDescent="0.2">
      <c r="A11" s="144" t="s">
        <v>221</v>
      </c>
      <c r="B11" s="131">
        <f>IF(B8&gt;=DATEVALUE("3/31/2022"),IF((ARL0047_C1+A718A5_C1)=0,0,((ADL0057_C1+ADL0064_C1+ADL0071_C1+ADL0062_C1+ADL0069_C1+ADL0076_C1+ADL0078_C1+ADL0085_C1+ADL0092_C1+ADL0099_C1+ADL0106_C1+ADL0083_C1+ADL0090_C1+ADL0097_C1+ADL0104_C1+ADL0111_C1)/(ARL0047_C1+A718A5_C1)))*100,IF(A710_C1=0,0,((A713A_C1+A714A_C1+A715A_C1+A716A_C1+A751_C1+A771_C1+A755_C1+A775_C1)/A710_C1))*100)</f>
        <v>1.1774171606381743</v>
      </c>
      <c r="C11" s="131">
        <f>IF(C8&gt;=DATEVALUE("3/31/2022"),IF((ARL0047_C2+A718A5_C2)=0,0,((ADL0057_C2+ADL0064_C2+ADL0071_C2+ADL0062_C2+ADL0069_C2+ADL0076_C2+ADL0078_C2+ADL0085_C2+ADL0092_C2+ADL0099_C2+ADL0106_C2+ADL0083_C2+ADL0090_C2+ADL0097_C2+ADL0104_C2+ADL0111_C2)/(ARL0047_C2+A718A5_C2)))*100,IF(A710_C2=0,0,((A713A_C2+A714A_C2+A715A_C2+A716A_C2+A751_C2+A771_C2+A755_C2+A775_C2)/A710_C2))*100)</f>
        <v>1.6485823067153336</v>
      </c>
      <c r="D11" s="131">
        <f>IF(D8&gt;=DATEVALUE("3/31/2022"),IF((ARL0047_C3+A718A5_C3)=0,0,((ADL0057_C3+ADL0064_C3+ADL0071_C3+ADL0062_C3+ADL0069_C3+ADL0076_C3+ADL0078_C3+ADL0085_C3+ADL0092_C3+ADL0099_C3+ADL0106_C3+ADL0083_C3+ADL0090_C3+ADL0097_C3+ADL0104_C3+ADL0111_C3)/(ARL0047_C3+A718A5_C3)))*100,IF(A710_C3=0,0,((A713A_C3+A714A_C3+A715A_C3+A716A_C3+A751_C3+A771_C3+A755_C3+A775_C3)/A710_C3))*100)</f>
        <v>1.5510577041837603</v>
      </c>
      <c r="E11" s="131">
        <f>IF(E8&gt;=DATEVALUE("3/31/2022"),IF((ARL0047_C4+A718A5_C4)=0,0,((ADL0057_C4+ADL0064_C4+ADL0071_C4+ADL0062_C4+ADL0069_C4+ADL0076_C4+ADL0078_C4+ADL0085_C4+ADL0092_C4+ADL0099_C4+ADL0106_C4+ADL0083_C4+ADL0090_C4+ADL0097_C4+ADL0104_C4+ADL0111_C4)/(ARL0047_C4+A718A5_C4)))*100,IF(A710_C4=0,0,((A713A_C4+A714A_C4+A715A_C4+A716A_C4+A751_C4+A771_C4+A755_C4+A775_C4)/A710_C4))*100)</f>
        <v>1.2805164975374401</v>
      </c>
      <c r="F11" s="131">
        <f>IF(F8&gt;=DATEVALUE("3/31/2022"),IF((ARL0047_C5+A718A5_C5)=0,0,((ADL0057_C5+ADL0064_C5+ADL0071_C5+ADL0062_C5+ADL0069_C5+ADL0076_C5+ADL0078_C5+ADL0085_C5+ADL0092_C5+ADL0099_C5+ADL0106_C5+ADL0083_C5+ADL0090_C5+ADL0097_C5+ADL0104_C5+ADL0111_C5)/(ARL0047_C5+A718A5_C5)))*100,IF(A710_C5=0,0,((A713A_C5+A714A_C5+A715A_C5+A716A_C5+A751_C5+A771_C5+A755_C5+A775_C5)/A710_C5))*100)</f>
        <v>1.3143235631157975</v>
      </c>
      <c r="G11" s="86"/>
    </row>
    <row r="12" spans="1:9" ht="13.35" customHeight="1" x14ac:dyDescent="0.2">
      <c r="A12" s="144" t="s">
        <v>222</v>
      </c>
      <c r="B12" s="131">
        <f>IF(B8&gt;=DATEVALUE("3/31/2022"),IF((ARL0047_C1+A718A5_C1)=0,0,((ADL0062_C1+ADL0069_C1+ADL0076_C1+ADL0083_C1+ADL0090_C1+ADL0097_C1+ADL0104_C1+ADL0111_C1)/(ARL0047_C1+A718A5_C1)))*100,IF(A710_C1=0,0,((A713A_C1+A714A_C1+A715A_C1+A716A_C1)/A710_C1))*100)</f>
        <v>0.71239707187188783</v>
      </c>
      <c r="C12" s="131">
        <f>IF(C8&gt;=DATEVALUE("3/31/2022"),IF((ARL0047_C2+A718A5_C2)=0,0,((ADL0062_C2+ADL0069_C2+ADL0076_C2+ADL0083_C2+ADL0090_C2+ADL0097_C2+ADL0104_C2+ADL0111_C2)/(ARL0047_C2+A718A5_C2)))*100,IF(A710_C2=0,0,((A713A_C2+A714A_C2+A715A_C2+A716A_C2)/A710_C2))*100)</f>
        <v>0.7842157011832952</v>
      </c>
      <c r="D12" s="131">
        <f>IF(D8&gt;=DATEVALUE("3/31/2022"),IF((ARL0047_C3+A718A5_C3)=0,0,((ADL0062_C3+ADL0069_C3+ADL0076_C3+ADL0083_C3+ADL0090_C3+ADL0097_C3+ADL0104_C3+ADL0111_C3)/(ARL0047_C3+A718A5_C3)))*100,IF(A710_C3=0,0,((A713A_C3+A714A_C3+A715A_C3+A716A_C3)/A710_C3))*100)</f>
        <v>0.5914876624281562</v>
      </c>
      <c r="E12" s="131">
        <f>IF(E8&gt;=DATEVALUE("3/31/2022"),IF((ARL0047_C4+A718A5_C4)=0,0,((ADL0062_C4+ADL0069_C4+ADL0076_C4+ADL0083_C4+ADL0090_C4+ADL0097_C4+ADL0104_C4+ADL0111_C4)/(ARL0047_C4+A718A5_C4)))*100,IF(A710_C4=0,0,((A713A_C4+A714A_C4+A715A_C4+A716A_C4)/A710_C4))*100)</f>
        <v>0.77986776311997452</v>
      </c>
      <c r="F12" s="131">
        <f>IF(F8&gt;=DATEVALUE("3/31/2022"),IF((ARL0047_C5+A718A5_C5)=0,0,((ADL0062_C5+ADL0069_C5+ADL0076_C5+ADL0083_C5+ADL0090_C5+ADL0097_C5+ADL0104_C5+ADL0111_C5)/(ARL0047_C5+A718A5_C5)))*100,IF(A710_C5=0,0,((A713A_C5+A714A_C5+A715A_C5+A716A_C5)/A710_C5))*100)</f>
        <v>0.82041362803864715</v>
      </c>
      <c r="G12" s="86"/>
    </row>
    <row r="13" spans="1:9" ht="13.35" customHeight="1" x14ac:dyDescent="0.2">
      <c r="A13" s="144"/>
      <c r="B13" s="131"/>
      <c r="C13" s="131"/>
      <c r="D13" s="131"/>
      <c r="E13" s="131"/>
      <c r="F13" s="131"/>
      <c r="G13" s="86"/>
    </row>
    <row r="14" spans="1:9" ht="13.35" customHeight="1" x14ac:dyDescent="0.2">
      <c r="A14" s="152" t="s">
        <v>223</v>
      </c>
      <c r="B14" s="133"/>
      <c r="C14" s="133"/>
      <c r="D14" s="133"/>
      <c r="E14" s="133"/>
      <c r="F14" s="133"/>
      <c r="G14" s="86"/>
    </row>
    <row r="15" spans="1:9" ht="13.35" customHeight="1" x14ac:dyDescent="0.2">
      <c r="A15" s="144" t="s">
        <v>224</v>
      </c>
      <c r="B15" s="131">
        <f>IF(B8&lt;DATEVALUE("3/31/2004"),"N/A",IF((A025B_C1)=0,0,(A618A_C1/(A025B_C1))*100))</f>
        <v>20.931153612735649</v>
      </c>
      <c r="C15" s="131">
        <f>IF(C8&lt;DATEVALUE("3/31/2004"),"N/A",IF((A025B_C2)=0,0,(A618A_C2/(A025B_C2))*100))</f>
        <v>20.565517878286364</v>
      </c>
      <c r="D15" s="131">
        <f>IF(D8&lt;DATEVALUE("3/31/2004"),"N/A",IF((A025B_C3)=0,0,(A618A_C3/(A025B_C3))*100))</f>
        <v>20.460164968744412</v>
      </c>
      <c r="E15" s="131">
        <f>IF(E8&lt;DATEVALUE("3/31/2004"),"N/A",IF((A025B_C4)=0,0,(A618A_C4/(A025B_C4))*100))</f>
        <v>20.294475401655774</v>
      </c>
      <c r="F15" s="131">
        <f>IF(F8&lt;DATEVALUE("3/31/2004"),"N/A",IF((A025B_C5)=0,0,(A618A_C5/(A025B_C5))*100))</f>
        <v>20.033375744466692</v>
      </c>
      <c r="G15" s="86"/>
    </row>
    <row r="16" spans="1:9" ht="13.35" customHeight="1" x14ac:dyDescent="0.2">
      <c r="A16" s="144" t="s">
        <v>225</v>
      </c>
      <c r="B16" s="131">
        <f>IF(B8&gt;DATEVALUE("03/31/2009"),IF(A025B_C1=0,0,(A691L_C1/A025B_C1)*100))</f>
        <v>3.7050582884985426</v>
      </c>
      <c r="C16" s="131">
        <f>IF(C8&gt;DATEVALUE("03/31/2009"),IF(A025B_C2=0,0,(A691L_C2/A025B_C2)*100))</f>
        <v>3.7375965895378762</v>
      </c>
      <c r="D16" s="131">
        <f>IF(D8&gt;DATEVALUE("03/31/2009"),IF(A025B_C3=0,0,(A691L_C3/A025B_C3)*100))</f>
        <v>3.7850672506915268</v>
      </c>
      <c r="E16" s="131">
        <f>IF(E8&gt;DATEVALUE("03/31/2009"),IF(A025B_C4=0,0,(A691L_C4/A025B_C4)*100))</f>
        <v>3.834407262460557</v>
      </c>
      <c r="F16" s="131">
        <f>IF(F8&gt;DATEVALUE("03/31/2009"),IF(A025B_C5=0,0,(A691L_C5/A025B_C5)*100))</f>
        <v>3.8721548339074179</v>
      </c>
      <c r="G16" s="86"/>
    </row>
    <row r="17" spans="1:7" ht="13.35" customHeight="1" x14ac:dyDescent="0.2">
      <c r="A17" s="144" t="s">
        <v>226</v>
      </c>
      <c r="B17" s="131">
        <f>IF(B8&lt;DATEVALUE("3/31/2003"),"N/A",IF(A031B_C1=0,0,(A690_C1/A031B_C1)*100))</f>
        <v>2.67627686477265</v>
      </c>
      <c r="C17" s="131">
        <f>IF(C8&lt;DATEVALUE("3/31/2003"),"N/A",IF(A031B_C2=0,0,(A690_C2/A031B_C2)*100))</f>
        <v>2.8083630162894377</v>
      </c>
      <c r="D17" s="131">
        <f>IF(D8&lt;DATEVALUE("3/31/2003"),"N/A",IF(A031B_C3=0,0,(A690_C3/A031B_C3)*100))</f>
        <v>2.8122728077529175</v>
      </c>
      <c r="E17" s="131">
        <f>IF(E8&lt;DATEVALUE("3/31/2003"),"N/A",IF(A031B_C4=0,0,(A690_C4/A031B_C4)*100))</f>
        <v>3.0055045479862827</v>
      </c>
      <c r="F17" s="131">
        <f>IF(F8&lt;DATEVALUE("3/31/2003"),"N/A",IF(A031B_C5=0,0,(A690_C5/A031B_C5)*100))</f>
        <v>3.0809983431316601</v>
      </c>
      <c r="G17" s="86"/>
    </row>
    <row r="18" spans="1:7" ht="13.35" customHeight="1" x14ac:dyDescent="0.2">
      <c r="A18" s="144" t="s">
        <v>227</v>
      </c>
      <c r="B18" s="131">
        <f>IF(B8&lt;DATEVALUE("3/31/2003"),"N/A",IF(A010_C1=0, 0, ((A691_C1/A010_C1)*100)*Anu_C1))</f>
        <v>0.53138019008483139</v>
      </c>
      <c r="C18" s="131">
        <f>IF(C8&lt;DATEVALUE("3/31/2003"),"N/A",IF(A010_C2=0, 0, ((A691_C2/A010_C2)*100)*Anu_C2))</f>
        <v>0.5591612054450481</v>
      </c>
      <c r="D18" s="131">
        <f>IF(D8&lt;DATEVALUE("3/31/2003"),"N/A",IF(A010_C3=0, 0, ((A691_C3/A010_C3)*100)*Anu_C3))</f>
        <v>0.51981593329062392</v>
      </c>
      <c r="E18" s="131">
        <f>IF(E8&lt;DATEVALUE("3/31/2003"),"N/A",IF(A010_C4=0, 0, ((A691_C4/A010_C4)*100)*Anu_C4))</f>
        <v>0.61396136064551166</v>
      </c>
      <c r="F18" s="131">
        <f>IF(F8&lt;DATEVALUE("3/31/2003"),"N/A",IF(A010_C5=0, 0, ((A691_C5/A010_C5)*100)*Anu_C5))</f>
        <v>0.66411223446571888</v>
      </c>
      <c r="G18" s="86"/>
    </row>
    <row r="19" spans="1:7" ht="13.35" customHeight="1" x14ac:dyDescent="0.2">
      <c r="A19" s="144" t="s">
        <v>228</v>
      </c>
      <c r="B19" s="131">
        <f>IF(A010_C1=0,0,(A400T1_C1/A010_C1))*100</f>
        <v>7.2847880924338764</v>
      </c>
      <c r="C19" s="131">
        <f>IF(A010_C2=0,0,(A400T1_C2/A010_C2))*100</f>
        <v>7.540031677583273</v>
      </c>
      <c r="D19" s="131">
        <f>IF(A010_C3=0,0,(A400T1_C3/A010_C3))*100</f>
        <v>7.5221606458048953</v>
      </c>
      <c r="E19" s="131">
        <f>IF(A010_C4=0,0,(A400T1_C4/A010_C4))*100</f>
        <v>7.702800908677859</v>
      </c>
      <c r="F19" s="131">
        <f>IF(A010_C5=0,0,(A400T1_C5/A010_C5))*100</f>
        <v>7.840280835750586</v>
      </c>
      <c r="G19" s="86"/>
    </row>
    <row r="20" spans="1:7" ht="13.35" customHeight="1" x14ac:dyDescent="0.2">
      <c r="A20" s="144" t="s">
        <v>229</v>
      </c>
      <c r="B20" s="131">
        <f>IF(B8&gt;DATEVALUE("06/30/2021"),IF(A031B_C1=0,0,((ASL0015_C1 + ASL0013_C1)/A031B_C1))*100,IF(A031B_C1=0,0,((A615_C1+A613_C1)/A031B_C1))*100)</f>
        <v>1.2954702640831144</v>
      </c>
      <c r="C20" s="131">
        <f>IF(C8&gt;DATEVALUE("06/30/2021"),IF(A031B_C2=0,0,((ASL0015_C2 + ASL0013_C2)/A031B_C2))*100,IF(A031B_C2=0,0,((A615_C2+A613_C2)/A031B_C2))*100)</f>
        <v>1.4871426805556298</v>
      </c>
      <c r="D20" s="131">
        <f>IF(D8&gt;DATEVALUE("06/30/2021"),IF(A031B_C3=0,0,((ASL0015_C3 + ASL0013_C3)/A031B_C3))*100,IF(A031B_C3=0,0,((A615_C3+A613_C3)/A031B_C3))*100)</f>
        <v>1.8302616481027059</v>
      </c>
      <c r="E20" s="131">
        <f>IF(E8&gt;DATEVALUE("06/30/2021"),IF(A031B_C4=0,0,((ASL0015_C4 + ASL0013_C4)/A031B_C4))*100,IF(A031B_C4=0,0,((A615_C4+A613_C4)/A031B_C4))*100)</f>
        <v>1.8216360697583323</v>
      </c>
      <c r="F20" s="131">
        <f>IF(F8&gt;DATEVALUE("06/30/2021"),IF(A031B_C5=0,0,((ASL0015_C5 + ASL0013_C5)/A031B_C5))*100,IF(A031B_C5=0,0,((A615_C5+A613_C5)/A031B_C5))*100)</f>
        <v>1.8058986846960814</v>
      </c>
      <c r="G20" s="86"/>
    </row>
    <row r="21" spans="1:7" ht="13.35" customHeight="1" x14ac:dyDescent="0.2">
      <c r="A21" s="144"/>
      <c r="B21" s="131"/>
      <c r="C21" s="131"/>
      <c r="D21" s="131"/>
      <c r="E21" s="131"/>
      <c r="F21" s="131"/>
      <c r="G21" s="86"/>
    </row>
    <row r="22" spans="1:7" ht="13.35" customHeight="1" x14ac:dyDescent="0.2">
      <c r="A22" s="152" t="s">
        <v>230</v>
      </c>
      <c r="B22" s="133"/>
      <c r="C22" s="133"/>
      <c r="D22" s="133"/>
      <c r="E22" s="133"/>
      <c r="F22" s="133"/>
      <c r="G22" s="86"/>
    </row>
    <row r="23" spans="1:7" s="44" customFormat="1" ht="13.35" customHeight="1" x14ac:dyDescent="0.2">
      <c r="A23" s="144" t="s">
        <v>231</v>
      </c>
      <c r="B23" s="136">
        <f>IF(B8&gt;=DATEVALUE("03/31/2022"),IF(A010_C1=0,0,((ARL0002_C1+ARL0005_C1+ARL0008_C1+ARL0019_C1+ARL0025_C1+ARL0033_C1+ARL0039_C1)/A010_C1))*100,"N/A")</f>
        <v>22.807604474370276</v>
      </c>
      <c r="C23" s="136">
        <f>IF(C8&gt;=DATEVALUE("03/31/2022"),IF(A010_C2=0,0,((ARL0002_C2+ARL0005_C2+ARL0008_C2+ARL0019_C2+ARL0025_C2+ARL0033_C2+ARL0039_C2)/A010_C2))*100,"N/A")</f>
        <v>23.046633122443136</v>
      </c>
      <c r="D23" s="136">
        <f>IF(D8&gt;=DATEVALUE("03/31/2022"),IF(A010_C3=0,0,((ARL0002_C3+ARL0005_C3+ARL0008_C3+ARL0019_C3+ARL0025_C3+ARL0033_C3+ARL0039_C3)/A010_C3))*100,"N/A")</f>
        <v>22.525329190378809</v>
      </c>
      <c r="E23" s="136">
        <f>IF(E8&gt;=DATEVALUE("03/31/2022"),IF(A010_C4=0,0,((ARL0002_C4+ARL0005_C4+ARL0008_C4+ARL0019_C4+ARL0025_C4+ARL0033_C4+ARL0039_C4)/A010_C4))*100,"N/A")</f>
        <v>22.672051803018729</v>
      </c>
      <c r="F23" s="136">
        <f>IF(F8&gt;=DATEVALUE("03/31/2022"),IF(A010_C5=0,0,((ARL0002_C5+ARL0005_C5+ARL0008_C5+ARL0019_C5+ARL0025_C5+ARL0033_C5+ARL0039_C5)/A010_C5))*100,"N/A")</f>
        <v>22.799057690961654</v>
      </c>
      <c r="G23" s="144"/>
    </row>
    <row r="24" spans="1:7" ht="13.35" customHeight="1" x14ac:dyDescent="0.2">
      <c r="A24" s="144" t="s">
        <v>232</v>
      </c>
      <c r="B24" s="136">
        <f>IF(B8&gt;=DATEVALUE("03/31/2022"),IF(A025B_C1=0,0,((ARL0002_C1+ARL0005_C1+ARL0008_C1+ARL0019_C1+ARL0025_C1+ARL0033_C1+ARL0039_C1)/A025B_C1))*100,"N/A")</f>
        <v>32.334998754590231</v>
      </c>
      <c r="C24" s="136">
        <f>IF(C8&gt;=DATEVALUE("03/31/2022"),IF(A025B_C2=0,0,((ARL0002_C2+ARL0005_C2+ARL0008_C2+ARL0019_C2+ARL0025_C2+ARL0033_C2+ARL0039_C2)/A025B_C2))*100,"N/A")</f>
        <v>32.323274621929762</v>
      </c>
      <c r="D24" s="136">
        <f>IF(D8&gt;=DATEVALUE("03/31/2022"),IF(A025B_C3=0,0,((ARL0002_C3+ARL0005_C3+ARL0008_C3+ARL0019_C3+ARL0025_C3+ARL0033_C3+ARL0039_C3)/A025B_C3))*100,"N/A")</f>
        <v>32.243384433211141</v>
      </c>
      <c r="E24" s="136">
        <f>IF(E8&gt;=DATEVALUE("03/31/2022"),IF(A025B_C4=0,0,((ARL0002_C4+ARL0005_C4+ARL0008_C4+ARL0019_C4+ARL0025_C4+ARL0033_C4+ARL0039_C4)/A025B_C4))*100,"N/A")</f>
        <v>32.080870704895453</v>
      </c>
      <c r="F24" s="136">
        <f>IF(F8&gt;=DATEVALUE("03/31/2022"),IF(A025B_C5=0,0,((ARL0002_C5+ARL0005_C5+ARL0008_C5+ARL0019_C5+ARL0025_C5+ARL0033_C5+ARL0039_C5)/A025B_C5))*100,"N/A")</f>
        <v>32.105355135142801</v>
      </c>
      <c r="G24" s="86"/>
    </row>
    <row r="25" spans="1:7" ht="13.35" customHeight="1" x14ac:dyDescent="0.2">
      <c r="A25" s="144" t="s">
        <v>233</v>
      </c>
      <c r="B25" s="131">
        <f>IF(B8&gt;=DATEVALUE("03/31/2022"),IF(A031B_C1=0,0,((ARL0003_C1+ARL0006_C1+ARL0009_C1+ARL0020_C1+ARL0026_C1+ARL0034_C1+ARL0040_C1)/A031B_C1))*100,"N/A")</f>
        <v>18.14092898237552</v>
      </c>
      <c r="C25" s="131">
        <f>IF(C8&gt;=DATEVALUE("03/31/2022"),IF(A031B_C2=0,0,((ARL0003_C2+ARL0006_C2+ARL0009_C2+ARL0020_C2+ARL0026_C2+ARL0034_C2+ARL0040_C2)/A031B_C2))*100,"N/A")</f>
        <v>18.669481795571823</v>
      </c>
      <c r="D25" s="131">
        <f>IF(D8&gt;=DATEVALUE("03/31/2022"),IF(A031B_C3=0,0,((ARL0003_C3+ARL0006_C3+ARL0009_C3+ARL0020_C3+ARL0026_C3+ARL0034_C3+ARL0040_C3)/A031B_C3))*100,"N/A")</f>
        <v>16.228763845392034</v>
      </c>
      <c r="E25" s="131">
        <f>IF(E8&gt;=DATEVALUE("03/31/2022"),IF(A031B_C4=0,0,((ARL0003_C4+ARL0006_C4+ARL0009_C4+ARL0020_C4+ARL0026_C4+ARL0034_C4+ARL0040_C4)/A031B_C4))*100,"N/A")</f>
        <v>18.037485923316328</v>
      </c>
      <c r="F25" s="131">
        <f>IF(F8&gt;=DATEVALUE("03/31/2022"),IF(A031B_C5=0,0,((ARL0003_C5+ARL0006_C5+ARL0009_C5+ARL0020_C5+ARL0026_C5+ARL0034_C5+ARL0040_C5)/A031B_C5))*100,"N/A")</f>
        <v>18.743867491545377</v>
      </c>
      <c r="G25" s="86"/>
    </row>
    <row r="26" spans="1:7" ht="13.35" customHeight="1" x14ac:dyDescent="0.2">
      <c r="A26" s="144" t="s">
        <v>234</v>
      </c>
      <c r="B26" s="131">
        <f>IF(B8&gt;=DATEVALUE("03/31/2022"),IF(ARL0017_C1=0,0,(A736_C1/ARL0017_C1))*100,"N/A")</f>
        <v>32.438242362513215</v>
      </c>
      <c r="C26" s="131">
        <f>IF(C8&gt;=DATEVALUE("03/31/2022"),IF(ARL0017_C2=0,0,(A736_C2/ARL0017_C2))*100,"N/A")</f>
        <v>31.230984093661089</v>
      </c>
      <c r="D26" s="131">
        <f>IF(D8&gt;=DATEVALUE("03/31/2022"),IF(ARL0017_C3=0,0,(A736_C3/ARL0017_C3))*100,"N/A")</f>
        <v>26.543393628897803</v>
      </c>
      <c r="E26" s="131">
        <f>IF(E8&gt;=DATEVALUE("03/31/2022"),IF(ARL0017_C4=0,0,(A736_C4/ARL0017_C4))*100,"N/A")</f>
        <v>24.721480156955504</v>
      </c>
      <c r="F26" s="131">
        <f>IF(F8&gt;=DATEVALUE("03/31/2022"),IF(ARL0017_C5=0,0,(A736_C5/ARL0017_C5))*100,"N/A")</f>
        <v>25.034597662652519</v>
      </c>
      <c r="G26" s="86"/>
    </row>
    <row r="27" spans="1:7" ht="13.35" customHeight="1" x14ac:dyDescent="0.2">
      <c r="A27" s="144"/>
      <c r="B27" s="131"/>
      <c r="C27" s="131"/>
      <c r="D27" s="131"/>
      <c r="E27" s="131"/>
      <c r="F27" s="131"/>
      <c r="G27" s="86"/>
    </row>
    <row r="28" spans="1:7" ht="13.35" customHeight="1" x14ac:dyDescent="0.2">
      <c r="A28" s="152" t="s">
        <v>235</v>
      </c>
      <c r="B28" s="133"/>
      <c r="C28" s="133"/>
      <c r="D28" s="133"/>
      <c r="E28" s="133"/>
      <c r="F28" s="133"/>
      <c r="G28" s="86"/>
    </row>
    <row r="29" spans="1:7" ht="13.35" customHeight="1" x14ac:dyDescent="0.2">
      <c r="A29" s="144" t="s">
        <v>236</v>
      </c>
      <c r="B29" s="131">
        <f>IF(A997_C1=0,0,(A779_C1/A997_C1))*100</f>
        <v>1.0785935719404134</v>
      </c>
      <c r="C29" s="131">
        <f>IF(A997_C2=0,0,(A779_C2/A997_C2))*100</f>
        <v>1.1153012422025117</v>
      </c>
      <c r="D29" s="131">
        <f>IF(A997_C3=0,0,(A779_C3/A997_C3))*100</f>
        <v>1.0888160008120218</v>
      </c>
      <c r="E29" s="131">
        <f>IF(A997_C4=0,0,(A779_C4/A997_C4))*100</f>
        <v>1.0699786308031514</v>
      </c>
      <c r="F29" s="131">
        <f>IF(A997_C5=0,0,(A779_C5/A997_C5))*100</f>
        <v>1.0452172897410246</v>
      </c>
      <c r="G29" s="86"/>
    </row>
    <row r="30" spans="1:7" ht="13.35" customHeight="1" x14ac:dyDescent="0.2">
      <c r="A30" s="144" t="s">
        <v>237</v>
      </c>
      <c r="B30" s="131">
        <f>IF(B8&lt;DATEVALUE("3/31/2022"),IF((A730A_C1+A730B_C1+A730C_C1+A799A1_C1)=0,0,(A816A_C1/(A730A_C1+A730B_C1+A730C_C1+A799A1_C1)*100)),IF((A730A_C1+A730B_C1+ANV0153_C1)=0,0,(A816A_C1/(A730A_C1+A730B_C1+ANV0153_C1)*100)))</f>
        <v>136.79201956919499</v>
      </c>
      <c r="C30" s="131">
        <f>IF(C8&lt;DATEVALUE("3/31/2022"),IF((A730A_C2+A730B_C2+A730C_C2+A799A1_C2)=0,0,(A816A_C2/(A730A_C2+A730B_C2+A730C_C2+A799A1_C2)*100)),IF((A730A_C2+A730B_C2+ANV0153_C2)=0,0,(A816A_C2/(A730A_C2+A730B_C2+ANV0153_C2)*100)))</f>
        <v>142.57922412729286</v>
      </c>
      <c r="D30" s="131">
        <f>IF(D8&lt;DATEVALUE("3/31/2022"),IF((A730A_C3+A730B_C3+A730C_C3+A799A1_C3)=0,0,(A816A_C3/(A730A_C3+A730B_C3+A730C_C3+A799A1_C3)*100)),IF((A730A_C3+A730B_C3+ANV0153_C3)=0,0,(A816A_C3/(A730A_C3+A730B_C3+ANV0153_C3)*100)))</f>
        <v>129.59279642771949</v>
      </c>
      <c r="E30" s="131">
        <f>IF(E8&lt;DATEVALUE("3/31/2022"),IF((A730A_C4+A730B_C4+A730C_C4+A799A1_C4)=0,0,(A816A_C4/(A730A_C4+A730B_C4+A730C_C4+A799A1_C4)*100)),IF((A730A_C4+A730B_C4+ANV0153_C4)=0,0,(A816A_C4/(A730A_C4+A730B_C4+ANV0153_C4)*100)))</f>
        <v>142.60756543319098</v>
      </c>
      <c r="F30" s="131">
        <f>IF(F8&lt;DATEVALUE("3/31/2022"),IF((A730A_C5+A730B_C5+A730C_C5+A799A1_C5)=0,0,(A816A_C5/(A730A_C5+A730B_C5+A730C_C5+A799A1_C5)*100)),IF((A730A_C5+A730B_C5+ANV0153_C5)=0,0,(A816A_C5/(A730A_C5+A730B_C5+ANV0153_C5)*100)))</f>
        <v>148.55916052321879</v>
      </c>
      <c r="G30" s="86"/>
    </row>
    <row r="31" spans="1:7" ht="13.35" customHeight="1" x14ac:dyDescent="0.2">
      <c r="A31" s="151" t="s">
        <v>238</v>
      </c>
      <c r="B31" s="227">
        <f>IF(B8&lt;DATEVALUE("3/31/2005"),"N/A",IF((A018_C1+A860C_C1-A781_C1)=0,0,((A908A_C1+A906A_C1+A630A_C1+A880A_C1+A058A_C1+A867A_C1+A011A_C1+A883A_C1+A911_C1)/(A018_C1+A860C_C1-A781_C1))*100))</f>
        <v>45.894647686774057</v>
      </c>
      <c r="C31" s="227">
        <f>IF(C8&lt;DATEVALUE("3/31/2005"),"N/A",IF((A018_C2+A860C_C2-A781_C2)=0,0,((A908A_C2+A906A_C2+A630A_C2+A880A_C2+A058A_C2+A867A_C2+A011A_C2+A883A_C2+A911_C2)/(A018_C2+A860C_C2-A781_C2))*100))</f>
        <v>46.204667017919746</v>
      </c>
      <c r="D31" s="227">
        <f>IF(D8&lt;DATEVALUE("3/31/2005"),"N/A",IF((A018_C3+A860C_C3-A781_C3)=0,0,((A908A_C3+A906A_C3+A630A_C3+A880A_C3+A058A_C3+A867A_C3+A011A_C3+A883A_C3+A911_C3)/(A018_C3+A860C_C3-A781_C3))*100))</f>
        <v>45.607057212590988</v>
      </c>
      <c r="E31" s="227">
        <f>IF(E8&lt;DATEVALUE("3/31/2005"),"N/A",IF((A018_C4+A860C_C4-A781_C4)=0,0,((A908A_C4+A906A_C4+A630A_C4+A880A_C4+A058A_C4+A867A_C4+A011A_C4+A883A_C4+A911_C4)/(A018_C4+A860C_C4-A781_C4))*100))</f>
        <v>46.205564640355718</v>
      </c>
      <c r="F31" s="227">
        <f>IF(F8&lt;DATEVALUE("3/31/2005"),"N/A",IF((A018_C5+A860C_C5-A781_C5)=0,0,((A908A_C5+A906A_C5+A630A_C5+A880A_C5+A058A_C5+A867A_C5+A011A_C5+A883A_C5+A911_C5)/(A018_C5+A860C_C5-A781_C5))*100))</f>
        <v>46.640795707188246</v>
      </c>
      <c r="G31" s="86"/>
    </row>
    <row r="32" spans="1:7" ht="13.15" customHeight="1" x14ac:dyDescent="0.2">
      <c r="A32" s="150" t="s">
        <v>86</v>
      </c>
      <c r="B32" s="287"/>
      <c r="C32" s="287"/>
      <c r="D32" s="287"/>
      <c r="E32" s="287"/>
      <c r="F32" s="287"/>
      <c r="G32" s="107"/>
    </row>
    <row r="33" spans="1:7" ht="13.15" customHeight="1" x14ac:dyDescent="0.2">
      <c r="A33" s="107" t="s">
        <v>239</v>
      </c>
      <c r="B33" s="107"/>
      <c r="C33" s="107"/>
      <c r="D33" s="107"/>
      <c r="E33" s="107"/>
      <c r="F33" s="107"/>
      <c r="G33" s="107"/>
    </row>
    <row r="34" spans="1:7" ht="13.15" customHeight="1" x14ac:dyDescent="0.2">
      <c r="A34" s="150" t="s">
        <v>240</v>
      </c>
      <c r="B34" s="116"/>
      <c r="C34" s="116"/>
      <c r="D34" s="45"/>
      <c r="E34" s="107"/>
      <c r="F34" s="107"/>
      <c r="G34" s="107"/>
    </row>
    <row r="35" spans="1:7" ht="12.75" customHeight="1" x14ac:dyDescent="0.2">
      <c r="A35" s="81"/>
      <c r="B35" s="107"/>
      <c r="C35" s="189"/>
      <c r="D35" s="107"/>
      <c r="E35" s="189" t="s">
        <v>241</v>
      </c>
      <c r="G35" s="107"/>
    </row>
    <row r="36" spans="1:7" ht="12.75" customHeight="1" x14ac:dyDescent="0.2"/>
    <row r="37" spans="1:7" ht="12.75" customHeight="1" x14ac:dyDescent="0.2"/>
    <row r="38" spans="1:7" ht="12.75" customHeight="1" x14ac:dyDescent="0.2"/>
    <row r="39" spans="1:7" ht="12.75" customHeight="1" x14ac:dyDescent="0.2"/>
    <row r="40" spans="1:7" ht="12.75" customHeight="1" x14ac:dyDescent="0.2"/>
    <row r="41" spans="1:7" ht="12.75" customHeight="1" x14ac:dyDescent="0.2"/>
    <row r="42" spans="1:7" ht="12.75" customHeight="1" x14ac:dyDescent="0.2"/>
    <row r="43" spans="1:7" ht="12.75" customHeight="1" x14ac:dyDescent="0.2"/>
    <row r="44" spans="1:7" ht="12.75" customHeight="1" x14ac:dyDescent="0.2"/>
    <row r="45" spans="1:7" ht="12.75" customHeight="1" x14ac:dyDescent="0.2"/>
    <row r="46" spans="1:7" ht="12.75" customHeight="1" x14ac:dyDescent="0.2">
      <c r="C46" s="32"/>
      <c r="D46" s="32"/>
    </row>
    <row r="47" spans="1:7" ht="12.75" customHeight="1" x14ac:dyDescent="0.2"/>
    <row r="54" spans="3:5" x14ac:dyDescent="0.2">
      <c r="C54" s="32"/>
      <c r="D54" s="33"/>
    </row>
    <row r="55" spans="3:5" x14ac:dyDescent="0.2">
      <c r="C55" s="32"/>
      <c r="D55" s="32"/>
    </row>
    <row r="57" spans="3:5" x14ac:dyDescent="0.2">
      <c r="E57" s="27"/>
    </row>
    <row r="58" spans="3:5" x14ac:dyDescent="0.2">
      <c r="C58" s="32"/>
      <c r="D58" s="32"/>
      <c r="E58" s="33"/>
    </row>
  </sheetData>
  <mergeCells count="1">
    <mergeCell ref="D5:F5"/>
  </mergeCells>
  <hyperlinks>
    <hyperlink ref="A2" location="'Cover Page'!A1" display="Return to cover" xr:uid="{00000000-0004-0000-0300-000000000000}"/>
  </hyperlinks>
  <printOptions horizontalCentered="1" verticalCentered="1" gridLines="1"/>
  <pageMargins left="0.75" right="0.75" top="0.5" bottom="0.5" header="0.5" footer="0.5"/>
  <pageSetup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A1:K52"/>
  <sheetViews>
    <sheetView workbookViewId="0"/>
  </sheetViews>
  <sheetFormatPr defaultColWidth="9.140625" defaultRowHeight="12" x14ac:dyDescent="0.2"/>
  <cols>
    <col min="1" max="1" width="96.85546875" style="62" customWidth="1"/>
    <col min="2" max="5" width="16.7109375" style="62" customWidth="1"/>
    <col min="6" max="7" width="10.7109375" style="62" customWidth="1"/>
    <col min="8" max="8" width="16.7109375" style="62" customWidth="1"/>
    <col min="9" max="10" width="10.7109375" style="62" customWidth="1"/>
    <col min="11" max="11" width="4.7109375" style="62" customWidth="1"/>
    <col min="12" max="12" width="9.140625" style="62" customWidth="1"/>
    <col min="13" max="13" width="14.7109375" style="62" customWidth="1"/>
    <col min="14" max="14" width="9.140625" style="62" customWidth="1"/>
    <col min="15" max="16384" width="9.140625" style="62"/>
  </cols>
  <sheetData>
    <row r="1" spans="1:11" ht="13.35" customHeight="1" x14ac:dyDescent="0.2">
      <c r="A1" s="148"/>
      <c r="B1" s="85"/>
      <c r="C1" s="85" t="s">
        <v>242</v>
      </c>
      <c r="D1" s="85"/>
      <c r="E1" s="86"/>
      <c r="F1" s="86"/>
      <c r="G1" s="86"/>
      <c r="H1" s="86"/>
      <c r="I1" s="86"/>
      <c r="J1" s="86"/>
    </row>
    <row r="2" spans="1:11" ht="13.35" customHeight="1" x14ac:dyDescent="0.2">
      <c r="A2" s="273" t="s">
        <v>49</v>
      </c>
      <c r="B2" s="85"/>
      <c r="C2" s="91" t="s">
        <v>50</v>
      </c>
      <c r="D2" s="147" t="str">
        <f>IF(CU_NUMBER="","N/A",CU_NUMBER)</f>
        <v>N/A</v>
      </c>
      <c r="E2" s="168"/>
      <c r="F2" s="86"/>
      <c r="G2" s="86"/>
      <c r="H2" s="86"/>
      <c r="I2" s="86"/>
      <c r="J2" s="86"/>
    </row>
    <row r="3" spans="1:11" ht="13.35" customHeight="1" x14ac:dyDescent="0.2">
      <c r="A3" s="146" t="str">
        <f>IF(Request_Date=0,"N/A",Request_Date)</f>
        <v>12/05/2025</v>
      </c>
      <c r="B3" s="85"/>
      <c r="C3" s="91" t="s">
        <v>42</v>
      </c>
      <c r="D3" s="92">
        <f>IF(CountCu_C5=0,"N/A",CountCu_C5)</f>
        <v>4331</v>
      </c>
      <c r="E3" s="168"/>
      <c r="F3" s="127"/>
      <c r="G3" s="86"/>
      <c r="H3" s="86"/>
      <c r="I3" s="86"/>
      <c r="J3" s="86"/>
    </row>
    <row r="4" spans="1:11" ht="13.35" customHeight="1" x14ac:dyDescent="0.2">
      <c r="A4" s="145" t="str">
        <f>"CU Name:      "&amp;IF(Cu_Name="","N/A",Cu_Name)</f>
        <v>CU Name:      N/A</v>
      </c>
      <c r="B4" s="86"/>
      <c r="C4" s="91" t="s">
        <v>43</v>
      </c>
      <c r="D4" s="167" t="str">
        <f>IF(AssetRange="","N/A",AssetRange)</f>
        <v>N/A</v>
      </c>
      <c r="E4" s="166"/>
      <c r="F4" s="86"/>
      <c r="G4" s="86"/>
      <c r="H4" s="86"/>
      <c r="I4" s="86"/>
      <c r="J4" s="86"/>
    </row>
    <row r="5" spans="1:11" ht="13.35" customHeight="1" x14ac:dyDescent="0.2">
      <c r="A5" s="145" t="str">
        <f>"Peer Group:      "&amp;IF(Peer_Group="","N/A",IF(Peer_Group="0","N/A",Peer_Group))</f>
        <v>Peer Group:      N/A</v>
      </c>
      <c r="B5" s="85"/>
      <c r="C5" s="91" t="s">
        <v>51</v>
      </c>
      <c r="D5" s="17" t="str">
        <f>IF(_xlnm.Criteria="","N/A",_xlnm.Criteria)</f>
        <v xml:space="preserve">Region: Nation * Peer Group: All * Types Included: All  Federally Insured Credit Unions  (FICUs) *  </v>
      </c>
      <c r="E5" s="16"/>
      <c r="F5" s="16"/>
      <c r="G5" s="16"/>
      <c r="H5" s="16"/>
      <c r="I5" s="16"/>
      <c r="J5" s="16"/>
    </row>
    <row r="6" spans="1:11" s="86" customFormat="1" ht="13.35" customHeight="1" x14ac:dyDescent="0.2">
      <c r="B6" s="91"/>
      <c r="C6" s="91" t="s">
        <v>45</v>
      </c>
      <c r="D6" s="92" t="str">
        <f>IF(NoCu_in_Peer_Group="","N/A",NoCu_in_Peer_Group)</f>
        <v>N/A</v>
      </c>
      <c r="E6" s="15" t="str">
        <f>IF(CU_NUMBER&gt;0,"",IF(RetPop=0,"Retroactive Population",""))</f>
        <v/>
      </c>
      <c r="F6" s="15"/>
      <c r="G6" s="94"/>
      <c r="H6" s="95"/>
      <c r="J6" s="94"/>
    </row>
    <row r="7" spans="1:11" s="86" customFormat="1" ht="13.35" customHeight="1" x14ac:dyDescent="0.2">
      <c r="B7" s="91"/>
      <c r="C7" s="91"/>
      <c r="D7" s="92"/>
      <c r="E7" s="277"/>
      <c r="F7" s="94">
        <f>(CycDat_C4)</f>
        <v>45838</v>
      </c>
      <c r="G7" s="94"/>
      <c r="H7" s="95"/>
      <c r="I7" s="94">
        <f>(CycDat_C5)</f>
        <v>45930</v>
      </c>
      <c r="J7" s="94"/>
    </row>
    <row r="8" spans="1:11" ht="13.35" customHeight="1" x14ac:dyDescent="0.2">
      <c r="A8" s="123"/>
      <c r="B8" s="139">
        <f>(CycDat_C1)</f>
        <v>45565</v>
      </c>
      <c r="C8" s="139">
        <f>(CycDat_C2)</f>
        <v>45657</v>
      </c>
      <c r="D8" s="139">
        <f>(CycDat_C3)</f>
        <v>45747</v>
      </c>
      <c r="E8" s="139">
        <f>(CycDat_C4)</f>
        <v>45838</v>
      </c>
      <c r="F8" s="91" t="s">
        <v>243</v>
      </c>
      <c r="G8" s="91" t="s">
        <v>92</v>
      </c>
      <c r="H8" s="139">
        <f>(CycDat_C5)</f>
        <v>45930</v>
      </c>
      <c r="I8" s="91" t="s">
        <v>243</v>
      </c>
      <c r="J8" s="91" t="s">
        <v>92</v>
      </c>
    </row>
    <row r="9" spans="1:11" ht="13.35" customHeight="1" x14ac:dyDescent="0.2">
      <c r="A9" s="123" t="s">
        <v>244</v>
      </c>
      <c r="B9" s="137"/>
      <c r="C9" s="137"/>
      <c r="D9" s="137"/>
      <c r="E9" s="137"/>
      <c r="F9" s="91"/>
      <c r="G9" s="91"/>
      <c r="H9" s="137"/>
      <c r="I9" s="91"/>
      <c r="J9" s="91"/>
    </row>
    <row r="10" spans="1:11" ht="13.35" customHeight="1" x14ac:dyDescent="0.2">
      <c r="A10" s="124" t="s">
        <v>245</v>
      </c>
      <c r="B10" s="165">
        <f>IF(B8&gt;DATEVALUE("12/31/2018"),IF(CU_NUMBER = 0, AAS0010_C1,IF(AAS0010_C1 = 1,"Yes","No")),"N/A")</f>
        <v>3677</v>
      </c>
      <c r="C10" s="165">
        <f>IF(C8&gt;DATEVALUE("12/31/2018"),IF(CU_NUMBER = 0, AAS0010_C2,IF(AAS0010_C2 = 1,"Yes","No")),"N/A")</f>
        <v>3663</v>
      </c>
      <c r="D10" s="165">
        <f>IF(D8&gt;DATEVALUE("12/31/2018"),IF(CU_NUMBER = 0, AAS0010_C3,IF(AAS0010_C3 = 1,"Yes","No")),"N/A")</f>
        <v>3640</v>
      </c>
      <c r="E10" s="165">
        <f>IF(E8&gt;DATEVALUE("12/31/2018"),IF(CU_NUMBER = 0, AAS0010_C4,IF(AAS0010_C4 = 1,"Yes","No")),"N/A")</f>
        <v>3618</v>
      </c>
      <c r="F10" s="165" t="str">
        <f>"N/A"</f>
        <v>N/A</v>
      </c>
      <c r="G10" s="165" t="str">
        <f>"N/A"</f>
        <v>N/A</v>
      </c>
      <c r="H10" s="165">
        <f>IF(H8&gt;DATEVALUE("12/31/2018"),IF(CU_NUMBER = 0,AAS0010_C5,IF(AAS0010_C5 = 1,"Yes","No")),"N/A")</f>
        <v>3595</v>
      </c>
      <c r="I10" s="131" t="str">
        <f>"N/A"</f>
        <v>N/A</v>
      </c>
      <c r="J10" s="165" t="str">
        <f>"N/A"</f>
        <v>N/A</v>
      </c>
      <c r="K10" s="63"/>
    </row>
    <row r="11" spans="1:11" ht="13.35" customHeight="1" x14ac:dyDescent="0.2">
      <c r="A11" s="127" t="s">
        <v>246</v>
      </c>
      <c r="B11" s="130" t="str">
        <f>IF(CountCu_C1&gt;1, "N/A",IF(ANW0001_C1=0,0,(IF(ANW0001_C1&lt;2050,_xlfn.CONCAT("FY "&amp;ROUND(ANW0001_C1,0)),_xlfn.CONCAT(MID(ANW0001_C1,5,2)&amp;"/"&amp;RIGHT(ANW0001_C1,2)&amp;"/"&amp;LEFT(ANW0001_C1,4))))))</f>
        <v>N/A</v>
      </c>
      <c r="C11" s="130" t="str">
        <f>IF(CountCu_C2&gt;1, "N/A",IF(ANW0001_C2=0,0,(IF(ANW0001_C2&lt;2050,_xlfn.CONCAT("FY "&amp;ROUND(ANW0001_C2,0)),_xlfn.CONCAT(MID(ANW0001_C2,5,2)&amp;"/"&amp;RIGHT(ANW0001_C2,2)&amp;"/"&amp;LEFT(ANW0001_C2,4))))))</f>
        <v>N/A</v>
      </c>
      <c r="D11" s="130" t="str">
        <f>IF(CountCu_C3&gt;1, "N/A",IF(ANW0001_C3=0,0,(IF(ANW0001_C3&lt;2050,_xlfn.CONCAT("FY "&amp;ROUND(ANW0001_C3,0)),_xlfn.CONCAT(MID(ANW0001_C3,5,2)&amp;"/"&amp;RIGHT(ANW0001_C3,2)&amp;"/"&amp;LEFT(ANW0001_C3,4))))))</f>
        <v>N/A</v>
      </c>
      <c r="E11" s="130" t="str">
        <f>IF(CountCu_C4&gt;1, "N/A",IF(ANW0001_C4=0,0,(IF(ANW0001_C4&lt;2050,_xlfn.CONCAT("FY "&amp;ROUND(ANW0001_C4,0)),_xlfn.CONCAT(MID(ANW0001_C4,5,2)&amp;"/"&amp;RIGHT(ANW0001_C4,2)&amp;"/"&amp;LEFT(ANW0001_C4,4))))))</f>
        <v>N/A</v>
      </c>
      <c r="F11" s="165" t="str">
        <f>"N/A"</f>
        <v>N/A</v>
      </c>
      <c r="G11" s="165" t="str">
        <f>"N/A"</f>
        <v>N/A</v>
      </c>
      <c r="H11" s="130" t="str">
        <f>IF(CountCu_C5&gt;1, "N/A",IF(ANW0001_C5=0,0,(IF(ANW0001_C5&lt;2050,_xlfn.CONCAT("FY "&amp;ROUND(ANW0001_C5,0)),_xlfn.CONCAT(MID(ANW0001_C5,5,2)&amp;"/"&amp;RIGHT(ANW0001_C5,2)&amp;"/"&amp;LEFT(ANW0001_C5,4))))))</f>
        <v>N/A</v>
      </c>
      <c r="I11" s="131" t="str">
        <f>"N/A"</f>
        <v>N/A</v>
      </c>
      <c r="J11" s="165" t="str">
        <f>"N/A"</f>
        <v>N/A</v>
      </c>
      <c r="K11" s="63"/>
    </row>
    <row r="12" spans="1:11" ht="13.35" customHeight="1" x14ac:dyDescent="0.2">
      <c r="A12" s="124" t="s">
        <v>247</v>
      </c>
      <c r="B12" s="133">
        <f>IF(B8&gt;=DATEVALUE("3/31/2023"),ROUND(IF((ANW0010_C1-ANW0004_C1)=0,0,((A997_C1-ANW0004_C1)/(ANW0010_C1-ANW0004_C1)*100)),2),IF(B8&gt;=DATEVALUE("3/31/2022"),ROUND(IF(ANW0010_C1=0,0,(A997_C1/ANW0010_C1)*100),2),IF(B8&gt;=DATEVALUE("6/30/2020"),TRUNC(IF(ANW0010_C1=0,0,(A997_C1/ANW0010_C1)*100),2),TRUNC(IF(A010_C1=0,0,(A997_C1/A010_C1)*100),2))))</f>
        <v>10.94</v>
      </c>
      <c r="C12" s="133">
        <f>IF(C8&gt;=DATEVALUE("3/31/2023"),ROUND(IF((ANW0010_C2-ANW0004_C2)=0,0,((A997_C2-ANW0004_C2)/(ANW0010_C2-ANW0004_C2)*100)),2),IF(C8&gt;=DATEVALUE("3/31/2022"),ROUND(IF(ANW0010_C2=0,0,(A997_C2/ANW0010_C2)*100),2),IF(C8&gt;=DATEVALUE("6/30/2020"),TRUNC(IF(ANW0010_C2=0,0,(A997_C2/ANW0010_C2)*100),2),TRUNC(IF(A010_C2=0,0,(A997_C2/A010_C2)*100),2))))</f>
        <v>11.07</v>
      </c>
      <c r="D12" s="133">
        <f>IF(D8&gt;=DATEVALUE("3/31/2023"),ROUND(IF((ANW0010_C3-ANW0004_C3)=0,0,((A997_C3-ANW0004_C3)/(ANW0010_C3-ANW0004_C3)*100)),2),IF(D8&gt;=DATEVALUE("3/31/2022"),ROUND(IF(ANW0010_C3=0,0,(A997_C3/ANW0010_C3)*100),2),IF(D8&gt;=DATEVALUE("6/30/2020"),TRUNC(IF(ANW0010_C3=0,0,(A997_C3/ANW0010_C3)*100),2),TRUNC(IF(A010_C3=0,0,(A997_C3/A010_C3)*100),2))))</f>
        <v>10.95</v>
      </c>
      <c r="E12" s="133">
        <f>IF(E8&gt;=DATEVALUE("3/31/2023"),ROUND(IF((ANW0010_C4-ANW0004_C4)=0,0,((A997_C4-ANW0004_C4)/(ANW0010_C4-ANW0004_C4)*100)),2),IF(E8&gt;=DATEVALUE("3/31/2022"),ROUND(IF(ANW0010_C4=0,0,(A997_C4/ANW0010_C4)*100),2),IF(E8&gt;=DATEVALUE("6/30/2020"),TRUNC(IF(ANW0010_C4=0,0,(A997_C4/ANW0010_C4)*100),2),TRUNC(IF(A010_C4=0,0,(A997_C4/A010_C4)*100),2))))</f>
        <v>11.11</v>
      </c>
      <c r="F12" s="132" t="str">
        <f>IF(CU_NUMBER="","N/A",IF(PR_1_C4=0,"N/A",TRUNC(PR_1_C4,2)))</f>
        <v>N/A</v>
      </c>
      <c r="G12" s="165" t="str">
        <f>IF(CU_NUMBER="","N/A",IF(E12="N/A","N/A",IF(AND(E12=0,R_1_C4&lt;&gt;0,),R_1_C4,IF(R_1_C4=0,"N/A",R_1_C4))))</f>
        <v>N/A</v>
      </c>
      <c r="H12" s="133">
        <f>IF(H8&gt;=DATEVALUE("3/31/2023"),ROUND(IF((ANW0010_C5-ANW0004_C5)=0,0,((A997_C5-ANW0004_C5)/(ANW0010_C5-ANW0004_C5)*100)),2),IF(H8&gt;=DATEVALUE("3/31/2022"),ROUND(IF(ANW0010_C5=0,0,(A997_C5/ANW0010_C5)*100),2),IF(H8&gt;=DATEVALUE("6/30/2020"),TRUNC(IF(ANW0010_C5=0,0,(A997_C5/ANW0010_C5)*100),2),TRUNC(IF(A010_C5=0,0,(A997_C5/A010_C5)*100),2))))</f>
        <v>11.24</v>
      </c>
      <c r="I12" s="131" t="str">
        <f>IF(CU_NUMBER="","N/A",IF(PR_1_C5=0,"N/A",ROUND(PR_1_C5,2)))</f>
        <v>N/A</v>
      </c>
      <c r="J12" s="165" t="str">
        <f>IF(CU_NUMBER="","N/A",IF(H12="N/A","N/A",IF(AND(H12=0,R_1_C5&lt;&gt;0,),R_1_C5,IF(R_1_C5=0,"N/A",R_1_C5))))</f>
        <v>N/A</v>
      </c>
      <c r="K12" s="63"/>
    </row>
    <row r="13" spans="1:11" ht="13.35" customHeight="1" x14ac:dyDescent="0.2">
      <c r="A13" s="124" t="s">
        <v>248</v>
      </c>
      <c r="B13" s="131" t="str">
        <f>IF(CU_NUMBER="", "N/A",IF(B8&gt;=DATEVALUE("03/31/2023"),"N/A", IF(B8&gt;=DATEVALUE("03/31/2022"), IF(A010A_C1+A010B_C1+A010C_C1&gt;0, ROUND(IF((A010A_C1+A010B_C1+A010C_C1)=0,0,(A997_C1/(A010A_C1+A010B_C1+A010C_C1))*100),2), ROUND(IF(ANW0010_C1=0,0,(A997_C1/ANW0010_C1)*100),2)), IF(B8&gt;=DATEVALUE("06/30/2020"), IF(A010A_C1+A010B_C1+A010C_C1&gt;0, TRUNC(IF((A010A_C1+A010B_C1+A010C_C1)=0,0,(A997_C1/(A010A_C1+A010B_C1+A010C_C1))*100),2), TRUNC(IF(ANW0010_C1=0,0,(A997_C1/ANW0010_C1)*100),2)), IF(A010A_C1+A010B_C1+A010C_C1&gt;0, TRUNC(IF((A010A_C1+A010B_C1+A010C_C1)=0,0,(A997_C1/(A010A_C1+A010B_C1+A010C_C1))*100),2), TRUNC(IF(A010_C1=0,0,(A997_C1/A010_C1)*100),2))))))</f>
        <v>N/A</v>
      </c>
      <c r="C13" s="131" t="str">
        <f>IF(CU_NUMBER="", "N/A",IF(C8&gt;=DATEVALUE("03/31/2023"),"N/A", IF(C8&gt;=DATEVALUE("03/31/2022"), IF(A010A_C2+A010B_C2+A010C_C2&gt;0, ROUND(IF((A010A_C2+A010B_C2+A010C_C2)=0,0,(A997_C2/(A010A_C2+A010B_C2+A010C_C2))*100),2), ROUND(IF(ANW0010_C2=0,0,(A997_C2/ANW0010_C2)*100),2)), IF(C8&gt;=DATEVALUE("06/30/2020"), IF(A010A_C2+A010B_C2+A010C_C2&gt;0, TRUNC(IF((A010A_C2+A010B_C2+A010C_C2)=0,0,(A997_C2/(A010A_C2+A010B_C2+A010C_C2))*100),2), TRUNC(IF(ANW0010_C2=0,0,(A997_C2/ANW0010_C2)*100),2)), IF(A010A_C2+A010B_C2+A010C_C2&gt;0, TRUNC(IF((A010A_C2+A010B_C2+A010C_C2)=0,0,(A997_C2/(A010A_C2+A010B_C2+A010C_C2))*100),2), TRUNC(IF(A010_C2=0,0,(A997_C2/A010_C2)*100),2))))))</f>
        <v>N/A</v>
      </c>
      <c r="D13" s="131" t="str">
        <f>IF(CU_NUMBER="", "N/A",IF(D8&gt;=DATEVALUE("03/31/2023"),"N/A", IF(D8&gt;=DATEVALUE("03/31/2022"), IF(A010A_C3+A010B_C3+A010C_C3&gt;0, ROUND(IF((A010A_C3+A010B_C3+A010C_C3)=0,0,(A997_C3/(A010A_C3+A010B_C3+A010C_C3))*100),2), ROUND(IF(ANW0010_C3=0,0,(A997_C3/ANW0010_C3)*100),2)), IF(D8&gt;=DATEVALUE("06/30/2020"), IF(A010A_C3+A010B_C3+A010C_C3&gt;0, TRUNC(IF((A010A_C3+A010B_C3+A010C_C3)=0,0,(A997_C3/(A010A_C3+A010B_C3+A010C_C3))*100),2), TRUNC(IF(ANW0010_C3=0,0,(A997_C3/ANW0010_C3)*100),2)), IF(A010A_C3+A010B_C3+A010C_C3&gt;0, TRUNC(IF((A010A_C3+A010B_C3+A010C_C3)=0,0,(A997_C3/(A010A_C3+A010B_C3+A010C_C3))*100),2), TRUNC(IF(A010_C3=0,0,(A997_C3/A010_C3)*100),2))))))</f>
        <v>N/A</v>
      </c>
      <c r="E13" s="131" t="str">
        <f>IF(CU_NUMBER="", "N/A",IF(E8&gt;=DATEVALUE("03/31/2023"),"N/A", IF(E8&gt;=DATEVALUE("03/31/2022"), IF(A010A_C4+A010B_C4+A010C_C4&gt;0, ROUND(IF((A010A_C4+A010B_C4+A010C_C4)=0,0,(A997_C4/(A010A_C4+A010B_C4+A010C_C4))*100),2), ROUND(IF(ANW0010_C4=0,0,(A997_C4/ANW0010_C4)*100),2)), IF(E8&gt;=DATEVALUE("06/30/2020"), IF(A010A_C4+A010B_C4+A010C_C4&gt;0, TRUNC(IF((A010A_C4+A010B_C4+A010C_C4)=0,0,(A997_C4/(A010A_C4+A010B_C4+A010C_C4))*100),2), TRUNC(IF(ANW0010_C4=0,0,(A997_C4/ANW0010_C4)*100),2)), IF(A010A_C4+A010B_C4+A010C_C4&gt;0, TRUNC(IF((A010A_C4+A010B_C4+A010C_C4)=0,0,(A997_C4/(A010A_C4+A010B_C4+A010C_C4))*100),2), TRUNC(IF(A010_C4=0,0,(A997_C4/A010_C4)*100),2))))))</f>
        <v>N/A</v>
      </c>
      <c r="F13" s="132" t="str">
        <f>IF(CU_NUMBER="","N/A",IF(PR_2_C4=0,"N/A",TRUNC(PR_2_C4,2)))</f>
        <v>N/A</v>
      </c>
      <c r="G13" s="165" t="str">
        <f>IF(CU_NUMBER="","N/A",IF(E13="N/A","N/A",IF(AND(E13=0,R_2_C4&lt;&gt;0,),R_2_C4,IF(R_2_C4=0,"N/A",R_2_C4))))</f>
        <v>N/A</v>
      </c>
      <c r="H13" s="131" t="str">
        <f>IF(CU_NUMBER="", "N/A",IF(H8&gt;=DATEVALUE("03/31/2023"),"N/A", IF(H8&gt;=DATEVALUE("03/31/2022"), IF(A010A_C5+A010B_C5+A010C_C5&gt;0, ROUND(IF((A010A_C5+A010B_C5+A010C_C5)=0,0,(A997_C5/(A010A_C5+A010B_C5+A010C_C5))*100),2), ROUND(IF(ANW0010_C5=0,0,(A997_C5/ANW0010_C5)*100),2)), IF(H8&gt;=DATEVALUE("06/30/2020"), IF(A010A_C5+A010B_C5+A010C_C5&gt;0, TRUNC(IF((A010A_C5+A010B_C5+A010C_C5)=0,0,(A997_C5/(A010A_C5+A010B_C5+A010C_C5))*100),2), TRUNC(IF(ANW0010_C5=0,0,(A997_C5/ANW0010_C5)*100),2)), IF(A010A_C5+A010B_C5+A010C_C5&gt;0, TRUNC(IF((A010A_C5+A010B_C5+A010C_C5)=0,0,(A997_C5/(A010A_C5+A010B_C5+A010C_C5))*100),2), TRUNC(IF(A010_C5=0,0,(A997_C5/A010_C5)*100),2))))))</f>
        <v>N/A</v>
      </c>
      <c r="I13" s="131" t="str">
        <f>IF(CU_NUMBER="","N/A",IF(PR_2_C5=0,"N/A",ROUND(PR_2_C5,2)))</f>
        <v>N/A</v>
      </c>
      <c r="J13" s="165" t="str">
        <f>IF(CU_NUMBER="","N/A",IF(H13="N/A","N/A",IF(AND(H13=0,R_2_C5&lt;&gt;0,),R_2_C5,IF(R_2_C5=0,"N/A",R_2_C5))))</f>
        <v>N/A</v>
      </c>
      <c r="K13" s="63"/>
    </row>
    <row r="14" spans="1:11" ht="13.35" customHeight="1" x14ac:dyDescent="0.2">
      <c r="A14" s="124" t="s">
        <v>249</v>
      </c>
      <c r="B14" s="131" t="str">
        <f>IF(B8&lt;=DATEVALUE("12/31/2018"),"N/A",IF(B8&gt;=DATEVALUE("3/31/2023"),"N/A",IF(B8&gt;=DATEVALUE("6/30/2020"),TRUNC(IF(ANW0010_C1=0,0,((A997_C1+ANW0002_C1)/ANW0010_C1)*100),2),TRUNC(IF(A010_C1=0,0,((A997_C1+ANW0002_C1)/A010_C1)*100),2))))</f>
        <v>N/A</v>
      </c>
      <c r="C14" s="131" t="str">
        <f>IF(C8&lt;=DATEVALUE("12/31/2018"),"N/A",IF(C8&gt;=DATEVALUE("3/31/2023"),"N/A",IF(C8&gt;=DATEVALUE("6/30/2020"),TRUNC(IF(ANW0010_C2=0,0,((A997_C2+ANW0002_C2)/ANW0010_C2)*100),2),TRUNC(IF(A010_C2=0,0,((A997_C2+ANW0002_C2)/A010_C2)*100),2))))</f>
        <v>N/A</v>
      </c>
      <c r="D14" s="131" t="str">
        <f>IF(D8&lt;=DATEVALUE("12/31/2018"),"N/A",IF(D8&gt;=DATEVALUE("3/31/2023"),"N/A",IF(D8&gt;=DATEVALUE("6/30/2020"),TRUNC(IF(ANW0010_C3=0,0,((A997_C3+ANW0002_C3)/ANW0010_C3)*100),2),TRUNC(IF(A010_C3=0,0,((A997_C3+ANW0002_C3)/A010_C3)*100),2))))</f>
        <v>N/A</v>
      </c>
      <c r="E14" s="131" t="str">
        <f>IF(E8&lt;=DATEVALUE("12/31/2018"),"N/A",IF(E8&gt;=DATEVALUE("3/31/2023"),"N/A",IF(E8&gt;=DATEVALUE("6/30/2020"),TRUNC(IF(ANW0010_C4=0,0,((A997_C4+ANW0002_C4)/ANW0010_C4)*100),2),TRUNC(IF(A010_C4=0,0,((A997_C4+ANW0002_C4)/A010_C4)*100),2))))</f>
        <v>N/A</v>
      </c>
      <c r="F14" s="131" t="str">
        <f>IF(CU_NUMBER="","N/A",IF(PR_260_C4=0,"N/A",PR_260_C4))</f>
        <v>N/A</v>
      </c>
      <c r="G14" s="76" t="str">
        <f>IF(CU_NUMBER="","N/A",IF(E14="N/A","N/A",IF(AND(E14=0,R_260_C4&lt;&gt;0,),R_260_C4,IF(R_260_C4=0,"N/A",R_260_C4))))</f>
        <v>N/A</v>
      </c>
      <c r="H14" s="131" t="str">
        <f>IF(H8&lt;=DATEVALUE("12/31/2018"),"N/A",IF(H8&gt;=DATEVALUE("3/31/2023"),"N/A",IF(H8&gt;=DATEVALUE("6/30/2020"),TRUNC(IF(ANW0010_C5=0,0,((A997_C5+ANW0002_C5)/ANW0010_C5)*100),2),TRUNC(IF(A010_C5=0,0,((A997_C5+ANW0002_C5)/A010_C5)*100),2))))</f>
        <v>N/A</v>
      </c>
      <c r="I14" s="131" t="str">
        <f>IF(CU_NUMBER="","N/A",IF(PR_260_C5=0,"N/A",PR_260_C5))</f>
        <v>N/A</v>
      </c>
      <c r="J14" s="76" t="str">
        <f>IF(CU_NUMBER="","N/A",IF(H14="N/A","N/A",IF(AND(H14=0,R_260_C5&lt;&gt;0,),R_260_C5,IF(R_260_C5=0,"N/A",R_260_C5))))</f>
        <v>N/A</v>
      </c>
      <c r="K14" s="63"/>
    </row>
    <row r="15" spans="1:11" ht="13.35" customHeight="1" x14ac:dyDescent="0.2">
      <c r="A15" s="86" t="s">
        <v>250</v>
      </c>
      <c r="B15" s="133">
        <f t="array" ref="B15">IF(B8&gt;=DATEVALUE("12/31/2011"),(IF(A018_C1=0,0,((A010_C1-(A860C_C1-A925A_C1)-A825_C1-A668_C1-A820A_C1)/A018_C1)*100)),IF(B8&gt;=DATEVALUE("12/31/2000"),(IF(A018_C1=0,0,((A010_C1-(A860C_C1-A925_C1)-A825_C1-A668_C1-A820A_C1)/A018_C1)*100)),(IF(A018_C1=0,0,((A010_C1-(A860C_C1-A925_C1)-A825_C1-A668_C1-A820_C1)/A018_C1)*100))))</f>
        <v>111.86710285959779</v>
      </c>
      <c r="C15" s="133">
        <f t="array" ref="C15">IF(C8&gt;=DATEVALUE("12/31/2011"),(IF(A018_C2=0,0,((A010_C2-(A860C_C2-A925A_C2)-A825_C2-A668_C2-A820A_C2)/A018_C2)*100)),IF(C8&gt;=DATEVALUE("12/31/2000"),(IF(A018_C2=0,0,((A010_C2-(A860C_C2-A925_C2)-A825_C2-A668_C2-A820A_C2)/A018_C2)*100)),(IF(A018_C2=0,0,((A010_C2-(A860C_C2-A925_C2)-A825_C2-A668_C2-A820_C2)/A018_C2)*100))))</f>
        <v>111.59176428041629</v>
      </c>
      <c r="D15" s="133">
        <f t="array" ref="D15">IF(D8&gt;=DATEVALUE("12/31/2011"),(IF(A018_C3=0,0,((A010_C3-(A860C_C3-A925A_C3)-A825_C3-A668_C3-A820A_C3)/A018_C3)*100)),IF(D8&gt;=DATEVALUE("12/31/2000"),(IF(A018_C3=0,0,((A010_C3-(A860C_C3-A925_C3)-A825_C3-A668_C3-A820A_C3)/A018_C3)*100)),(IF(A018_C3=0,0,((A010_C3-(A860C_C3-A925_C3)-A825_C3-A668_C3-A820_C3)/A018_C3)*100))))</f>
        <v>111.6321083251238</v>
      </c>
      <c r="E15" s="133">
        <f t="array" ref="E15">IF(E8&gt;=DATEVALUE("12/31/2011"),(IF(A018_C4=0,0,((A010_C4-(A860C_C4-A925A_C4)-A825_C4-A668_C4-A820A_C4)/A018_C4)*100)),IF(E8&gt;=DATEVALUE("12/31/2000"),(IF(A018_C4=0,0,((A010_C4-(A860C_C4-A925_C4)-A825_C4-A668_C4-A820A_C4)/A018_C4)*100)),(IF(A018_C4=0,0,((A010_C4-(A860C_C4-A925_C4)-A825_C4-A668_C4-A820_C4)/A018_C4)*100))))</f>
        <v>111.94609250288028</v>
      </c>
      <c r="F15" s="131" t="str">
        <f>IF(CU_NUMBER="","N/A",IF(PR_4_C4=0,"N/A",PR_4_C4))</f>
        <v>N/A</v>
      </c>
      <c r="G15" s="76" t="str">
        <f>IF(CU_NUMBER="","N/A",IF(E15="N/A","N/A",IF(AND(E15=0,R_4_C4&lt;&gt;0,),R_4_C4,IF(R_4_C4=0,"N/A",R_4_C4))))</f>
        <v>N/A</v>
      </c>
      <c r="H15" s="133">
        <f t="array" ref="H15">IF(H8&gt;=DATEVALUE("12/31/2011"),(IF(A018_C5=0,0,((A010_C5-(A860C_C5-A925A_C5)-A825_C5-A668_C5-A820A_C5)/A018_C5)*100)),IF(H8&gt;=DATEVALUE("12/31/2000"),(IF(A018_C5=0,0,((A010_C5-(A860C_C5-A925_C5)-A825_C5-A668_C5-A820A_C5)/A018_C5)*100)),(IF(A018_C5=0,0,((A010_C5-(A860C_C5-A925_C5)-A825_C5-A668_C5-A820_C5)/A018_C5)*100))))</f>
        <v>112.29912852360582</v>
      </c>
      <c r="I15" s="131" t="str">
        <f>IF(CU_NUMBER="","N/A",IF(PR_4_C5=0,"N/A",PR_4_C5))</f>
        <v>N/A</v>
      </c>
      <c r="J15" s="76" t="str">
        <f>IF(CU_NUMBER="","N/A",IF(H15="N/A","N/A",IF(AND(H15=0,R_4_C5&lt;&gt;0,),R_4_C5,IF(R_4_C5=0,"N/A",R_4_C5))))</f>
        <v>N/A</v>
      </c>
      <c r="K15" s="63"/>
    </row>
    <row r="16" spans="1:11" ht="13.35" customHeight="1" x14ac:dyDescent="0.2">
      <c r="A16" s="127" t="s">
        <v>251</v>
      </c>
      <c r="B16" s="133">
        <f>IF(B8&gt;DATEVALUE("12/31/2018"),IF(A997_C1=0,0,((A719_C1+AAS0048_C1+A668_C1)/A997_C1)*100),IF(A997_C1=0,0,((A719_C1+A668_C1)/A997_C1)*100))</f>
        <v>8.1440752309241695</v>
      </c>
      <c r="C16" s="133">
        <f>IF(C8&gt;DATEVALUE("12/31/2018"),IF(A997_C2=0,0,((A719_C2+AAS0048_C2+A668_C2)/A997_C2)*100),IF(A997_C2=0,0,((A719_C2+A668_C2)/A997_C2)*100))</f>
        <v>8.4514615290539492</v>
      </c>
      <c r="D16" s="133">
        <f>IF(D8&gt;DATEVALUE("12/31/2018"),IF(A997_C3=0,0,((A719_C3+AAS0048_C3+A668_C3)/A997_C3)*100),IF(A997_C3=0,0,((A719_C3+A668_C3)/A997_C3)*100))</f>
        <v>8.2886691835028063</v>
      </c>
      <c r="E16" s="133">
        <f>IF(E8&gt;DATEVALUE("12/31/2018"),IF(A997_C4=0,0,((A719_C4+AAS0048_C4+A668_C4)/A997_C4)*100),IF(A997_C4=0,0,((A719_C4+A668_C4)/A997_C4)*100))</f>
        <v>8.2829553158414733</v>
      </c>
      <c r="F16" s="131" t="str">
        <f>IF(CU_NUMBER="","N/A",IF(PR_5_C4=0,"N/A",PR_5_C4))</f>
        <v>N/A</v>
      </c>
      <c r="G16" s="76" t="str">
        <f>IF(CU_NUMBER="","N/A",IF(E16="N/A","N/A",IF(AND(E16=0,R_5_C4&lt;&gt;0,),R_5_C4,IF(R_5_C4=0,"N/A",R_5_C4))))</f>
        <v>N/A</v>
      </c>
      <c r="H16" s="133">
        <f>IF(H8&gt;DATEVALUE("12/31/2018"),IF(A997_C5=0,0,((A719_C5+AAS0048_C5+A668_C5)/A997_C5)*100),IF(A997_C5=0,0,((A719_C5+A668_C5)/A997_C5)*100))</f>
        <v>8.3147918026405421</v>
      </c>
      <c r="I16" s="131" t="str">
        <f>IF(CU_NUMBER="","N/A",IF(PR_5_C5=0,"N/A",PR_5_C5))</f>
        <v>N/A</v>
      </c>
      <c r="J16" s="76" t="str">
        <f>IF(CU_NUMBER="","N/A",IF(H16="N/A","N/A",IF(AND(H16=0,R_5_C5&lt;&gt;0,),R_5_C5,IF(R_5_C5=0,"N/A",R_5_C5))))</f>
        <v>N/A</v>
      </c>
      <c r="K16" s="63"/>
    </row>
    <row r="17" spans="1:11" ht="13.35" customHeight="1" x14ac:dyDescent="0.2">
      <c r="A17" s="123" t="s">
        <v>252</v>
      </c>
      <c r="B17" s="133"/>
      <c r="C17" s="133"/>
      <c r="D17" s="133"/>
      <c r="E17" s="133"/>
      <c r="F17" s="131"/>
      <c r="G17" s="76"/>
      <c r="H17" s="133"/>
      <c r="I17" s="131"/>
      <c r="J17" s="76"/>
      <c r="K17" s="63"/>
    </row>
    <row r="18" spans="1:11" ht="13.35" customHeight="1" x14ac:dyDescent="0.2">
      <c r="A18" s="86" t="s">
        <v>253</v>
      </c>
      <c r="B18" s="133">
        <f>IF((A025B_C1+pA025B_C1)/2=0,0,(((A550_C1-A551_C1)/((A025B_C1+pA025B_C1)/2)*100)*Anu_C1))</f>
        <v>0.78060534770828416</v>
      </c>
      <c r="C18" s="133">
        <f>IF((A025B_C2+pA025B_C2)/2=0,0,(((A550_C2-A551_C2)/((A025B_C2+pA025B_C2)/2)*100)*Anu_C2))</f>
        <v>0.80069074459265066</v>
      </c>
      <c r="D18" s="133">
        <f>IF((A025B_C3+pA025B_C3)/2=0,0,(((A550_C3-A551_C3)/((A025B_C3+pA025B_C3)/2)*100)*Anu_C3))</f>
        <v>0.82339659616860761</v>
      </c>
      <c r="E18" s="133">
        <f>IF((A025B_C4+pA025B_C4)/2=0,0,(((A550_C4-A551_C4)/((A025B_C4+pA025B_C4)/2)*100)*Anu_C4))</f>
        <v>0.79014226155208911</v>
      </c>
      <c r="F18" s="131" t="str">
        <f>IF(CU_NUMBER="","N/A",IF(PR_7_C4=0,"N/A",PR_7_C4))</f>
        <v>N/A</v>
      </c>
      <c r="G18" s="76" t="str">
        <f>IF(CU_NUMBER="","N/A",IF(E18="N/A","N/A",IF(AND(E18=0,R_7_C4&lt;&gt;0,),R_7_C4,IF(R_7_C4=0,"N/A",R_7_C4))))</f>
        <v>N/A</v>
      </c>
      <c r="H18" s="133">
        <f>IF((A025B_C5+pA025B_C5)/2=0,0,(((A550_C5-A551_C5)/((A025B_C5+pA025B_C5)/2)*100)*Anu_C5))</f>
        <v>0.76759033323320003</v>
      </c>
      <c r="I18" s="131" t="str">
        <f>IF(CU_NUMBER="","N/A",IF(PR_7_C5=0,"N/A",PR_7_C5))</f>
        <v>N/A</v>
      </c>
      <c r="J18" s="76" t="str">
        <f>IF(CU_NUMBER="","N/A",IF(H18="N/A","N/A",IF(AND(H18=0,R_7_C5&lt;&gt;0,),R_7_C5,IF(R_7_C5=0,"N/A",R_7_C5))))</f>
        <v>N/A</v>
      </c>
      <c r="K18" s="63"/>
    </row>
    <row r="19" spans="1:11" s="72" customFormat="1" ht="13.35" customHeight="1" x14ac:dyDescent="0.2">
      <c r="A19" s="124" t="s">
        <v>254</v>
      </c>
      <c r="B19" s="135">
        <f>IF(B8&gt;DATEVALUE("3/31/2022"),IF(AAS0073_C1=0,0,(A801_C1/(AAS0073_C1))*100),IF(B8&gt;DATEVALUE("12/31/2018"),IF(A796E_C1+AAS0073_C1=0,0,(A801_C1/(A796E_C1+AAS0073_C1)) *100),IF(A796E_C1=0,0,(A801_C1/(A796E_C1)) *100)))</f>
        <v>94.970512269962185</v>
      </c>
      <c r="C19" s="135">
        <f>IF(C8&gt;DATEVALUE("3/31/2022"),IF(AAS0073_C2=0,0,(A801_C2/(AAS0073_C2))*100),IF(C8&gt;DATEVALUE("12/31/2018"),IF(A796E_C2+AAS0073_C2=0,0,(A801_C2/(A796E_C2+AAS0073_C2)) *100),IF(A796E_C2=0,0,(A801_C2/(A796E_C2)) *100)))</f>
        <v>94.579049733713646</v>
      </c>
      <c r="D19" s="135">
        <f>IF(D8&gt;DATEVALUE("3/31/2022"),IF(AAS0073_C3=0,0,(A801_C3/(AAS0073_C3))*100),IF(D8&gt;DATEVALUE("12/31/2018"),IF(A796E_C3+AAS0073_C3=0,0,(A801_C3/(A796E_C3+AAS0073_C3)) *100),IF(A796E_C3=0,0,(A801_C3/(A796E_C3)) *100)))</f>
        <v>95.555314141750941</v>
      </c>
      <c r="E19" s="135">
        <f>IF(E8&gt;DATEVALUE("3/31/2022"),IF(AAS0073_C4=0,0,(A801_C4/(AAS0073_C4))*100),IF(E8&gt;DATEVALUE("12/31/2018"),IF(A796E_C4+AAS0073_C4=0,0,(A801_C4/(A796E_C4+AAS0073_C4)) *100),IF(A796E_C4=0,0,(A801_C4/(A796E_C4)) *100)))</f>
        <v>96.101867606423696</v>
      </c>
      <c r="F19" s="131" t="str">
        <f>IF(CU_NUMBER="","N/A",IF(PR_8_C4=0,"N/A",PR_8_C4))</f>
        <v>N/A</v>
      </c>
      <c r="G19" s="76" t="str">
        <f>IF(CU_NUMBER="","N/A",IF(E19="N/A","N/A",IF(AND(E19=0,R_8_C4&lt;&gt;0,),R_8_C4,IF(R_8_C4=0,"N/A",R_8_C4))))</f>
        <v>N/A</v>
      </c>
      <c r="H19" s="135">
        <f>IF(H8&gt;DATEVALUE("3/31/2022"),IF(AAS0073_C5=0,0,(A801_C5/(AAS0073_C5))*100),IF(H8&gt;DATEVALUE("12/31/2018"),IF(A796E_C5+AAS0073_C5=0,0,(A801_C5/(A796E_C5+AAS0073_C5)) *100),IF(A796E_C5=0,0,(A801_C5/(A796E_C5)) *100)))</f>
        <v>96.826673325788732</v>
      </c>
      <c r="I19" s="131" t="str">
        <f>IF(CU_NUMBER="","N/A",IF(PR_8_C5=0,"N/A",PR_8_C5))</f>
        <v>N/A</v>
      </c>
      <c r="J19" s="76" t="str">
        <f>IF(CU_NUMBER="","N/A",IF(H19="N/A","N/A",IF(AND(H19=0,R_8_C5&lt;&gt;0,),R_8_C5,IF(R_8_C5=0,"N/A",R_8_C5))))</f>
        <v>N/A</v>
      </c>
      <c r="K19" s="63"/>
    </row>
    <row r="20" spans="1:11" ht="13.35" customHeight="1" x14ac:dyDescent="0.2">
      <c r="A20" s="127" t="s">
        <v>255</v>
      </c>
      <c r="B20" s="133">
        <f>IF(B8&gt;DATEVALUE("3/31/2022"),IF(AAS0067_C1-AEQ0009_C1=0,0,(AEQ0009_C1/(AAS0067_C1-AEQ0009_C1))*100),IF(B8&gt;DATEVALUE("12/31/2018"),IF(A797E_C1+AAS0067_C1-AEQ0009_C1=0,0,(AEQ0009_C1/(A797E_C1+AAS0067_C1-AEQ0009_C1))*100),IF(A797E_C1-A945_C1=0,0,(A945_C1/(A797E_C1-A945_C1))*100)))</f>
        <v>-7.1161699974112063</v>
      </c>
      <c r="C20" s="133">
        <f>IF(C8&gt;DATEVALUE("3/31/2022"),IF(AAS0067_C2-AEQ0009_C2=0,0,(AEQ0009_C2/(AAS0067_C2-AEQ0009_C2))*100),IF(C8&gt;DATEVALUE("12/31/2018"),IF(A797E_C2+AAS0067_C2-AEQ0009_C2=0,0,(AEQ0009_C2/(A797E_C2+AAS0067_C2-AEQ0009_C2))*100),IF(A797E_C2-A945_C2=0,0,(A945_C2/(A797E_C2-A945_C2))*100)))</f>
        <v>-8.9453847903906585</v>
      </c>
      <c r="D20" s="133">
        <f>IF(D8&gt;DATEVALUE("3/31/2022"),IF(AAS0067_C3-AEQ0009_C3=0,0,(AEQ0009_C3/(AAS0067_C3-AEQ0009_C3))*100),IF(D8&gt;DATEVALUE("12/31/2018"),IF(A797E_C3+AAS0067_C3-AEQ0009_C3=0,0,(AEQ0009_C3/(A797E_C3+AAS0067_C3-AEQ0009_C3))*100),IF(A797E_C3-A945_C3=0,0,(A945_C3/(A797E_C3-A945_C3))*100)))</f>
        <v>-7.483017165213167</v>
      </c>
      <c r="E20" s="133">
        <f>IF(E8&gt;DATEVALUE("3/31/2022"),IF(AAS0067_C4-AEQ0009_C4=0,0,(AEQ0009_C4/(AAS0067_C4-AEQ0009_C4))*100),IF(E8&gt;DATEVALUE("12/31/2018"),IF(A797E_C4+AAS0067_C4-AEQ0009_C4=0,0,(AEQ0009_C4/(A797E_C4+AAS0067_C4-AEQ0009_C4))*100),IF(A797E_C4-A945_C4=0,0,(A945_C4/(A797E_C4-A945_C4))*100)))</f>
        <v>-6.867993692077075</v>
      </c>
      <c r="F20" s="131" t="str">
        <f>IF(CU_NUMBER="","N/A",IF(PR_9_C4=0,"N/A",PR_9_C4))</f>
        <v>N/A</v>
      </c>
      <c r="G20" s="76" t="str">
        <f>IF(CU_NUMBER="","N/A",IF(E20="N/A","N/A",IF(AND(E20=0,R_9_C4&lt;&gt;0,),R_9_C4,IF(R_9_C4=0,"N/A",R_9_C4))))</f>
        <v>N/A</v>
      </c>
      <c r="H20" s="133">
        <f>IF(H8&gt;DATEVALUE("3/31/2022"),IF(AAS0067_C5-AEQ0009_C5=0,0,(AEQ0009_C5/(AAS0067_C5-AEQ0009_C5))*100),IF(H8&gt;DATEVALUE("12/31/2018"),IF(A797E_C5+AAS0067_C5-AEQ0009_C5=0,0,(AEQ0009_C5/(A797E_C5+AAS0067_C5-AEQ0009_C5))*100),IF(A797E_C5-A945_C5=0,0,(A945_C5/(A797E_C5-A945_C5))*100)))</f>
        <v>-5.8987657120217225</v>
      </c>
      <c r="I20" s="131" t="str">
        <f>IF(CU_NUMBER="","N/A",IF(PR_9_C5=0,"N/A",PR_9_C5))</f>
        <v>N/A</v>
      </c>
      <c r="J20" s="76" t="str">
        <f>IF(CU_NUMBER="","N/A",IF(H20="N/A","N/A",IF(AND(H20=0,R_9_C5&lt;&gt;0,),R_9_C5,IF(R_9_C5=0,"N/A",R_9_C5))))</f>
        <v>N/A</v>
      </c>
      <c r="K20" s="63"/>
    </row>
    <row r="21" spans="1:11" ht="13.35" customHeight="1" x14ac:dyDescent="0.2">
      <c r="A21" s="86" t="s">
        <v>256</v>
      </c>
      <c r="B21" s="133">
        <f>IF(A010_C1=0,0, (A041B_C1/A010_C1)*100)</f>
        <v>0.64122307681537527</v>
      </c>
      <c r="C21" s="133">
        <f>IF(A010_C2=0,0, (A041B_C2/A010_C2)*100)</f>
        <v>0.69551067378756481</v>
      </c>
      <c r="D21" s="133">
        <f>IF(A010_C3=0,0, (A041B_C3/A010_C3)*100)</f>
        <v>0.55644820964130781</v>
      </c>
      <c r="E21" s="133">
        <f>IF(A010_C4=0,0, (A041B_C4/A010_C4)*100)</f>
        <v>0.64018510891797931</v>
      </c>
      <c r="F21" s="131" t="str">
        <f>IF(CU_NUMBER="","N/A",IF(PR_10_C4=0,"N/A",PR_10_C4))</f>
        <v>N/A</v>
      </c>
      <c r="G21" s="76" t="str">
        <f>IF(CU_NUMBER="","N/A",IF(E21="N/A","N/A",IF(AND(E21=0,R_10_C4&lt;&gt;0,),R_10_C4,IF(R_10_C4=0,"N/A",R_10_C4))))</f>
        <v>N/A</v>
      </c>
      <c r="H21" s="133">
        <f>IF(A010_C5=0,0, (A041B_C5/A010_C5)*100)</f>
        <v>0.67331136609950881</v>
      </c>
      <c r="I21" s="131" t="str">
        <f>IF(CU_NUMBER="","N/A",IF(PR_10_C5=0,"N/A",PR_10_C5))</f>
        <v>N/A</v>
      </c>
      <c r="J21" s="76" t="str">
        <f>IF(CU_NUMBER="","N/A",IF(H21="N/A","N/A",IF(AND(H21=0,R_10_C5&lt;&gt;0,),R_10_C5,IF(R_10_C5=0,"N/A",R_10_C5))))</f>
        <v>N/A</v>
      </c>
      <c r="K21" s="63"/>
    </row>
    <row r="22" spans="1:11" ht="13.35" customHeight="1" x14ac:dyDescent="0.2">
      <c r="A22" s="123" t="s">
        <v>257</v>
      </c>
      <c r="B22" s="133"/>
      <c r="C22" s="133"/>
      <c r="D22" s="133"/>
      <c r="E22" s="133"/>
      <c r="F22" s="131"/>
      <c r="G22" s="76"/>
      <c r="H22" s="133"/>
      <c r="I22" s="131"/>
      <c r="J22" s="76"/>
      <c r="K22" s="63"/>
    </row>
    <row r="23" spans="1:11" ht="13.35" customHeight="1" x14ac:dyDescent="0.2">
      <c r="A23" s="86" t="s">
        <v>258</v>
      </c>
      <c r="B23" s="133">
        <f>IF(B8 &gt; DATEVALUE("12/31/2020"),((IF(((A010_C1 + pA010_C1)/2)=0,0,((A115_C1+A131_C1+AIS0020_C1)/((A010_C1 + pA010_C1)/2))) * 100))*Anu_C1, ((IF(((A010_C1+pA010_C1)/2)=0,0,((A115_C1 +A131_C1+A659_C1)/((A010_C1+pA010_C1)/2)))*100)) *Anu_C1 )</f>
        <v>6.0400633838022078</v>
      </c>
      <c r="C23" s="133">
        <f>IF(C8 &gt; DATEVALUE("12/31/2020"),((IF(((A010_C2 + pA010_C2)/2)=0,0,((A115_C2+A131_C2+AIS0020_C2)/((A010_C2 + pA010_C2)/2))) * 100))*Anu_C2, ((IF(((A010_C2+pA010_C2)/2)=0,0,((A115_C2 +A131_C2+A659_C2)/((A010_C2+pA010_C2)/2)))*100)) *Anu_C2 )</f>
        <v>6.1021189842907777</v>
      </c>
      <c r="D23" s="133">
        <f>IF(D8 &gt; DATEVALUE("12/31/2020"),((IF(((A010_C3 + pA010_C3)/2)=0,0,((A115_C3+A131_C3+AIS0020_C3)/((A010_C3 + pA010_C3)/2))) * 100))*Anu_C3, ((IF(((A010_C3+pA010_C3)/2)=0,0,((A115_C3 +A131_C3+A659_C3)/((A010_C3+pA010_C3)/2)))*100)) *Anu_C3 )</f>
        <v>6.0777517037077242</v>
      </c>
      <c r="E23" s="133">
        <f>IF(E8 &gt; DATEVALUE("12/31/2020"),((IF(((A010_C4 + pA010_C4)/2)=0,0,((A115_C4+A131_C4+AIS0020_C4)/((A010_C4 + pA010_C4)/2))) * 100))*Anu_C4, ((IF(((A010_C4+pA010_C4)/2)=0,0,((A115_C4 +A131_C4+A659_C4)/((A010_C4+pA010_C4)/2)))*100)) *Anu_C4 )</f>
        <v>6.1882880233019719</v>
      </c>
      <c r="F23" s="131" t="str">
        <f>IF(CU_NUMBER="","N/A",IF(PR_12_C4=0,"N/A",PR_12_C4))</f>
        <v>N/A</v>
      </c>
      <c r="G23" s="76" t="str">
        <f>IF(CU_NUMBER="","N/A",IF(E23="N/A","N/A",IF(AND(E23=0,R_12_C4&lt;&gt;0,),R_12_C4,IF(R_12_C4=0,"N/A",R_12_C4))))</f>
        <v>N/A</v>
      </c>
      <c r="H23" s="133">
        <f>IF(H8 &gt; DATEVALUE("12/31/2020"),((IF(((A010_C5 + pA010_C5)/2)=0,0,((A115_C5+A131_C5+AIS0020_C5)/((A010_C5 + pA010_C5)/2))) * 100))*Anu_C5, ((IF(((A010_C5+pA010_C5)/2)=0,0,((A115_C5 +A131_C5+A659_C5)/((A010_C5+pA010_C5)/2)))*100)) *Anu_C5 )</f>
        <v>6.2591796865872258</v>
      </c>
      <c r="I23" s="131" t="str">
        <f>IF(CU_NUMBER="","N/A",IF(PR_12_C5=0,"N/A",PR_12_C5))</f>
        <v>N/A</v>
      </c>
      <c r="J23" s="76" t="str">
        <f>IF(CU_NUMBER="","N/A",IF(H23="N/A","N/A",IF(AND(H23=0,R_12_C5&lt;&gt;0,),R_12_C5,IF(R_12_C5=0,"N/A",R_12_C5))))</f>
        <v>N/A</v>
      </c>
      <c r="K23" s="63"/>
    </row>
    <row r="24" spans="1:11" ht="13.35" customHeight="1" x14ac:dyDescent="0.2">
      <c r="A24" s="86" t="s">
        <v>259</v>
      </c>
      <c r="B24" s="133">
        <f>IF(B8&gt;DATEVALUE("06/30/2019"),IF(A025B_C1+pA025B_C1+A003_C1+pA003_C1=0,0,(((A110_C1-A119_C1)/((A025B_C1+pA025B_C1 + A003_C1 + pA003_C1)/2))*100)*Anu_C1),IF(A025B_C1+pA025B_C1=0,0,(((A110_C1-A119_C1)/((A025B_C1+pA025B_C1)/2))*100)*Anu_C1))</f>
        <v>5.7782362015621409</v>
      </c>
      <c r="C24" s="133">
        <f>IF(C8&gt;DATEVALUE("06/30/2019"),IF(A025B_C2+pA025B_C2+A003_C2+pA003_C2=0,0,(((A110_C2-A119_C2)/((A025B_C2+pA025B_C2 + A003_C2 + pA003_C2)/2))*100)*Anu_C2),IF(A025B_C2+pA025B_C2=0,0,(((A110_C2-A119_C2)/((A025B_C2+pA025B_C2)/2))*100)*Anu_C2))</f>
        <v>5.8280529142716624</v>
      </c>
      <c r="D24" s="133">
        <f>IF(D8&gt;DATEVALUE("06/30/2019"),IF(A025B_C3+pA025B_C3+A003_C3+pA003_C3=0,0,(((A110_C3-A119_C3)/((A025B_C3+pA025B_C3 + A003_C3 + pA003_C3)/2))*100)*Anu_C3),IF(A025B_C3+pA025B_C3=0,0,(((A110_C3-A119_C3)/((A025B_C3+pA025B_C3)/2))*100)*Anu_C3))</f>
        <v>5.9773634879340465</v>
      </c>
      <c r="E24" s="133">
        <f>IF(E8&gt;DATEVALUE("06/30/2019"),IF(A025B_C4+pA025B_C4+A003_C4+pA003_C4=0,0,(((A110_C4-A119_C4)/((A025B_C4+pA025B_C4 + A003_C4 + pA003_C4)/2))*100)*Anu_C4),IF(A025B_C4+pA025B_C4=0,0,(((A110_C4-A119_C4)/((A025B_C4+pA025B_C4)/2))*100)*Anu_C4))</f>
        <v>6.0135822188687929</v>
      </c>
      <c r="F24" s="131" t="str">
        <f>IF(CU_NUMBER="","N/A",IF(PR_13_C4=0,"N/A",PR_13_C4))</f>
        <v>N/A</v>
      </c>
      <c r="G24" s="76" t="str">
        <f>IF(CU_NUMBER="","N/A",IF(E24="N/A","N/A",IF(AND(E24=0,R_13_C4&lt;&gt;0,),R_13_C4,IF(R_13_C4=0,"N/A",R_13_C4))))</f>
        <v>N/A</v>
      </c>
      <c r="H24" s="133">
        <f>IF(H8&gt;DATEVALUE("06/30/2019"),IF(A025B_C5+pA025B_C5+A003_C5+pA003_C5=0,0,(((A110_C5-A119_C5)/((A025B_C5+pA025B_C5 + A003_C5 + pA003_C5)/2))*100)*Anu_C5),IF(A025B_C5+pA025B_C5=0,0,(((A110_C5-A119_C5)/((A025B_C5+pA025B_C5)/2))*100)*Anu_C5))</f>
        <v>6.0704114118915413</v>
      </c>
      <c r="I24" s="131" t="str">
        <f>IF(CU_NUMBER="","N/A",IF(PR_13_C5=0,"N/A",PR_13_C5))</f>
        <v>N/A</v>
      </c>
      <c r="J24" s="76" t="str">
        <f>IF(CU_NUMBER="","N/A",IF(H24="N/A","N/A",IF(AND(H24=0,R_13_C5&lt;&gt;0,),R_13_C5,IF(R_13_C5=0,"N/A",R_13_C5))))</f>
        <v>N/A</v>
      </c>
      <c r="K24" s="63"/>
    </row>
    <row r="25" spans="1:11" ht="13.35" customHeight="1" x14ac:dyDescent="0.2">
      <c r="A25" s="86" t="s">
        <v>260</v>
      </c>
      <c r="B25" s="133">
        <f>IF(B8&gt;=DATEVALUE("3/31/2023"),IF((AAS0007_C1+A730B_C1+AAS0008_C1+AAS0013_C1+AAS0017_C1+ pAAS0007_C1+pA730B_C1+pAAS0008_C1+ pAAS0013_C1+pAAS0017_C1)=0,0,(A120_C1/((AAS0007_C1+A730B_C1+AAS0008_C1+AAS0013_C1+AAS0017_C1+ pAAS0007_C1+pA730B_C1+pAAS0008_C1+ pAAS0013_C1+pAAS0017_C1)/2)) * 100) *Anu_C1,
IF(B8&gt;DATEVALUE("12/31/2021"),IF((AAS0007_C1+A730B_C1+AAS0008_C1+AAS0013_C1+AAS0017_C1+pA799I_C1+pA730B_C1+pA730C_C1)=0,0,(A120_C1/((AAS0007_C1+A730B_C1+AAS0008_C1+AAS0013_C1+AAS0017_C1+pA799I_C1+pA730B_C1+pA730C_C1)/2)) * 100) *Anu_C1,
IF(B8&gt;DATEVALUE("12/31/2020"),IF((A799I_C1+A730B_C1+A730C_C1+pA799I_C1+pA730B_C1+pA730C_C1)=0,0,(A120_C1/((A799I_C1+A730B_C1+A730C_C1+pA799I_C1+pA730B_C1+pA730C_C1)/2)) * 100) *Anu_C1,IF(B8&gt;DATEVALUE("12/31/2018"),IF((A799I_C1+A730B_C1+A730C_C1+pA799I_C1+pA730B_C1+pA730C_C1)=0,0,((A120_C1+AIS0004_C1)/((A799I_C1+A730B_C1+A730C_C1+pA799I_C1+pA730B_C1+pA730C_C1)/2)) * 100) *Anu_C1,IF((A799I_C1+A730B_C1+A730C_C1+pA799I_C1+pA730B_C1+pA730C_C1)=0,0,((A120_C1+A124_C1)/((A799I_C1+A730B_C1+A730C_C1+pA799I_C1+pA730B_C1+pA730C_C1)/2)) *100) *Anu_C1))))</f>
        <v>3.7372216806773135</v>
      </c>
      <c r="C25" s="133">
        <f>IF(C8&gt;=DATEVALUE("3/31/2023"),IF((AAS0007_C2+A730B_C2+AAS0008_C2+AAS0013_C2+AAS0017_C2+ pAAS0007_C2+pA730B_C2+pAAS0008_C2+ pAAS0013_C2+pAAS0017_C2)=0,0,(A120_C2/((AAS0007_C2+A730B_C2+AAS0008_C2+AAS0013_C2+AAS0017_C2+ pAAS0007_C2+pA730B_C2+pAAS0008_C2+ pAAS0013_C2+pAAS0017_C2)/2)) * 100) *Anu_C2,
IF(C8&gt;DATEVALUE("12/31/2021"),IF((AAS0007_C2+A730B_C2+AAS0008_C2+AAS0013_C2+AAS0017_C2+pA799I_C2+pA730B_C2+pA730C_C2)=0,0,(A120_C2/((AAS0007_C2+A730B_C2+AAS0008_C2+AAS0013_C2+AAS0017_C2+pA799I_C2+pA730B_C2+pA730C_C2)/2)) * 100) *Anu_C2,
IF(C8&gt;DATEVALUE("12/31/2020"),IF((A799I_C2+A730B_C2+A730C_C2+pA799I_C2+pA730B_C2+pA730C_C2)=0,0,(A120_C2/((A799I_C2+A730B_C2+A730C_C2+pA799I_C2+pA730B_C2+pA730C_C2)/2)) * 100) *Anu_C2,IF(C8&gt;DATEVALUE("12/31/2018"),IF((A799I_C2+A730B_C2+A730C_C2+pA799I_C2+pA730B_C2+pA730C_C2)=0,0,((A120_C2+AIS0004_C2)/((A799I_C2+A730B_C2+A730C_C2+pA799I_C2+pA730B_C2+pA730C_C2)/2)) * 100) *Anu_C2,IF((A799I_C2+A730B_C2+A730C_C2+pA799I_C2+pA730B_C2+pA730C_C2)=0,0,((A120_C2+A124_C2)/((A799I_C2+A730B_C2+A730C_C2+pA799I_C2+pA730B_C2+pA730C_C2)/2)) *100) *Anu_C2))))</f>
        <v>3.788474029505017</v>
      </c>
      <c r="D25" s="133">
        <f>IF(D8&gt;=DATEVALUE("3/31/2023"),IF((AAS0007_C3+A730B_C3+AAS0008_C3+AAS0013_C3+AAS0017_C3+ pAAS0007_C3+pA730B_C3+pAAS0008_C3+ pAAS0013_C3+pAAS0017_C3)=0,0,(A120_C3/((AAS0007_C3+A730B_C3+AAS0008_C3+AAS0013_C3+AAS0017_C3+ pAAS0007_C3+pA730B_C3+pAAS0008_C3+ pAAS0013_C3+pAAS0017_C3)/2)) * 100) *Anu_C3,
IF(D8&gt;DATEVALUE("12/31/2021"),IF((AAS0007_C3+A730B_C3+AAS0008_C3+AAS0013_C3+AAS0017_C3+pA799I_C3+pA730B_C3+pA730C_C3)=0,0,(A120_C3/((AAS0007_C3+A730B_C3+AAS0008_C3+AAS0013_C3+AAS0017_C3+pA799I_C3+pA730B_C3+pA730C_C3)/2)) * 100) *Anu_C3,
IF(D8&gt;DATEVALUE("12/31/2020"),IF((A799I_C3+A730B_C3+A730C_C3+pA799I_C3+pA730B_C3+pA730C_C3)=0,0,(A120_C3/((A799I_C3+A730B_C3+A730C_C3+pA799I_C3+pA730B_C3+pA730C_C3)/2)) * 100) *Anu_C3,IF(D8&gt;DATEVALUE("12/31/2018"),IF((A799I_C3+A730B_C3+A730C_C3+pA799I_C3+pA730B_C3+pA730C_C3)=0,0,((A120_C3+AIS0004_C3)/((A799I_C3+A730B_C3+A730C_C3+pA799I_C3+pA730B_C3+pA730C_C3)/2)) * 100) *Anu_C3,IF((A799I_C3+A730B_C3+A730C_C3+pA799I_C3+pA730B_C3+pA730C_C3)=0,0,((A120_C3+A124_C3)/((A799I_C3+A730B_C3+A730C_C3+pA799I_C3+pA730B_C3+pA730C_C3)/2)) *100) *Anu_C3))))</f>
        <v>3.4979659981310021</v>
      </c>
      <c r="E25" s="133">
        <f>IF(E8&gt;=DATEVALUE("3/31/2023"),IF((AAS0007_C4+A730B_C4+AAS0008_C4+AAS0013_C4+AAS0017_C4+ pAAS0007_C4+pA730B_C4+pAAS0008_C4+ pAAS0013_C4+pAAS0017_C4)=0,0,(A120_C4/((AAS0007_C4+A730B_C4+AAS0008_C4+AAS0013_C4+AAS0017_C4+ pAAS0007_C4+pA730B_C4+pAAS0008_C4+ pAAS0013_C4+pAAS0017_C4)/2)) * 100) *Anu_C4,
IF(E8&gt;DATEVALUE("12/31/2021"),IF((AAS0007_C4+A730B_C4+AAS0008_C4+AAS0013_C4+AAS0017_C4+pA799I_C4+pA730B_C4+pA730C_C4)=0,0,(A120_C4/((AAS0007_C4+A730B_C4+AAS0008_C4+AAS0013_C4+AAS0017_C4+pA799I_C4+pA730B_C4+pA730C_C4)/2)) * 100) *Anu_C4,
IF(E8&gt;DATEVALUE("12/31/2020"),IF((A799I_C4+A730B_C4+A730C_C4+pA799I_C4+pA730B_C4+pA730C_C4)=0,0,(A120_C4/((A799I_C4+A730B_C4+A730C_C4+pA799I_C4+pA730B_C4+pA730C_C4)/2)) * 100) *Anu_C4,IF(E8&gt;DATEVALUE("12/31/2018"),IF((A799I_C4+A730B_C4+A730C_C4+pA799I_C4+pA730B_C4+pA730C_C4)=0,0,((A120_C4+AIS0004_C4)/((A799I_C4+A730B_C4+A730C_C4+pA799I_C4+pA730B_C4+pA730C_C4)/2)) * 100) *Anu_C4,IF((A799I_C4+A730B_C4+A730C_C4+pA799I_C4+pA730B_C4+pA730C_C4)=0,0,((A120_C4+A124_C4)/((A799I_C4+A730B_C4+A730C_C4+pA799I_C4+pA730B_C4+pA730C_C4)/2)) *100) *Anu_C4))))</f>
        <v>3.7270195391906507</v>
      </c>
      <c r="F25" s="131" t="str">
        <f>IF(CU_NUMBER="","N/A",IF(PR_14_C4=0,"N/A",PR_14_C4))</f>
        <v>N/A</v>
      </c>
      <c r="G25" s="76" t="str">
        <f>IF(CU_NUMBER="","N/A",IF(E25="N/A","N/A",IF(AND(E25=0,R_14_C4&lt;&gt;0,),R_14_C4,IF(R_14_C4=0,"N/A",R_14_C4))))</f>
        <v>N/A</v>
      </c>
      <c r="H25" s="133">
        <f>IF(H8&gt;=DATEVALUE("3/31/2023"),IF((AAS0007_C5+A730B_C5+AAS0008_C5+AAS0013_C5+AAS0017_C5+ pAAS0007_C5+pA730B_C5+pAAS0008_C5+ pAAS0013_C5+pAAS0017_C5)=0,0,(A120_C5/((AAS0007_C5+A730B_C5+AAS0008_C5+AAS0013_C5+AAS0017_C5+ pAAS0007_C5+pA730B_C5+pAAS0008_C5+ pAAS0013_C5+pAAS0017_C5)/2)) * 100) *Anu_C5,
IF(H8&gt;DATEVALUE("12/31/2021"),IF((AAS0007_C5+A730B_C5+AAS0008_C5+AAS0013_C5+AAS0017_C5+pA799I_C5+pA730B_C5+pA730C_C5)=0,0,(A120_C5/((AAS0007_C5+A730B_C5+AAS0008_C5+AAS0013_C5+AAS0017_C5+pA799I_C5+pA730B_C5+pA730C_C5)/2)) * 100) *Anu_C5,
IF(H8&gt;DATEVALUE("12/31/2020"),IF((A799I_C5+A730B_C5+A730C_C5+pA799I_C5+pA730B_C5+pA730C_C5)=0,0,(A120_C5/((A799I_C5+A730B_C5+A730C_C5+pA799I_C5+pA730B_C5+pA730C_C5)/2)) * 100) *Anu_C5,IF(H8&gt;DATEVALUE("12/31/2018"),IF((A799I_C5+A730B_C5+A730C_C5+pA799I_C5+pA730B_C5+pA730C_C5)=0,0,((A120_C5+AIS0004_C5)/((A799I_C5+A730B_C5+A730C_C5+pA799I_C5+pA730B_C5+pA730C_C5)/2)) * 100) *Anu_C5,IF((A799I_C5+A730B_C5+A730C_C5+pA799I_C5+pA730B_C5+pA730C_C5)=0,0,((A120_C5+A124_C5)/((A799I_C5+A730B_C5+A730C_C5+pA799I_C5+pA730B_C5+pA730C_C5)/2)) *100) *Anu_C5))))</f>
        <v>3.7851643505723769</v>
      </c>
      <c r="I25" s="131" t="str">
        <f>IF(CU_NUMBER="","N/A",IF(PR_14_C5=0,"N/A",PR_14_C5))</f>
        <v>N/A</v>
      </c>
      <c r="J25" s="76" t="str">
        <f>IF(CU_NUMBER="","N/A",IF(H25="N/A","N/A",IF(AND(H25=0,R_14_C5&lt;&gt;0,),R_14_C5,IF(R_14_C5=0,"N/A",R_14_C5))))</f>
        <v>N/A</v>
      </c>
      <c r="K25" s="63"/>
    </row>
    <row r="26" spans="1:11" ht="13.35" customHeight="1" x14ac:dyDescent="0.2">
      <c r="A26" s="86" t="s">
        <v>261</v>
      </c>
      <c r="B26" s="133">
        <f>IF(B8&gt;DATEVALUE("12/31/2020"), ((IF(((A010_C1+pA010_C1)/2)=0,0,((A131_C1+AIS0020_C1)/((A010_C1+pA010_C1)/2))) * 100))*Anu_C1, ((IF(((A010_C1+pA010_C1)/2)=0,0,((A131_C1+A659_C1)/((A010_C1+pA010_C1)/2)))*100))*Anu_C1)</f>
        <v>1.0463318394582883</v>
      </c>
      <c r="C26" s="133">
        <f>IF(C8&gt;DATEVALUE("12/31/2020"), ((IF(((A010_C2+pA010_C2)/2)=0,0,((A131_C2+AIS0020_C2)/((A010_C2+pA010_C2)/2))) * 100))*Anu_C2, ((IF(((A010_C2+pA010_C2)/2)=0,0,((A131_C2+A659_C2)/((A010_C2+pA010_C2)/2)))*100))*Anu_C2)</f>
        <v>1.0542914967083321</v>
      </c>
      <c r="D26" s="133">
        <f>IF(D8&gt;DATEVALUE("12/31/2020"), ((IF(((A010_C3+pA010_C3)/2)=0,0,((A131_C3+AIS0020_C3)/((A010_C3+pA010_C3)/2))) * 100))*Anu_C3, ((IF(((A010_C3+pA010_C3)/2)=0,0,((A131_C3+A659_C3)/((A010_C3+pA010_C3)/2)))*100))*Anu_C3)</f>
        <v>1.0096269637263711</v>
      </c>
      <c r="E26" s="133">
        <f>IF(E8&gt;DATEVALUE("12/31/2020"), ((IF(((A010_C4+pA010_C4)/2)=0,0,((A131_C4+AIS0020_C4)/((A010_C4+pA010_C4)/2))) * 100))*Anu_C4, ((IF(((A010_C4+pA010_C4)/2)=0,0,((A131_C4+A659_C4)/((A010_C4+pA010_C4)/2)))*100))*Anu_C4)</f>
        <v>1.0305818953566601</v>
      </c>
      <c r="F26" s="131" t="str">
        <f>IF(CU_NUMBER="","N/A",IF(PR_15_C4=0,"N/A",PR_15_C4))</f>
        <v>N/A</v>
      </c>
      <c r="G26" s="76" t="str">
        <f>IF(CU_NUMBER="","N/A",IF(E26="N/A","N/A",IF(AND(E26=0,R_15_C4&lt;&gt;0,),R_15_C4,IF(R_15_C4=0,"N/A",R_15_C4))))</f>
        <v>N/A</v>
      </c>
      <c r="H26" s="133">
        <f>IF(H8&gt;DATEVALUE("12/31/2020"), ((IF(((A010_C5+pA010_C5)/2)=0,0,((A131_C5+AIS0020_C5)/((A010_C5+pA010_C5)/2))) * 100))*Anu_C5, ((IF(((A010_C5+pA010_C5)/2)=0,0,((A131_C5+A659_C5)/((A010_C5+pA010_C5)/2)))*100))*Anu_C5)</f>
        <v>1.0440492251031435</v>
      </c>
      <c r="I26" s="131" t="str">
        <f>IF(CU_NUMBER="","N/A",IF(PR_15_C5=0,"N/A",PR_15_C5))</f>
        <v>N/A</v>
      </c>
      <c r="J26" s="76" t="str">
        <f>IF(CU_NUMBER="","N/A",IF(H26="N/A","N/A",IF(AND(H26=0,R_15_C5&lt;&gt;0,),R_15_C5,IF(R_15_C5=0,"N/A",R_15_C5))))</f>
        <v>N/A</v>
      </c>
      <c r="K26" s="63"/>
    </row>
    <row r="27" spans="1:11" ht="13.35" customHeight="1" x14ac:dyDescent="0.2">
      <c r="A27" s="86" t="s">
        <v>262</v>
      </c>
      <c r="B27" s="133">
        <f>IF((A010_C1+pA010_C1)/2=0, 0, (((A340_C1+A380_C1+A381_C1)/((A010_C1+pA010_C1)/2))*100)*Anu_C1)</f>
        <v>1.90660942719667</v>
      </c>
      <c r="C27" s="133">
        <f>IF((A010_C2+pA010_C2)/2=0, 0, (((A340_C2+A380_C2+A381_C2)/((A010_C2+pA010_C2)/2))*100)*Anu_C2)</f>
        <v>1.9267881761176331</v>
      </c>
      <c r="D27" s="133">
        <f>IF((A010_C3+pA010_C3)/2=0, 0, (((A340_C3+A380_C3+A381_C3)/((A010_C3+pA010_C3)/2))*100)*Anu_C3)</f>
        <v>1.832068228036142</v>
      </c>
      <c r="E27" s="133">
        <f>IF((A010_C4+pA010_C4)/2=0, 0, (((A340_C4+A380_C4+A381_C4)/((A010_C4+pA010_C4)/2))*100)*Anu_C4)</f>
        <v>1.8371579382324303</v>
      </c>
      <c r="F27" s="131" t="str">
        <f>IF(CU_NUMBER="","N/A",IF(PR_16_C4=0,"N/A",PR_16_C4))</f>
        <v>N/A</v>
      </c>
      <c r="G27" s="76" t="str">
        <f>IF(CU_NUMBER="","N/A",IF(E27="N/A","N/A",IF(AND(E27=0,R_16_C4&lt;&gt;0,),R_16_C4,IF(R_16_C4=0,"N/A",R_16_C4))))</f>
        <v>N/A</v>
      </c>
      <c r="H27" s="133">
        <f>IF((A010_C5+pA010_C5)/2=0, 0, (((A340_C5+A380_C5+A381_C5)/((A010_C5+pA010_C5)/2))*100)*Anu_C5)</f>
        <v>1.8353380219449982</v>
      </c>
      <c r="I27" s="131" t="str">
        <f>IF(CU_NUMBER="","N/A",IF(PR_16_C5=0,"N/A",PR_16_C5))</f>
        <v>N/A</v>
      </c>
      <c r="J27" s="76" t="str">
        <f>IF(CU_NUMBER="","N/A",IF(H27="N/A","N/A",IF(AND(H27=0,R_16_C5&lt;&gt;0,),R_16_C5,IF(R_16_C5=0,"N/A",R_16_C5))))</f>
        <v>N/A</v>
      </c>
      <c r="K27" s="63"/>
    </row>
    <row r="28" spans="1:11" ht="13.35" customHeight="1" x14ac:dyDescent="0.2">
      <c r="A28" s="86" t="s">
        <v>263</v>
      </c>
      <c r="B28" s="134">
        <f>IF(B8&gt;DATEVALUE("12/31/2020"), ((IF(((A010_C1+pA010_C1)/2)=0,0,((A115_C1+A131_C1+AIS0020_C1 - A350_C1)/((A010_C1+pA010_C1)/2)))*100))*Anu_C1,(( IF(((A010_C1+pA010_C1)/2)=0,0,((A115_C1 + A131_C1+ A659_C1-A350_C1)/((A010_C1+pA010_C1)/2)))*100))* Anu_C1)</f>
        <v>4.1334539566055373</v>
      </c>
      <c r="C28" s="133">
        <f>IF(C8&gt;DATEVALUE("12/31/2020"), ((IF(((A010_C2+pA010_C2)/2)=0,0,((A115_C2+A131_C2+AIS0020_C2 - A350_C2)/((A010_C2+pA010_C2)/2)))*100))*Anu_C2,(( IF(((A010_C2+pA010_C2)/2)=0,0,((A115_C2 + A131_C2+ A659_C2-A350_C2)/((A010_C2+pA010_C2)/2)))*100))* Anu_C2)</f>
        <v>4.1753308081731442</v>
      </c>
      <c r="D28" s="133">
        <f>IF(D8&gt;DATEVALUE("12/31/2020"), ((IF(((A010_C3+pA010_C3)/2)=0,0,((A115_C3+A131_C3+AIS0020_C3 - A350_C3)/((A010_C3+pA010_C3)/2)))*100))*Anu_C3,(( IF(((A010_C3+pA010_C3)/2)=0,0,((A115_C3 + A131_C3+ A659_C3-A350_C3)/((A010_C3+pA010_C3)/2)))*100))* Anu_C3)</f>
        <v>4.2456834756715818</v>
      </c>
      <c r="E28" s="133">
        <f>IF(E8&gt;DATEVALUE("12/31/2020"), ((IF(((A010_C4+pA010_C4)/2)=0,0,((A115_C4+A131_C4+AIS0020_C4 - A350_C4)/((A010_C4+pA010_C4)/2)))*100))*Anu_C4,(( IF(((A010_C4+pA010_C4)/2)=0,0,((A115_C4 + A131_C4+ A659_C4-A350_C4)/((A010_C4+pA010_C4)/2)))*100))* Anu_C4)</f>
        <v>4.3511300850695411</v>
      </c>
      <c r="F28" s="131" t="str">
        <f>IF(CU_NUMBER="","N/A",IF(PR_17_C4=0,"N/A",PR_17_C4))</f>
        <v>N/A</v>
      </c>
      <c r="G28" s="76" t="str">
        <f>IF(CU_NUMBER="","N/A",IF(E28="N/A","N/A",IF(AND(E28=0,R_17_C4&lt;&gt;0,),R_17_C4,IF(R_17_C4=0,"N/A",R_17_C4))))</f>
        <v>N/A</v>
      </c>
      <c r="H28" s="133">
        <f>IF(H8&gt;DATEVALUE("12/31/2020"), ((IF(((A010_C5+pA010_C5)/2)=0,0,((A115_C5+A131_C5+AIS0020_C5 - A350_C5)/((A010_C5+pA010_C5)/2)))*100))*Anu_C5,(( IF(((A010_C5+pA010_C5)/2)=0,0,((A115_C5 + A131_C5+ A659_C5-A350_C5)/((A010_C5+pA010_C5)/2)))*100))* Anu_C5)</f>
        <v>4.4238416646422278</v>
      </c>
      <c r="I28" s="131" t="str">
        <f>IF(CU_NUMBER="","N/A",IF(PR_17_C5=0,"N/A",PR_17_C5))</f>
        <v>N/A</v>
      </c>
      <c r="J28" s="76" t="str">
        <f>IF(CU_NUMBER="","N/A",IF(H28="N/A","N/A",IF(AND(H28=0,R_17_C5&lt;&gt;0,),R_17_C5,IF(R_17_C5=0,"N/A",R_17_C5))))</f>
        <v>N/A</v>
      </c>
      <c r="K28" s="63"/>
    </row>
    <row r="29" spans="1:11" ht="13.35" customHeight="1" x14ac:dyDescent="0.2">
      <c r="A29" s="86" t="s">
        <v>264</v>
      </c>
      <c r="B29" s="133">
        <f>IF((A010_C1+pA010_C1)/2=0, 0, (((A115_C1-A350_C1)/((A010_C1+pA010_C1)/2))*100)*Anu_C1)</f>
        <v>3.0871221171472492</v>
      </c>
      <c r="C29" s="133">
        <f>IF((A010_C2+pA010_C2)/2=0, 0, (((A115_C2-A350_C2)/((A010_C2+pA010_C2)/2))*100)*Anu_C2)</f>
        <v>3.1210393114648123</v>
      </c>
      <c r="D29" s="133">
        <f>IF((A010_C3+pA010_C3)/2=0, 0, (((A115_C3-A350_C3)/((A010_C3+pA010_C3)/2))*100)*Anu_C3)</f>
        <v>3.2360565119452116</v>
      </c>
      <c r="E29" s="133">
        <f>IF((A010_C4+pA010_C4)/2=0, 0, (((A115_C4-A350_C4)/((A010_C4+pA010_C4)/2))*100)*Anu_C4)</f>
        <v>3.3205481897128819</v>
      </c>
      <c r="F29" s="131" t="str">
        <f>IF(CU_NUMBER="","N/A",IF(PR_20_C4=0,"N/A",PR_20_C4))</f>
        <v>N/A</v>
      </c>
      <c r="G29" s="76" t="str">
        <f>IF(CU_NUMBER="","N/A",IF(E29="N/A","N/A",IF(AND(E29=0,R_20_C4&lt;&gt;0,),R_20_C4,IF(R_20_C4=0,"N/A",R_20_C4))))</f>
        <v>N/A</v>
      </c>
      <c r="H29" s="133">
        <f>IF((A010_C5+pA010_C5)/2=0, 0, (((A115_C5-A350_C5)/((A010_C5+pA010_C5)/2))*100)*Anu_C5)</f>
        <v>3.3797924395390844</v>
      </c>
      <c r="I29" s="131" t="str">
        <f>IF(CU_NUMBER="","N/A",IF(PR_20_C5=0,"N/A",PR_20_C5))</f>
        <v>N/A</v>
      </c>
      <c r="J29" s="76" t="str">
        <f>IF(CU_NUMBER="","N/A",IF(H29="N/A","N/A",IF(AND(H29=0,R_20_C5&lt;&gt;0,),R_20_C5,IF(R_20_C5=0,"N/A",R_20_C5))))</f>
        <v>N/A</v>
      </c>
      <c r="K29" s="63"/>
    </row>
    <row r="30" spans="1:11" ht="13.35" customHeight="1" x14ac:dyDescent="0.2">
      <c r="A30" s="86" t="s">
        <v>265</v>
      </c>
      <c r="B30" s="132">
        <f>IF(B8&gt;=DATEVALUE("3/31/2021"), (IF((A115_C1+A131_C1+AIS0020_C1)=0,0,(A671_C1/(A115_C1+A131_C1+AIS0020_C1))))* 100, IF(B8&gt;=DATEVALUE("3/31/2010"), (IF((A115_C1+A131_C1+A659_C1)=0,0,(A671_C1/(A115_C1+A131_C1+A659_C1))))*100, IF(B8&gt;=DATEVALUE("3/31/2009"), (IF((A115_C1+A131_C1+A659_C1)=0,0,((A671_C1+A311_C1)/(A115_C1+A131_C1+A659_C1))))*100, (IF((A115_C1+A131_C1+A659_C1)=0,0,(A671_C1/(A115_C1+A131_C1+A659_C1)))*100))))</f>
        <v>49.612871282525298</v>
      </c>
      <c r="C30" s="132">
        <f>IF(C8&gt;=DATEVALUE("3/31/2021"), (IF((A115_C2+A131_C2+AIS0020_C2)=0,0,(A671_C2/(A115_C2+A131_C2+AIS0020_C2))))* 100, IF(C8&gt;=DATEVALUE("3/31/2010"), (IF((A115_C2+A131_C2+A659_C2)=0,0,(A671_C2/(A115_C2+A131_C2+A659_C2))))*100, IF(C8&gt;=DATEVALUE("3/31/2009"), (IF((A115_C2+A131_C2+A659_C2)=0,0,((A671_C2+A311_C2)/(A115_C2+A131_C2+A659_C2))))*100, (IF((A115_C2+A131_C2+A659_C2)=0,0,(A671_C2/(A115_C2+A131_C2+A659_C2)))*100))))</f>
        <v>49.73349639776977</v>
      </c>
      <c r="D30" s="132">
        <f>IF(D8&gt;=DATEVALUE("3/31/2021"), (IF((A115_C3+A131_C3+AIS0020_C3)=0,0,(A671_C3/(A115_C3+A131_C3+AIS0020_C3))))* 100, IF(D8&gt;=DATEVALUE("3/31/2010"), (IF((A115_C3+A131_C3+A659_C3)=0,0,(A671_C3/(A115_C3+A131_C3+A659_C3))))*100, IF(D8&gt;=DATEVALUE("3/31/2009"), (IF((A115_C3+A131_C3+A659_C3)=0,0,((A671_C3+A311_C3)/(A115_C3+A131_C3+A659_C3))))*100, (IF((A115_C3+A131_C3+A659_C3)=0,0,(A671_C3/(A115_C3+A131_C3+A659_C3)))*100))))</f>
        <v>50.29906061060241</v>
      </c>
      <c r="E30" s="132">
        <f>IF(E8&gt;=DATEVALUE("3/31/2021"), (IF((A115_C4+A131_C4+AIS0020_C4)=0,0,(A671_C4/(A115_C4+A131_C4+AIS0020_C4))))* 100, IF(E8&gt;=DATEVALUE("3/31/2010"), (IF((A115_C4+A131_C4+A659_C4)=0,0,(A671_C4/(A115_C4+A131_C4+A659_C4))))*100, IF(E8&gt;=DATEVALUE("3/31/2009"), (IF((A115_C4+A131_C4+A659_C4)=0,0,((A671_C4+A311_C4)/(A115_C4+A131_C4+A659_C4))))*100, (IF((A115_C4+A131_C4+A659_C4)=0,0,(A671_C4/(A115_C4+A131_C4+A659_C4)))*100))))</f>
        <v>49.970500777131107</v>
      </c>
      <c r="F30" s="132" t="str">
        <f>IF(CU_NUMBER="","N/A",IF(PR_21_C4=0,"N/A",PR_21_C4))</f>
        <v>N/A</v>
      </c>
      <c r="G30" s="76" t="str">
        <f>IF(CU_NUMBER="","N/A",IF(E30="N/A","N/A",IF(AND(E30=0,R_21_C4&lt;&gt;0,),R_21_C4,IF(R_21_C4=0,"N/A",R_21_C4))))</f>
        <v>N/A</v>
      </c>
      <c r="H30" s="132">
        <f>IF(H8&gt;=DATEVALUE("3/31/2021"), (IF((A115_C5+A131_C5+AIS0020_C5)=0,0,(A671_C5/(A115_C5+A131_C5+AIS0020_C5))))* 100, IF(H8&gt;=DATEVALUE("3/31/2010"), (IF((A115_C5+A131_C5+A659_C5)=0,0,(A671_C5/(A115_C5+A131_C5+A659_C5))))*100, IF(H8&gt;=DATEVALUE("3/31/2009"), (IF((A115_C5+A131_C5+A659_C5)=0,0,((A671_C5+A311_C5)/(A115_C5+A131_C5+A659_C5))))*100, (IF((A115_C5+A131_C5+A659_C5)=0,0,(A671_C5/(A115_C5+A131_C5+A659_C5)))*100))))</f>
        <v>49.677872169583999</v>
      </c>
      <c r="I30" s="131" t="str">
        <f>IF(CU_NUMBER="","N/A",IF(PR_21_C5=0,"N/A",PR_21_C5))</f>
        <v>N/A</v>
      </c>
      <c r="J30" s="76" t="str">
        <f>IF(CU_NUMBER="","N/A",IF(H30="N/A","N/A",IF(AND(H30=0,R_21_C5&lt;&gt;0,),R_21_C5,IF(R_21_C5=0,"N/A",R_21_C5))))</f>
        <v>N/A</v>
      </c>
      <c r="K30" s="63"/>
    </row>
    <row r="31" spans="1:11" s="72" customFormat="1" ht="13.35" customHeight="1" x14ac:dyDescent="0.2">
      <c r="A31" s="144" t="s">
        <v>266</v>
      </c>
      <c r="B31" s="133">
        <f>IF(B8&gt;DATEVALUE("3/31/2022"),IF(A010_C1=0,0,((A007_C1+A008_C1+A798A_C1)/A010_C1))*100,IF(B8&gt;=DATEVALUE("3/31/2008"),IF(A010_C1=0,0,((A007_C1+A008_C1+A798A_C1+A980_C1)/A010_C1)*100),IF(A010_C1=0,0,((A007_C1+A008_C1+A798_C1)/A010_C1))*100))</f>
        <v>1.8287890222957122</v>
      </c>
      <c r="C31" s="133">
        <f>IF(C8&gt;DATEVALUE("3/31/2022"),IF(A010_C2=0,0,((A007_C2+A008_C2+A798A_C2)/A010_C2))*100,IF(C8&gt;=DATEVALUE("3/31/2008"),IF(A010_C2=0,0,((A007_C2+A008_C2+A798A_C2+A980_C2)/A010_C2)*100),IF(A010_C2=0,0,((A007_C2+A008_C2+A798_C2)/A010_C2))*100))</f>
        <v>1.8565150582705394</v>
      </c>
      <c r="D31" s="133">
        <f>IF(D8&gt;DATEVALUE("3/31/2022"),IF(A010_C3=0,0,((A007_C3+A008_C3+A798A_C3)/A010_C3))*100,IF(D8&gt;=DATEVALUE("3/31/2008"),IF(A010_C3=0,0,((A007_C3+A008_C3+A798A_C3+A980_C3)/A010_C3)*100),IF(A010_C3=0,0,((A007_C3+A008_C3+A798_C3)/A010_C3))*100))</f>
        <v>1.8239819955669225</v>
      </c>
      <c r="E31" s="133">
        <f>IF(E8&gt;DATEVALUE("3/31/2022"),IF(A010_C4=0,0,((A007_C4+A008_C4+A798A_C4)/A010_C4))*100,IF(E8&gt;=DATEVALUE("3/31/2008"),IF(A010_C4=0,0,((A007_C4+A008_C4+A798A_C4+A980_C4)/A010_C4)*100),IF(A010_C4=0,0,((A007_C4+A008_C4+A798_C4)/A010_C4))*100))</f>
        <v>1.829600595756576</v>
      </c>
      <c r="F31" s="131" t="str">
        <f>IF(CU_NUMBER="","N/A",IF(PR_22_C4=0,"N/A",PR_22_C4))</f>
        <v>N/A</v>
      </c>
      <c r="G31" s="76" t="str">
        <f>IF(CU_NUMBER="","N/A",IF(E31="N/A","N/A",IF(AND(E31=0,R_22_C4&lt;&gt;0,),R_22_C4,IF(R_22_C4=0,"N/A",R_22_C4))))</f>
        <v>N/A</v>
      </c>
      <c r="H31" s="133">
        <f>IF(H8&gt;DATEVALUE("3/31/2022"),IF(A010_C5=0,0,((A007_C5+A008_C5+A798A_C5)/A010_C5))*100,IF(H8&gt;=DATEVALUE("3/31/2008"),IF(A010_C5=0,0,((A007_C5+A008_C5+A798A_C5+A980_C5)/A010_C5)*100),IF(A010_C5=0,0,((A007_C5+A008_C5+A798_C5)/A010_C5))*100))</f>
        <v>1.8370833690451192</v>
      </c>
      <c r="I31" s="131" t="str">
        <f>IF(CU_NUMBER="","N/A",IF(PR_22_C5=0,"N/A",PR_22_C5))</f>
        <v>N/A</v>
      </c>
      <c r="J31" s="76" t="str">
        <f>IF(CU_NUMBER="","N/A",IF(H31="N/A","N/A",IF(AND(H31=0,R_22_C5&lt;&gt;0,),R_22_C5,IF(R_22_C5=0,"N/A",R_22_C5))))</f>
        <v>N/A</v>
      </c>
      <c r="K31" s="66"/>
    </row>
    <row r="32" spans="1:11" ht="13.35" customHeight="1" x14ac:dyDescent="0.2">
      <c r="A32" s="127" t="s">
        <v>267</v>
      </c>
      <c r="B32" s="133">
        <f>IF(((A010_C1+pA010_C1)/2)=0,0,((A671_C1-A131_C1)/((A010_C1+pA010_C1)/2))*100*Anu_C1)</f>
        <v>2.5634113238944312</v>
      </c>
      <c r="C32" s="133">
        <f>IF(((A010_C2+pA010_C2)/2)=0,0,((A671_C2-A131_C2)/((A010_C2+pA010_C2)/2))*100*Anu_C2)</f>
        <v>2.593785035209148</v>
      </c>
      <c r="D32" s="133">
        <f>IF(((A010_C3+pA010_C3)/2)=0,0,((A671_C3-A131_C3)/((A010_C3+pA010_C3)/2))*100*Anu_C3)</f>
        <v>2.6499357888059474</v>
      </c>
      <c r="E32" s="133">
        <f>IF(((A010_C4+pA010_C4)/2)=0,0,((A671_C4-A131_C4)/((A010_C4+pA010_C4)/2))*100*Anu_C4)</f>
        <v>2.6805814950127331</v>
      </c>
      <c r="F32" s="131" t="str">
        <f>IF(CU_NUMBER="","N/A",IF(PR_23_C4=0,"N/A",PR_23_C4))</f>
        <v>N/A</v>
      </c>
      <c r="G32" s="76" t="str">
        <f>IF(CU_NUMBER="","N/A",IF(E32="N/A","N/A",IF(AND(E32=0,R_23_C4&lt;&gt;0,),R_23_C4,IF(R_23_C4=0,"N/A",R_23_C4))))</f>
        <v>N/A</v>
      </c>
      <c r="H32" s="133">
        <f>IF(((A010_C5+pA010_C5)/2)=0,0,((A671_C5-A131_C5)/((A010_C5+pA010_C5)/2))*100*Anu_C5)</f>
        <v>2.6887222053519797</v>
      </c>
      <c r="I32" s="131" t="str">
        <f>IF(CU_NUMBER="","N/A",IF(PR_23_C5=0,"N/A",PR_23_C5))</f>
        <v>N/A</v>
      </c>
      <c r="J32" s="76" t="str">
        <f>IF(CU_NUMBER="","N/A",IF(H32="N/A","N/A",IF(AND(H32=0,R_23_C5&lt;&gt;0,),R_23_C5,IF(R_23_C5=0,"N/A",R_23_C5))))</f>
        <v>N/A</v>
      </c>
      <c r="K32" s="63"/>
    </row>
    <row r="33" spans="1:11" ht="13.35" customHeight="1" x14ac:dyDescent="0.2">
      <c r="A33" s="123" t="s">
        <v>268</v>
      </c>
      <c r="B33" s="133"/>
      <c r="C33" s="133"/>
      <c r="D33" s="133"/>
      <c r="E33" s="133"/>
      <c r="F33" s="131"/>
      <c r="G33" s="76"/>
      <c r="H33" s="133"/>
      <c r="I33" s="131"/>
      <c r="J33" s="76"/>
      <c r="K33" s="63"/>
    </row>
    <row r="34" spans="1:11" ht="13.35" customHeight="1" x14ac:dyDescent="0.2">
      <c r="A34" s="127" t="s">
        <v>269</v>
      </c>
      <c r="B34" s="133">
        <f>IF(B8&gt;DATEVALUE("12/31/2021"),IF(A010_C1=0,0,((A703A_C1+A386A_C1+A386B_C1-ARL0050_C1+A718A3_C1+A718A4_C1-ACM0099_C1+ANV0155_C1+ANV0156_C1+ANV0157_C1+A007_C1+A008_C1+A794_C1)/A010_C1))*100,IF(A010_C1=0,0,((A703A_C1+A386A_C1+A386B_C1-A712_C1+A400T1_C1+A799C1_C1+A799C2_C1+A799D_C1+A007_C1+A008_C1+A794_C1)/A010_C1))*100)</f>
        <v>35.074102262649291</v>
      </c>
      <c r="C34" s="133">
        <f>IF(C8&gt;DATEVALUE("12/31/2021"),IF(A010_C2=0,0,((A703A_C2+A386A_C2+A386B_C2-ARL0050_C2+A718A3_C2+A718A4_C2-ACM0099_C2+ANV0155_C2+ANV0156_C2+ANV0157_C2+A007_C2+A008_C2+A794_C2)/A010_C2))*100,IF(A010_C2=0,0,((A703A_C2+A386A_C2+A386B_C2-A712_C2+A400T1_C2+A799C1_C2+A799C2_C2+A799D_C2+A007_C2+A008_C2+A794_C2)/A010_C2))*100)</f>
        <v>35.158778412277123</v>
      </c>
      <c r="D34" s="133">
        <f>IF(D8&gt;DATEVALUE("12/31/2021"),IF(A010_C3=0,0,((A703A_C3+A386A_C3+A386B_C3-ARL0050_C3+A718A3_C3+A718A4_C3-ACM0099_C3+ANV0155_C3+ANV0156_C3+ANV0157_C3+A007_C3+A008_C3+A794_C3)/A010_C3))*100,IF(A010_C3=0,0,((A703A_C3+A386A_C3+A386B_C3-A712_C3+A400T1_C3+A799C1_C3+A799C2_C3+A799D_C3+A007_C3+A008_C3+A794_C3)/A010_C3))*100)</f>
        <v>34.477504664102746</v>
      </c>
      <c r="E34" s="133">
        <f>IF(E8&gt;DATEVALUE("12/31/2021"),IF(A010_C4=0,0,((A703A_C4+A386A_C4+A386B_C4-ARL0050_C4+A718A3_C4+A718A4_C4-ACM0099_C4+ANV0155_C4+ANV0156_C4+ANV0157_C4+A007_C4+A008_C4+A794_C4)/A010_C4))*100,IF(A010_C4=0,0,((A703A_C4+A386A_C4+A386B_C4-A712_C4+A400T1_C4+A799C1_C4+A799C2_C4+A799D_C4+A007_C4+A008_C4+A794_C4)/A010_C4))*100)</f>
        <v>34.762022341317753</v>
      </c>
      <c r="F34" s="131" t="str">
        <f>IF(CU_NUMBER="","N/A",IF(PR_24_C4=0,"N/A",PR_24_C4))</f>
        <v>N/A</v>
      </c>
      <c r="G34" s="76" t="str">
        <f>IF(CU_NUMBER="","N/A",IF(E34="N/A","N/A",IF(AND(E34=0,R_24_C4&lt;&gt;0,),R_24_C4,IF(R_24_C4=0,"N/A",R_24_C4))))</f>
        <v>N/A</v>
      </c>
      <c r="H34" s="133">
        <f>IF(H8&gt;DATEVALUE("12/31/2021"),IF(A010_C5=0,0,((A703A_C5+A386A_C5+A386B_C5-ARL0050_C5+A718A3_C5+A718A4_C5-ACM0099_C5+ANV0155_C5+ANV0156_C5+ANV0157_C5+A007_C5+A008_C5+A794_C5)/A010_C5))*100,IF(A010_C5=0,0,((A703A_C5+A386A_C5+A386B_C5-A712_C5+A400T1_C5+A799C1_C5+A799C2_C5+A799D_C5+A007_C5+A008_C5+A794_C5)/A010_C5))*100)</f>
        <v>34.943091573155897</v>
      </c>
      <c r="I34" s="131" t="str">
        <f>IF(CU_NUMBER="","N/A",IF(PR_24_C5=0,"N/A",PR_24_C5))</f>
        <v>N/A</v>
      </c>
      <c r="J34" s="76" t="str">
        <f>IF(CU_NUMBER="","N/A",IF(H34="N/A","N/A",IF(AND(H34=0,R_24_C5&lt;&gt;0,),R_24_C5,IF(R_24_C5=0,"N/A",R_24_C5))))</f>
        <v>N/A</v>
      </c>
      <c r="K34" s="63"/>
    </row>
    <row r="35" spans="1:11" ht="13.35" customHeight="1" x14ac:dyDescent="0.2">
      <c r="A35" s="127" t="s">
        <v>270</v>
      </c>
      <c r="B35" s="133">
        <f>IF(B8&gt;DATEVALUE("12/31/2021"),IF((A018_C1+A860C_C1)=0,0,(A657_C1/(A018_C1+A860C_C1)))*100,IF((A018_C1+A860C_C1-A781_C1)=0,0,(A657_C1/(A018_C1+A860C_C1-A781_C1)))*100)</f>
        <v>26.910176439240431</v>
      </c>
      <c r="C35" s="133">
        <f>IF(C8&gt;DATEVALUE("12/31/2021"),IF((A018_C2+A860C_C2)=0,0,(A657_C2/(A018_C2+A860C_C2)))*100,IF((A018_C2+A860C_C2-A781_C2)=0,0,(A657_C2/(A018_C2+A860C_C2-A781_C2)))*100)</f>
        <v>27.022551171939096</v>
      </c>
      <c r="D35" s="133">
        <f>IF(D8&gt;DATEVALUE("12/31/2021"),IF((A018_C3+A860C_C3)=0,0,(A657_C3/(A018_C3+A860C_C3)))*100,IF((A018_C3+A860C_C3-A781_C3)=0,0,(A657_C3/(A018_C3+A860C_C3-A781_C3)))*100)</f>
        <v>27.315521410425418</v>
      </c>
      <c r="E35" s="133">
        <f>IF(E8&gt;DATEVALUE("12/31/2021"),IF((A018_C4+A860C_C4)=0,0,(A657_C4/(A018_C4+A860C_C4)))*100,IF((A018_C4+A860C_C4-A781_C4)=0,0,(A657_C4/(A018_C4+A860C_C4-A781_C4)))*100)</f>
        <v>27.128466712117095</v>
      </c>
      <c r="F35" s="131" t="str">
        <f>IF(CU_NUMBER="","N/A",IF(PR_25_C4=0,"N/A",PR_25_C4))</f>
        <v>N/A</v>
      </c>
      <c r="G35" s="76" t="str">
        <f>IF(CU_NUMBER="","N/A",IF(E35="N/A","N/A",IF(AND(E35=0,R_25_C4&lt;&gt;0,),R_25_C4,IF(R_25_C4=0,"N/A",R_25_C4))))</f>
        <v>N/A</v>
      </c>
      <c r="H35" s="133">
        <f>IF(H8&gt;DATEVALUE("12/31/2021"),IF((A018_C5+A860C_C5)=0,0,(A657_C5/(A018_C5+A860C_C5)))*100,IF((A018_C5+A860C_C5-A781_C5)=0,0,(A657_C5/(A018_C5+A860C_C5-A781_C5)))*100)</f>
        <v>26.709932613646288</v>
      </c>
      <c r="I35" s="131" t="str">
        <f>IF(CU_NUMBER="","N/A",IF(PR_25_C5=0,"N/A",PR_25_C5))</f>
        <v>N/A</v>
      </c>
      <c r="J35" s="76" t="str">
        <f>IF(CU_NUMBER="","N/A",IF(H35="N/A","N/A",IF(AND(H35=0,R_25_C5&lt;&gt;0,),R_25_C5,IF(R_25_C5=0,"N/A",R_25_C5))))</f>
        <v>N/A</v>
      </c>
      <c r="K35" s="63"/>
    </row>
    <row r="36" spans="1:11" ht="13.35" customHeight="1" x14ac:dyDescent="0.2">
      <c r="A36" s="86" t="s">
        <v>271</v>
      </c>
      <c r="B36" s="133">
        <f>IF(A018_C1=0, 0, (A025B_C1/A018_C1)*100)</f>
        <v>84.269693412659194</v>
      </c>
      <c r="C36" s="133">
        <f>IF(A018_C2=0, 0, (A025B_C2/A018_C2)*100)</f>
        <v>83.970695133893514</v>
      </c>
      <c r="D36" s="133">
        <f>IF(A018_C3=0, 0, (A025B_C3/A018_C3)*100)</f>
        <v>81.849319712426038</v>
      </c>
      <c r="E36" s="133">
        <f>IF(A018_C4=0, 0, (A025B_C4/A018_C4)*100)</f>
        <v>83.146533645384196</v>
      </c>
      <c r="F36" s="131" t="str">
        <f>IF(CU_NUMBER="","N/A",IF(PR_26_C4=0,"N/A",PR_26_C4))</f>
        <v>N/A</v>
      </c>
      <c r="G36" s="76" t="str">
        <f>IF(CU_NUMBER="","N/A",IF(E36="N/A","N/A",IF(AND(E36=0,R_26_C4&lt;&gt;0,),R_26_C4,IF(R_26_C4=0,"N/A",R_26_C4))))</f>
        <v>N/A</v>
      </c>
      <c r="H36" s="133">
        <f>IF(A018_C5=0, 0, (A025B_C5/A018_C5)*100)</f>
        <v>83.72577201833279</v>
      </c>
      <c r="I36" s="131" t="str">
        <f>IF(CU_NUMBER="","N/A",IF(PR_26_C5=0,"N/A",PR_26_C5))</f>
        <v>N/A</v>
      </c>
      <c r="J36" s="76" t="str">
        <f>IF(CU_NUMBER="","N/A",IF(H36="N/A","N/A",IF(AND(H36=0,R_26_C5&lt;&gt;0,),R_26_C5,IF(R_26_C5=0,"N/A",R_26_C5))))</f>
        <v>N/A</v>
      </c>
      <c r="K36" s="63"/>
    </row>
    <row r="37" spans="1:11" ht="13.35" customHeight="1" x14ac:dyDescent="0.2">
      <c r="A37" s="86" t="s">
        <v>272</v>
      </c>
      <c r="B37" s="133">
        <f>IF(B8&gt;DATEVALUE("12/31/2021"),IF((A025B_C1+ANV0158_C1+A730B_C1)=0,0,((A018_C1+A860C_C1)/(A025B_C1+ANV0158_C1+A730B_C1)))*100,IF((A025B_C1+A799I_C1+A730B_C1+A730C_C1-A781_C1)=0,0,((A018_C1+A860C_C1-A781_C1)/(A025B_C1+A799I_C1+A730B_C1+A730C_C1-A781_C1)))*100)</f>
        <v>94.06239560276876</v>
      </c>
      <c r="C37" s="133">
        <f>IF(C8&gt;DATEVALUE("12/31/2021"),IF((A025B_C2+ANV0158_C2+A730B_C2)=0,0,((A018_C2+A860C_C2)/(A025B_C2+ANV0158_C2+A730B_C2)))*100,IF((A025B_C2+A799I_C2+A730B_C2+A730C_C2-A781_C2)=0,0,((A018_C2+A860C_C2-A781_C2)/(A025B_C2+A799I_C2+A730B_C2+A730C_C2-A781_C2)))*100)</f>
        <v>94.266914526845326</v>
      </c>
      <c r="D37" s="133">
        <f>IF(D8&gt;DATEVALUE("12/31/2021"),IF((A025B_C3+ANV0158_C3+A730B_C3)=0,0,((A018_C3+A860C_C3)/(A025B_C3+ANV0158_C3+A730B_C3)))*100,IF((A025B_C3+A799I_C3+A730B_C3+A730C_C3-A781_C3)=0,0,((A018_C3+A860C_C3-A781_C3)/(A025B_C3+A799I_C3+A730B_C3+A730C_C3-A781_C3)))*100)</f>
        <v>94.17467840056905</v>
      </c>
      <c r="E37" s="133">
        <f>IF(E8&gt;DATEVALUE("12/31/2021"),IF((A025B_C4+ANV0158_C4+A730B_C4)=0,0,((A018_C4+A860C_C4)/(A025B_C4+ANV0158_C4+A730B_C4)))*100,IF((A025B_C4+A799I_C4+A730B_C4+A730C_C4-A781_C4)=0,0,((A018_C4+A860C_C4-A781_C4)/(A025B_C4+A799I_C4+A730B_C4+A730C_C4-A781_C4)))*100)</f>
        <v>93.971841955519437</v>
      </c>
      <c r="F37" s="131" t="str">
        <f>IF(CU_NUMBER="","N/A",IF(PR_29_C4=0,"N/A",PR_29_C4))</f>
        <v>N/A</v>
      </c>
      <c r="G37" s="76" t="str">
        <f>IF(CU_NUMBER="","N/A",IF(E37="N/A","N/A",IF(AND(E37=0,R_29_C4&lt;&gt;0,),R_29_C4,IF(R_29_C4=0,"N/A",R_29_C4))))</f>
        <v>N/A</v>
      </c>
      <c r="H37" s="133">
        <f>IF(H8&gt;DATEVALUE("12/31/2021"),IF((A025B_C5+ANV0158_C5+A730B_C5)=0,0,((A018_C5+A860C_C5)/(A025B_C5+ANV0158_C5+A730B_C5)))*100,IF((A025B_C5+A799I_C5+A730B_C5+A730C_C5-A781_C5)=0,0,((A018_C5+A860C_C5-A781_C5)/(A025B_C5+A799I_C5+A730B_C5+A730C_C5-A781_C5)))*100)</f>
        <v>93.672606838719602</v>
      </c>
      <c r="I37" s="131" t="str">
        <f>IF(CU_NUMBER="","N/A",IF(PR_29_C5=0,"N/A",PR_29_C5))</f>
        <v>N/A</v>
      </c>
      <c r="J37" s="76" t="str">
        <f>IF(CU_NUMBER="","N/A",IF(H37="N/A","N/A",IF(AND(H37=0,R_29_C5&lt;&gt;0,),R_29_C5,IF(R_29_C5=0,"N/A",R_29_C5))))</f>
        <v>N/A</v>
      </c>
      <c r="K37" s="63"/>
    </row>
    <row r="38" spans="1:11" ht="13.35" customHeight="1" x14ac:dyDescent="0.2">
      <c r="A38" s="86" t="s">
        <v>273</v>
      </c>
      <c r="B38" s="133">
        <f>IF(B8&gt;DATEVALUE("12/31/2021"),IF((A018_C1+A860C_C1)=0,0,((A902_C1+A657_C1)/(A018_C1+A860C_C1)))*100,IF((A018_C1+A860C_C1-A781_C1)=0,0,((A902_C1+A657_C1)/(A018_C1+A860C_C1-A781_C1)))*100)</f>
        <v>45.031826867317427</v>
      </c>
      <c r="C38" s="133">
        <f>IF(C8&gt;DATEVALUE("12/31/2021"),IF((A018_C2+A860C_C2)=0,0,((A902_C2+A657_C2)/(A018_C2+A860C_C2)))*100,IF((A018_C2+A860C_C2-A781_C2)=0,0,((A902_C2+A657_C2)/(A018_C2+A860C_C2-A781_C2)))*100)</f>
        <v>45.436922714194274</v>
      </c>
      <c r="D38" s="133">
        <f>IF(D8&gt;DATEVALUE("12/31/2021"),IF((A018_C3+A860C_C3)=0,0,((A902_C3+A657_C3)/(A018_C3+A860C_C3)))*100,IF((A018_C3+A860C_C3-A781_C3)=0,0,((A902_C3+A657_C3)/(A018_C3+A860C_C3-A781_C3)))*100)</f>
        <v>46.189099822894448</v>
      </c>
      <c r="E38" s="133">
        <f>IF(E8&gt;DATEVALUE("12/31/2021"),IF((A018_C4+A860C_C4)=0,0,((A902_C4+A657_C4)/(A018_C4+A860C_C4)))*100,IF((A018_C4+A860C_C4-A781_C4)=0,0,((A902_C4+A657_C4)/(A018_C4+A860C_C4-A781_C4)))*100)</f>
        <v>45.630579514718349</v>
      </c>
      <c r="F38" s="131" t="str">
        <f>IF(CU_NUMBER="","N/A",IF(PR_30_C4=0,"N/A",PR_30_C4))</f>
        <v>N/A</v>
      </c>
      <c r="G38" s="76" t="str">
        <f>IF(CU_NUMBER="","N/A",IF(E38="N/A","N/A",IF(AND(E38=0,R_30_C4&lt;&gt;0,),R_30_C4,IF(R_30_C4=0,"N/A",R_30_C4))))</f>
        <v>N/A</v>
      </c>
      <c r="H38" s="133">
        <f>IF(H8&gt;DATEVALUE("12/31/2021"),IF((A018_C5+A860C_C5)=0,0,((A902_C5+A657_C5)/(A018_C5+A860C_C5)))*100,IF((A018_C5+A860C_C5-A781_C5)=0,0,((A902_C5+A657_C5)/(A018_C5+A860C_C5-A781_C5)))*100)</f>
        <v>45.140963566689322</v>
      </c>
      <c r="I38" s="131" t="str">
        <f>IF(CU_NUMBER="","N/A",IF(PR_30_C5=0,"N/A",PR_30_C5))</f>
        <v>N/A</v>
      </c>
      <c r="J38" s="76" t="str">
        <f>IF(CU_NUMBER="","N/A",IF(H38="N/A","N/A",IF(AND(H38=0,R_30_C5&lt;&gt;0,),R_30_C5,IF(R_30_C5=0,"N/A",R_30_C5))))</f>
        <v>N/A</v>
      </c>
      <c r="K38" s="63"/>
    </row>
    <row r="39" spans="1:11" ht="13.35" customHeight="1" x14ac:dyDescent="0.2">
      <c r="A39" s="86" t="s">
        <v>274</v>
      </c>
      <c r="B39" s="133">
        <f>IF(B8&gt;DATEVALUE("12/31/2021"),IF((A018_C1+A997_C1)=0,0,(A860C_C1/(A018_C1+A997_C1)))*100,IF((A018_C1+A997_C1)=0,0,((A860C_C1-A781_C1)/(A018_C1+A997_C1)))*100)</f>
        <v>5.5583157946656367</v>
      </c>
      <c r="C39" s="133">
        <f>IF(C8&gt;DATEVALUE("12/31/2021"),IF((A018_C2+A997_C2)=0,0,(A860C_C2/(A018_C2+A997_C2)))*100,IF((A018_C2+A997_C2)=0,0,((A860C_C2-A781_C2)/(A018_C2+A997_C2)))*100)</f>
        <v>4.3499626711969057</v>
      </c>
      <c r="D39" s="133">
        <f>IF(D8&gt;DATEVALUE("12/31/2021"),IF((A018_C3+A997_C3)=0,0,(A860C_C3/(A018_C3+A997_C3)))*100,IF((A018_C3+A997_C3)=0,0,((A860C_C3-A781_C3)/(A018_C3+A997_C3)))*100)</f>
        <v>3.8305178419093178</v>
      </c>
      <c r="E39" s="133">
        <f>IF(E8&gt;DATEVALUE("12/31/2021"),IF((A018_C4+A997_C4)=0,0,(A860C_C4/(A018_C4+A997_C4)))*100,IF((A018_C4+A997_C4)=0,0,((A860C_C4-A781_C4)/(A018_C4+A997_C4)))*100)</f>
        <v>3.9372916036768673</v>
      </c>
      <c r="F39" s="131" t="str">
        <f>IF(CU_NUMBER="","N/A",IF(PR_31_C4=0,"N/A",PR_31_C4))</f>
        <v>N/A</v>
      </c>
      <c r="G39" s="76" t="str">
        <f>IF(CU_NUMBER="","N/A",IF(E39="N/A","N/A",IF(AND(E39=0,R_31_C4&lt;&gt;0,),R_31_C4,IF(R_31_C4=0,"N/A",R_31_C4))))</f>
        <v>N/A</v>
      </c>
      <c r="H39" s="133">
        <f>IF(H8&gt;DATEVALUE("12/31/2021"),IF((A018_C5+A997_C5)=0,0,(A860C_C5/(A018_C5+A997_C5)))*100,IF((A018_C5+A997_C5)=0,0,((A860C_C5-A781_C5)/(A018_C5+A997_C5)))*100)</f>
        <v>3.8123713812317779</v>
      </c>
      <c r="I39" s="131" t="str">
        <f>IF(CU_NUMBER="","N/A",IF(PR_31_C5=0,"N/A",PR_31_C5))</f>
        <v>N/A</v>
      </c>
      <c r="J39" s="76" t="str">
        <f>IF(CU_NUMBER="","N/A",IF(H39="N/A","N/A",IF(AND(H39=0,R_31_C5&lt;&gt;0,),R_31_C5,IF(R_31_C5=0,"N/A",R_31_C5))))</f>
        <v>N/A</v>
      </c>
      <c r="K39" s="63"/>
    </row>
    <row r="40" spans="1:11" ht="13.35" customHeight="1" x14ac:dyDescent="0.2">
      <c r="A40" s="123" t="s">
        <v>275</v>
      </c>
      <c r="B40" s="164"/>
      <c r="C40" s="164"/>
      <c r="D40" s="164"/>
      <c r="E40" s="164"/>
      <c r="F40" s="131"/>
      <c r="G40" s="76"/>
      <c r="H40" s="164"/>
      <c r="I40" s="131"/>
      <c r="J40" s="76"/>
      <c r="K40" s="63"/>
    </row>
    <row r="41" spans="1:11" ht="13.35" customHeight="1" x14ac:dyDescent="0.2">
      <c r="A41" s="86" t="s">
        <v>276</v>
      </c>
      <c r="B41" s="133">
        <f>IF(A084_C1=0,0,(A083_C1/A084_C1)*100)</f>
        <v>2.8606920284310022</v>
      </c>
      <c r="C41" s="133">
        <f>IF(A084_C2=0,0,(A083_C2/A084_C2)*100)</f>
        <v>2.8585802680962904</v>
      </c>
      <c r="D41" s="133">
        <f>IF(A084_C3=0,0,(A083_C3/A084_C3)*100)</f>
        <v>2.8193385206520318</v>
      </c>
      <c r="E41" s="133">
        <f>IF(A084_C4=0,0,(A083_C4/A084_C4)*100)</f>
        <v>2.8250821558469532</v>
      </c>
      <c r="F41" s="131" t="str">
        <f>IF(CU_NUMBER="","N/A",IF(PR_32_C4=0,"N/A",PR_32_C4))</f>
        <v>N/A</v>
      </c>
      <c r="G41" s="76" t="str">
        <f>IF(CU_NUMBER="","N/A",IF(E41="N/A","N/A",IF(AND(E41=0,R_32_C4&lt;&gt;0,),R_32_C4,IF(R_32_C4=0,"N/A",R_32_C4))))</f>
        <v>N/A</v>
      </c>
      <c r="H41" s="133">
        <f>IF(A084_C5=0,0,(A083_C5/A084_C5)*100)</f>
        <v>2.7727821484358253</v>
      </c>
      <c r="I41" s="131" t="str">
        <f>IF(CU_NUMBER="","N/A",IF(PR_32_C5=0,"N/A",PR_32_C5))</f>
        <v>N/A</v>
      </c>
      <c r="J41" s="76" t="str">
        <f>IF(CU_NUMBER="","N/A",IF(H41="N/A","N/A",IF(AND(H41=0,R_32_C5&lt;&gt;0,),R_32_C5,IF(R_32_C5=0,"N/A",R_32_C5))))</f>
        <v>N/A</v>
      </c>
      <c r="K41" s="63"/>
    </row>
    <row r="42" spans="1:11" ht="13.35" customHeight="1" x14ac:dyDescent="0.2">
      <c r="A42" s="86" t="s">
        <v>277</v>
      </c>
      <c r="B42" s="133">
        <f>IF(A083_C1=0,0,(A025A_C1/A083_C1)*100)</f>
        <v>62.804560411779285</v>
      </c>
      <c r="C42" s="133">
        <f>IF(A083_C2=0,0,(A025A_C2/A083_C2)*100)</f>
        <v>62.775737382470595</v>
      </c>
      <c r="D42" s="133">
        <f>IF(A083_C3=0,0,(A025A_C3/A083_C3)*100)</f>
        <v>61.740385431451564</v>
      </c>
      <c r="E42" s="133">
        <f>IF(A083_C4=0,0,(A025A_C4/A083_C4)*100)</f>
        <v>61.776174355005978</v>
      </c>
      <c r="F42" s="131" t="str">
        <f>IF(CU_NUMBER="","N/A",IF(PR_33_C4=0,"N/A",PR_33_C4))</f>
        <v>N/A</v>
      </c>
      <c r="G42" s="76" t="str">
        <f>IF(CU_NUMBER="","N/A",IF(E42="N/A","N/A",IF(AND(E42=0,R_33_C4&lt;&gt;0,),R_33_C4,IF(R_33_C4=0,"N/A",R_33_C4))))</f>
        <v>N/A</v>
      </c>
      <c r="H42" s="133">
        <f>IF(A083_C5=0,0,(A025A_C5/A083_C5)*100)</f>
        <v>61.387831497032096</v>
      </c>
      <c r="I42" s="131" t="str">
        <f>IF(CU_NUMBER="","N/A",IF(PR_33_C5=0,"N/A",PR_33_C5))</f>
        <v>N/A</v>
      </c>
      <c r="J42" s="76" t="str">
        <f>IF(CU_NUMBER="","N/A",IF(H42="N/A","N/A",IF(AND(H42=0,R_33_C5&lt;&gt;0,),R_33_C5,IF(R_33_C5=0,"N/A",R_33_C5))))</f>
        <v>N/A</v>
      </c>
      <c r="K42" s="63"/>
    </row>
    <row r="43" spans="1:11" ht="13.35" customHeight="1" x14ac:dyDescent="0.2">
      <c r="A43" s="86" t="s">
        <v>278</v>
      </c>
      <c r="B43" s="133">
        <f>IF((A564A_C1+A564B_C1/2)=0,0, A083_C1/(A564A_C1+A564B_C1/2))</f>
        <v>402.98151806089453</v>
      </c>
      <c r="C43" s="133">
        <f>IF((A564A_C2+A564B_C2/2)=0,0, A083_C2/(A564A_C2+A564B_C2/2))</f>
        <v>405.94696267479702</v>
      </c>
      <c r="D43" s="133">
        <f>IF((A564A_C3+A564B_C3/2)=0,0, A083_C3/(A564A_C3+A564B_C3/2))</f>
        <v>406.90224357153409</v>
      </c>
      <c r="E43" s="133">
        <f>IF((A564A_C4+A564B_C4/2)=0,0, A083_C4/(A564A_C4+A564B_C4/2))</f>
        <v>405.98496147188956</v>
      </c>
      <c r="F43" s="131" t="str">
        <f>IF(CU_NUMBER="","N/A",IF(PR_34_C4=0,"N/A",PR_34_C4))</f>
        <v>N/A</v>
      </c>
      <c r="G43" s="76" t="str">
        <f>IF(CU_NUMBER="","N/A",IF(E43="N/A","N/A",IF(AND(E43=0,R_34_C4&lt;&gt;0,),R_34_C4,IF(R_34_C4=0,"N/A",R_34_C4))))</f>
        <v>N/A</v>
      </c>
      <c r="H43" s="133">
        <f>IF((A564A_C5+A564B_C5/2)=0,0, A083_C5/(A564A_C5+A564B_C5/2))</f>
        <v>407.6573924096196</v>
      </c>
      <c r="I43" s="131" t="str">
        <f>IF(CU_NUMBER="","N/A",IF(PR_34_C5=0,"N/A",PR_34_C5))</f>
        <v>N/A</v>
      </c>
      <c r="J43" s="76" t="str">
        <f>IF(CU_NUMBER="","N/A",IF(H43="N/A","N/A",IF(AND(H43=0,R_34_C5&lt;&gt;0,),R_34_C5,IF(R_34_C5=0,"N/A",R_34_C5))))</f>
        <v>N/A</v>
      </c>
      <c r="K43" s="63"/>
    </row>
    <row r="44" spans="1:11" ht="13.35" customHeight="1" x14ac:dyDescent="0.2">
      <c r="A44" s="86" t="s">
        <v>279</v>
      </c>
      <c r="B44" s="163">
        <f>IF(A083_C1=0,0,A018_C1/A083_C1)</f>
        <v>13635.50133875543</v>
      </c>
      <c r="C44" s="163">
        <f>IF(A083_C2=0,0,A018_C2/A083_C2)</f>
        <v>13765.180518069074</v>
      </c>
      <c r="D44" s="163">
        <f>IF(A083_C3=0,0,A018_C3/A083_C3)</f>
        <v>14105.387379483425</v>
      </c>
      <c r="E44" s="163">
        <f>IF(A083_C4=0,0,A018_C4/A083_C4)</f>
        <v>14063.193088256356</v>
      </c>
      <c r="F44" s="162" t="str">
        <f>IF(CU_NUMBER="","N/A",IF(PR_35_C4=0,"N/A",PR_35_C4))</f>
        <v>N/A</v>
      </c>
      <c r="G44" s="76" t="str">
        <f>IF(CU_NUMBER="","N/A",IF(E44="N/A","N/A",IF(AND(E44=0,R_35_C4&lt;&gt;0,),R_35_C4,IF(R_35_C4=0,"N/A",R_35_C4))))</f>
        <v>N/A</v>
      </c>
      <c r="H44" s="163">
        <f>IF(A083_C5=0,0,A018_C5/A083_C5)</f>
        <v>14028.752133196815</v>
      </c>
      <c r="I44" s="162" t="str">
        <f>IF(CU_NUMBER="","N/A",IF(PR_35_C5=0,"N/A",PR_35_C5))</f>
        <v>N/A</v>
      </c>
      <c r="J44" s="76" t="str">
        <f>IF(CU_NUMBER="","N/A",IF(H44="N/A","N/A",IF(AND(H44=0,R_35_C5&lt;&gt;0,),R_35_C5,IF(R_35_C5=0,"N/A",R_35_C5))))</f>
        <v>N/A</v>
      </c>
      <c r="K44" s="63"/>
    </row>
    <row r="45" spans="1:11" ht="13.35" customHeight="1" x14ac:dyDescent="0.2">
      <c r="A45" s="86" t="s">
        <v>280</v>
      </c>
      <c r="B45" s="163">
        <f>IF(A025A_C1=0,0,A025B_C1/A025A_C1)</f>
        <v>18295.797467747467</v>
      </c>
      <c r="C45" s="163">
        <f>IF(A025A_C2=0,0,A025B_C2/A025A_C2)</f>
        <v>18412.715245437365</v>
      </c>
      <c r="D45" s="163">
        <f>IF(A025A_C3=0,0,A025B_C3/A025A_C3)</f>
        <v>18699.532781064059</v>
      </c>
      <c r="E45" s="163">
        <f>IF(A025A_C4=0,0,A025B_C4/A025A_C4)</f>
        <v>18928.102451839313</v>
      </c>
      <c r="F45" s="162" t="str">
        <f>IF(CU_NUMBER="","N/A",IF(PR_36_C4=0,"N/A",PR_36_C4))</f>
        <v>N/A</v>
      </c>
      <c r="G45" s="76" t="str">
        <f>IF(CU_NUMBER="","N/A",IF(E45="N/A","N/A",IF(AND(E45=0,R_36_C4&lt;&gt;0,),R_36_C4,IF(R_36_C4=0,"N/A",R_36_C4))))</f>
        <v>N/A</v>
      </c>
      <c r="H45" s="163">
        <f>IF(A025A_C5=0,0,A025B_C5/A025A_C5)</f>
        <v>19133.565629574692</v>
      </c>
      <c r="I45" s="162" t="str">
        <f>IF(CU_NUMBER="","N/A",IF(PR_36_C5=0,"N/A",PR_36_C5))</f>
        <v>N/A</v>
      </c>
      <c r="J45" s="76" t="str">
        <f>IF(CU_NUMBER="","N/A",IF(H45="N/A","N/A",IF(AND(H45=0,R_36_C5&lt;&gt;0,),R_36_C5,IF(R_36_C5=0,"N/A",R_36_C5))))</f>
        <v>N/A</v>
      </c>
      <c r="K45" s="63"/>
    </row>
    <row r="46" spans="1:11" ht="13.35" customHeight="1" x14ac:dyDescent="0.2">
      <c r="A46" s="86" t="s">
        <v>281</v>
      </c>
      <c r="B46" s="163">
        <f>IF(A564A_C1+A564B_C1/2=0,0, (A210_C1/(A564A_C1+A564B_C1/2))*Anu_C1)</f>
        <v>101787.00989821561</v>
      </c>
      <c r="C46" s="163">
        <f>IF(A564A_C2+A564B_C2/2=0,0, (A210_C2/(A564A_C2+A564B_C2/2))*Anu_C2)</f>
        <v>103053.37550232302</v>
      </c>
      <c r="D46" s="163">
        <f>IF(A564A_C3+A564B_C3/2=0,0, (A210_C3/(A564A_C3+A564B_C3/2))*Anu_C3)</f>
        <v>107215.84519413229</v>
      </c>
      <c r="E46" s="163">
        <f>IF(A564A_C4+A564B_C4/2=0,0, (A210_C4/(A564A_C4+A564B_C4/2))*Anu_C4)</f>
        <v>107600.26687599003</v>
      </c>
      <c r="F46" s="162" t="str">
        <f>IF(CU_NUMBER="","N/A",IF(PR_37_C4=0,"N/A",PR_37_C4))</f>
        <v>N/A</v>
      </c>
      <c r="G46" s="76" t="str">
        <f>IF(CU_NUMBER="","N/A",IF(E46="N/A","N/A",IF(AND(E46=0,R_37_C4&lt;&gt;0,),R_37_C4,IF(R_37_C4=0,"N/A",R_37_C4))))</f>
        <v>N/A</v>
      </c>
      <c r="H46" s="161">
        <f>IF(A564A_C5+A564B_C5/2=0,0, (A210_C5/(A564A_C5+A564B_C5/2))*Anu_C5)</f>
        <v>107986.42685203932</v>
      </c>
      <c r="I46" s="162" t="str">
        <f>IF(CU_NUMBER="","N/A",IF(PR_37_C5=0,"N/A",PR_37_C5))</f>
        <v>N/A</v>
      </c>
      <c r="J46" s="76" t="str">
        <f>IF(CU_NUMBER="","N/A",IF(H46="N/A","N/A",IF(AND(H46=0,R_37_C5&lt;&gt;0,),R_37_C5,IF(R_37_C5=0,"N/A",R_37_C5))))</f>
        <v>N/A</v>
      </c>
      <c r="K46" s="63"/>
    </row>
    <row r="47" spans="1:11" ht="13.15" customHeight="1" x14ac:dyDescent="0.2">
      <c r="A47" s="14" t="s">
        <v>239</v>
      </c>
      <c r="B47" s="14"/>
      <c r="C47" s="14"/>
      <c r="D47" s="14"/>
      <c r="E47" s="14"/>
      <c r="F47" s="14"/>
      <c r="G47" s="14"/>
      <c r="H47" s="14"/>
      <c r="I47" s="14"/>
      <c r="J47" s="14"/>
    </row>
    <row r="48" spans="1:11" ht="45" customHeight="1" x14ac:dyDescent="0.2">
      <c r="A48" s="13" t="s">
        <v>282</v>
      </c>
      <c r="B48" s="13"/>
      <c r="C48" s="13"/>
      <c r="D48" s="13"/>
      <c r="E48" s="13"/>
      <c r="F48" s="13"/>
      <c r="G48" s="13"/>
      <c r="H48" s="13"/>
      <c r="I48" s="13"/>
      <c r="J48" s="13"/>
    </row>
    <row r="49" spans="1:10" s="86" customFormat="1" ht="13.15" customHeight="1" x14ac:dyDescent="0.2">
      <c r="A49" s="12" t="s">
        <v>283</v>
      </c>
      <c r="B49" s="12"/>
      <c r="C49" s="12"/>
      <c r="D49" s="12"/>
      <c r="E49" s="12"/>
      <c r="F49" s="12"/>
      <c r="G49" s="12"/>
      <c r="H49" s="12"/>
      <c r="I49" s="12"/>
      <c r="J49" s="12"/>
    </row>
    <row r="50" spans="1:10" ht="13.15" customHeight="1" x14ac:dyDescent="0.2">
      <c r="A50" s="12" t="s">
        <v>284</v>
      </c>
      <c r="B50" s="12"/>
      <c r="C50" s="12"/>
      <c r="D50" s="12"/>
      <c r="E50" s="12"/>
      <c r="F50" s="12"/>
      <c r="G50" s="12"/>
      <c r="H50" s="12"/>
      <c r="I50" s="86"/>
      <c r="J50" s="86"/>
    </row>
    <row r="51" spans="1:10" ht="27" customHeight="1" x14ac:dyDescent="0.2">
      <c r="A51" s="11" t="s">
        <v>285</v>
      </c>
      <c r="B51" s="11"/>
      <c r="C51" s="11"/>
      <c r="D51" s="11"/>
      <c r="E51" s="11"/>
      <c r="F51" s="11"/>
      <c r="G51" s="11"/>
      <c r="H51" s="11"/>
      <c r="I51" s="11"/>
      <c r="J51" s="11"/>
    </row>
    <row r="52" spans="1:10" x14ac:dyDescent="0.2">
      <c r="I52" s="189" t="s">
        <v>286</v>
      </c>
    </row>
  </sheetData>
  <mergeCells count="8">
    <mergeCell ref="A50:H50"/>
    <mergeCell ref="A51:J51"/>
    <mergeCell ref="D5:J5"/>
    <mergeCell ref="E6:F6"/>
    <mergeCell ref="A47:J47"/>
    <mergeCell ref="A48:J48"/>
    <mergeCell ref="A49:H49"/>
    <mergeCell ref="I49:J49"/>
  </mergeCells>
  <hyperlinks>
    <hyperlink ref="A2" location="'Cover Page'!A1" display="Return to cover" xr:uid="{00000000-0004-0000-0400-000000000000}"/>
  </hyperlinks>
  <printOptions horizontalCentered="1" verticalCentered="1" gridLines="1"/>
  <pageMargins left="0.75" right="0.75" top="0.5" bottom="0.5" header="0.5" footer="0.5"/>
  <pageSetup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pageSetUpPr fitToPage="1"/>
  </sheetPr>
  <dimension ref="A1:L61"/>
  <sheetViews>
    <sheetView workbookViewId="0"/>
  </sheetViews>
  <sheetFormatPr defaultRowHeight="12.75" x14ac:dyDescent="0.2"/>
  <cols>
    <col min="1" max="1" width="83.5703125" style="30" customWidth="1"/>
    <col min="2" max="3" width="16.7109375" customWidth="1"/>
    <col min="4" max="4" width="6.7109375" style="57" customWidth="1"/>
    <col min="5" max="5" width="16.7109375" customWidth="1"/>
    <col min="6" max="6" width="6.7109375" style="57" customWidth="1"/>
    <col min="7" max="7" width="16.7109375" customWidth="1"/>
    <col min="8" max="8" width="6.7109375" style="57" customWidth="1"/>
    <col min="9" max="9" width="16.7109375" customWidth="1"/>
    <col min="10" max="10" width="6.7109375" style="57" customWidth="1"/>
    <col min="11" max="12" width="9.140625" customWidth="1"/>
    <col min="13" max="13" width="14.7109375" customWidth="1"/>
  </cols>
  <sheetData>
    <row r="1" spans="1:10" s="62" customFormat="1" ht="13.35" customHeight="1" x14ac:dyDescent="0.2">
      <c r="A1" s="88"/>
      <c r="C1" s="85" t="s">
        <v>287</v>
      </c>
      <c r="D1" s="118"/>
      <c r="F1" s="119"/>
      <c r="H1" s="119"/>
      <c r="J1" s="119"/>
    </row>
    <row r="2" spans="1:10" s="62" customFormat="1" ht="13.35" customHeight="1" x14ac:dyDescent="0.2">
      <c r="A2" s="60" t="s">
        <v>49</v>
      </c>
      <c r="C2" s="67" t="s">
        <v>50</v>
      </c>
      <c r="D2" s="87" t="str">
        <f>IF(CU_NUMBER="","N/A",CU_NUMBER)</f>
        <v>N/A</v>
      </c>
      <c r="E2" s="144"/>
      <c r="F2" s="119"/>
      <c r="H2" s="119"/>
      <c r="J2" s="119"/>
    </row>
    <row r="3" spans="1:10" s="62" customFormat="1" ht="13.35" customHeight="1" x14ac:dyDescent="0.2">
      <c r="A3" s="121" t="str">
        <f>IF(Request_Date=0,"N/A",Request_Date)</f>
        <v>12/05/2025</v>
      </c>
      <c r="C3" s="67" t="s">
        <v>42</v>
      </c>
      <c r="D3" s="75">
        <f>IF(CountCu_C5=0,"N/A",CountCu_C5)</f>
        <v>4331</v>
      </c>
      <c r="E3" s="120"/>
      <c r="F3" s="119"/>
      <c r="H3" s="119"/>
      <c r="J3" s="119"/>
    </row>
    <row r="4" spans="1:10" s="62" customFormat="1" ht="13.35" customHeight="1" x14ac:dyDescent="0.2">
      <c r="A4" s="74" t="str">
        <f>"CU Name:      "&amp;IF(Cu_Name="","N/A",Cu_Name)</f>
        <v>CU Name:      N/A</v>
      </c>
      <c r="C4" s="67" t="s">
        <v>43</v>
      </c>
      <c r="D4" s="89" t="str">
        <f>IF(AssetRange="","N/A",AssetRange)</f>
        <v>N/A</v>
      </c>
      <c r="E4" s="75"/>
      <c r="F4" s="119"/>
      <c r="H4" s="119"/>
      <c r="J4" s="119"/>
    </row>
    <row r="5" spans="1:10" s="62" customFormat="1" ht="13.35" customHeight="1" x14ac:dyDescent="0.2">
      <c r="A5" s="74" t="str">
        <f>"Peer Group:      "&amp;IF(Peer_Group="","N/A",IF(Peer_Group="0","N/A",Peer_Group))</f>
        <v>Peer Group:      N/A</v>
      </c>
      <c r="B5" s="90"/>
      <c r="C5" s="67" t="s">
        <v>51</v>
      </c>
      <c r="D5" s="24" t="str">
        <f>IF(_xlnm.Criteria="","N/A",_xlnm.Criteria)</f>
        <v xml:space="preserve">Region: Nation * Peer Group: All * Types Included: All  Federally Insured Credit Unions  (FICUs) *  </v>
      </c>
      <c r="E5" s="23"/>
      <c r="F5" s="23"/>
      <c r="G5" s="23"/>
      <c r="H5" s="23"/>
      <c r="I5" s="23"/>
      <c r="J5" s="23"/>
    </row>
    <row r="6" spans="1:10" s="62" customFormat="1" ht="13.35" customHeight="1" x14ac:dyDescent="0.2">
      <c r="A6" s="74"/>
      <c r="B6" s="67"/>
      <c r="C6" s="67" t="s">
        <v>45</v>
      </c>
      <c r="D6" s="75" t="str">
        <f>IF(NoCu_in_Peer_Group="","N/A",NoCu_in_Peer_Group)</f>
        <v>N/A</v>
      </c>
      <c r="E6" s="92" t="str">
        <f>IF(CU_NUMBER&gt;0,"",IF(RetPop=0,"Retroactive Population",""))</f>
        <v/>
      </c>
      <c r="F6" s="119"/>
      <c r="H6" s="119"/>
      <c r="J6" s="119"/>
    </row>
    <row r="7" spans="1:10" ht="13.35" customHeight="1" x14ac:dyDescent="0.2">
      <c r="A7" s="29"/>
      <c r="E7" s="45"/>
      <c r="F7" s="54"/>
      <c r="G7" s="30"/>
      <c r="H7" s="54"/>
      <c r="I7" s="30"/>
      <c r="J7" s="54"/>
    </row>
    <row r="8" spans="1:10" ht="13.35" customHeight="1" x14ac:dyDescent="0.2">
      <c r="A8" s="145"/>
      <c r="B8" s="139">
        <f>(CycDat_C1)</f>
        <v>45565</v>
      </c>
      <c r="C8" s="139">
        <f>(CycDat_C2)</f>
        <v>45657</v>
      </c>
      <c r="D8" s="184" t="s">
        <v>52</v>
      </c>
      <c r="E8" s="139">
        <f>(CycDat_C3)</f>
        <v>45747</v>
      </c>
      <c r="F8" s="184" t="s">
        <v>52</v>
      </c>
      <c r="G8" s="139">
        <f>(CycDat_C4)</f>
        <v>45838</v>
      </c>
      <c r="H8" s="184" t="s">
        <v>52</v>
      </c>
      <c r="I8" s="139">
        <f>(CycDat_C5)</f>
        <v>45930</v>
      </c>
      <c r="J8" s="184" t="s">
        <v>52</v>
      </c>
    </row>
    <row r="9" spans="1:10" ht="13.35" customHeight="1" x14ac:dyDescent="0.2">
      <c r="A9" s="145" t="s">
        <v>288</v>
      </c>
      <c r="B9" s="86"/>
      <c r="C9" s="86"/>
      <c r="D9" s="102"/>
      <c r="E9" s="86"/>
      <c r="F9" s="102"/>
      <c r="G9" s="86"/>
      <c r="H9" s="102"/>
      <c r="I9" s="86"/>
      <c r="J9" s="102"/>
    </row>
    <row r="10" spans="1:10" ht="13.35" customHeight="1" x14ac:dyDescent="0.2">
      <c r="A10" s="145" t="s">
        <v>289</v>
      </c>
      <c r="B10" s="86"/>
      <c r="C10" s="86"/>
      <c r="D10" s="102"/>
      <c r="E10" s="86"/>
      <c r="F10" s="102"/>
      <c r="G10" s="86"/>
      <c r="H10" s="102"/>
      <c r="I10" s="86"/>
      <c r="J10" s="102"/>
    </row>
    <row r="11" spans="1:10" ht="13.35" customHeight="1" x14ac:dyDescent="0.2">
      <c r="A11" s="86" t="s">
        <v>290</v>
      </c>
      <c r="B11" s="76">
        <f>IF(B8&lt;DATEVALUE("03/31/2020"), "N/A", AAS0004_C1)</f>
        <v>12838345997</v>
      </c>
      <c r="C11" s="76">
        <f>IF(C8&lt;DATEVALUE("03/31/2020"), "N/A", AAS0004_C2)</f>
        <v>14173471400</v>
      </c>
      <c r="D11" s="102">
        <f>IF(C11="N/A", " ", IF(B11="N/A", " ",IF(AND(B11=0,C11=0,),"N/A",IF(ABS(B11)=0, "N/A", ((C11-B11)/ABS(B11))*100))))</f>
        <v>10.399512548672433</v>
      </c>
      <c r="E11" s="76">
        <f>IF(E8&lt;DATEVALUE("03/31/2020"), "N/A", AAS0004_C3)</f>
        <v>12827346719</v>
      </c>
      <c r="F11" s="102">
        <f>IF(E11="N/A", " ", IF(C11="N/A", " ",IF(AND(C11=0,E11=0,),"N/A",IF(ABS(C11)=0, "N/A", ((E11-C11)/ABS(C11))*100))))</f>
        <v>-9.4974946010756405</v>
      </c>
      <c r="G11" s="76">
        <f>IF(G8&lt;DATEVALUE("03/31/2020"), "N/A", AAS0004_C4)</f>
        <v>13068429717</v>
      </c>
      <c r="H11" s="102">
        <f>IF(G11="N/A", " ", IF(E11="N/A", " ",IF(AND(E11=0,G11=0,),"N/A",IF(ABS(E11)=0, "N/A", ((G11-E11)/ABS(E11))*100))))</f>
        <v>1.8794455570683635</v>
      </c>
      <c r="I11" s="76">
        <f>IF(I8&lt;DATEVALUE("03/31/2020"), "N/A", AAS0004_C5)</f>
        <v>13359168498</v>
      </c>
      <c r="J11" s="102">
        <f>IF(I11="N/A", " ", IF(G11="N/A", " ",IF(AND(G11=0,I11=0,),"N/A",IF(ABS(G11)=0, "N/A", ((I11-G11)/ABS(G11))*100))))</f>
        <v>2.2247415129133219</v>
      </c>
    </row>
    <row r="12" spans="1:10" ht="13.35" customHeight="1" x14ac:dyDescent="0.2">
      <c r="A12" s="86" t="s">
        <v>291</v>
      </c>
      <c r="B12" s="76">
        <f>IF(B8&lt;DATEVALUE("03/31/2020"), "N/A", AAS0005_C1)</f>
        <v>9037928109</v>
      </c>
      <c r="C12" s="76">
        <f>IF(C8&lt;DATEVALUE("03/31/2020"), "N/A", AAS0005_C2)</f>
        <v>12386119249</v>
      </c>
      <c r="D12" s="102">
        <f>IF(C12="N/A", " ", IF(B12="N/A", " ",IF(AND(B12=0,C12=0,),"N/A",IF(ABS(B12)=0, "N/A", ((C12-B12)/ABS(B12))*100))))</f>
        <v>37.046003239015143</v>
      </c>
      <c r="E12" s="76">
        <f>IF(E8&lt;DATEVALUE("03/31/2020"), "N/A", AAS0005_C3)</f>
        <v>9607893557</v>
      </c>
      <c r="F12" s="102">
        <f>IF(E12="N/A", " ", IF(C12="N/A", " ",IF(AND(C12=0,E12=0,),"N/A",IF(ABS(C12)=0, "N/A", ((E12-C12)/ABS(C12))*100))))</f>
        <v>-22.430154563741194</v>
      </c>
      <c r="G12" s="76">
        <f>IF(G8&lt;DATEVALUE("03/31/2020"), "N/A", AAS0005_C4)</f>
        <v>9379873361</v>
      </c>
      <c r="H12" s="102">
        <f>IF(G12="N/A", " ", IF(E12="N/A", " ",IF(AND(E12=0,G12=0,),"N/A",IF(ABS(E12)=0, "N/A", ((G12-E12)/ABS(E12))*100))))</f>
        <v>-2.3732589734393121</v>
      </c>
      <c r="I12" s="76">
        <f>IF(I8&lt;DATEVALUE("03/31/2020"), "N/A", AAS0005_C5)</f>
        <v>8828068833</v>
      </c>
      <c r="J12" s="102">
        <f>IF(I12="N/A", " ", IF(G12="N/A", " ",IF(AND(G12=0,I12=0,),"N/A",IF(ABS(G12)=0, "N/A", ((I12-G12)/ABS(G12))*100))))</f>
        <v>-5.8828569082213216</v>
      </c>
    </row>
    <row r="13" spans="1:10" ht="13.35" customHeight="1" x14ac:dyDescent="0.2">
      <c r="A13" s="86" t="s">
        <v>292</v>
      </c>
      <c r="B13" s="76">
        <f>A730A_C1</f>
        <v>21876274106</v>
      </c>
      <c r="C13" s="76">
        <f>A730A_C2</f>
        <v>26559590649</v>
      </c>
      <c r="D13" s="102">
        <f>IF(C13="N/A", " ", IF(B13="N/A", " ",IF(AND(B13=0,C13=0,),"N/A",IF(ABS(B13)=0, "N/A", ((C13-B13)/ABS(B13))*100))))</f>
        <v>21.408200136400321</v>
      </c>
      <c r="E13" s="76">
        <f>A730A_C3</f>
        <v>22435240276</v>
      </c>
      <c r="F13" s="102">
        <f>IF(E13="N/A", " ", IF(C13="N/A", " ",IF(AND(C13=0,E13=0,),"N/A",IF(ABS(C13)=0, "N/A", ((E13-C13)/ABS(C13))*100))))</f>
        <v>-15.528666941842669</v>
      </c>
      <c r="G13" s="76">
        <f>A730A_C4</f>
        <v>22448303078</v>
      </c>
      <c r="H13" s="102">
        <f>IF(G13="N/A", " ", IF(E13="N/A", " ",IF(AND(E13=0,G13=0,),"N/A",IF(ABS(E13)=0, "N/A", ((G13-E13)/ABS(E13))*100))))</f>
        <v>5.8224480055931803E-2</v>
      </c>
      <c r="I13" s="76">
        <f>A730A_C5</f>
        <v>22187237331</v>
      </c>
      <c r="J13" s="102">
        <f>IF(I13="N/A", " ", IF(G13="N/A", " ",IF(AND(G13=0,I13=0,),"N/A",IF(ABS(G13)=0, "N/A", ((I13-G13)/ABS(G13))*100))))</f>
        <v>-1.1629642832818492</v>
      </c>
    </row>
    <row r="14" spans="1:10" ht="13.35" customHeight="1" x14ac:dyDescent="0.2">
      <c r="A14" s="86" t="s">
        <v>293</v>
      </c>
      <c r="B14" s="76"/>
      <c r="C14" s="76"/>
      <c r="D14" s="102"/>
      <c r="E14" s="76"/>
      <c r="F14" s="102"/>
      <c r="G14" s="76"/>
      <c r="H14" s="102"/>
      <c r="I14" s="76"/>
      <c r="J14" s="102"/>
    </row>
    <row r="15" spans="1:10" ht="13.35" customHeight="1" x14ac:dyDescent="0.2">
      <c r="A15" s="86" t="s">
        <v>294</v>
      </c>
      <c r="B15" s="76">
        <f>A730B1_C1</f>
        <v>32329286340</v>
      </c>
      <c r="C15" s="76">
        <f>A730B1_C2</f>
        <v>33603618351</v>
      </c>
      <c r="D15" s="102">
        <f t="shared" ref="D15:D21" si="0">IF(C15="N/A", " ", IF(B15="N/A", " ",IF(AND(B15=0,C15=0,),"N/A",IF(ABS(B15)=0, "N/A", ((C15-B15)/ABS(B15))*100))))</f>
        <v>3.9417263888788954</v>
      </c>
      <c r="E15" s="76">
        <f>A730B1_C3</f>
        <v>40972202049</v>
      </c>
      <c r="F15" s="102">
        <f t="shared" ref="F15:F21" si="1">IF(E15="N/A", " ", IF(C15="N/A", " ",IF(AND(C15=0,E15=0,),"N/A",IF(ABS(C15)=0, "N/A", ((E15-C15)/ABS(C15))*100))))</f>
        <v>21.927947225899619</v>
      </c>
      <c r="G15" s="76">
        <f>A730B1_C4</f>
        <v>37582945084</v>
      </c>
      <c r="H15" s="102">
        <f t="shared" ref="H15:H21" si="2">IF(G15="N/A", " ", IF(E15="N/A", " ",IF(AND(E15=0,G15=0,),"N/A",IF(ABS(E15)=0, "N/A", ((G15-E15)/ABS(E15))*100))))</f>
        <v>-8.2720888688059198</v>
      </c>
      <c r="I15" s="76">
        <f>A730B1_C5</f>
        <v>35814491154</v>
      </c>
      <c r="J15" s="102">
        <f t="shared" ref="J15:J21" si="3">IF(I15="N/A", " ", IF(G15="N/A", " ",IF(AND(G15=0,I15=0,),"N/A",IF(ABS(G15)=0, "N/A", ((I15-G15)/ABS(G15))*100))))</f>
        <v>-4.7054692655070163</v>
      </c>
    </row>
    <row r="16" spans="1:10" ht="13.35" customHeight="1" x14ac:dyDescent="0.2">
      <c r="A16" s="86" t="s">
        <v>295</v>
      </c>
      <c r="B16" s="76">
        <f>IF(B8&lt;DATEVALUE("03/31/2019"), "N/A", AAS0003_C1)</f>
        <v>122282226299</v>
      </c>
      <c r="C16" s="76">
        <f>IF(C8&lt;DATEVALUE("03/31/2019"), "N/A", AAS0003_C2)</f>
        <v>110547928410</v>
      </c>
      <c r="D16" s="102">
        <f t="shared" si="0"/>
        <v>-9.5960780598708819</v>
      </c>
      <c r="E16" s="76">
        <f>IF(E8&lt;DATEVALUE("03/31/2019"), "N/A", AAS0003_C3)</f>
        <v>142452891939</v>
      </c>
      <c r="F16" s="102">
        <f t="shared" si="1"/>
        <v>28.860752062825561</v>
      </c>
      <c r="G16" s="76">
        <f>IF(G8&lt;DATEVALUE("03/31/2019"), "N/A", AAS0003_C4)</f>
        <v>121773640661</v>
      </c>
      <c r="H16" s="102">
        <f t="shared" si="2"/>
        <v>-14.516554207165623</v>
      </c>
      <c r="I16" s="76">
        <f>IF(I8&lt;DATEVALUE("03/31/2019"), "N/A", AAS0003_C5)</f>
        <v>115980159841</v>
      </c>
      <c r="J16" s="102">
        <f t="shared" si="3"/>
        <v>-4.7575820091707719</v>
      </c>
    </row>
    <row r="17" spans="1:10" ht="13.35" customHeight="1" x14ac:dyDescent="0.2">
      <c r="A17" s="86" t="s">
        <v>296</v>
      </c>
      <c r="B17" s="76">
        <f>A730B2_C1</f>
        <v>9263717148</v>
      </c>
      <c r="C17" s="76">
        <f>A730B2_C2</f>
        <v>9547441372</v>
      </c>
      <c r="D17" s="102">
        <f t="shared" si="0"/>
        <v>3.0627470535545762</v>
      </c>
      <c r="E17" s="76">
        <f>A730B2_C3</f>
        <v>10017586021</v>
      </c>
      <c r="F17" s="102">
        <f t="shared" si="1"/>
        <v>4.924299932113791</v>
      </c>
      <c r="G17" s="76">
        <f>A730B2_C4</f>
        <v>10162177248</v>
      </c>
      <c r="H17" s="102">
        <f t="shared" si="2"/>
        <v>1.4433739495412514</v>
      </c>
      <c r="I17" s="76">
        <f>A730B2_C5</f>
        <v>9702009352</v>
      </c>
      <c r="J17" s="102">
        <f t="shared" si="3"/>
        <v>-4.5282411905437376</v>
      </c>
    </row>
    <row r="18" spans="1:10" ht="13.35" customHeight="1" x14ac:dyDescent="0.2">
      <c r="A18" s="86" t="s">
        <v>297</v>
      </c>
      <c r="B18" s="76">
        <f>A730B_C1</f>
        <v>163875229787</v>
      </c>
      <c r="C18" s="76">
        <f>A730B_C2</f>
        <v>153698988133</v>
      </c>
      <c r="D18" s="102">
        <f t="shared" si="0"/>
        <v>-6.2097497390098351</v>
      </c>
      <c r="E18" s="76">
        <f>A730B_C3</f>
        <v>193442680009</v>
      </c>
      <c r="F18" s="102">
        <f t="shared" si="1"/>
        <v>25.858135020126927</v>
      </c>
      <c r="G18" s="76">
        <f>A730B_C4</f>
        <v>169518762993</v>
      </c>
      <c r="H18" s="102">
        <f t="shared" si="2"/>
        <v>-12.367444978991674</v>
      </c>
      <c r="I18" s="76">
        <f>A730B_C5</f>
        <v>161496660347</v>
      </c>
      <c r="J18" s="102">
        <f t="shared" si="3"/>
        <v>-4.7322800758823726</v>
      </c>
    </row>
    <row r="19" spans="1:10" ht="24" customHeight="1" x14ac:dyDescent="0.2">
      <c r="A19" s="144" t="s">
        <v>298</v>
      </c>
      <c r="B19" s="76">
        <f>IF(B8&lt;DATEVALUE("03/31/2022"), "N/A", AAS0007_C1)</f>
        <v>30945239971</v>
      </c>
      <c r="C19" s="76">
        <f>IF(C8&lt;DATEVALUE("03/31/2022"), "N/A", AAS0007_C2)</f>
        <v>30569671892</v>
      </c>
      <c r="D19" s="102">
        <f t="shared" si="0"/>
        <v>-1.2136537940955043</v>
      </c>
      <c r="E19" s="76">
        <f>IF(E8&lt;DATEVALUE("03/31/2022"), "N/A", AAS0007_C3)</f>
        <v>31315308557</v>
      </c>
      <c r="F19" s="102">
        <f t="shared" si="1"/>
        <v>2.4391385934211844</v>
      </c>
      <c r="G19" s="76">
        <f>IF(G8&lt;DATEVALUE("03/31/2022"), "N/A", AAS0007_C4)</f>
        <v>31530120225</v>
      </c>
      <c r="H19" s="102">
        <f t="shared" si="2"/>
        <v>0.68596375989398495</v>
      </c>
      <c r="I19" s="76">
        <f>IF(I8&lt;DATEVALUE("03/31/2022"), "N/A", AAS0007_C5)</f>
        <v>31602816748</v>
      </c>
      <c r="J19" s="102">
        <f t="shared" si="3"/>
        <v>0.23056214971980812</v>
      </c>
    </row>
    <row r="20" spans="1:10" ht="13.35" customHeight="1" x14ac:dyDescent="0.2">
      <c r="A20" s="86" t="s">
        <v>299</v>
      </c>
      <c r="B20" s="76">
        <f>IF(B8&lt;DATEVALUE("03/31/2022"), "N/A", AAS0008_C1)</f>
        <v>301354657</v>
      </c>
      <c r="C20" s="76">
        <f>IF(C8&lt;DATEVALUE("03/31/2022"), "N/A", AAS0008_C2)</f>
        <v>253065924</v>
      </c>
      <c r="D20" s="102">
        <f t="shared" si="0"/>
        <v>-16.023888092759755</v>
      </c>
      <c r="E20" s="76">
        <f>IF(E8&lt;DATEVALUE("03/31/2022"), "N/A", AAS0008_C3)</f>
        <v>339225233</v>
      </c>
      <c r="F20" s="102">
        <f t="shared" si="1"/>
        <v>34.046191458001275</v>
      </c>
      <c r="G20" s="76">
        <f>IF(G8&lt;DATEVALUE("03/31/2022"), "N/A", AAS0008_C4)</f>
        <v>256793808</v>
      </c>
      <c r="H20" s="102">
        <f t="shared" si="2"/>
        <v>-24.299909611971586</v>
      </c>
      <c r="I20" s="76">
        <f>IF(I8&lt;DATEVALUE("03/31/2022"), "N/A", AAS0008_C5)</f>
        <v>245604587</v>
      </c>
      <c r="J20" s="102">
        <f t="shared" si="3"/>
        <v>-4.3572783499514909</v>
      </c>
    </row>
    <row r="21" spans="1:10" ht="13.35" customHeight="1" x14ac:dyDescent="0.2">
      <c r="A21" s="145" t="s">
        <v>300</v>
      </c>
      <c r="B21" s="76">
        <f>IF(B8&gt;DATEVALUE("12/31/2021"),AAS0009_C1,A730A_C1+A730B_C1+A730C_C1+A744C_C1+A672C_C1+A652C_C1)</f>
        <v>216998098521</v>
      </c>
      <c r="C21" s="76">
        <f>IF(C8&gt;DATEVALUE("12/31/2021"),AAS0009_C2,A730A_C2+A730B_C2+A730C_C2+A744C_C2+A672C_C2+A652C_C2)</f>
        <v>211081316598</v>
      </c>
      <c r="D21" s="102">
        <f t="shared" si="0"/>
        <v>-2.7266515067768684</v>
      </c>
      <c r="E21" s="76">
        <f>IF(E8&gt;DATEVALUE("12/31/2021"),AAS0009_C3,A730A_C3+A730B_C3+A730C_C3+A744C_C3+A672C_C3+A652C_C3)</f>
        <v>247532454075</v>
      </c>
      <c r="F21" s="102">
        <f t="shared" si="1"/>
        <v>17.268765452330602</v>
      </c>
      <c r="G21" s="76">
        <f>IF(G8&gt;DATEVALUE("12/31/2021"),AAS0009_C4,A730A_C4+A730B_C4+A730C_C4+A744C_C4+A672C_C4+A652C_C4)</f>
        <v>223753980104</v>
      </c>
      <c r="H21" s="102">
        <f t="shared" si="2"/>
        <v>-9.6062045923866393</v>
      </c>
      <c r="I21" s="76">
        <f>IF(I8&gt;DATEVALUE("12/31/2021"),AAS0009_C5,A730A_C5+A730B_C5+A730C_C5+A744C_C5+A672C_C5+A652C_C5)</f>
        <v>215532319013</v>
      </c>
      <c r="J21" s="102">
        <f t="shared" si="3"/>
        <v>-3.6744200425747082</v>
      </c>
    </row>
    <row r="22" spans="1:10" ht="13.35" customHeight="1" x14ac:dyDescent="0.2">
      <c r="A22" s="145" t="s">
        <v>301</v>
      </c>
      <c r="B22" s="76"/>
      <c r="C22" s="76"/>
      <c r="D22" s="102"/>
      <c r="E22" s="76"/>
      <c r="F22" s="102"/>
      <c r="G22" s="76"/>
      <c r="H22" s="102"/>
      <c r="I22" s="76"/>
      <c r="J22" s="102"/>
    </row>
    <row r="23" spans="1:10" ht="13.35" customHeight="1" x14ac:dyDescent="0.2">
      <c r="A23" s="124" t="s">
        <v>302</v>
      </c>
      <c r="B23" s="76">
        <f>IF(B8&lt;DATEVALUE("3/31/2019"),"N/A",AAS0055_C1)</f>
        <v>4562924549</v>
      </c>
      <c r="C23" s="76">
        <f>IF(C8&lt;DATEVALUE("3/31/2019"),"N/A",AAS0055_C2)</f>
        <v>4616992510</v>
      </c>
      <c r="D23" s="102">
        <f t="shared" ref="D23:D28" si="4">IF(C23="N/A", " ", IF(B23="N/A", " ",IF(AND(B23=0,C23=0,),"N/A",IF(ABS(B23)=0, "N/A", ((C23-B23)/ABS(B23))*100))))</f>
        <v>1.1849409390705223</v>
      </c>
      <c r="E23" s="76">
        <f>IF(E8&lt;DATEVALUE("3/31/2019"),"N/A",AAS0055_C3)</f>
        <v>4526860523</v>
      </c>
      <c r="F23" s="102">
        <f t="shared" ref="F23:F28" si="5">IF(E23="N/A", " ", IF(C23="N/A", " ",IF(AND(C23=0,E23=0,),"N/A",IF(ABS(C23)=0, "N/A", ((E23-C23)/ABS(C23))*100))))</f>
        <v>-1.9521796235272646</v>
      </c>
      <c r="G23" s="76">
        <f>IF(G8&lt;DATEVALUE("3/31/2019"),"N/A",AAS0055_C4)</f>
        <v>4919168679</v>
      </c>
      <c r="H23" s="102">
        <f t="shared" ref="H23:H28" si="6">IF(G23="N/A", " ", IF(E23="N/A", " ",IF(AND(E23=0,G23=0,),"N/A",IF(ABS(E23)=0, "N/A", ((G23-E23)/ABS(E23))*100))))</f>
        <v>8.666230249568482</v>
      </c>
      <c r="I23" s="76">
        <f>IF(I8&lt;DATEVALUE("3/31/2019"),"N/A",AAS0055_C5)</f>
        <v>5168848331</v>
      </c>
      <c r="J23" s="102">
        <f t="shared" ref="J23:J28" si="7">IF(I23="N/A", " ", IF(G23="N/A", " ",IF(AND(G23=0,I23=0,),"N/A",IF(ABS(G23)=0, "N/A", ((I23-G23)/ABS(G23))*100))))</f>
        <v>5.0756472951595644</v>
      </c>
    </row>
    <row r="24" spans="1:10" ht="13.35" customHeight="1" x14ac:dyDescent="0.2">
      <c r="A24" s="124" t="s">
        <v>303</v>
      </c>
      <c r="B24" s="76">
        <f>IF(B8&lt;DATEVALUE("3/31/2019"),"N/A",AAS0061_C1)</f>
        <v>512225213</v>
      </c>
      <c r="C24" s="76">
        <f>IF(C8&lt;DATEVALUE("3/31/2019"),"N/A",AAS0061_C2)</f>
        <v>528073701</v>
      </c>
      <c r="D24" s="102">
        <f t="shared" si="4"/>
        <v>3.0940468367768532</v>
      </c>
      <c r="E24" s="76">
        <f>IF(E8&lt;DATEVALUE("3/31/2019"),"N/A",AAS0061_C3)</f>
        <v>551408079</v>
      </c>
      <c r="F24" s="102">
        <f t="shared" si="5"/>
        <v>4.4187729772969702</v>
      </c>
      <c r="G24" s="76">
        <f>IF(G8&lt;DATEVALUE("3/31/2019"),"N/A",AAS0061_C4)</f>
        <v>579575092</v>
      </c>
      <c r="H24" s="102">
        <f t="shared" si="6"/>
        <v>5.1081973719140956</v>
      </c>
      <c r="I24" s="76">
        <f>IF(I8&lt;DATEVALUE("3/31/2019"),"N/A",AAS0061_C5)</f>
        <v>700775930</v>
      </c>
      <c r="J24" s="102">
        <f t="shared" si="7"/>
        <v>20.912016350074616</v>
      </c>
    </row>
    <row r="25" spans="1:10" ht="13.35" customHeight="1" x14ac:dyDescent="0.2">
      <c r="A25" s="124" t="s">
        <v>304</v>
      </c>
      <c r="B25" s="76">
        <f>IF(B8&lt;DATEVALUE("3/31/2019"),"N/A",AAS0067_C1)</f>
        <v>290215466372</v>
      </c>
      <c r="C25" s="76">
        <f>IF(C8&lt;DATEVALUE("3/31/2019"),"N/A",AAS0067_C2)</f>
        <v>284748905069</v>
      </c>
      <c r="D25" s="102">
        <f t="shared" si="4"/>
        <v>-1.8836216316579515</v>
      </c>
      <c r="E25" s="76">
        <f>IF(E8&lt;DATEVALUE("3/31/2019"),"N/A",AAS0067_C3)</f>
        <v>293518796052</v>
      </c>
      <c r="F25" s="102">
        <f t="shared" si="5"/>
        <v>3.0798682020831269</v>
      </c>
      <c r="G25" s="76">
        <f>IF(G8&lt;DATEVALUE("3/31/2019"),"N/A",AAS0067_C4)</f>
        <v>298147418211</v>
      </c>
      <c r="H25" s="102">
        <f t="shared" si="6"/>
        <v>1.5769423359790524</v>
      </c>
      <c r="I25" s="76">
        <f>IF(I8&lt;DATEVALUE("3/31/2019"),"N/A",AAS0067_C5)</f>
        <v>302196001290</v>
      </c>
      <c r="J25" s="102">
        <f t="shared" si="7"/>
        <v>1.3579131770763158</v>
      </c>
    </row>
    <row r="26" spans="1:10" ht="13.35" customHeight="1" x14ac:dyDescent="0.2">
      <c r="A26" s="124" t="s">
        <v>305</v>
      </c>
      <c r="B26" s="76">
        <f>IF(B8&lt;DATEVALUE("3/31/2019"),"N/A",AAS0073_C1)</f>
        <v>52528585212</v>
      </c>
      <c r="C26" s="76">
        <f>IF(C8&lt;DATEVALUE("3/31/2019"),"N/A",AAS0073_C2)</f>
        <v>48767667238</v>
      </c>
      <c r="D26" s="102">
        <f t="shared" si="4"/>
        <v>-7.1597549388039274</v>
      </c>
      <c r="E26" s="76">
        <f>IF(E8&lt;DATEVALUE("3/31/2019"),"N/A",AAS0073_C3)</f>
        <v>48264173609</v>
      </c>
      <c r="F26" s="102">
        <f t="shared" si="5"/>
        <v>-1.032433285239601</v>
      </c>
      <c r="G26" s="76">
        <f>IF(G8&lt;DATEVALUE("3/31/2019"),"N/A",AAS0073_C4)</f>
        <v>48348856137</v>
      </c>
      <c r="H26" s="102">
        <f t="shared" si="6"/>
        <v>0.17545628914323508</v>
      </c>
      <c r="I26" s="76">
        <f>IF(I8&lt;DATEVALUE("3/31/2019"),"N/A",AAS0073_C5)</f>
        <v>47617420207</v>
      </c>
      <c r="J26" s="102">
        <f t="shared" si="7"/>
        <v>-1.5128298546038466</v>
      </c>
    </row>
    <row r="27" spans="1:10" ht="13.35" customHeight="1" x14ac:dyDescent="0.2">
      <c r="A27" s="127" t="s">
        <v>306</v>
      </c>
      <c r="B27" s="76">
        <f>IF(B8&lt;DATEVALUE("3/31/2019"),"N/A",AAS0041_C1)</f>
        <v>4166229</v>
      </c>
      <c r="C27" s="76">
        <f>IF(C8&lt;DATEVALUE("3/31/2019"),"N/A",AAS0041_C2)</f>
        <v>3973505</v>
      </c>
      <c r="D27" s="102">
        <f t="shared" si="4"/>
        <v>-4.6258619005340318</v>
      </c>
      <c r="E27" s="76">
        <f>IF(E8&lt;DATEVALUE("3/31/2019"),"N/A",AAS0041_C3)</f>
        <v>4107437</v>
      </c>
      <c r="F27" s="102">
        <f t="shared" si="5"/>
        <v>3.3706261851941797</v>
      </c>
      <c r="G27" s="76">
        <f>IF(G8&lt;DATEVALUE("3/31/2019"),"N/A",AAS0041_C4)</f>
        <v>4029122</v>
      </c>
      <c r="H27" s="102">
        <f t="shared" si="6"/>
        <v>-1.9066634497376345</v>
      </c>
      <c r="I27" s="76">
        <f>IF(I8&lt;DATEVALUE("3/31/2019"),"N/A",AAS0041_C5)</f>
        <v>4086650</v>
      </c>
      <c r="J27" s="102">
        <f t="shared" si="7"/>
        <v>1.4278048666682219</v>
      </c>
    </row>
    <row r="28" spans="1:10" ht="13.35" customHeight="1" x14ac:dyDescent="0.2">
      <c r="A28" s="145" t="s">
        <v>307</v>
      </c>
      <c r="B28" s="76">
        <f>IF(B8&lt;DATEVALUE("3/31/2019"),"N/A",IF(B8&lt;DATEVALUE("3/31/2022"),AAS0055_C1+AAS0061_C1+AAS0067_C1+AAS0073_C1-AAS0041_C1,AAS0013_C1))</f>
        <v>347815035117</v>
      </c>
      <c r="C28" s="76">
        <f>IF(C8&lt;DATEVALUE("3/31/2019"),"N/A",IF(C8&lt;DATEVALUE("3/31/2022"),AAS0055_C2+AAS0061_C2+AAS0067_C2+AAS0073_C2-AAS0041_C2,AAS0013_C2))</f>
        <v>338657665013</v>
      </c>
      <c r="D28" s="102">
        <f t="shared" si="4"/>
        <v>-2.632827560464599</v>
      </c>
      <c r="E28" s="76">
        <f>IF(E8&lt;DATEVALUE("3/31/2019"),"N/A",IF(E8&lt;DATEVALUE("3/31/2022"),AAS0055_C3+AAS0061_C3+AAS0067_C3+AAS0073_C3-AAS0041_C3,AAS0013_C3))</f>
        <v>346857130826</v>
      </c>
      <c r="F28" s="102">
        <f t="shared" si="5"/>
        <v>2.4211664639822188</v>
      </c>
      <c r="G28" s="76">
        <f>IF(G8&lt;DATEVALUE("3/31/2019"),"N/A",IF(G8&lt;DATEVALUE("3/31/2022"),AAS0055_C4+AAS0061_C4+AAS0067_C4+AAS0073_C4-AAS0041_C4,AAS0013_C4))</f>
        <v>351990988997</v>
      </c>
      <c r="H28" s="102">
        <f t="shared" si="6"/>
        <v>1.4801074317758187</v>
      </c>
      <c r="I28" s="76">
        <f>IF(I8&lt;DATEVALUE("3/31/2019"),"N/A",IF(I8&lt;DATEVALUE("3/31/2022"),AAS0055_C5+AAS0061_C5+AAS0067_C5+AAS0073_C5-AAS0041_C5,AAS0013_C5))</f>
        <v>355678959108</v>
      </c>
      <c r="J28" s="102">
        <f t="shared" si="7"/>
        <v>1.0477456032351533</v>
      </c>
    </row>
    <row r="29" spans="1:10" ht="13.35" customHeight="1" x14ac:dyDescent="0.2">
      <c r="A29" s="145" t="s">
        <v>308</v>
      </c>
      <c r="B29" s="76"/>
      <c r="C29" s="76"/>
      <c r="D29" s="102"/>
      <c r="E29" s="76"/>
      <c r="F29" s="102"/>
      <c r="G29" s="76"/>
      <c r="H29" s="102"/>
      <c r="I29" s="76"/>
      <c r="J29" s="102"/>
    </row>
    <row r="30" spans="1:10" ht="13.35" customHeight="1" x14ac:dyDescent="0.2">
      <c r="A30" s="124" t="s">
        <v>309</v>
      </c>
      <c r="B30" s="76">
        <f>A769A_C1</f>
        <v>139415604</v>
      </c>
      <c r="C30" s="76">
        <f>A769A_C2</f>
        <v>138069553</v>
      </c>
      <c r="D30" s="102">
        <f>IF(C30="N/A", " ", IF(B30="N/A", " ",IF(AND(B30=0,C30=0,),"N/A",IF(ABS(B30)=0, "N/A", ((C30-B30)/ABS(B30))*100))))</f>
        <v>-0.96549522534077314</v>
      </c>
      <c r="E30" s="76">
        <f>A769A_C3</f>
        <v>134675221</v>
      </c>
      <c r="F30" s="102">
        <f>IF(E30="N/A", " ", IF(C30="N/A", " ",IF(AND(C30=0,E30=0,),"N/A",IF(ABS(C30)=0, "N/A", ((E30-C30)/ABS(C30))*100))))</f>
        <v>-2.4584218071597581</v>
      </c>
      <c r="G30" s="76">
        <f>A769A_C4</f>
        <v>125743655</v>
      </c>
      <c r="H30" s="102">
        <f>IF(G30="N/A", " ", IF(E30="N/A", " ",IF(AND(E30=0,G30=0,),"N/A",IF(ABS(E30)=0, "N/A", ((G30-E30)/ABS(E30))*100))))</f>
        <v>-6.6319297148211112</v>
      </c>
      <c r="I30" s="76">
        <f>A769A_C5</f>
        <v>128117087</v>
      </c>
      <c r="J30" s="102">
        <f>IF(I30="N/A", " ", IF(G30="N/A", " ",IF(AND(G30=0,I30=0,),"N/A",IF(ABS(G30)=0, "N/A", ((I30-G30)/ABS(G30))*100))))</f>
        <v>1.8875163124533003</v>
      </c>
    </row>
    <row r="31" spans="1:10" ht="13.35" customHeight="1" x14ac:dyDescent="0.2">
      <c r="A31" s="127" t="s">
        <v>310</v>
      </c>
      <c r="B31" s="76">
        <f>A769B_C1</f>
        <v>1247597919</v>
      </c>
      <c r="C31" s="76">
        <f>A769B_C2</f>
        <v>1263898452</v>
      </c>
      <c r="D31" s="102">
        <f>IF(C31="N/A", " ", IF(B31="N/A", " ",IF(AND(B31=0,C31=0,),"N/A",IF(ABS(B31)=0, "N/A", ((C31-B31)/ABS(B31))*100))))</f>
        <v>1.3065533976736299</v>
      </c>
      <c r="E31" s="76">
        <f>A769B_C3</f>
        <v>1266804674</v>
      </c>
      <c r="F31" s="102">
        <f>IF(E31="N/A", " ", IF(C31="N/A", " ",IF(AND(C31=0,E31=0,),"N/A",IF(ABS(C31)=0, "N/A", ((E31-C31)/ABS(C31))*100))))</f>
        <v>0.22994109973005963</v>
      </c>
      <c r="G31" s="76">
        <f>A769B_C4</f>
        <v>1312691352</v>
      </c>
      <c r="H31" s="102">
        <f>IF(G31="N/A", " ", IF(E31="N/A", " ",IF(AND(E31=0,G31=0,),"N/A",IF(ABS(E31)=0, "N/A", ((G31-E31)/ABS(E31))*100))))</f>
        <v>3.6222378194351377</v>
      </c>
      <c r="I31" s="76">
        <f>A769B_C5</f>
        <v>1332968961</v>
      </c>
      <c r="J31" s="102">
        <f>IF(I31="N/A", " ", IF(G31="N/A", " ",IF(AND(G31=0,I31=0,),"N/A",IF(ABS(G31)=0, "N/A", ((I31-G31)/ABS(G31))*100))))</f>
        <v>1.5447354756398213</v>
      </c>
    </row>
    <row r="32" spans="1:10" ht="13.35" customHeight="1" x14ac:dyDescent="0.2">
      <c r="A32" s="127" t="s">
        <v>311</v>
      </c>
      <c r="B32" s="76">
        <f>IF(B8&lt;DATEVALUE("3/31/2022"), A766E_C1,AAS0016_C1)</f>
        <v>11995673414</v>
      </c>
      <c r="C32" s="76">
        <f>IF(C8&lt;DATEVALUE("3/31/2022"), A766E_C2,AAS0016_C2)</f>
        <v>11197786391</v>
      </c>
      <c r="D32" s="102">
        <f>IF(C32="N/A", " ", IF(B32="N/A", " ",IF(AND(B32=0,C32=0,),"N/A",IF(ABS(B32)=0, "N/A", ((C32-B32)/ABS(B32))*100))))</f>
        <v>-6.6514566999531359</v>
      </c>
      <c r="E32" s="76">
        <f>IF(E8&lt;DATEVALUE("3/31/2022"), A766E_C3,AAS0016_C3)</f>
        <v>11524966695</v>
      </c>
      <c r="F32" s="102">
        <f>IF(E32="N/A", " ", IF(C32="N/A", " ",IF(AND(C32=0,E32=0,),"N/A",IF(ABS(C32)=0, "N/A", ((E32-C32)/ABS(C32))*100))))</f>
        <v>2.9218301955015389</v>
      </c>
      <c r="G32" s="76">
        <f>IF(G8&lt;DATEVALUE("3/31/2022"), A766E_C4,AAS0016_C4)</f>
        <v>11905898716</v>
      </c>
      <c r="H32" s="102">
        <f>IF(G32="N/A", " ", IF(E32="N/A", " ",IF(AND(E32=0,G32=0,),"N/A",IF(ABS(E32)=0, "N/A", ((G32-E32)/ABS(E32))*100))))</f>
        <v>3.3052765450963415</v>
      </c>
      <c r="I32" s="76">
        <f>IF(I8&lt;DATEVALUE("3/31/2022"), A766E_C5,AAS0016_C5)</f>
        <v>11934888334</v>
      </c>
      <c r="J32" s="102">
        <f>IF(I32="N/A", " ", IF(G32="N/A", " ",IF(AND(G32=0,I32=0,),"N/A",IF(ABS(G32)=0, "N/A", ((I32-G32)/ABS(G32))*100))))</f>
        <v>0.243489539861797</v>
      </c>
    </row>
    <row r="33" spans="1:10" ht="13.35" customHeight="1" x14ac:dyDescent="0.2">
      <c r="A33" s="145" t="s">
        <v>312</v>
      </c>
      <c r="B33" s="76">
        <f>IF(B8&lt;DATEVALUE("3/31/2022"),A766E_C1+A769A_C1+A769B_C1,AAS0017_C1)</f>
        <v>13382686937</v>
      </c>
      <c r="C33" s="76">
        <f>IF(C8&lt;DATEVALUE("3/31/2022"),A766E_C2+A769A_C2+A769B_C2,AAS0017_C2)</f>
        <v>12599754396</v>
      </c>
      <c r="D33" s="102">
        <f>IF(C33="N/A", " ", IF(B33="N/A", " ",IF(AND(B33=0,C33=0,),"N/A",IF(ABS(B33)=0, "N/A", ((C33-B33)/ABS(B33))*100))))</f>
        <v>-5.8503389094111933</v>
      </c>
      <c r="E33" s="76">
        <f>IF(E8&lt;DATEVALUE("3/31/2022"),A766E_C3+A769A_C3+A769B_C3,AAS0017_C3)</f>
        <v>12926446590</v>
      </c>
      <c r="F33" s="102">
        <f>IF(E33="N/A", " ", IF(C33="N/A", " ",IF(AND(C33=0,E33=0,),"N/A",IF(ABS(C33)=0, "N/A", ((E33-C33)/ABS(C33))*100))))</f>
        <v>2.5928457312129343</v>
      </c>
      <c r="G33" s="76">
        <f>IF(G8&lt;DATEVALUE("3/31/2022"),A766E_C4+A769A_C4+A769B_C4,AAS0017_C4)</f>
        <v>13344333723</v>
      </c>
      <c r="H33" s="102">
        <f>IF(G33="N/A", " ", IF(E33="N/A", " ",IF(AND(E33=0,G33=0,),"N/A",IF(ABS(E33)=0, "N/A", ((G33-E33)/ABS(E33))*100))))</f>
        <v>3.2328074857268256</v>
      </c>
      <c r="I33" s="76">
        <f>IF(I8&lt;DATEVALUE("3/31/2022"),A766E_C5+A769A_C5+A769B_C5,AAS0017_C5)</f>
        <v>13395974382</v>
      </c>
      <c r="J33" s="102">
        <f>IF(I33="N/A", " ", IF(G33="N/A", " ",IF(AND(G33=0,I33=0,),"N/A",IF(ABS(G33)=0, "N/A", ((I33-G33)/ABS(G33))*100))))</f>
        <v>0.38698566801423212</v>
      </c>
    </row>
    <row r="34" spans="1:10" ht="13.35" customHeight="1" x14ac:dyDescent="0.2">
      <c r="A34" s="145" t="s">
        <v>313</v>
      </c>
      <c r="B34" s="76">
        <f>IF(B8&lt;DATEVALUE("3/31/2002"),"N/A",A003_C1)</f>
        <v>3657996333</v>
      </c>
      <c r="C34" s="76">
        <f>IF(C8&lt;DATEVALUE("3/31/2002"),"N/A",A003_C2)</f>
        <v>3332520624</v>
      </c>
      <c r="D34" s="102">
        <f>IF(C34="N/A", " ", IF(B34="N/A", " ",IF(AND(B34=0,C34=0,),"N/A",IF(ABS(B34)=0, "N/A", ((C34-B34)/ABS(B34))*100))))</f>
        <v>-8.8976499528929409</v>
      </c>
      <c r="E34" s="76">
        <f>IF(E8&lt;DATEVALUE("3/31/2002"),"N/A",A003_C3)</f>
        <v>3065526598</v>
      </c>
      <c r="F34" s="102">
        <f>IF(E34="N/A", " ", IF(C34="N/A", " ",IF(AND(C34=0,E34=0,),"N/A",IF(ABS(C34)=0, "N/A", ((E34-C34)/ABS(C34))*100))))</f>
        <v>-8.0117741530892328</v>
      </c>
      <c r="G34" s="76">
        <f>IF(G8&lt;DATEVALUE("3/31/2002"),"N/A",A003_C4)</f>
        <v>3605539002</v>
      </c>
      <c r="H34" s="102">
        <f>IF(G34="N/A", " ", IF(E34="N/A", " ",IF(AND(E34=0,G34=0,),"N/A",IF(ABS(E34)=0, "N/A", ((G34-E34)/ABS(E34))*100))))</f>
        <v>17.615648950895192</v>
      </c>
      <c r="I34" s="76">
        <f>IF(I8&lt;DATEVALUE("3/31/2002"),"N/A",A003_C5)</f>
        <v>3692716647</v>
      </c>
      <c r="J34" s="102">
        <f>IF(I34="N/A", " ", IF(G34="N/A", " ",IF(AND(G34=0,I34=0,),"N/A",IF(ABS(G34)=0, "N/A", ((I34-G34)/ABS(G34))*100))))</f>
        <v>2.4178810699771209</v>
      </c>
    </row>
    <row r="35" spans="1:10" ht="13.35" customHeight="1" x14ac:dyDescent="0.2">
      <c r="A35" s="145" t="s">
        <v>314</v>
      </c>
      <c r="B35" s="76"/>
      <c r="C35" s="76"/>
      <c r="D35" s="102"/>
      <c r="E35" s="76"/>
      <c r="F35" s="102"/>
      <c r="G35" s="76"/>
      <c r="H35" s="102"/>
      <c r="I35" s="76"/>
      <c r="J35" s="102"/>
    </row>
    <row r="36" spans="1:10" ht="13.35" customHeight="1" x14ac:dyDescent="0.2">
      <c r="A36" s="127" t="s">
        <v>315</v>
      </c>
      <c r="B36" s="76">
        <f>A396_C1+A397A_C1+A698A_C1+A397_C1+A385_C1+A370_C1+A002_C1+A698C_C1</f>
        <v>723612258549</v>
      </c>
      <c r="C36" s="76">
        <f>A396_C2+A397A_C2+A698A_C2+A397_C2+A385_C2+A370_C2+A002_C2+A698C_C2</f>
        <v>720552582252</v>
      </c>
      <c r="D36" s="102">
        <f t="shared" ref="D36:D42" si="8">IF(C36="N/A", " ", IF(B36="N/A", " ",IF(AND(B36=0,C36=0,),"N/A",IF(ABS(B36)=0, "N/A", ((C36-B36)/ABS(B36))*100))))</f>
        <v>-0.42283367381521653</v>
      </c>
      <c r="E36" s="76">
        <f>A396_C3+A397A_C3+A698A_C3+A397_C3+A385_C3+A370_C3+A002_C3+A698C_C3</f>
        <v>716812609200</v>
      </c>
      <c r="F36" s="102">
        <f t="shared" ref="F36:F42" si="9">IF(E36="N/A", " ", IF(C36="N/A", " ",IF(AND(C36=0,E36=0,),"N/A",IF(ABS(C36)=0, "N/A", ((E36-C36)/ABS(C36))*100))))</f>
        <v>-0.51904234945785166</v>
      </c>
      <c r="G36" s="76">
        <f>A396_C4+A397A_C4+A698A_C4+A397_C4+A385_C4+A370_C4+A002_C4+A698C_C4</f>
        <v>722511536292</v>
      </c>
      <c r="H36" s="102">
        <f t="shared" ref="H36:H42" si="10">IF(G36="N/A", " ", IF(E36="N/A", " ",IF(AND(E36=0,G36=0,),"N/A",IF(ABS(E36)=0, "N/A", ((G36-E36)/ABS(E36))*100))))</f>
        <v>0.79503722714368785</v>
      </c>
      <c r="I36" s="76">
        <f>A396_C5+A397A_C5+A698A_C5+A397_C5+A385_C5+A370_C5+A002_C5+A698C_C5</f>
        <v>722795569654</v>
      </c>
      <c r="J36" s="102">
        <f t="shared" ref="J36:J42" si="11">IF(I36="N/A", " ", IF(G36="N/A", " ",IF(AND(G36=0,I36=0,),"N/A",IF(ABS(G36)=0, "N/A", ((I36-G36)/ABS(G36))*100))))</f>
        <v>3.9311948354165675E-2</v>
      </c>
    </row>
    <row r="37" spans="1:10" ht="13.35" customHeight="1" x14ac:dyDescent="0.2">
      <c r="A37" s="127" t="s">
        <v>316</v>
      </c>
      <c r="B37" s="76">
        <f>A703A_C1+A386A_C1</f>
        <v>736417043530</v>
      </c>
      <c r="C37" s="76">
        <f>A703A_C2+A386A_C2</f>
        <v>748644850382</v>
      </c>
      <c r="D37" s="102">
        <f t="shared" si="8"/>
        <v>1.6604459333784916</v>
      </c>
      <c r="E37" s="76">
        <f>A703A_C3+A386A_C3</f>
        <v>756819016970</v>
      </c>
      <c r="F37" s="102">
        <f t="shared" si="9"/>
        <v>1.0918617264019232</v>
      </c>
      <c r="G37" s="76">
        <f>A703A_C4+A386A_C4</f>
        <v>773437046842</v>
      </c>
      <c r="H37" s="102">
        <f t="shared" si="10"/>
        <v>2.1957732957784191</v>
      </c>
      <c r="I37" s="76">
        <f>A703A_C5+A386A_C5</f>
        <v>789548286467</v>
      </c>
      <c r="J37" s="102">
        <f t="shared" si="11"/>
        <v>2.0830705861302312</v>
      </c>
    </row>
    <row r="38" spans="1:10" ht="13.35" customHeight="1" x14ac:dyDescent="0.2">
      <c r="A38" s="127" t="s">
        <v>317</v>
      </c>
      <c r="B38" s="76">
        <f>A386B_C1</f>
        <v>1985793118</v>
      </c>
      <c r="C38" s="76">
        <f>A386B_C2</f>
        <v>2016234860</v>
      </c>
      <c r="D38" s="102">
        <f t="shared" si="8"/>
        <v>1.5329765081802444</v>
      </c>
      <c r="E38" s="76">
        <f>A386B_C3</f>
        <v>2043589458</v>
      </c>
      <c r="F38" s="102">
        <f t="shared" si="9"/>
        <v>1.3567168459729935</v>
      </c>
      <c r="G38" s="76">
        <f>A386B_C4</f>
        <v>2060068630</v>
      </c>
      <c r="H38" s="102">
        <f t="shared" si="10"/>
        <v>0.80638368609161226</v>
      </c>
      <c r="I38" s="76">
        <f>A386B_C5</f>
        <v>2392158898</v>
      </c>
      <c r="J38" s="102">
        <f t="shared" si="11"/>
        <v>16.120349738057026</v>
      </c>
    </row>
    <row r="39" spans="1:10" ht="13.35" customHeight="1" x14ac:dyDescent="0.2">
      <c r="A39" s="127" t="s">
        <v>318</v>
      </c>
      <c r="B39" s="76">
        <f>A718A5_C1</f>
        <v>156116573224</v>
      </c>
      <c r="C39" s="76">
        <f>A718A5_C2</f>
        <v>161172453135</v>
      </c>
      <c r="D39" s="102">
        <f t="shared" si="8"/>
        <v>3.2385286242132003</v>
      </c>
      <c r="E39" s="76">
        <f>A718A5_C3</f>
        <v>165315860040</v>
      </c>
      <c r="F39" s="102">
        <f t="shared" si="9"/>
        <v>2.5707909908955919</v>
      </c>
      <c r="G39" s="76">
        <f>A718A5_C4</f>
        <v>170039976657</v>
      </c>
      <c r="H39" s="102">
        <f t="shared" si="10"/>
        <v>2.8576306083741438</v>
      </c>
      <c r="I39" s="76">
        <f>A718A5_C5</f>
        <v>174577793008</v>
      </c>
      <c r="J39" s="102">
        <f t="shared" si="11"/>
        <v>2.6686761785162787</v>
      </c>
    </row>
    <row r="40" spans="1:10" ht="13.35" customHeight="1" x14ac:dyDescent="0.2">
      <c r="A40" s="127" t="s">
        <v>319</v>
      </c>
      <c r="B40" s="76">
        <f>A400P_C1</f>
        <v>12268811490</v>
      </c>
      <c r="C40" s="76">
        <f>A400P_C2</f>
        <v>12806981148</v>
      </c>
      <c r="D40" s="102">
        <f t="shared" si="8"/>
        <v>4.3864856709115516</v>
      </c>
      <c r="E40" s="76">
        <f>A400P_C3</f>
        <v>12749508842</v>
      </c>
      <c r="F40" s="102">
        <f t="shared" si="9"/>
        <v>-0.44875763722799855</v>
      </c>
      <c r="G40" s="76">
        <f>A400P_C4</f>
        <v>13207439496</v>
      </c>
      <c r="H40" s="102">
        <f t="shared" si="10"/>
        <v>3.5917513346981997</v>
      </c>
      <c r="I40" s="76">
        <f>A400P_C5</f>
        <v>13413289103</v>
      </c>
      <c r="J40" s="102">
        <f t="shared" si="11"/>
        <v>1.5585883021636671</v>
      </c>
    </row>
    <row r="41" spans="1:10" ht="13.35" customHeight="1" x14ac:dyDescent="0.2">
      <c r="A41" s="145" t="s">
        <v>320</v>
      </c>
      <c r="B41" s="76">
        <f>A025B_C1</f>
        <v>1630400480217</v>
      </c>
      <c r="C41" s="76">
        <f>A025B_C2</f>
        <v>1645193102116</v>
      </c>
      <c r="D41" s="102">
        <f t="shared" si="8"/>
        <v>0.90729989830665159</v>
      </c>
      <c r="E41" s="76">
        <f>A025B_C3</f>
        <v>1653740584809</v>
      </c>
      <c r="F41" s="102">
        <f t="shared" si="9"/>
        <v>0.51954282339297886</v>
      </c>
      <c r="G41" s="76">
        <f>A025B_C4</f>
        <v>1681256068236</v>
      </c>
      <c r="H41" s="102">
        <f t="shared" si="10"/>
        <v>1.6638331114174065</v>
      </c>
      <c r="I41" s="76">
        <f>A025B_C5</f>
        <v>1702727097420</v>
      </c>
      <c r="J41" s="102">
        <f t="shared" si="11"/>
        <v>1.2770826282594618</v>
      </c>
    </row>
    <row r="42" spans="1:10" ht="25.15" customHeight="1" x14ac:dyDescent="0.2">
      <c r="A42" s="153" t="s">
        <v>321</v>
      </c>
      <c r="B42" s="191">
        <f>IF(B8&lt;DATEVALUE("3/31/2019"),A719_C1,AAS0048_C1+A719_C1)</f>
        <v>20960857944</v>
      </c>
      <c r="C42" s="191">
        <f>IF(C8&lt;DATEVALUE("3/31/2019"),A719_C2,AAS0048_C2+A719_C2)</f>
        <v>21791406027</v>
      </c>
      <c r="D42" s="102">
        <f t="shared" si="8"/>
        <v>3.9623763741872144</v>
      </c>
      <c r="E42" s="191">
        <f>IF(E8&lt;DATEVALUE("3/31/2019"),A719_C3,AAS0048_C3+A719_C3)</f>
        <v>21692685833</v>
      </c>
      <c r="F42" s="102">
        <f t="shared" si="9"/>
        <v>-0.45302351705843874</v>
      </c>
      <c r="G42" s="191">
        <f>IF(G8&lt;DATEVALUE("3/31/2019"),A719_C4,AAS0048_C4+A719_C4)</f>
        <v>22066025987</v>
      </c>
      <c r="H42" s="102">
        <f t="shared" si="10"/>
        <v>1.7210416306866725</v>
      </c>
      <c r="I42" s="191">
        <f>IF(I8&lt;DATEVALUE("3/31/2019"),A719_C5,AAS0048_C5+A719_C5)</f>
        <v>22592777251</v>
      </c>
      <c r="J42" s="102">
        <f t="shared" si="11"/>
        <v>2.3871596286088428</v>
      </c>
    </row>
    <row r="43" spans="1:10" ht="13.35" customHeight="1" x14ac:dyDescent="0.2">
      <c r="A43" s="153" t="s">
        <v>322</v>
      </c>
      <c r="B43" s="191"/>
      <c r="C43" s="191"/>
      <c r="D43" s="102"/>
      <c r="E43" s="191"/>
      <c r="F43" s="102"/>
      <c r="G43" s="191"/>
      <c r="H43" s="102"/>
      <c r="I43" s="191"/>
      <c r="J43" s="102"/>
    </row>
    <row r="44" spans="1:10" ht="13.35" customHeight="1" x14ac:dyDescent="0.2">
      <c r="A44" s="127" t="s">
        <v>323</v>
      </c>
      <c r="B44" s="76">
        <f>A798A_C1</f>
        <v>895759746</v>
      </c>
      <c r="C44" s="76">
        <f>A798A_C2</f>
        <v>938174493</v>
      </c>
      <c r="D44" s="102">
        <f t="shared" ref="D44:D52" si="12">IF(C44="N/A", " ", IF(B44="N/A", " ",IF(AND(B44=0,C44=0,),"N/A",IF(ABS(B44)=0, "N/A", ((C44-B44)/ABS(B44))*100))))</f>
        <v>4.735058389194462</v>
      </c>
      <c r="E44" s="76">
        <f>A798A_C3</f>
        <v>1000665442</v>
      </c>
      <c r="F44" s="102">
        <f t="shared" ref="F44:F52" si="13">IF(E44="N/A", " ", IF(C44="N/A", " ",IF(AND(C44=0,E44=0,),"N/A",IF(ABS(C44)=0, "N/A", ((E44-C44)/ABS(C44))*100))))</f>
        <v>6.6609089744246548</v>
      </c>
      <c r="G44" s="76">
        <f>A798A_C4</f>
        <v>994467289</v>
      </c>
      <c r="H44" s="102">
        <f t="shared" ref="H44:H52" si="14">IF(G44="N/A", " ", IF(E44="N/A", " ",IF(AND(E44=0,G44=0,),"N/A",IF(ABS(E44)=0, "N/A", ((G44-E44)/ABS(E44))*100))))</f>
        <v>-0.6194031231469268</v>
      </c>
      <c r="I44" s="76">
        <f>A798A_C5</f>
        <v>1071698127</v>
      </c>
      <c r="J44" s="102">
        <f t="shared" ref="J44:J52" si="15">IF(I44="N/A", " ", IF(G44="N/A", " ",IF(AND(G44=0,I44=0,),"N/A",IF(ABS(G44)=0, "N/A", ((I44-G44)/ABS(G44))*100))))</f>
        <v>7.7660511164384811</v>
      </c>
    </row>
    <row r="45" spans="1:10" ht="13.35" customHeight="1" x14ac:dyDescent="0.2">
      <c r="A45" s="127" t="s">
        <v>324</v>
      </c>
      <c r="B45" s="76">
        <f>A007_C1</f>
        <v>32471434942</v>
      </c>
      <c r="C45" s="76">
        <f>A007_C2</f>
        <v>32860023025</v>
      </c>
      <c r="D45" s="102">
        <f t="shared" si="12"/>
        <v>1.1967074559350097</v>
      </c>
      <c r="E45" s="76">
        <f>A007_C3</f>
        <v>33171673825</v>
      </c>
      <c r="F45" s="102">
        <f t="shared" si="13"/>
        <v>0.94841929892409138</v>
      </c>
      <c r="G45" s="76">
        <f>A007_C4</f>
        <v>33428569193</v>
      </c>
      <c r="H45" s="102">
        <f t="shared" si="14"/>
        <v>0.77444198129787922</v>
      </c>
      <c r="I45" s="76">
        <f>A007_C5</f>
        <v>33712814283</v>
      </c>
      <c r="J45" s="102">
        <f t="shared" si="15"/>
        <v>0.85030588165143894</v>
      </c>
    </row>
    <row r="46" spans="1:10" ht="13.35" customHeight="1" x14ac:dyDescent="0.2">
      <c r="A46" s="127" t="s">
        <v>325</v>
      </c>
      <c r="B46" s="76">
        <f>A008_C1</f>
        <v>8904637936</v>
      </c>
      <c r="C46" s="76">
        <f>A008_C2</f>
        <v>9039213940</v>
      </c>
      <c r="D46" s="102">
        <f t="shared" si="12"/>
        <v>1.5113023681280868</v>
      </c>
      <c r="E46" s="76">
        <f>A008_C3</f>
        <v>9005152150</v>
      </c>
      <c r="F46" s="102">
        <f t="shared" si="13"/>
        <v>-0.37682247843776556</v>
      </c>
      <c r="G46" s="76">
        <f>A008_C4</f>
        <v>9102634978</v>
      </c>
      <c r="H46" s="102">
        <f t="shared" si="14"/>
        <v>1.0825228311106325</v>
      </c>
      <c r="I46" s="76">
        <f>A008_C5</f>
        <v>9264329393</v>
      </c>
      <c r="J46" s="102">
        <f t="shared" si="15"/>
        <v>1.7763473476723655</v>
      </c>
    </row>
    <row r="47" spans="1:10" ht="13.35" customHeight="1" x14ac:dyDescent="0.2">
      <c r="A47" s="127" t="s">
        <v>326</v>
      </c>
      <c r="B47" s="76">
        <f>A794_C1</f>
        <v>17258701232</v>
      </c>
      <c r="C47" s="76">
        <f>A794_C2</f>
        <v>17596522724</v>
      </c>
      <c r="D47" s="102">
        <f t="shared" si="12"/>
        <v>1.957398111589258</v>
      </c>
      <c r="E47" s="76">
        <f>A794_C3</f>
        <v>17629582217</v>
      </c>
      <c r="F47" s="102">
        <f t="shared" si="13"/>
        <v>0.18787514737164498</v>
      </c>
      <c r="G47" s="76">
        <f>A794_C4</f>
        <v>17814785003</v>
      </c>
      <c r="H47" s="102">
        <f t="shared" si="14"/>
        <v>1.0505228298683738</v>
      </c>
      <c r="I47" s="76">
        <f>A794_C5</f>
        <v>17859123639</v>
      </c>
      <c r="J47" s="102">
        <f t="shared" si="15"/>
        <v>0.24888673083920684</v>
      </c>
    </row>
    <row r="48" spans="1:10" ht="13.35" customHeight="1" x14ac:dyDescent="0.2">
      <c r="A48" s="127" t="s">
        <v>327</v>
      </c>
      <c r="B48" s="76">
        <f>IF(B8&lt;=DATEVALUE("12/31/2021"),A009D_C1,A009D2_C1+A779_C1+AAS0032_C1)</f>
        <v>6915329922</v>
      </c>
      <c r="C48" s="76">
        <f>IF(C8&lt;=DATEVALUE("12/31/2021"),A009D_C2,A009D2_C2+A779_C2+AAS0032_C2)</f>
        <v>7161344001</v>
      </c>
      <c r="D48" s="102">
        <f t="shared" si="12"/>
        <v>3.5575175989412471</v>
      </c>
      <c r="E48" s="76">
        <f>IF(E8&lt;=DATEVALUE("12/31/2021"),A009D_C3,A009D2_C3+A779_C3+AAS0032_C3)</f>
        <v>7266505122</v>
      </c>
      <c r="F48" s="102">
        <f t="shared" si="13"/>
        <v>1.4684550970504342</v>
      </c>
      <c r="G48" s="76">
        <f>IF(G8&lt;=DATEVALUE("12/31/2021"),A009D_C4,A009D2_C4+A779_C4+AAS0032_C4)</f>
        <v>7625661810</v>
      </c>
      <c r="H48" s="102">
        <f t="shared" si="14"/>
        <v>4.9426331086263282</v>
      </c>
      <c r="I48" s="76">
        <f>IF(I8&lt;=DATEVALUE("12/31/2021"),A009D_C5,A009D2_C5+A779_C5+AAS0032_C5)</f>
        <v>7843984886</v>
      </c>
      <c r="J48" s="102">
        <f t="shared" si="15"/>
        <v>2.8630049619260522</v>
      </c>
    </row>
    <row r="49" spans="1:12" ht="13.35" customHeight="1" x14ac:dyDescent="0.2">
      <c r="A49" s="127" t="s">
        <v>328</v>
      </c>
      <c r="B49" s="76">
        <f>IF(B8&lt;=DATEVALUE("12/31/2021"),A009_C1, (A009A_C1+A009B_C1+A009C_C1))</f>
        <v>53726487170</v>
      </c>
      <c r="C49" s="76">
        <f>IF(C8&lt;=DATEVALUE("12/31/2021"),A009_C2, (A009A_C2+A009B_C2+A009C_C2))</f>
        <v>50741626462</v>
      </c>
      <c r="D49" s="102">
        <f t="shared" si="12"/>
        <v>-5.555659536338899</v>
      </c>
      <c r="E49" s="76">
        <f>IF(E8&lt;=DATEVALUE("12/31/2021"),A009_C3, (A009A_C3+A009B_C3+A009C_C3))</f>
        <v>56707360002</v>
      </c>
      <c r="F49" s="102">
        <f t="shared" si="13"/>
        <v>11.757079849357392</v>
      </c>
      <c r="G49" s="76">
        <f>IF(G8&lt;=DATEVALUE("12/31/2021"),A009_C4, (A009A_C4+A009B_C4+A009C_C4))</f>
        <v>58120209235</v>
      </c>
      <c r="H49" s="102">
        <f t="shared" si="14"/>
        <v>2.4914741806886629</v>
      </c>
      <c r="I49" s="76">
        <f>IF(I8&lt;=DATEVALUE("12/31/2021"),A009_C5, (A009A_C5+A009B_C5+A009C_C5))</f>
        <v>59573303835</v>
      </c>
      <c r="J49" s="102">
        <f t="shared" si="15"/>
        <v>2.5001537660069988</v>
      </c>
    </row>
    <row r="50" spans="1:12" ht="13.35" customHeight="1" x14ac:dyDescent="0.2">
      <c r="A50" s="92" t="s">
        <v>329</v>
      </c>
      <c r="B50" s="76">
        <f>IF(B8&lt;DATEVALUE("3/31/2022"),A798A_C1+A007_C1+A008_C1+A794_C1+A009D_C1+A009_C1,A798A_C1+A007_C1+A008_C1+A794_C1+AAS0036_C1)</f>
        <v>120172350948</v>
      </c>
      <c r="C50" s="76">
        <f>IF(C8&lt;DATEVALUE("3/31/2022"),A798A_C2+A007_C2+A008_C2+A794_C2+A009D_C2+A009_C2,A798A_C2+A007_C2+A008_C2+A794_C2+AAS0036_C2)</f>
        <v>118336904645</v>
      </c>
      <c r="D50" s="102">
        <f t="shared" si="12"/>
        <v>-1.5273449246193238</v>
      </c>
      <c r="E50" s="76">
        <f>IF(E8&lt;DATEVALUE("3/31/2022"),A798A_C3+A007_C3+A008_C3+A794_C3+A009D_C3+A009_C3,A798A_C3+A007_C3+A008_C3+A794_C3+AAS0036_C3)</f>
        <v>124780938758</v>
      </c>
      <c r="F50" s="102">
        <f t="shared" si="13"/>
        <v>5.4454982850291032</v>
      </c>
      <c r="G50" s="76">
        <f>IF(G8&lt;DATEVALUE("3/31/2022"),A798A_C4+A007_C4+A008_C4+A794_C4+A009D_C4+A009_C4,A798A_C4+A007_C4+A008_C4+A794_C4+AAS0036_C4)</f>
        <v>127086327508</v>
      </c>
      <c r="H50" s="102">
        <f t="shared" si="14"/>
        <v>1.8475488106970153</v>
      </c>
      <c r="I50" s="76">
        <f>IF(I8&lt;DATEVALUE("3/31/2022"),A798A_C5+A007_C5+A008_C5+A794_C5+A009D_C5+A009_C5,A798A_C5+A007_C5+A008_C5+A794_C5+AAS0036_C5)</f>
        <v>129325254163</v>
      </c>
      <c r="J50" s="102">
        <f t="shared" si="15"/>
        <v>1.7617368436892327</v>
      </c>
    </row>
    <row r="51" spans="1:12" s="100" customFormat="1" ht="13.35" customHeight="1" x14ac:dyDescent="0.2">
      <c r="A51" s="145" t="s">
        <v>330</v>
      </c>
      <c r="B51" s="197">
        <f>A010_C1</f>
        <v>2311465790129</v>
      </c>
      <c r="C51" s="197">
        <f>A010_C2</f>
        <v>2307409857365</v>
      </c>
      <c r="D51" s="184">
        <f t="shared" si="12"/>
        <v>-0.17547016189124059</v>
      </c>
      <c r="E51" s="197">
        <f>A010_C3</f>
        <v>2367210395823</v>
      </c>
      <c r="F51" s="184">
        <f t="shared" si="13"/>
        <v>2.5916738748048256</v>
      </c>
      <c r="G51" s="197">
        <f>A010_C4</f>
        <v>2378971211583</v>
      </c>
      <c r="H51" s="184">
        <f t="shared" si="14"/>
        <v>0.49682173501570642</v>
      </c>
      <c r="I51" s="197">
        <f>A010_C5</f>
        <v>2397759543482</v>
      </c>
      <c r="J51" s="184">
        <f t="shared" si="15"/>
        <v>0.78976709795903699</v>
      </c>
    </row>
    <row r="52" spans="1:12" ht="13.35" customHeight="1" x14ac:dyDescent="0.2">
      <c r="A52" s="198" t="s">
        <v>84</v>
      </c>
      <c r="B52" s="160">
        <f>CountCu_C1</f>
        <v>4499</v>
      </c>
      <c r="C52" s="160">
        <f>CountCu_C2</f>
        <v>4455</v>
      </c>
      <c r="D52" s="199">
        <f t="shared" si="12"/>
        <v>-0.97799511002444983</v>
      </c>
      <c r="E52" s="160">
        <f>CountCu_C3</f>
        <v>4411</v>
      </c>
      <c r="F52" s="199">
        <f t="shared" si="13"/>
        <v>-0.98765432098765427</v>
      </c>
      <c r="G52" s="160">
        <f>CountCu_C4</f>
        <v>4370</v>
      </c>
      <c r="H52" s="199">
        <f t="shared" si="14"/>
        <v>-0.92949444570392203</v>
      </c>
      <c r="I52" s="160">
        <f>CountCu_C5</f>
        <v>4331</v>
      </c>
      <c r="J52" s="199">
        <f t="shared" si="15"/>
        <v>-0.89244851258581237</v>
      </c>
    </row>
    <row r="53" spans="1:12" s="83" customFormat="1" ht="13.15" customHeight="1" x14ac:dyDescent="0.2">
      <c r="A53" s="10" t="s">
        <v>86</v>
      </c>
      <c r="B53" s="10"/>
      <c r="C53" s="10"/>
      <c r="D53" s="10"/>
      <c r="E53" s="10"/>
      <c r="F53" s="10"/>
      <c r="G53" s="10"/>
      <c r="H53" s="81"/>
      <c r="I53" s="84"/>
      <c r="J53" s="82"/>
    </row>
    <row r="54" spans="1:12" x14ac:dyDescent="0.2">
      <c r="A54" s="30" t="s">
        <v>331</v>
      </c>
      <c r="C54" s="32"/>
      <c r="D54" s="55"/>
      <c r="E54" s="32"/>
    </row>
    <row r="55" spans="1:12" ht="26.45" customHeight="1" x14ac:dyDescent="0.2">
      <c r="A55" s="13" t="s">
        <v>332</v>
      </c>
      <c r="B55" s="13"/>
      <c r="C55" s="13"/>
      <c r="D55" s="13"/>
      <c r="E55" s="13"/>
      <c r="F55" s="13"/>
      <c r="G55" s="13"/>
      <c r="H55" s="13"/>
      <c r="I55" s="13"/>
      <c r="J55" s="13"/>
      <c r="K55" s="81"/>
      <c r="L55" s="81"/>
    </row>
    <row r="56" spans="1:12" x14ac:dyDescent="0.2">
      <c r="I56" s="9" t="s">
        <v>333</v>
      </c>
      <c r="J56" s="9"/>
    </row>
    <row r="57" spans="1:12" x14ac:dyDescent="0.2">
      <c r="C57" s="32"/>
      <c r="D57" s="61"/>
    </row>
    <row r="61" spans="1:12" x14ac:dyDescent="0.2">
      <c r="E61" s="27"/>
    </row>
  </sheetData>
  <mergeCells count="4">
    <mergeCell ref="D5:J5"/>
    <mergeCell ref="A53:G53"/>
    <mergeCell ref="A55:J55"/>
    <mergeCell ref="I56:J56"/>
  </mergeCells>
  <phoneticPr fontId="2" type="noConversion"/>
  <hyperlinks>
    <hyperlink ref="A2" location="'Cover Page'!A1" display="Return to cover" xr:uid="{00000000-0004-0000-0500-000000000000}"/>
  </hyperlinks>
  <printOptions horizontalCentered="1" verticalCentered="1" gridLines="1"/>
  <pageMargins left="0.75" right="0.75" top="0.5" bottom="0.5" header="0.5" footer="0.5"/>
  <pageSetup orientation="landscape" r:id="rId1"/>
  <headerFooter alignWithMargins="0"/>
  <ignoredErrors>
    <ignoredError sqref="G51:G52 I51:I52 I41 G41 G45:G47 I45:I47 G34 I34 G22 I22 G35 I35"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pageSetUpPr fitToPage="1"/>
  </sheetPr>
  <dimension ref="A1:J42"/>
  <sheetViews>
    <sheetView workbookViewId="0"/>
  </sheetViews>
  <sheetFormatPr defaultRowHeight="12.75" x14ac:dyDescent="0.2"/>
  <cols>
    <col min="1" max="1" width="50.5703125" style="30" customWidth="1"/>
    <col min="2" max="3" width="16.7109375" customWidth="1"/>
    <col min="4" max="4" width="6.7109375" style="57" customWidth="1"/>
    <col min="5" max="5" width="16.7109375" customWidth="1"/>
    <col min="6" max="6" width="6.7109375" style="57" customWidth="1"/>
    <col min="7" max="7" width="16.7109375" customWidth="1"/>
    <col min="8" max="8" width="6.7109375" style="57" customWidth="1"/>
    <col min="9" max="9" width="16.7109375" customWidth="1"/>
    <col min="10" max="10" width="6.7109375" style="57" customWidth="1"/>
    <col min="11" max="11" width="10" customWidth="1"/>
    <col min="12" max="12" width="9.140625" customWidth="1"/>
    <col min="13" max="13" width="14.7109375" customWidth="1"/>
  </cols>
  <sheetData>
    <row r="1" spans="1:10" s="62" customFormat="1" ht="12" customHeight="1" x14ac:dyDescent="0.2">
      <c r="A1" s="88"/>
      <c r="C1" s="85" t="s">
        <v>10</v>
      </c>
      <c r="D1" s="118"/>
      <c r="F1" s="119"/>
      <c r="H1" s="119"/>
      <c r="J1" s="119"/>
    </row>
    <row r="2" spans="1:10" s="62" customFormat="1" x14ac:dyDescent="0.2">
      <c r="A2" s="60" t="s">
        <v>49</v>
      </c>
      <c r="C2" s="67" t="s">
        <v>50</v>
      </c>
      <c r="D2" s="87" t="str">
        <f>IF(CU_NUMBER="","N/A",CU_NUMBER)</f>
        <v>N/A</v>
      </c>
      <c r="E2" s="120"/>
      <c r="F2" s="119"/>
      <c r="H2" s="119"/>
      <c r="J2" s="119"/>
    </row>
    <row r="3" spans="1:10" s="62" customFormat="1" ht="12" customHeight="1" x14ac:dyDescent="0.2">
      <c r="A3" s="121" t="str">
        <f>IF(Request_Date=0,"N/A",Request_Date)</f>
        <v>12/05/2025</v>
      </c>
      <c r="C3" s="67" t="s">
        <v>42</v>
      </c>
      <c r="D3" s="75">
        <f>IF(CountCu_C5=0,"N/A",CountCu_C5)</f>
        <v>4331</v>
      </c>
      <c r="E3" s="120"/>
      <c r="F3" s="119"/>
      <c r="H3" s="119"/>
      <c r="J3" s="119"/>
    </row>
    <row r="4" spans="1:10" s="62" customFormat="1" ht="12" customHeight="1" x14ac:dyDescent="0.2">
      <c r="A4" s="74" t="str">
        <f>"CU Name:      "&amp;IF(Cu_Name="","N/A",Cu_Name)</f>
        <v>CU Name:      N/A</v>
      </c>
      <c r="C4" s="67" t="s">
        <v>43</v>
      </c>
      <c r="D4" s="89" t="str">
        <f>IF(AssetRange="","N/A",AssetRange)</f>
        <v>N/A</v>
      </c>
      <c r="E4" s="75"/>
      <c r="F4" s="119"/>
      <c r="H4" s="119"/>
      <c r="J4" s="119"/>
    </row>
    <row r="5" spans="1:10" s="62" customFormat="1" ht="12" customHeight="1" x14ac:dyDescent="0.2">
      <c r="A5" s="74" t="str">
        <f>"Peer Group:      "&amp;IF(Peer_Group="","N/A",IF(Peer_Group="0","N/A",Peer_Group))</f>
        <v>Peer Group:      N/A</v>
      </c>
      <c r="B5" s="90"/>
      <c r="C5" s="67" t="s">
        <v>51</v>
      </c>
      <c r="D5" s="24" t="str">
        <f>IF(_xlnm.Criteria="","N/A",_xlnm.Criteria)</f>
        <v xml:space="preserve">Region: Nation * Peer Group: All * Types Included: All  Federally Insured Credit Unions  (FICUs) *  </v>
      </c>
      <c r="E5" s="23"/>
      <c r="F5" s="23"/>
      <c r="G5" s="23"/>
      <c r="H5" s="23"/>
      <c r="I5" s="23"/>
      <c r="J5" s="23"/>
    </row>
    <row r="6" spans="1:10" s="62" customFormat="1" ht="12.75" customHeight="1" x14ac:dyDescent="0.2">
      <c r="A6" s="74"/>
      <c r="B6" s="67"/>
      <c r="C6" s="67" t="s">
        <v>45</v>
      </c>
      <c r="D6" s="75" t="str">
        <f>IF(NoCu_in_Peer_Group="","N/A",NoCu_in_Peer_Group)</f>
        <v>N/A</v>
      </c>
      <c r="E6" s="92" t="str">
        <f>IF(CU_NUMBER&gt;0,"",IF(RetPop=0,"Retroactive Population",""))</f>
        <v/>
      </c>
      <c r="F6" s="119"/>
      <c r="H6" s="119"/>
      <c r="J6" s="119"/>
    </row>
    <row r="7" spans="1:10" ht="12.75" customHeight="1" x14ac:dyDescent="0.2">
      <c r="A7" s="29"/>
      <c r="E7" s="58"/>
      <c r="F7" s="54"/>
      <c r="G7" s="30"/>
      <c r="H7" s="54"/>
      <c r="I7" s="30"/>
      <c r="J7" s="54"/>
    </row>
    <row r="8" spans="1:10" ht="12.75" customHeight="1" x14ac:dyDescent="0.2">
      <c r="A8" s="145"/>
      <c r="B8" s="139">
        <f>(CycDat_C1)</f>
        <v>45565</v>
      </c>
      <c r="C8" s="139">
        <f>(CycDat_C2)</f>
        <v>45657</v>
      </c>
      <c r="D8" s="184" t="s">
        <v>52</v>
      </c>
      <c r="E8" s="139">
        <f>(CycDat_C3)</f>
        <v>45747</v>
      </c>
      <c r="F8" s="184" t="s">
        <v>52</v>
      </c>
      <c r="G8" s="139">
        <f>(CycDat_C4)</f>
        <v>45838</v>
      </c>
      <c r="H8" s="184" t="s">
        <v>52</v>
      </c>
      <c r="I8" s="139">
        <f>(CycDat_C5)</f>
        <v>45930</v>
      </c>
      <c r="J8" s="184" t="s">
        <v>52</v>
      </c>
    </row>
    <row r="9" spans="1:10" x14ac:dyDescent="0.2">
      <c r="A9" s="145" t="s">
        <v>334</v>
      </c>
      <c r="B9" s="130"/>
      <c r="C9" s="130"/>
      <c r="D9" s="102"/>
      <c r="E9" s="130"/>
      <c r="F9" s="102"/>
      <c r="G9" s="130"/>
      <c r="H9" s="102"/>
      <c r="I9" s="130"/>
      <c r="J9" s="102"/>
    </row>
    <row r="10" spans="1:10" ht="12.75" customHeight="1" x14ac:dyDescent="0.2">
      <c r="A10" s="153" t="s">
        <v>335</v>
      </c>
      <c r="B10" s="130"/>
      <c r="C10" s="130"/>
      <c r="D10" s="102"/>
      <c r="E10" s="130"/>
      <c r="F10" s="102"/>
      <c r="G10" s="130"/>
      <c r="H10" s="102"/>
      <c r="I10" s="130"/>
      <c r="J10" s="102"/>
    </row>
    <row r="11" spans="1:10" ht="26.45" customHeight="1" x14ac:dyDescent="0.2">
      <c r="A11" s="124" t="s">
        <v>336</v>
      </c>
      <c r="B11" s="76">
        <f>IF(B8&lt;DATEVALUE("3/31/2022"),A825_C1+A825A_C1+A925A_C1,A825_C1)</f>
        <v>28326846613</v>
      </c>
      <c r="C11" s="76">
        <f>IF(C8&lt;DATEVALUE("3/31/2022"),A825_C2+A825A_C2+A925A_C2,A825_C2)</f>
        <v>27635771906</v>
      </c>
      <c r="D11" s="102">
        <f>IF(C11="N/A", " ", IF(B11="N/A", " ",IF(AND(B11=0,C11=0,),"N/A",IF(ABS(B11)=0, "N/A", ((C11-B11)/ABS(B11))*100))))</f>
        <v>-2.4396457411635999</v>
      </c>
      <c r="E11" s="76">
        <f>IF(E8&lt;DATEVALUE("3/31/2022"),A825_C3+A825A_C3+A925A_C3,A825_C3)</f>
        <v>27530164737</v>
      </c>
      <c r="F11" s="102">
        <f>IF(E11="N/A", " ", IF(C11="N/A", " ",IF(AND(C11=0,E11=0,),"N/A",IF(ABS(C11)=0, "N/A", ((E11-C11)/ABS(C11))*100))))</f>
        <v>-0.38213938571794204</v>
      </c>
      <c r="G11" s="76">
        <f>IF(G8&lt;DATEVALUE("3/31/2022"),A825_C4+A825A_C4+A925A_C4,A825_C4)</f>
        <v>28534974395</v>
      </c>
      <c r="H11" s="102">
        <f>IF(G11="N/A", " ", IF(E11="N/A", " ",IF(AND(E11=0,G11=0,),"N/A",IF(ABS(E11)=0, "N/A", ((G11-E11)/ABS(E11))*100))))</f>
        <v>3.6498497833162462</v>
      </c>
      <c r="I11" s="76">
        <f>IF(I8&lt;DATEVALUE("3/31/2022"),A825_C5+A825A_C5+A925A_C5,A825_C5)</f>
        <v>29299829570</v>
      </c>
      <c r="J11" s="102">
        <f>IF(I11="N/A", " ", IF(G11="N/A", " ",IF(AND(G11=0,I11=0,),"N/A",IF(ABS(G11)=0, "N/A", ((I11-G11)/ABS(G11))*100))))</f>
        <v>2.6804130412467471</v>
      </c>
    </row>
    <row r="12" spans="1:10" ht="13.15" customHeight="1" x14ac:dyDescent="0.2">
      <c r="A12" s="127" t="s">
        <v>337</v>
      </c>
      <c r="B12" s="130">
        <f>A820A_C1</f>
        <v>1002932908</v>
      </c>
      <c r="C12" s="130">
        <f>A820A_C2</f>
        <v>1066399393</v>
      </c>
      <c r="D12" s="102">
        <f>IF(C12="N/A", " ", IF(B12="N/A", " ",IF(AND(B12=0,C12=0,),"N/A",IF(ABS(B12)=0, "N/A", ((C12-B12)/ABS(B12))*100))))</f>
        <v>6.3280887977403975</v>
      </c>
      <c r="E12" s="130">
        <f>A820A_C3</f>
        <v>889000226</v>
      </c>
      <c r="F12" s="102">
        <f>IF(E12="N/A", " ", IF(C12="N/A", " ",IF(AND(C12=0,E12=0,),"N/A",IF(ABS(C12)=0, "N/A", ((E12-C12)/ABS(C12))*100))))</f>
        <v>-16.635340207850248</v>
      </c>
      <c r="G12" s="130">
        <f>A820A_C4</f>
        <v>884169894</v>
      </c>
      <c r="H12" s="102">
        <f>IF(G12="N/A", " ", IF(E12="N/A", " ",IF(AND(E12=0,G12=0,),"N/A",IF(ABS(E12)=0, "N/A", ((G12-E12)/ABS(E12))*100))))</f>
        <v>-0.54334429381798599</v>
      </c>
      <c r="I12" s="130">
        <f>A820A_C5</f>
        <v>902902939</v>
      </c>
      <c r="J12" s="102">
        <f>IF(I12="N/A", " ", IF(G12="N/A", " ",IF(AND(G12=0,I12=0,),"N/A",IF(ABS(G12)=0, "N/A", ((I12-G12)/ABS(G12))*100))))</f>
        <v>2.1187155463133198</v>
      </c>
    </row>
    <row r="13" spans="1:10" ht="13.15" customHeight="1" x14ac:dyDescent="0.2">
      <c r="A13" s="144" t="s">
        <v>338</v>
      </c>
      <c r="B13" s="76">
        <f>IF(B8&lt;DATEVALUE("3/31/2022"),A860C_C1-A925A_C1,A860C_C1)</f>
        <v>121860496521</v>
      </c>
      <c r="C13" s="76">
        <f>IF(C8&lt;DATEVALUE("3/31/2022"),A860C_C2-A925A_C2,A860C_C2)</f>
        <v>96453698383</v>
      </c>
      <c r="D13" s="102">
        <f>IF(C13="N/A", " ", IF(B13="N/A", " ",IF(AND(B13=0,C13=0,),"N/A",IF(ABS(B13)=0, "N/A", ((C13-B13)/ABS(B13))*100))))</f>
        <v>-20.849084702048373</v>
      </c>
      <c r="E13" s="76">
        <f>IF(E8&lt;DATEVALUE("3/31/2022"),A860C_C3-A925A_C3,A860C_C3)</f>
        <v>87429331543</v>
      </c>
      <c r="F13" s="102">
        <f>IF(E13="N/A", " ", IF(C13="N/A", " ",IF(AND(C13=0,E13=0,),"N/A",IF(ABS(C13)=0, "N/A", ((E13-C13)/ABS(C13))*100))))</f>
        <v>-9.3561646585762723</v>
      </c>
      <c r="G13" s="76">
        <f>IF(G8&lt;DATEVALUE("3/31/2022"),A860C_C4-A925A_C4,A860C_C4)</f>
        <v>90112873489</v>
      </c>
      <c r="H13" s="102">
        <f>IF(G13="N/A", " ", IF(E13="N/A", " ",IF(AND(E13=0,G13=0,),"N/A",IF(ABS(E13)=0, "N/A", ((G13-E13)/ABS(E13))*100))))</f>
        <v>3.0693840369580832</v>
      </c>
      <c r="I13" s="76">
        <f>IF(I8&lt;DATEVALUE("3/31/2022"),A860C_C5-A925A_C5,A860C_C5)</f>
        <v>87900804556</v>
      </c>
      <c r="J13" s="102">
        <f>IF(I13="N/A", " ", IF(G13="N/A", " ",IF(AND(G13=0,I13=0,),"N/A",IF(ABS(G13)=0, "N/A", ((I13-G13)/ABS(G13))*100))))</f>
        <v>-2.4547757133391439</v>
      </c>
    </row>
    <row r="14" spans="1:10" ht="26.45" customHeight="1" x14ac:dyDescent="0.2">
      <c r="A14" s="144" t="s">
        <v>339</v>
      </c>
      <c r="B14" s="76">
        <f>IF(B8&lt;DATEVALUE("3/31/2019"),"N/A",ALI0003_C1)</f>
        <v>147237592</v>
      </c>
      <c r="C14" s="76">
        <f>IF(C8&lt;DATEVALUE("3/31/2019"),"N/A",ALI0003_C2)</f>
        <v>154963715</v>
      </c>
      <c r="D14" s="102">
        <f>IF(C14="N/A", " ", IF(B14="N/A", " ",IF(AND(B14=0,C14=0,),"N/A",IF(ABS(B14)=0, "N/A", ((C14-B14)/ABS(B14))*100))))</f>
        <v>5.24738478472264</v>
      </c>
      <c r="E14" s="76">
        <f>IF(E8&lt;DATEVALUE("3/31/2019"),"N/A",ALI0003_C3)</f>
        <v>153239076</v>
      </c>
      <c r="F14" s="102">
        <f>IF(E14="N/A", " ", IF(C14="N/A", " ",IF(AND(C14=0,E14=0,),"N/A",IF(ABS(C14)=0, "N/A", ((E14-C14)/ABS(C14))*100))))</f>
        <v>-1.1129308561039597</v>
      </c>
      <c r="G14" s="76">
        <f>IF(G8&lt;DATEVALUE("3/31/2019"),"N/A",ALI0003_C4)</f>
        <v>162588147</v>
      </c>
      <c r="H14" s="102">
        <f>IF(G14="N/A", " ", IF(E14="N/A", " ",IF(AND(E14=0,G14=0,),"N/A",IF(ABS(E14)=0, "N/A", ((G14-E14)/ABS(E14))*100))))</f>
        <v>6.1009706166591604</v>
      </c>
      <c r="I14" s="76">
        <f>IF(I8&lt;DATEVALUE("3/31/2019"),"N/A",ALI0003_C5)</f>
        <v>170839813</v>
      </c>
      <c r="J14" s="102">
        <f>IF(I14="N/A", " ", IF(G14="N/A", " ",IF(AND(G14=0,I14=0,),"N/A",IF(ABS(G14)=0, "N/A", ((I14-G14)/ABS(G14))*100))))</f>
        <v>5.0751953031360886</v>
      </c>
    </row>
    <row r="15" spans="1:10" ht="13.15" customHeight="1" x14ac:dyDescent="0.2">
      <c r="A15" s="153" t="s">
        <v>340</v>
      </c>
      <c r="B15" s="76"/>
      <c r="C15" s="76"/>
      <c r="D15" s="102"/>
      <c r="E15" s="76"/>
      <c r="F15" s="102"/>
      <c r="G15" s="76"/>
      <c r="H15" s="102"/>
      <c r="I15" s="76"/>
      <c r="J15" s="102"/>
    </row>
    <row r="16" spans="1:10" ht="13.15" customHeight="1" x14ac:dyDescent="0.2">
      <c r="A16" s="127" t="s">
        <v>341</v>
      </c>
      <c r="B16" s="76">
        <f>A013_C1</f>
        <v>1908407263745</v>
      </c>
      <c r="C16" s="76">
        <f>A013_C2</f>
        <v>1932933934314</v>
      </c>
      <c r="D16" s="102">
        <f>IF(C16="N/A", " ", IF(B16="N/A", " ",IF(AND(B16=0,C16=0,),"N/A",IF(ABS(B16)=0, "N/A", ((C16-B16)/ABS(B16))*100))))</f>
        <v>1.2851905898151745</v>
      </c>
      <c r="E16" s="76">
        <f>A013_C3</f>
        <v>1995644013661</v>
      </c>
      <c r="F16" s="102">
        <f>IF(E16="N/A", " ", IF(C16="N/A", " ",IF(AND(C16=0,E16=0,),"N/A",IF(ABS(C16)=0, "N/A", ((E16-C16)/ABS(C16))*100))))</f>
        <v>3.2442950187666844</v>
      </c>
      <c r="G16" s="76">
        <f>A013_C4</f>
        <v>1997306612334</v>
      </c>
      <c r="H16" s="102">
        <f>IF(G16="N/A", " ", IF(E16="N/A", " ",IF(AND(E16=0,G16=0,),"N/A",IF(ABS(E16)=0, "N/A", ((G16-E16)/ABS(E16))*100))))</f>
        <v>8.331138527807723E-2</v>
      </c>
      <c r="I16" s="76">
        <f>A013_C5</f>
        <v>2008636771542</v>
      </c>
      <c r="J16" s="102">
        <f>IF(I16="N/A", " ", IF(G16="N/A", " ",IF(AND(G16=0,I16=0,),"N/A",IF(ABS(G16)=0, "N/A", ((I16-G16)/ABS(G16))*100))))</f>
        <v>0.56727190197201993</v>
      </c>
    </row>
    <row r="17" spans="1:10" ht="13.15" customHeight="1" x14ac:dyDescent="0.2">
      <c r="A17" s="127" t="s">
        <v>342</v>
      </c>
      <c r="B17" s="76">
        <f>IF(B8&lt;DATEVALUE("3/30/2006"),"N/A",A880_C1)</f>
        <v>26333939398</v>
      </c>
      <c r="C17" s="76">
        <f>IF(C8&lt;DATEVALUE("3/30/2006"),"N/A",A880_C2)</f>
        <v>26312799910</v>
      </c>
      <c r="D17" s="102">
        <f>IF(C17="N/A", " ", IF(B17="N/A", " ",IF(AND(B17=0,C17=0,),"N/A",IF(ABS(B17)=0, "N/A", ((C17-B17)/ABS(B17))*100))))</f>
        <v>-8.0274689177744121E-2</v>
      </c>
      <c r="E17" s="76">
        <f>IF(E8&lt;DATEVALUE("3/30/2006"),"N/A",A880_C3)</f>
        <v>24825540172</v>
      </c>
      <c r="F17" s="102">
        <f>IF(E17="N/A", " ", IF(C17="N/A", " ",IF(AND(C17=0,E17=0,),"N/A",IF(ABS(C17)=0, "N/A", ((E17-C17)/ABS(C17))*100))))</f>
        <v>-5.6522291169583099</v>
      </c>
      <c r="G17" s="76">
        <f>IF(G8&lt;DATEVALUE("3/30/2006"),"N/A",A880_C4)</f>
        <v>24733266570</v>
      </c>
      <c r="H17" s="102">
        <f>IF(G17="N/A", " ", IF(E17="N/A", " ",IF(AND(E17=0,G17=0,),"N/A",IF(ABS(E17)=0, "N/A", ((G17-E17)/ABS(E17))*100))))</f>
        <v>-0.37168819433815459</v>
      </c>
      <c r="I17" s="76">
        <f>IF(I8&lt;DATEVALUE("3/30/2006"),"N/A",A880_C5)</f>
        <v>25058536812</v>
      </c>
      <c r="J17" s="102">
        <f>IF(I17="N/A", " ", IF(G17="N/A", " ",IF(AND(G17=0,I17=0,),"N/A",IF(ABS(G17)=0, "N/A", ((I17-G17)/ABS(G17))*100))))</f>
        <v>1.3151123450653854</v>
      </c>
    </row>
    <row r="18" spans="1:10" ht="13.15" customHeight="1" x14ac:dyDescent="0.2">
      <c r="A18" s="145" t="s">
        <v>343</v>
      </c>
      <c r="B18" s="76">
        <f>A018_C1</f>
        <v>1934741203143</v>
      </c>
      <c r="C18" s="76">
        <f>A018_C2</f>
        <v>1959246734224</v>
      </c>
      <c r="D18" s="102">
        <f>IF(C18="N/A", " ", IF(B18="N/A", " ",IF(AND(B18=0,C18=0,),"N/A",IF(ABS(B18)=0, "N/A", ((C18-B18)/ABS(B18))*100))))</f>
        <v>1.2666051170663344</v>
      </c>
      <c r="E18" s="76">
        <f>A018_C3</f>
        <v>2020469553833</v>
      </c>
      <c r="F18" s="102">
        <f>IF(E18="N/A", " ", IF(C18="N/A", " ",IF(AND(C18=0,E18=0,),"N/A",IF(ABS(C18)=0, "N/A", ((E18-C18)/ABS(C18))*100))))</f>
        <v>3.1248141716693256</v>
      </c>
      <c r="G18" s="76">
        <f>A018_C4</f>
        <v>2022039878904</v>
      </c>
      <c r="H18" s="102">
        <f>IF(G18="N/A", " ", IF(E18="N/A", " ",IF(AND(E18=0,G18=0,),"N/A",IF(ABS(E18)=0, "N/A", ((G18-E18)/ABS(E18))*100))))</f>
        <v>7.7720798515422407E-2</v>
      </c>
      <c r="I18" s="76">
        <f>A018_C5</f>
        <v>2033695308354</v>
      </c>
      <c r="J18" s="102">
        <f>IF(I18="N/A", " ", IF(G18="N/A", " ",IF(AND(G18=0,I18=0,),"N/A",IF(ABS(G18)=0, "N/A", ((I18-G18)/ABS(G18))*100))))</f>
        <v>0.57641936598785359</v>
      </c>
    </row>
    <row r="19" spans="1:10" ht="13.15" customHeight="1" x14ac:dyDescent="0.2">
      <c r="A19" s="145" t="s">
        <v>344</v>
      </c>
      <c r="B19" s="76">
        <f>IF(B8&lt;=DATEVALUE("12/31/2018"),SUM(B11,B12,B13,B14,B18),ALI0069_C1)</f>
        <v>2086078716777</v>
      </c>
      <c r="C19" s="76">
        <f>IF(C8&lt;=DATEVALUE("12/31/2018"),SUM(C11,C12,C13,C14,C18),ALI0069_C2)</f>
        <v>2084557567621</v>
      </c>
      <c r="D19" s="102">
        <f>IF(C19="N/A", " ", IF(B19="N/A", " ",IF(AND(B19=0,C19=0,),"N/A",IF(ABS(B19)=0, "N/A", ((C19-B19)/ABS(B19))*100))))</f>
        <v>-7.2919067903160509E-2</v>
      </c>
      <c r="E19" s="76">
        <f>IF(E8&lt;=DATEVALUE("12/31/2018"),SUM(E11,E12,E13,E14,E18),ALI0069_C3)</f>
        <v>2136471289415</v>
      </c>
      <c r="F19" s="102">
        <f>IF(E19="N/A", " ", IF(C19="N/A", " ",IF(AND(C19=0,E19=0,),"N/A",IF(ABS(C19)=0, "N/A", ((E19-C19)/ABS(C19))*100))))</f>
        <v>2.4903952090537129</v>
      </c>
      <c r="G19" s="76">
        <f>IF(G8&lt;=DATEVALUE("12/31/2018"),SUM(G11,G12,G13,G14,G18),ALI0069_C4)</f>
        <v>2141734484829</v>
      </c>
      <c r="H19" s="102">
        <f>IF(G19="N/A", " ", IF(E19="N/A", " ",IF(AND(E19=0,G19=0,),"N/A",IF(ABS(E19)=0, "N/A", ((G19-E19)/ABS(E19))*100))))</f>
        <v>0.24634992476033446</v>
      </c>
      <c r="I19" s="76">
        <f>IF(I8&lt;=DATEVALUE("12/31/2018"),SUM(I11,I12,I13,I14,I18),ALI0069_C5)</f>
        <v>2151969685232</v>
      </c>
      <c r="J19" s="102">
        <f>IF(I19="N/A", " ", IF(G19="N/A", " ",IF(AND(G19=0,I19=0,),"N/A",IF(ABS(G19)=0, "N/A", ((I19-G19)/ABS(G19))*100))))</f>
        <v>0.4778930570292983</v>
      </c>
    </row>
    <row r="20" spans="1:10" ht="14.65" customHeight="1" x14ac:dyDescent="0.2">
      <c r="A20" s="145" t="s">
        <v>345</v>
      </c>
      <c r="B20" s="191"/>
      <c r="C20" s="191"/>
      <c r="D20" s="191"/>
      <c r="E20" s="191"/>
      <c r="F20" s="191"/>
      <c r="G20" s="76"/>
      <c r="H20" s="102"/>
      <c r="I20" s="76"/>
      <c r="J20" s="102"/>
    </row>
    <row r="21" spans="1:10" ht="13.15" customHeight="1" x14ac:dyDescent="0.2">
      <c r="A21" s="127" t="s">
        <v>346</v>
      </c>
      <c r="B21" s="76">
        <f>IF(B8&lt;DATEVALUE("3/31/2022"),A940_C1+A931_C1,A940_C1)</f>
        <v>201720140256</v>
      </c>
      <c r="C21" s="76">
        <f>IF(C8&lt;DATEVALUE("3/31/2022"),A940_C2+A931_C2,A940_C2)</f>
        <v>207274819310</v>
      </c>
      <c r="D21" s="102">
        <f t="shared" ref="D21:D35" si="0">IF(C21="N/A", " ", IF(B21="N/A", " ",IF(AND(B21=0,C21=0,),"N/A",IF(ABS(B21)=0, "N/A", ((C21-B21)/ABS(B21))*100))))</f>
        <v>2.753656153000211</v>
      </c>
      <c r="E21" s="76">
        <f>IF(E8&lt;DATEVALUE("3/31/2022"),A940_C3+A931_C3,A940_C3)</f>
        <v>209184104338</v>
      </c>
      <c r="F21" s="102">
        <f t="shared" ref="F21:F35" si="1">IF(E21="N/A", " ", IF(C21="N/A", " ",IF(AND(C21=0,E21=0,),"N/A",IF(ABS(C21)=0, "N/A", ((E21-C21)/ABS(C21))*100))))</f>
        <v>0.92113698825349133</v>
      </c>
      <c r="G21" s="76">
        <f>IF(G8&lt;DATEVALUE("3/31/2022"),A940_C4+A931_C4,A940_C4)</f>
        <v>211608564048</v>
      </c>
      <c r="H21" s="102">
        <f t="shared" ref="H21:H35" si="2">IF(G21="N/A", " ", IF(E21="N/A", " ",IF(AND(E21=0,G21=0,),"N/A",IF(ABS(E21)=0, "N/A", ((G21-E21)/ABS(E21))*100))))</f>
        <v>1.1590076204272932</v>
      </c>
      <c r="I21" s="76">
        <f>IF(I8&lt;DATEVALUE("3/31/2022"),A940_C5+A931_C5,A940_C5)</f>
        <v>215274305121</v>
      </c>
      <c r="J21" s="102">
        <f t="shared" ref="J21:J26" si="3">IF(I21="N/A", " ", IF(G21="N/A", " ",IF(AND(G21=0,I21=0,),"N/A",IF(ABS(G21)=0, "N/A", ((I21-G21)/ABS(G21))*100))))</f>
        <v>1.7323216994981758</v>
      </c>
    </row>
    <row r="22" spans="1:10" ht="13.15" customHeight="1" x14ac:dyDescent="0.2">
      <c r="A22" s="127" t="s">
        <v>347</v>
      </c>
      <c r="B22" s="76">
        <f>A658_C1</f>
        <v>35451913240</v>
      </c>
      <c r="C22" s="76">
        <f>A658_C2</f>
        <v>35898116450</v>
      </c>
      <c r="D22" s="102">
        <f t="shared" si="0"/>
        <v>1.2586153164127512</v>
      </c>
      <c r="E22" s="76">
        <f>A658_C3</f>
        <v>36335103945</v>
      </c>
      <c r="F22" s="102">
        <f t="shared" si="1"/>
        <v>1.2172992296368799</v>
      </c>
      <c r="G22" s="76">
        <f>A658_C4</f>
        <v>37016707694</v>
      </c>
      <c r="H22" s="102">
        <f t="shared" si="2"/>
        <v>1.8758822048004462</v>
      </c>
      <c r="I22" s="76">
        <f>A658_C5</f>
        <v>36745133706</v>
      </c>
      <c r="J22" s="102">
        <f t="shared" si="3"/>
        <v>-0.73365246376035531</v>
      </c>
    </row>
    <row r="23" spans="1:10" ht="13.15" customHeight="1" x14ac:dyDescent="0.2">
      <c r="A23" s="124" t="s">
        <v>348</v>
      </c>
      <c r="B23" s="76">
        <f>A668_C1</f>
        <v>23040529</v>
      </c>
      <c r="C23" s="76">
        <f>A668_C2</f>
        <v>21705733</v>
      </c>
      <c r="D23" s="102">
        <f t="shared" si="0"/>
        <v>-5.7932524031891797</v>
      </c>
      <c r="E23" s="76">
        <f>A668_C3</f>
        <v>21307882</v>
      </c>
      <c r="F23" s="102">
        <f t="shared" si="1"/>
        <v>-1.8329304981315304</v>
      </c>
      <c r="G23" s="76">
        <f>A668_C4</f>
        <v>21482155</v>
      </c>
      <c r="H23" s="102">
        <f t="shared" si="2"/>
        <v>0.81788044442896757</v>
      </c>
      <c r="I23" s="76">
        <f>A668_C5</f>
        <v>21573117</v>
      </c>
      <c r="J23" s="102">
        <f t="shared" si="3"/>
        <v>0.4234305170966321</v>
      </c>
    </row>
    <row r="24" spans="1:10" x14ac:dyDescent="0.2">
      <c r="A24" s="127" t="s">
        <v>349</v>
      </c>
      <c r="B24" s="76">
        <f>A658A_C1</f>
        <v>7926179551</v>
      </c>
      <c r="C24" s="76">
        <f>A658A_C2</f>
        <v>8125369730</v>
      </c>
      <c r="D24" s="102">
        <f t="shared" si="0"/>
        <v>2.5130667015342762</v>
      </c>
      <c r="E24" s="76">
        <f>A658A_C3</f>
        <v>8397634463</v>
      </c>
      <c r="F24" s="102">
        <f t="shared" si="1"/>
        <v>3.3507980811600557</v>
      </c>
      <c r="G24" s="76">
        <f>A658A_C4</f>
        <v>8566710464</v>
      </c>
      <c r="H24" s="102">
        <f t="shared" si="2"/>
        <v>2.013376525793654</v>
      </c>
      <c r="I24" s="76">
        <f>A658A_C5</f>
        <v>8870145833</v>
      </c>
      <c r="J24" s="102">
        <f t="shared" si="3"/>
        <v>3.5420290002227866</v>
      </c>
    </row>
    <row r="25" spans="1:10" x14ac:dyDescent="0.2">
      <c r="A25" s="127" t="s">
        <v>350</v>
      </c>
      <c r="B25" s="76">
        <f>A996_C1</f>
        <v>50952466</v>
      </c>
      <c r="C25" s="76">
        <f>A996_C2</f>
        <v>55865573</v>
      </c>
      <c r="D25" s="102">
        <f t="shared" si="0"/>
        <v>9.6425303536829787</v>
      </c>
      <c r="E25" s="76">
        <f>A996_C3</f>
        <v>52935875</v>
      </c>
      <c r="F25" s="102">
        <f t="shared" si="1"/>
        <v>-5.2441921610649196</v>
      </c>
      <c r="G25" s="76">
        <f>A996_C4</f>
        <v>52708394</v>
      </c>
      <c r="H25" s="102">
        <f t="shared" si="2"/>
        <v>-0.42972936595456296</v>
      </c>
      <c r="I25" s="76">
        <f>A996_C5</f>
        <v>69655835</v>
      </c>
      <c r="J25" s="102">
        <f t="shared" si="3"/>
        <v>32.153210739071277</v>
      </c>
    </row>
    <row r="26" spans="1:10" x14ac:dyDescent="0.2">
      <c r="A26" s="127" t="s">
        <v>351</v>
      </c>
      <c r="B26" s="76">
        <f>A945A_C1</f>
        <v>203818622</v>
      </c>
      <c r="C26" s="76">
        <f>A945A_C2</f>
        <v>451996126</v>
      </c>
      <c r="D26" s="102">
        <f t="shared" si="0"/>
        <v>121.76390045459145</v>
      </c>
      <c r="E26" s="76">
        <f>A945A_C3</f>
        <v>209078337</v>
      </c>
      <c r="F26" s="102">
        <f t="shared" si="1"/>
        <v>-53.743334295745711</v>
      </c>
      <c r="G26" s="76">
        <f>A945A_C4</f>
        <v>93717334</v>
      </c>
      <c r="H26" s="102">
        <f t="shared" si="2"/>
        <v>-55.175971195906349</v>
      </c>
      <c r="I26" s="76">
        <f>A945A_C5</f>
        <v>60241660</v>
      </c>
      <c r="J26" s="102">
        <f t="shared" si="3"/>
        <v>-35.719831722912652</v>
      </c>
    </row>
    <row r="27" spans="1:10" x14ac:dyDescent="0.2">
      <c r="A27" s="127" t="s">
        <v>352</v>
      </c>
      <c r="B27" s="76" t="str">
        <f>IF(B8&lt;DATEVALUE("3/31/2019"), A945_C1, "N/A")</f>
        <v>N/A</v>
      </c>
      <c r="C27" s="76" t="str">
        <f>IF(C8&lt;DATEVALUE("3/31/2019"), A945_C2, "N/A")</f>
        <v>N/A</v>
      </c>
      <c r="D27" s="102" t="str">
        <f t="shared" si="0"/>
        <v xml:space="preserve"> </v>
      </c>
      <c r="E27" s="76" t="str">
        <f>IF(E8&lt;DATEVALUE("3/31/2019"), A945_C3, "N/A")</f>
        <v>N/A</v>
      </c>
      <c r="F27" s="102" t="str">
        <f t="shared" si="1"/>
        <v xml:space="preserve"> </v>
      </c>
      <c r="G27" s="76" t="str">
        <f>IF(G8&lt;DATEVALUE("3/31/2019"), A945_C4, "N/A")</f>
        <v>N/A</v>
      </c>
      <c r="H27" s="102" t="str">
        <f t="shared" si="2"/>
        <v xml:space="preserve"> </v>
      </c>
      <c r="I27" s="76" t="str">
        <f>IF(I8&lt;DATEVALUE("3/31/2019"), A945_C5, "N/A")</f>
        <v>N/A</v>
      </c>
      <c r="J27" s="102" t="str">
        <f>IF(I27="N/A", " ", IF(G27="N/A", " ",IF(AND(I27=0,G27=0,),"N/A",IF(ABS(G27)=0, "N/A", ((I27-G27)/ABS(G27))*100))))</f>
        <v xml:space="preserve"> </v>
      </c>
    </row>
    <row r="28" spans="1:10" ht="22.9" customHeight="1" x14ac:dyDescent="0.2">
      <c r="A28" s="115" t="s">
        <v>353</v>
      </c>
      <c r="B28" s="76">
        <f>A945C_C1</f>
        <v>0</v>
      </c>
      <c r="C28" s="76">
        <f>A945C_C2</f>
        <v>0</v>
      </c>
      <c r="D28" s="102" t="str">
        <f t="shared" si="0"/>
        <v>N/A</v>
      </c>
      <c r="E28" s="76">
        <f>A945C_C3</f>
        <v>0</v>
      </c>
      <c r="F28" s="102" t="str">
        <f t="shared" si="1"/>
        <v>N/A</v>
      </c>
      <c r="G28" s="76">
        <f>A945C_C4</f>
        <v>0</v>
      </c>
      <c r="H28" s="102" t="str">
        <f t="shared" si="2"/>
        <v>N/A</v>
      </c>
      <c r="I28" s="76">
        <f>A945C_C5</f>
        <v>0</v>
      </c>
      <c r="J28" s="102" t="str">
        <f t="shared" ref="J28:J35" si="4">IF(I28="N/A", " ", IF(G28="N/A", " ",IF(AND(G28=0,I28=0,),"N/A",IF(ABS(G28)=0, "N/A", ((I28-G28)/ABS(G28))*100))))</f>
        <v>N/A</v>
      </c>
    </row>
    <row r="29" spans="1:10" ht="26.45" customHeight="1" x14ac:dyDescent="0.2">
      <c r="A29" s="124" t="s">
        <v>354</v>
      </c>
      <c r="B29" s="76">
        <f>IF(B8&lt;DATEVALUE("3/31/2019"),"N/A",AEQ0009_C1)</f>
        <v>-22234468524</v>
      </c>
      <c r="C29" s="76">
        <f>IF(C8&lt;DATEVALUE("3/31/2019"),"N/A",AEQ0009_C2)</f>
        <v>-27974293435</v>
      </c>
      <c r="D29" s="102">
        <f t="shared" si="0"/>
        <v>-25.814985884661031</v>
      </c>
      <c r="E29" s="76">
        <f>IF(E8&lt;DATEVALUE("3/31/2019"),"N/A",AEQ0009_C3)</f>
        <v>-23740573048</v>
      </c>
      <c r="F29" s="102">
        <f t="shared" si="1"/>
        <v>15.134324650012379</v>
      </c>
      <c r="G29" s="76">
        <f>IF(G8&lt;DATEVALUE("3/31/2019"),"N/A",AEQ0009_C4)</f>
        <v>-21986797759</v>
      </c>
      <c r="H29" s="102">
        <f t="shared" si="2"/>
        <v>7.3872491849885868</v>
      </c>
      <c r="I29" s="76">
        <f>IF(I8&lt;DATEVALUE("3/31/2019"),"N/A",AEQ0009_C5)</f>
        <v>-18943252171</v>
      </c>
      <c r="J29" s="102">
        <f t="shared" si="4"/>
        <v>13.842605100391053</v>
      </c>
    </row>
    <row r="30" spans="1:10" x14ac:dyDescent="0.2">
      <c r="A30" s="127" t="s">
        <v>355</v>
      </c>
      <c r="B30" s="76">
        <f>A945B_C1</f>
        <v>-1560923239</v>
      </c>
      <c r="C30" s="76">
        <f>A945B_C2</f>
        <v>-1001289743</v>
      </c>
      <c r="D30" s="102">
        <f t="shared" si="0"/>
        <v>35.852723696940231</v>
      </c>
      <c r="E30" s="76">
        <f>A945B_C3</f>
        <v>-966560981</v>
      </c>
      <c r="F30" s="102">
        <f t="shared" si="1"/>
        <v>3.4684028517008385</v>
      </c>
      <c r="G30" s="76">
        <f>A945B_C4</f>
        <v>-993089554</v>
      </c>
      <c r="H30" s="102">
        <f t="shared" si="2"/>
        <v>-2.7446352088984232</v>
      </c>
      <c r="I30" s="76">
        <f>A945B_C5</f>
        <v>-908972466</v>
      </c>
      <c r="J30" s="102">
        <f t="shared" si="4"/>
        <v>8.470241949599643</v>
      </c>
    </row>
    <row r="31" spans="1:10" x14ac:dyDescent="0.2">
      <c r="A31" s="127" t="s">
        <v>356</v>
      </c>
      <c r="B31" s="76">
        <f>A602_C1</f>
        <v>3806420451</v>
      </c>
      <c r="C31" s="76">
        <f>A602_C2</f>
        <v>0</v>
      </c>
      <c r="D31" s="102">
        <f t="shared" si="0"/>
        <v>-100</v>
      </c>
      <c r="E31" s="76">
        <f>A602_C3</f>
        <v>1246075597</v>
      </c>
      <c r="F31" s="102" t="str">
        <f t="shared" si="1"/>
        <v>N/A</v>
      </c>
      <c r="G31" s="76">
        <f>A602_C4</f>
        <v>2856723978</v>
      </c>
      <c r="H31" s="102">
        <f t="shared" si="2"/>
        <v>129.25767785499775</v>
      </c>
      <c r="I31" s="76">
        <f>A602_C5</f>
        <v>4601027615</v>
      </c>
      <c r="J31" s="102">
        <f t="shared" si="4"/>
        <v>61.059579099454744</v>
      </c>
    </row>
    <row r="32" spans="1:10" x14ac:dyDescent="0.2">
      <c r="A32" s="145" t="s">
        <v>357</v>
      </c>
      <c r="B32" s="76">
        <f>IF(B8&lt;=DATEVALUE("12/31/2018"),A931_C1+A668_C1+A658_C1+A658A_C1+A940_C1+A945_C1+A996_C1+A945A_C1+A945B_C1+A945C_C1+A602_C1,IF(B8&lt;=DATEVALUE("12/31/2021"),A940_C1+A931_C1+A668_C1+A658_C1+A658A_C1+A996_C1+A945B_C1+A945A_C1+AEQ0009_C1+A945C_C1+A602_C1,A940_C1+A658_C1+A668_C1+A658A_C1+A996_C1+A945A_C1+A945C_C1+AEQ0009_C1+A945B_C1+A602_C1))</f>
        <v>225387073352</v>
      </c>
      <c r="C32" s="76">
        <f>IF(C8&lt;=DATEVALUE("12/31/2018"),A931_C2+A668_C2+A658_C2+A658A_C2+A940_C2+A945_C2+A996_C2+A945A_C2+A945B_C2+A945C_C2+A602_C2,IF(C8&lt;=DATEVALUE("12/31/2021"),A940_C2+A931_C2+A668_C2+A658_C2+A658A_C2+A996_C2+A945B_C2+A945A_C2+AEQ0009_C2+A945C_C2+A602_C2,A940_C2+A658_C2+A668_C2+A658A_C2+A996_C2+A945A_C2+A945C_C2+AEQ0009_C2+A945B_C2+A602_C2))</f>
        <v>222852289744</v>
      </c>
      <c r="D32" s="102">
        <f t="shared" si="0"/>
        <v>-1.1246357523092205</v>
      </c>
      <c r="E32" s="76">
        <f>IF(E8&lt;=DATEVALUE("12/31/2018"),A931_C3+A668_C3+A658_C3+A658A_C3+A940_C3+A945_C3+A996_C3+A945A_C3+A945B_C3+A945C_C3+A602_C3,IF(E8&lt;=DATEVALUE("12/31/2021"),A940_C3+A931_C3+A668_C3+A658_C3+A658A_C3+A996_C3+A945B_C3+A945A_C3+AEQ0009_C3+A945C_C3+A602_C3,A940_C3+A658_C3+A668_C3+A658A_C3+A996_C3+A945A_C3+A945C_C3+AEQ0009_C3+A945B_C3+A602_C3))</f>
        <v>230739106408</v>
      </c>
      <c r="F32" s="102">
        <f t="shared" si="1"/>
        <v>3.5390332641679048</v>
      </c>
      <c r="G32" s="76">
        <f>IF(G8&lt;=DATEVALUE("12/31/2018"),A931_C4+A668_C4+A658_C4+A658A_C4+A940_C4+A945_C4+A996_C4+A945A_C4+A945B_C4+A945C_C4+A602_C4,IF(G8&lt;=DATEVALUE("12/31/2021"),A940_C4+A931_C4+A668_C4+A658_C4+A658A_C4+A996_C4+A945B_C4+A945A_C4+AEQ0009_C4+A945C_C4+A602_C4,A940_C4+A658_C4+A668_C4+A658A_C4+A996_C4+A945A_C4+A945C_C4+AEQ0009_C4+A945B_C4+A602_C4))</f>
        <v>237236726754</v>
      </c>
      <c r="H32" s="102">
        <f t="shared" si="2"/>
        <v>2.8160030812075294</v>
      </c>
      <c r="I32" s="76">
        <f>IF(I8&lt;=DATEVALUE("12/31/2018"),A931_C5+A668_C5+A658_C5+A658A_C5+A940_C5+A945_C5+A996_C5+A945A_C5+A945B_C5+A945C_C5+A602_C5,IF(I8&lt;=DATEVALUE("12/31/2021"),A940_C5+A931_C5+A668_C5+A658_C5+A658A_C5+A996_C5+A945B_C5+A945A_C5+AEQ0009_C5+A945C_C5+A602_C5,A940_C5+A658_C5+A668_C5+A658A_C5+A996_C5+A945A_C5+A945C_C5+AEQ0009_C5+A945B_C5+A602_C5))</f>
        <v>245789858250</v>
      </c>
      <c r="J32" s="102">
        <f t="shared" si="4"/>
        <v>3.6053150846534292</v>
      </c>
    </row>
    <row r="33" spans="1:10" x14ac:dyDescent="0.2">
      <c r="A33" s="145" t="s">
        <v>358</v>
      </c>
      <c r="B33" s="76">
        <f>A014_C1</f>
        <v>2311465790129</v>
      </c>
      <c r="C33" s="76">
        <f>A014_C2</f>
        <v>2307409857365</v>
      </c>
      <c r="D33" s="102">
        <f t="shared" si="0"/>
        <v>-0.17547016189124059</v>
      </c>
      <c r="E33" s="76">
        <f>A014_C3</f>
        <v>2367210395823</v>
      </c>
      <c r="F33" s="102">
        <f t="shared" si="1"/>
        <v>2.5916738748048256</v>
      </c>
      <c r="G33" s="76">
        <f>A014_C4</f>
        <v>2378971211583</v>
      </c>
      <c r="H33" s="102">
        <f t="shared" si="2"/>
        <v>0.49682173501570642</v>
      </c>
      <c r="I33" s="76">
        <f>A014_C5</f>
        <v>2397759543482</v>
      </c>
      <c r="J33" s="102">
        <f t="shared" si="4"/>
        <v>0.78976709795903699</v>
      </c>
    </row>
    <row r="34" spans="1:10" x14ac:dyDescent="0.2">
      <c r="A34" s="145" t="s">
        <v>359</v>
      </c>
      <c r="B34" s="76">
        <f>IF(B8&lt;DATEVALUE("3/31/2023"),"N/A",ANW0004_C1)</f>
        <v>4786929375</v>
      </c>
      <c r="C34" s="76">
        <f>IF(C8&lt;DATEVALUE("3/31/2023"),"N/A",ANW0004_C2)</f>
        <v>2770012541</v>
      </c>
      <c r="D34" s="102">
        <f t="shared" si="0"/>
        <v>-42.133833110917791</v>
      </c>
      <c r="E34" s="76">
        <f>IF(E8&lt;DATEVALUE("3/31/2023"),"N/A",ANW0004_C3)</f>
        <v>2676652343</v>
      </c>
      <c r="F34" s="102">
        <f t="shared" si="1"/>
        <v>-3.3703890007045283</v>
      </c>
      <c r="G34" s="76">
        <f>IF(G8&lt;DATEVALUE("3/31/2023"),"N/A",ANW0004_C4)</f>
        <v>2454106624</v>
      </c>
      <c r="H34" s="102">
        <f t="shared" si="2"/>
        <v>-8.3143303829502972</v>
      </c>
      <c r="I34" s="76">
        <f>IF(I8&lt;DATEVALUE("3/31/2023"),"N/A",ANW0004_C5)</f>
        <v>2352876484</v>
      </c>
      <c r="J34" s="102">
        <f t="shared" si="4"/>
        <v>-4.1249283551911393</v>
      </c>
    </row>
    <row r="35" spans="1:10" x14ac:dyDescent="0.2">
      <c r="A35" s="92" t="s">
        <v>360</v>
      </c>
      <c r="B35" s="76">
        <f>A997_C1</f>
        <v>257658455724</v>
      </c>
      <c r="C35" s="76">
        <f>A997_C2</f>
        <v>258098693167</v>
      </c>
      <c r="D35" s="102">
        <f t="shared" si="0"/>
        <v>0.17086085599751322</v>
      </c>
      <c r="E35" s="76">
        <f>A997_C3</f>
        <v>261972015462</v>
      </c>
      <c r="F35" s="102">
        <f t="shared" si="1"/>
        <v>1.5007136407675681</v>
      </c>
      <c r="G35" s="76">
        <f>A997_C4</f>
        <v>266662167062</v>
      </c>
      <c r="H35" s="102">
        <f t="shared" si="2"/>
        <v>1.7903254253049494</v>
      </c>
      <c r="I35" s="160">
        <f>A997_C5</f>
        <v>271977349581</v>
      </c>
      <c r="J35" s="199">
        <f t="shared" si="4"/>
        <v>1.9932270773769716</v>
      </c>
    </row>
    <row r="36" spans="1:10" x14ac:dyDescent="0.2">
      <c r="A36" s="175" t="s">
        <v>86</v>
      </c>
      <c r="B36" s="201"/>
      <c r="C36" s="201"/>
      <c r="D36" s="202"/>
      <c r="E36" s="201"/>
      <c r="F36" s="202"/>
      <c r="G36" s="201"/>
      <c r="H36" s="202"/>
      <c r="I36" s="84"/>
      <c r="J36" s="82"/>
    </row>
    <row r="37" spans="1:10" x14ac:dyDescent="0.2">
      <c r="A37" s="107" t="s">
        <v>361</v>
      </c>
      <c r="B37" s="107"/>
      <c r="C37" s="107"/>
      <c r="D37" s="188"/>
      <c r="E37" s="107"/>
      <c r="F37" s="188"/>
      <c r="G37" s="107"/>
      <c r="H37" s="188"/>
      <c r="I37" s="83"/>
      <c r="J37" s="200"/>
    </row>
    <row r="38" spans="1:10" x14ac:dyDescent="0.2">
      <c r="A38" s="107" t="s">
        <v>362</v>
      </c>
      <c r="B38" s="107"/>
      <c r="C38" s="107"/>
      <c r="D38" s="188"/>
      <c r="E38" s="107"/>
      <c r="F38" s="188"/>
      <c r="G38" s="107"/>
      <c r="H38" s="188"/>
      <c r="I38" s="83"/>
      <c r="J38" s="200"/>
    </row>
    <row r="39" spans="1:10" x14ac:dyDescent="0.2">
      <c r="A39" s="107" t="s">
        <v>363</v>
      </c>
      <c r="B39" s="83"/>
      <c r="C39" s="83"/>
      <c r="D39" s="200"/>
      <c r="E39" s="83"/>
      <c r="F39" s="200"/>
      <c r="G39" s="83"/>
      <c r="H39" s="200"/>
      <c r="I39" s="104" t="s">
        <v>364</v>
      </c>
      <c r="J39" s="200"/>
    </row>
    <row r="40" spans="1:10" x14ac:dyDescent="0.2">
      <c r="A40" s="107" t="s">
        <v>365</v>
      </c>
      <c r="B40" s="83"/>
      <c r="C40" s="171"/>
      <c r="D40" s="203"/>
      <c r="E40" s="171"/>
      <c r="F40" s="200"/>
      <c r="G40" s="83"/>
      <c r="H40" s="200"/>
      <c r="I40" s="83"/>
      <c r="J40" s="200"/>
    </row>
    <row r="41" spans="1:10" x14ac:dyDescent="0.2">
      <c r="A41" s="107"/>
      <c r="B41" s="83"/>
      <c r="C41" s="83"/>
      <c r="D41" s="200"/>
      <c r="E41" s="83"/>
      <c r="F41" s="200"/>
      <c r="G41" s="83"/>
      <c r="H41" s="200"/>
      <c r="I41" s="83"/>
      <c r="J41" s="200"/>
    </row>
    <row r="42" spans="1:10" x14ac:dyDescent="0.2">
      <c r="A42" s="107"/>
      <c r="B42" s="83"/>
      <c r="C42" s="83"/>
      <c r="D42" s="200"/>
      <c r="E42" s="83"/>
      <c r="F42" s="200"/>
      <c r="G42" s="83"/>
      <c r="H42" s="200"/>
      <c r="J42" s="200"/>
    </row>
  </sheetData>
  <mergeCells count="1">
    <mergeCell ref="D5:J5"/>
  </mergeCells>
  <phoneticPr fontId="2" type="noConversion"/>
  <hyperlinks>
    <hyperlink ref="A2" location="'Cover Page'!A1" display="Return to cover" xr:uid="{00000000-0004-0000-0600-000000000000}"/>
  </hyperlinks>
  <printOptions horizontalCentered="1" verticalCentered="1" gridLines="1"/>
  <pageMargins left="0.75" right="0.75" top="0.5" bottom="0.5" header="0.5" footer="0.5"/>
  <pageSetup orientation="landscape" r:id="rId1"/>
  <headerFooter alignWithMargins="0"/>
  <ignoredErrors>
    <ignoredError sqref="G23:I23 H35 G15:I15 G30:I31 H28 D32 F32 H32 G33:I33 H13 G20:I20 H24 H12 H21 G18:I18 H17"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pageSetUpPr fitToPage="1"/>
  </sheetPr>
  <dimension ref="A1:J52"/>
  <sheetViews>
    <sheetView workbookViewId="0"/>
  </sheetViews>
  <sheetFormatPr defaultRowHeight="12.75" x14ac:dyDescent="0.2"/>
  <cols>
    <col min="1" max="1" width="51.28515625" style="30" customWidth="1"/>
    <col min="2" max="3" width="16.7109375" customWidth="1"/>
    <col min="4" max="4" width="6.7109375" style="57" customWidth="1"/>
    <col min="5" max="5" width="16.7109375" customWidth="1"/>
    <col min="6" max="6" width="7.5703125" style="57" customWidth="1"/>
    <col min="7" max="7" width="16.7109375" customWidth="1"/>
    <col min="8" max="8" width="6.7109375" style="57" customWidth="1"/>
    <col min="9" max="9" width="16.7109375" customWidth="1"/>
    <col min="10" max="10" width="6.7109375" style="57" customWidth="1"/>
    <col min="11" max="12" width="9.140625" customWidth="1"/>
    <col min="13" max="13" width="14.7109375" customWidth="1"/>
  </cols>
  <sheetData>
    <row r="1" spans="1:10" s="62" customFormat="1" ht="12" customHeight="1" x14ac:dyDescent="0.2">
      <c r="A1" s="88"/>
      <c r="C1" s="85" t="s">
        <v>366</v>
      </c>
      <c r="D1" s="118"/>
      <c r="F1" s="119"/>
      <c r="H1" s="119"/>
      <c r="J1" s="119"/>
    </row>
    <row r="2" spans="1:10" s="62" customFormat="1" x14ac:dyDescent="0.2">
      <c r="A2" s="60" t="s">
        <v>49</v>
      </c>
      <c r="C2" s="67" t="s">
        <v>50</v>
      </c>
      <c r="D2" s="87" t="str">
        <f>IF(CU_NUMBER="","N/A",CU_NUMBER)</f>
        <v>N/A</v>
      </c>
      <c r="E2" s="120"/>
      <c r="F2" s="119"/>
      <c r="H2" s="119"/>
      <c r="J2" s="119"/>
    </row>
    <row r="3" spans="1:10" s="62" customFormat="1" ht="12" customHeight="1" x14ac:dyDescent="0.2">
      <c r="A3" s="121" t="str">
        <f>IF(Request_Date=0,"N/A",Request_Date)</f>
        <v>12/05/2025</v>
      </c>
      <c r="C3" s="67" t="s">
        <v>42</v>
      </c>
      <c r="D3" s="75">
        <f>IF(CountCu_C5=0,"N/A",CountCu_C5)</f>
        <v>4331</v>
      </c>
      <c r="E3" s="120"/>
      <c r="F3" s="119"/>
      <c r="H3" s="119"/>
      <c r="J3" s="119"/>
    </row>
    <row r="4" spans="1:10" s="62" customFormat="1" ht="12" customHeight="1" x14ac:dyDescent="0.2">
      <c r="A4" s="74" t="str">
        <f>"CU Name:      "&amp;IF(Cu_Name="","N/A",Cu_Name)</f>
        <v>CU Name:      N/A</v>
      </c>
      <c r="C4" s="67" t="s">
        <v>43</v>
      </c>
      <c r="D4" s="89" t="str">
        <f>IF(AssetRange="","N/A",AssetRange)</f>
        <v>N/A</v>
      </c>
      <c r="E4" s="75"/>
      <c r="F4" s="119"/>
      <c r="H4" s="119"/>
      <c r="J4" s="119"/>
    </row>
    <row r="5" spans="1:10" s="62" customFormat="1" ht="12" customHeight="1" x14ac:dyDescent="0.2">
      <c r="A5" s="74" t="str">
        <f>"Peer Group:      "&amp;IF(Peer_Group="","N/A",IF(Peer_Group="0","N/A",Peer_Group))</f>
        <v>Peer Group:      N/A</v>
      </c>
      <c r="B5" s="90"/>
      <c r="C5" s="67" t="s">
        <v>51</v>
      </c>
      <c r="D5" s="24" t="str">
        <f>IF(_xlnm.Criteria="","N/A",_xlnm.Criteria)</f>
        <v xml:space="preserve">Region: Nation * Peer Group: All * Types Included: All  Federally Insured Credit Unions  (FICUs) *  </v>
      </c>
      <c r="E5" s="23"/>
      <c r="F5" s="23"/>
      <c r="G5" s="23"/>
      <c r="H5" s="23"/>
      <c r="I5" s="23"/>
      <c r="J5" s="23"/>
    </row>
    <row r="6" spans="1:10" s="62" customFormat="1" ht="12.75" customHeight="1" x14ac:dyDescent="0.2">
      <c r="A6" s="74"/>
      <c r="B6" s="67"/>
      <c r="C6" s="67" t="s">
        <v>45</v>
      </c>
      <c r="D6" s="75" t="str">
        <f>IF(NoCu_in_Peer_Group="","N/A",NoCu_in_Peer_Group)</f>
        <v>N/A</v>
      </c>
      <c r="E6" s="75" t="str">
        <f>IF(CU_NUMBER&gt;0,"",IF(RetPop=0,"Retroactive Population",""))</f>
        <v/>
      </c>
      <c r="F6" s="119"/>
      <c r="H6" s="119"/>
      <c r="J6" s="119"/>
    </row>
    <row r="7" spans="1:10" ht="12.75" customHeight="1" x14ac:dyDescent="0.2">
      <c r="A7" s="29"/>
      <c r="E7" s="32"/>
      <c r="F7" s="54"/>
      <c r="G7" s="30"/>
      <c r="H7" s="54"/>
      <c r="I7" s="30"/>
      <c r="J7" s="54"/>
    </row>
    <row r="8" spans="1:10" ht="13.15" customHeight="1" x14ac:dyDescent="0.2">
      <c r="A8" s="145"/>
      <c r="B8" s="80">
        <f>(CycDat_C1)</f>
        <v>45565</v>
      </c>
      <c r="C8" s="80">
        <f>(CycDat_C2)</f>
        <v>45657</v>
      </c>
      <c r="D8" s="69" t="s">
        <v>52</v>
      </c>
      <c r="E8" s="80">
        <f>(CycDat_C3)</f>
        <v>45747</v>
      </c>
      <c r="F8" s="69" t="s">
        <v>52</v>
      </c>
      <c r="G8" s="80">
        <f>(CycDat_C4)</f>
        <v>45838</v>
      </c>
      <c r="H8" s="69" t="s">
        <v>52</v>
      </c>
      <c r="I8" s="80">
        <f>(CycDat_C5)</f>
        <v>45930</v>
      </c>
      <c r="J8" s="69" t="s">
        <v>52</v>
      </c>
    </row>
    <row r="9" spans="1:10" ht="13.15" customHeight="1" x14ac:dyDescent="0.2">
      <c r="A9" s="153" t="s">
        <v>367</v>
      </c>
      <c r="B9" s="71"/>
      <c r="C9" s="71"/>
      <c r="D9" s="64"/>
      <c r="E9" s="71"/>
      <c r="F9" s="64"/>
      <c r="G9" s="71"/>
      <c r="H9" s="64"/>
      <c r="I9" s="71"/>
      <c r="J9" s="64"/>
    </row>
    <row r="10" spans="1:10" ht="13.15" customHeight="1" x14ac:dyDescent="0.2">
      <c r="A10" s="127" t="s">
        <v>368</v>
      </c>
      <c r="B10" s="63">
        <f>A110_C1</f>
        <v>70267127581</v>
      </c>
      <c r="C10" s="63">
        <f>A110_C2</f>
        <v>94940196518</v>
      </c>
      <c r="D10" s="64">
        <f>IF(C10="N/A", " ", IF(B10="N/A", " ",IF(AND(B10=0,C10=0,),"N/A",IF(ABS(B10)=0, "N/A", ((C10*Anu_C2-B10*Anu_C1)/ABS(B10*Anu_C1))*100))))</f>
        <v>1.3349340435450521</v>
      </c>
      <c r="E10" s="63">
        <f>A110_C3</f>
        <v>24703101252</v>
      </c>
      <c r="F10" s="64">
        <f>IF(E10="N/A", " ", IF(C10="N/A", " ",IF(AND(C10=0,E10=0,),"N/A",IF(ABS(C10)=0, "N/A", ((E10*Anu_C3-C10*Anu_C2)/ABS(C10*Anu_C2))*100))))</f>
        <v>4.0785764428724942</v>
      </c>
      <c r="G10" s="63">
        <f>A110_C4</f>
        <v>50127323350</v>
      </c>
      <c r="H10" s="64">
        <f>IF(G10="N/A", " ", IF(E10="N/A", " ",IF(AND(E10=0,G10=0,),"N/A",IF(ABS(E10)=0, "N/A", ((G10*Anu_C4-E10*Anu_C3)/ABS(E10*Anu_C3))*100))))</f>
        <v>1.4595755379936699</v>
      </c>
      <c r="I10" s="63">
        <f>A110_C5</f>
        <v>76392284825</v>
      </c>
      <c r="J10" s="64">
        <f>IF(I10="N/A", " ", IF(G10="N/A", " ",IF(AND(G10=0,I10=0,),"N/A",IF(ABS(G10)=0, "N/A", ((I10*Anu_C5-G10*Anu_C4)/ABS(G10*Anu_C4))*100))))</f>
        <v>1.5976646663168146</v>
      </c>
    </row>
    <row r="11" spans="1:10" ht="13.15" customHeight="1" x14ac:dyDescent="0.2">
      <c r="A11" s="127" t="s">
        <v>369</v>
      </c>
      <c r="B11" s="65">
        <f>A119_C1</f>
        <v>15436674</v>
      </c>
      <c r="C11" s="65">
        <f>A119_C2</f>
        <v>42137922</v>
      </c>
      <c r="D11" s="64">
        <f>IF(C11="N/A", " ", IF(B11="N/A", " ",IF(AND(B11=0,C11=0,),"N/A",IF(ABS(B11)=0, "N/A", ((C11*Anu_C2-B11*Anu_C1)/ABS(B11*Anu_C1))*100))))</f>
        <v>104.72960366980608</v>
      </c>
      <c r="E11" s="65">
        <f>A119_C3</f>
        <v>6639723</v>
      </c>
      <c r="F11" s="64">
        <f>IF(E11="N/A", " ", IF(C11="N/A", " ",IF(AND(C11=0,E11=0,),"N/A",IF(ABS(C11)=0, "N/A", ((E11*Anu_C3-C11*Anu_C2)/ABS(C11*Anu_C2))*100))))</f>
        <v>-36.97151938341905</v>
      </c>
      <c r="G11" s="65">
        <f>A119_C4</f>
        <v>13327913</v>
      </c>
      <c r="H11" s="64">
        <f>IF(G11="N/A", " ", IF(E11="N/A", " ",IF(AND(E11=0,G11=0,),"N/A",IF(ABS(E11)=0, "N/A", ((G11*Anu_C4-E11*Anu_C3)/ABS(E11*Anu_C3))*100))))</f>
        <v>0.36497757511872109</v>
      </c>
      <c r="I11" s="65">
        <f>A119_C5</f>
        <v>20163328</v>
      </c>
      <c r="J11" s="64">
        <f>IF(I11="N/A", " ", IF(G11="N/A", " ",IF(AND(G11=0,I11=0,),"N/A",IF(ABS(G11)=0, "N/A", ((I11*Anu_C5-G11*Anu_C4)/ABS(G11*Anu_C4))*100))))</f>
        <v>0.85764115256954376</v>
      </c>
    </row>
    <row r="12" spans="1:10" ht="13.15" customHeight="1" x14ac:dyDescent="0.2">
      <c r="A12" s="127" t="s">
        <v>370</v>
      </c>
      <c r="B12" s="63">
        <f>A120_C1</f>
        <v>15238448523</v>
      </c>
      <c r="C12" s="63">
        <f>A120_C2</f>
        <v>20207488087</v>
      </c>
      <c r="D12" s="64">
        <f>IF(C12="N/A", " ", IF(B12="N/A", " ",IF(AND(B12=0,C12=0,),"N/A",IF(ABS(B12)=0, "N/A", ((C12*Anu_C2-B12*Anu_C1)/ABS(B12*Anu_C1))*100))))</f>
        <v>-0.543575401557302</v>
      </c>
      <c r="E12" s="63">
        <f>A120_C3</f>
        <v>4900037942</v>
      </c>
      <c r="F12" s="64">
        <f>IF(E12="N/A", " ", IF(C12="N/A", " ",IF(AND(C12=0,E12=0,),"N/A",IF(ABS(C12)=0, "N/A", ((E12*Anu_C3-C12*Anu_C2)/ABS(C12*Anu_C2))*100))))</f>
        <v>-3.0055013091444809</v>
      </c>
      <c r="G12" s="63">
        <f>A120_C4</f>
        <v>10271853553</v>
      </c>
      <c r="H12" s="64">
        <f>IF(G12="N/A", " ", IF(E12="N/A", " ",IF(AND(E12=0,G12=0,),"N/A",IF(ABS(E12)=0, "N/A", ((G12*Anu_C4-E12*Anu_C3)/ABS(E12*Anu_C3))*100))))</f>
        <v>4.8140205707003076</v>
      </c>
      <c r="I12" s="63">
        <f>A120_C5</f>
        <v>15588241171</v>
      </c>
      <c r="J12" s="64">
        <f>IF(I12="N/A", " ", IF(G12="N/A", " ",IF(AND(G12=0,I12=0,),"N/A",IF(ABS(G12)=0, "N/A", ((I12*Anu_C5-G12*Anu_C4)/ABS(G12*Anu_C4))*100))))</f>
        <v>1.1712319207620427</v>
      </c>
    </row>
    <row r="13" spans="1:10" ht="13.15" customHeight="1" x14ac:dyDescent="0.2">
      <c r="A13" s="124" t="s">
        <v>371</v>
      </c>
      <c r="B13" s="63">
        <f>IF(B8&lt;=DATEVALUE("12/31/2018"), A124_C1, IF(B8&lt;=DATEVALUE("12/31/2020"), AIS0004_C1, IF(B8&lt;=DATEVALUE("12/31/2021"),"N/A",AIS0005_C1)))</f>
        <v>36594868</v>
      </c>
      <c r="C13" s="63">
        <f>IF(C8&lt;=DATEVALUE("12/31/2018"), A124_C2, IF(C8&lt;=DATEVALUE("12/31/2020"), AIS0004_C2, IF(C8&lt;=DATEVALUE("12/31/2021"),"N/A",AIS0005_C2)))</f>
        <v>63052679</v>
      </c>
      <c r="D13" s="64">
        <f>IF(C13="N/A", " ", IF(B13="N/A", " ",IF(AND(B13=0,C13=0,),"N/A",IF(ABS(B13)=0, "N/A", ((C13*Anu_C2-B13*Anu_C1)/ABS(B13*Anu_C1))*100))))</f>
        <v>29.224429092079262</v>
      </c>
      <c r="E13" s="63">
        <f>IF(E8&lt;=DATEVALUE("12/31/2018"), A124_C3, IF(E8&lt;=DATEVALUE("12/31/2020"), AIS0004_C3, IF(E8&lt;=DATEVALUE("12/31/2021"),"N/A",AIS0005_C3)))</f>
        <v>17948723</v>
      </c>
      <c r="F13" s="64">
        <f>IF(E13="N/A", " ", IF(C13="N/A", " ",IF(AND(C13=0,E13=0,),"N/A",IF(ABS(C13)=0, "N/A", ((E13*Anu_C3-C13*Anu_C2)/ABS(C13*Anu_C2))*100))))</f>
        <v>13.864935064852677</v>
      </c>
      <c r="G13" s="63">
        <f>IF(G8&lt;=DATEVALUE("12/31/2018"), A124_C4, IF(G8&lt;=DATEVALUE("12/31/2020"), AIS0004_C4, IF(G8&lt;=DATEVALUE("12/31/2021"),"N/A",AIS0005_C4)))</f>
        <v>41591903</v>
      </c>
      <c r="H13" s="64">
        <f>IF(G13="N/A", " ", IF(E13="N/A", " ",IF(AND(E13=0,G13=0,),"N/A",IF(ABS(E13)=0, "N/A", ((G13*Anu_C4-E13*Anu_C3)/ABS(E13*Anu_C3))*100))))</f>
        <v>15.863125749948894</v>
      </c>
      <c r="I13" s="63">
        <f>IF(I8&lt;=DATEVALUE("12/31/2018"), A124_C5, IF(I8&lt;=DATEVALUE("12/31/2020"), AIS0004_C5, IF(I8&lt;=DATEVALUE("12/31/2021"),"N/A",AIS0005_C5)))</f>
        <v>57408340</v>
      </c>
      <c r="J13" s="64">
        <f>IF(I13="N/A", " ", IF(G13="N/A", " ",IF(AND(G13=0,I13=0,),"N/A",IF(ABS(G13)=0, "N/A", ((I13*Anu_C5-G13*Anu_C4)/ABS(G13*Anu_C4))*100))))</f>
        <v>-7.9815447091548943</v>
      </c>
    </row>
    <row r="14" spans="1:10" ht="13.15" customHeight="1" x14ac:dyDescent="0.2">
      <c r="A14" s="153" t="s">
        <v>372</v>
      </c>
      <c r="B14" s="63">
        <f>A115_C1</f>
        <v>85526734298</v>
      </c>
      <c r="C14" s="63">
        <f>A115_C2</f>
        <v>115168599362</v>
      </c>
      <c r="D14" s="64">
        <f>IF(C14="N/A", " ", IF(B14="N/A", " ",IF(AND(B14=0,C14=0,),"N/A",IF(ABS(B14)=0, "N/A", ((C14*Anu_C2-B14*Anu_C1)/ABS(B14*Anu_C1))*100))))</f>
        <v>0.99350832283546897</v>
      </c>
      <c r="E14" s="63">
        <f>A115_C3</f>
        <v>29614448194</v>
      </c>
      <c r="F14" s="64">
        <f>IF(E14="N/A", " ", IF(C14="N/A", " ",IF(AND(C14=0,E14=0,),"N/A",IF(ABS(C14)=0, "N/A", ((E14*Anu_C3-C14*Anu_C2)/ABS(C14*Anu_C2))*100))))</f>
        <v>2.8559810853141911</v>
      </c>
      <c r="G14" s="63">
        <f>A115_C4</f>
        <v>60427440893</v>
      </c>
      <c r="H14" s="64">
        <f>IF(G14="N/A", " ", IF(E14="N/A", " ",IF(AND(E14=0,G14=0,),"N/A",IF(ABS(E14)=0, "N/A", ((G14*Anu_C4-E14*Anu_C3)/ABS(E14*Anu_C3))*100))))</f>
        <v>2.0235806812075428</v>
      </c>
      <c r="I14" s="63">
        <f>A115_C5</f>
        <v>92017771008</v>
      </c>
      <c r="J14" s="64">
        <f>IF(I14="N/A", " ", IF(G14="N/A", " ",IF(AND(G14=0,I14=0,),"N/A",IF(ABS(G14)=0, "N/A", ((I14*Anu_C5-G14*Anu_C4)/ABS(G14*Anu_C4))*100))))</f>
        <v>1.5187467240670658</v>
      </c>
    </row>
    <row r="15" spans="1:10" ht="13.15" customHeight="1" x14ac:dyDescent="0.2">
      <c r="A15" s="145" t="s">
        <v>373</v>
      </c>
      <c r="B15" s="63"/>
      <c r="C15" s="63"/>
      <c r="D15" s="64"/>
      <c r="E15" s="63"/>
      <c r="F15" s="64"/>
      <c r="G15" s="63"/>
      <c r="H15" s="64"/>
      <c r="I15" s="63"/>
      <c r="J15" s="64"/>
    </row>
    <row r="16" spans="1:10" ht="13.15" customHeight="1" x14ac:dyDescent="0.2">
      <c r="A16" s="127" t="s">
        <v>374</v>
      </c>
      <c r="B16" s="63">
        <f>A380_C1</f>
        <v>23758191328</v>
      </c>
      <c r="C16" s="63">
        <f>A380_C2</f>
        <v>32340700587</v>
      </c>
      <c r="D16" s="64">
        <f t="shared" ref="D16:D21" si="0">IF(C16="N/A", " ", IF(B16="N/A", " ",IF(AND(B16=0,C16=0,),"N/A",IF(ABS(B16)=0, "N/A", ((C16*Anu_C2-B16*Anu_C1)/ABS(B16*Anu_C1))*100))))</f>
        <v>2.093316386689219</v>
      </c>
      <c r="E16" s="63">
        <f>A380_C3</f>
        <v>8216830293</v>
      </c>
      <c r="F16" s="64">
        <f t="shared" ref="F16:F21" si="1">IF(E16="N/A", " ", IF(C16="N/A", " ",IF(AND(C16=0,E16=0,),"N/A",IF(ABS(C16)=0, "N/A", ((E16*Anu_C3-C16*Anu_C2)/ABS(C16*Anu_C2))*100))))</f>
        <v>1.6283524334401271</v>
      </c>
      <c r="G16" s="63">
        <f>A380_C4</f>
        <v>16482878603</v>
      </c>
      <c r="H16" s="64">
        <f t="shared" ref="H16:H21" si="2">IF(G16="N/A", " ", IF(E16="N/A", " ",IF(AND(E16=0,G16=0,),"N/A",IF(ABS(E16)=0, "N/A", ((G16*Anu_C4-E16*Anu_C3)/ABS(E16*Anu_C3))*100))))</f>
        <v>0.29949515351393663</v>
      </c>
      <c r="I16" s="63">
        <f>A380_C5</f>
        <v>24809815756</v>
      </c>
      <c r="J16" s="64">
        <f t="shared" ref="J16:J21" si="3">IF(I16="N/A", " ", IF(G16="N/A", " ",IF(AND(G16=0,I16=0,),"N/A",IF(ABS(G16)=0, "N/A", ((I16*Anu_C5-G16*Anu_C4)/ABS(G16*Anu_C4))*100))))</f>
        <v>0.34580469249037538</v>
      </c>
    </row>
    <row r="17" spans="1:10" s="34" customFormat="1" ht="13.15" customHeight="1" x14ac:dyDescent="0.2">
      <c r="A17" s="127" t="s">
        <v>375</v>
      </c>
      <c r="B17" s="66">
        <f>A381_C1</f>
        <v>3891726421</v>
      </c>
      <c r="C17" s="66">
        <f>A381_C2</f>
        <v>5254548927</v>
      </c>
      <c r="D17" s="64">
        <f t="shared" si="0"/>
        <v>1.2638420312536209</v>
      </c>
      <c r="E17" s="66">
        <f>A381_C3</f>
        <v>1311363993</v>
      </c>
      <c r="F17" s="64">
        <f t="shared" si="1"/>
        <v>-0.17304920224982043</v>
      </c>
      <c r="G17" s="66">
        <f>A381_C4</f>
        <v>2611652142</v>
      </c>
      <c r="H17" s="64">
        <f t="shared" si="2"/>
        <v>-0.42230242934541207</v>
      </c>
      <c r="I17" s="66">
        <f>A381_C5</f>
        <v>3920755744</v>
      </c>
      <c r="J17" s="64">
        <f t="shared" si="3"/>
        <v>8.3664307031074261E-2</v>
      </c>
    </row>
    <row r="18" spans="1:10" ht="13.15" customHeight="1" x14ac:dyDescent="0.2">
      <c r="A18" s="127" t="s">
        <v>376</v>
      </c>
      <c r="B18" s="63">
        <f>A340_C1</f>
        <v>5004236052</v>
      </c>
      <c r="C18" s="63">
        <f>A340_C2</f>
        <v>6365344634</v>
      </c>
      <c r="D18" s="64">
        <f t="shared" si="0"/>
        <v>-4.6006538082468538</v>
      </c>
      <c r="E18" s="63">
        <f>A340_C3</f>
        <v>1177084769</v>
      </c>
      <c r="F18" s="64">
        <f t="shared" si="1"/>
        <v>-26.031670762164737</v>
      </c>
      <c r="G18" s="63">
        <f>A340_C4</f>
        <v>2429524711</v>
      </c>
      <c r="H18" s="64">
        <f t="shared" si="2"/>
        <v>3.200923798547596</v>
      </c>
      <c r="I18" s="63">
        <f>A340_C5</f>
        <v>3652839629</v>
      </c>
      <c r="J18" s="64">
        <f t="shared" si="3"/>
        <v>0.23468410539385598</v>
      </c>
    </row>
    <row r="19" spans="1:10" ht="13.15" customHeight="1" x14ac:dyDescent="0.2">
      <c r="A19" s="145" t="s">
        <v>377</v>
      </c>
      <c r="B19" s="63">
        <f>A350_C1</f>
        <v>32654153801</v>
      </c>
      <c r="C19" s="63">
        <f>A350_C2</f>
        <v>43960594148</v>
      </c>
      <c r="D19" s="64">
        <f t="shared" si="0"/>
        <v>0.96861125824156502</v>
      </c>
      <c r="E19" s="63">
        <f>A350_C3</f>
        <v>10705279055</v>
      </c>
      <c r="F19" s="64">
        <f t="shared" si="1"/>
        <v>-2.5920439659295207</v>
      </c>
      <c r="G19" s="63">
        <f>A350_C4</f>
        <v>21524055456</v>
      </c>
      <c r="H19" s="64">
        <f t="shared" si="2"/>
        <v>0.53009989471965235</v>
      </c>
      <c r="I19" s="63">
        <f>A350_C5</f>
        <v>32383411129</v>
      </c>
      <c r="J19" s="64">
        <f t="shared" si="3"/>
        <v>0.30145479228718874</v>
      </c>
    </row>
    <row r="20" spans="1:10" ht="13.15" customHeight="1" x14ac:dyDescent="0.2">
      <c r="A20" s="145" t="s">
        <v>378</v>
      </c>
      <c r="B20" s="63">
        <f>A115_C1-A350_C1</f>
        <v>52872580497</v>
      </c>
      <c r="C20" s="63">
        <f>A115_C2-A350_C2</f>
        <v>71208005214</v>
      </c>
      <c r="D20" s="64">
        <f t="shared" si="0"/>
        <v>1.0088847725717993</v>
      </c>
      <c r="E20" s="63">
        <f>A115_C3-A350_C3</f>
        <v>18909169139</v>
      </c>
      <c r="F20" s="64">
        <f t="shared" si="1"/>
        <v>6.219344761436024</v>
      </c>
      <c r="G20" s="63">
        <f>A115_C4-A350_C4</f>
        <v>38903385437</v>
      </c>
      <c r="H20" s="64">
        <f t="shared" si="2"/>
        <v>2.8691032139590402</v>
      </c>
      <c r="I20" s="63">
        <f>A115_C5-A350_C5</f>
        <v>59634359879</v>
      </c>
      <c r="J20" s="64">
        <f t="shared" si="3"/>
        <v>2.1922371864382799</v>
      </c>
    </row>
    <row r="21" spans="1:10" ht="24" customHeight="1" x14ac:dyDescent="0.2">
      <c r="A21" s="124" t="s">
        <v>379</v>
      </c>
      <c r="B21" s="63">
        <f>IF(B8&lt;DATEVALUE("3/31/2019"),A300_C1,A300_C1+AIS0017_C1)</f>
        <v>9937018135</v>
      </c>
      <c r="C21" s="63">
        <f>IF(C8&lt;DATEVALUE("3/31/2019"),A300_C2,A300_C2+AIS0017_C2)</f>
        <v>14295704243</v>
      </c>
      <c r="D21" s="64">
        <f t="shared" si="0"/>
        <v>7.8973393888246246</v>
      </c>
      <c r="E21" s="63">
        <f>IF(E8&lt;DATEVALUE("3/31/2019"),A300_C3,A300_C3+AIS0017_C3)</f>
        <v>3286994042</v>
      </c>
      <c r="F21" s="64">
        <f t="shared" si="1"/>
        <v>-8.0284822313807567</v>
      </c>
      <c r="G21" s="63">
        <f>IF(G8&lt;DATEVALUE("3/31/2019"),A300_C4,A300_C4+AIS0017_C4)</f>
        <v>6826036780</v>
      </c>
      <c r="H21" s="64">
        <f t="shared" si="2"/>
        <v>3.8340303143147589</v>
      </c>
      <c r="I21" s="63">
        <f>IF(I8&lt;DATEVALUE("3/31/2019"),A300_C5,A300_C5+AIS0017_C5)</f>
        <v>10453782660</v>
      </c>
      <c r="J21" s="64">
        <f t="shared" si="3"/>
        <v>2.0971416447597866</v>
      </c>
    </row>
    <row r="22" spans="1:10" ht="13.15" customHeight="1" x14ac:dyDescent="0.2">
      <c r="A22" s="145" t="s">
        <v>380</v>
      </c>
      <c r="B22" s="63"/>
      <c r="C22" s="63"/>
      <c r="D22" s="64"/>
      <c r="E22" s="63"/>
      <c r="F22" s="64"/>
      <c r="G22" s="63"/>
      <c r="H22" s="64"/>
      <c r="I22" s="63"/>
      <c r="J22" s="64"/>
    </row>
    <row r="23" spans="1:10" ht="13.15" customHeight="1" x14ac:dyDescent="0.2">
      <c r="A23" s="127" t="s">
        <v>381</v>
      </c>
      <c r="B23" s="63">
        <f>A131_C1</f>
        <v>7419980897</v>
      </c>
      <c r="C23" s="63">
        <f>A131_C2</f>
        <v>10061901845</v>
      </c>
      <c r="D23" s="64">
        <f t="shared" ref="D23:D33" si="4">IF(C23="N/A", " ", IF(B23="N/A", " ",IF(AND(B23=0,C23=0,),"N/A",IF(ABS(B23)=0, "N/A", ((C23*Anu_C2-B23*Anu_C1)/ABS(B23*Anu_C1))*100))))</f>
        <v>1.7041214594113594</v>
      </c>
      <c r="E23" s="63">
        <f>A131_C3</f>
        <v>2378892185</v>
      </c>
      <c r="F23" s="64">
        <f t="shared" ref="F23:F33" si="5">IF(E23="N/A", " ", IF(C23="N/A", " ",IF(AND(C23=0,E23=0,),"N/A",IF(ABS(C23)=0, "N/A", ((E23*Anu_C3-C23*Anu_C2)/ABS(C23*Anu_C2))*100))))</f>
        <v>-5.4297200809157768</v>
      </c>
      <c r="G23" s="63">
        <f>A131_C4</f>
        <v>4823891437</v>
      </c>
      <c r="H23" s="64">
        <f t="shared" ref="H23:H33" si="6">IF(G23="N/A", " ", IF(E23="N/A", " ",IF(AND(E23=0,G23=0,),"N/A",IF(ABS(E23)=0, "N/A", ((G23*Anu_C4-E23*Anu_C3)/ABS(E23*Anu_C3))*100))))</f>
        <v>1.3894506740750001</v>
      </c>
      <c r="I23" s="63">
        <f>A131_C5</f>
        <v>7423082478</v>
      </c>
      <c r="J23" s="64">
        <f t="shared" ref="J23:J33" si="7">IF(I23="N/A", " ", IF(G23="N/A", " ",IF(AND(G23=0,I23=0,),"N/A",IF(ABS(G23)=0, "N/A", ((I23*Anu_C5-G23*Anu_C4)/ABS(G23*Anu_C4))*100))))</f>
        <v>2.5877492607427435</v>
      </c>
    </row>
    <row r="24" spans="1:10" ht="13.15" customHeight="1" x14ac:dyDescent="0.2">
      <c r="A24" s="127" t="s">
        <v>382</v>
      </c>
      <c r="B24" s="63">
        <f>IF(B8&lt;DATEVALUE("3/31/2021"), A659_C1, AIS0020_C1)</f>
        <v>10500354713</v>
      </c>
      <c r="C24" s="63">
        <f>IF(C8&lt;DATEVALUE("3/31/2021"), A659_C2, AIS0020_C2)</f>
        <v>13992263099</v>
      </c>
      <c r="D24" s="64">
        <f t="shared" si="4"/>
        <v>-5.8639816637587945E-2</v>
      </c>
      <c r="E24" s="63">
        <f>IF(E8&lt;DATEVALUE("3/31/2021"), A659_C3, AIS0020_C3)</f>
        <v>3520636131</v>
      </c>
      <c r="F24" s="64">
        <f t="shared" si="5"/>
        <v>0.6452238952428806</v>
      </c>
      <c r="G24" s="63">
        <f>IF(G8&lt;DATEVALUE("3/31/2021"), A659_C4, AIS0020_C4)</f>
        <v>7250357274</v>
      </c>
      <c r="H24" s="64">
        <f t="shared" si="6"/>
        <v>2.9694209259366371</v>
      </c>
      <c r="I24" s="63">
        <f>IF(I8&lt;DATEVALUE("3/31/2021"), A659_C5, AIS0020_C5)</f>
        <v>10998524273</v>
      </c>
      <c r="J24" s="64">
        <f t="shared" si="7"/>
        <v>1.1308717382432953</v>
      </c>
    </row>
    <row r="25" spans="1:10" ht="37.15" customHeight="1" x14ac:dyDescent="0.2">
      <c r="A25" s="115" t="s">
        <v>383</v>
      </c>
      <c r="B25" s="63">
        <f>IF(B8&lt;DATEVALUE("3/31/2019"),"N/A",IF(B8 &lt;=DATEVALUE("12/31/2020"),AIS0021_C1, AIS0046_C1))</f>
        <v>1022553665</v>
      </c>
      <c r="C25" s="63">
        <f>IF(C8&lt;DATEVALUE("3/31/2019"),"N/A",IF(C8 &lt;=DATEVALUE("12/31/2020"),AIS0021_C2, AIS0046_C2))</f>
        <v>1000973471</v>
      </c>
      <c r="D25" s="64">
        <f t="shared" si="4"/>
        <v>-26.582816242705455</v>
      </c>
      <c r="E25" s="63">
        <f>IF(E8&lt;DATEVALUE("3/31/2019"),"N/A",IF(E8 &lt;=DATEVALUE("12/31/2020"),AIS0021_C3, AIS0046_C3))</f>
        <v>-28919576</v>
      </c>
      <c r="F25" s="64">
        <f t="shared" si="5"/>
        <v>-111.55658040411743</v>
      </c>
      <c r="G25" s="63">
        <f>IF(G8&lt;DATEVALUE("3/31/2019"),"N/A",IF(G8 &lt;=DATEVALUE("12/31/2020"),AIS0021_C4, AIS0046_C4))</f>
        <v>253162854</v>
      </c>
      <c r="H25" s="64">
        <f t="shared" si="6"/>
        <v>537.70153130875781</v>
      </c>
      <c r="I25" s="63">
        <f>IF(I8&lt;DATEVALUE("3/31/2019"),"N/A",IF(I8 &lt;=DATEVALUE("12/31/2020"),AIS0021_C5, AIS0046_C5))</f>
        <v>471596758</v>
      </c>
      <c r="J25" s="64">
        <f t="shared" si="7"/>
        <v>24.187981648629471</v>
      </c>
    </row>
    <row r="26" spans="1:10" ht="24" customHeight="1" x14ac:dyDescent="0.2">
      <c r="A26" s="115" t="s">
        <v>384</v>
      </c>
      <c r="B26" s="63">
        <f>IF(B8&lt;DATEVALUE("3/31/2019"),"N/A",IF(B8 &lt;=DATEVALUE("12/31/2020"), AIS0022_C1, AIS0047_C1))</f>
        <v>228247759</v>
      </c>
      <c r="C26" s="63">
        <f>IF(C8&lt;DATEVALUE("3/31/2019"),"N/A",IF(C8 &lt;=DATEVALUE("12/31/2020"), AIS0022_C2, AIS0047_C2))</f>
        <v>-33987785</v>
      </c>
      <c r="D26" s="64">
        <f t="shared" si="4"/>
        <v>-111.16805652843233</v>
      </c>
      <c r="E26" s="63">
        <f>IF(E8&lt;DATEVALUE("3/31/2019"),"N/A",IF(E8 &lt;=DATEVALUE("12/31/2020"), AIS0022_C3, AIS0047_C3))</f>
        <v>46839572</v>
      </c>
      <c r="F26" s="64">
        <f t="shared" si="5"/>
        <v>651.25183356314631</v>
      </c>
      <c r="G26" s="63">
        <f>IF(G8&lt;DATEVALUE("3/31/2019"),"N/A",IF(G8 &lt;=DATEVALUE("12/31/2020"), AIS0022_C4, AIS0047_C4))</f>
        <v>92105961</v>
      </c>
      <c r="H26" s="64">
        <f t="shared" si="6"/>
        <v>-1.6793311006343097</v>
      </c>
      <c r="I26" s="63">
        <f>IF(I8&lt;DATEVALUE("3/31/2019"),"N/A",IF(I8 &lt;=DATEVALUE("12/31/2020"), AIS0022_C5, AIS0047_C5))</f>
        <v>116439879</v>
      </c>
      <c r="J26" s="64">
        <f t="shared" si="7"/>
        <v>-15.720345179396153</v>
      </c>
    </row>
    <row r="27" spans="1:10" ht="13.15" customHeight="1" x14ac:dyDescent="0.2">
      <c r="A27" s="127" t="s">
        <v>385</v>
      </c>
      <c r="B27" s="63">
        <f>A421_C1</f>
        <v>-10616004</v>
      </c>
      <c r="C27" s="63">
        <f>A421_C2</f>
        <v>227060915</v>
      </c>
      <c r="D27" s="64">
        <f t="shared" si="4"/>
        <v>1704.1411273959579</v>
      </c>
      <c r="E27" s="63">
        <f>A421_C3</f>
        <v>-1765292</v>
      </c>
      <c r="F27" s="64">
        <f t="shared" si="5"/>
        <v>-103.10981218410046</v>
      </c>
      <c r="G27" s="63">
        <f>A421_C4</f>
        <v>-23753450</v>
      </c>
      <c r="H27" s="64">
        <f t="shared" si="6"/>
        <v>-572.79096036236501</v>
      </c>
      <c r="I27" s="63">
        <f>A421_C5</f>
        <v>-47898828</v>
      </c>
      <c r="J27" s="64">
        <f t="shared" si="7"/>
        <v>-34.433322317389688</v>
      </c>
    </row>
    <row r="28" spans="1:10" ht="13.15" customHeight="1" x14ac:dyDescent="0.2">
      <c r="A28" s="127" t="s">
        <v>386</v>
      </c>
      <c r="B28" s="63">
        <f>A430_C1</f>
        <v>93011766</v>
      </c>
      <c r="C28" s="63">
        <f>A430_C2</f>
        <v>125498520</v>
      </c>
      <c r="D28" s="64">
        <f t="shared" si="4"/>
        <v>1.1956809851347194</v>
      </c>
      <c r="E28" s="63">
        <f>A430_C3</f>
        <v>29957184</v>
      </c>
      <c r="F28" s="64">
        <f t="shared" si="5"/>
        <v>-4.5178094530517177</v>
      </c>
      <c r="G28" s="63">
        <f>A430_C4</f>
        <v>48469818</v>
      </c>
      <c r="H28" s="64">
        <f t="shared" si="6"/>
        <v>-19.101511677466078</v>
      </c>
      <c r="I28" s="63">
        <f>A430_C5</f>
        <v>73572401</v>
      </c>
      <c r="J28" s="64">
        <f t="shared" si="7"/>
        <v>1.1934217152070352</v>
      </c>
    </row>
    <row r="29" spans="1:10" ht="13.15" customHeight="1" x14ac:dyDescent="0.2">
      <c r="A29" s="127" t="s">
        <v>387</v>
      </c>
      <c r="B29" s="63">
        <f>IF(B8&lt;DATEVALUE("3/31/2022"),"N/A",AIS0029_C1)</f>
        <v>429758694</v>
      </c>
      <c r="C29" s="63">
        <f>IF(C8&lt;DATEVALUE("3/31/2022"),"N/A",AIS0029_C2)</f>
        <v>526890949</v>
      </c>
      <c r="D29" s="64">
        <f t="shared" si="4"/>
        <v>-8.0488150054737453</v>
      </c>
      <c r="E29" s="63">
        <f>IF(E8&lt;DATEVALUE("3/31/2022"),"N/A",AIS0029_C3)</f>
        <v>93166693</v>
      </c>
      <c r="F29" s="64">
        <f t="shared" si="5"/>
        <v>-29.270606620346406</v>
      </c>
      <c r="G29" s="63">
        <f>IF(G8&lt;DATEVALUE("3/31/2022"),"N/A",AIS0029_C4)</f>
        <v>250523607</v>
      </c>
      <c r="H29" s="64">
        <f t="shared" si="6"/>
        <v>34.44912496786808</v>
      </c>
      <c r="I29" s="63">
        <f>IF(I8&lt;DATEVALUE("3/31/2022"),"N/A",AIS0029_C5)</f>
        <v>452137792</v>
      </c>
      <c r="J29" s="64">
        <f t="shared" si="7"/>
        <v>20.31808031035839</v>
      </c>
    </row>
    <row r="30" spans="1:10" ht="13.15" customHeight="1" x14ac:dyDescent="0.2">
      <c r="A30" s="127" t="s">
        <v>388</v>
      </c>
      <c r="B30" s="63">
        <f>IF(B8&lt;DATEVALUE("3/31/2022"),"N/A",AIS0030_C1)</f>
        <v>-1567617</v>
      </c>
      <c r="C30" s="63">
        <f>IF(C8&lt;DATEVALUE("3/31/2022"),"N/A",AIS0030_C2)</f>
        <v>-5766895</v>
      </c>
      <c r="D30" s="64">
        <f t="shared" si="4"/>
        <v>-175.90739638572433</v>
      </c>
      <c r="E30" s="63">
        <f>IF(E8&lt;DATEVALUE("3/31/2022"),"N/A",AIS0030_C3)</f>
        <v>-4716211</v>
      </c>
      <c r="F30" s="64">
        <f t="shared" si="5"/>
        <v>-227.12307056050091</v>
      </c>
      <c r="G30" s="63">
        <f>IF(G8&lt;DATEVALUE("3/31/2022"),"N/A",AIS0030_C4)</f>
        <v>-2408551</v>
      </c>
      <c r="H30" s="64">
        <f t="shared" si="6"/>
        <v>74.465190382703412</v>
      </c>
      <c r="I30" s="63">
        <f>IF(I8&lt;DATEVALUE("3/31/2022"),"N/A",AIS0030_C5)</f>
        <v>1030747</v>
      </c>
      <c r="J30" s="64">
        <f t="shared" si="7"/>
        <v>128.5302103491546</v>
      </c>
    </row>
    <row r="31" spans="1:10" ht="13.15" customHeight="1" x14ac:dyDescent="0.2">
      <c r="A31" s="127" t="s">
        <v>389</v>
      </c>
      <c r="B31" s="63">
        <f>A431_C1</f>
        <v>13821801</v>
      </c>
      <c r="C31" s="63">
        <f>A431_C2</f>
        <v>19191884</v>
      </c>
      <c r="D31" s="64">
        <f t="shared" si="4"/>
        <v>4.1392000941121925</v>
      </c>
      <c r="E31" s="63">
        <f>A431_C3</f>
        <v>8691866</v>
      </c>
      <c r="F31" s="64">
        <f t="shared" si="5"/>
        <v>81.15711829021059</v>
      </c>
      <c r="G31" s="63">
        <f>A431_C4</f>
        <v>14977177</v>
      </c>
      <c r="H31" s="64">
        <f t="shared" si="6"/>
        <v>-13.843718943665262</v>
      </c>
      <c r="I31" s="63">
        <f>IF(I8&gt;DATEVALUE("12/31/2008"),A431_C5,"N/A" )</f>
        <v>20256375</v>
      </c>
      <c r="J31" s="64">
        <f t="shared" si="7"/>
        <v>-9.8344768176272463</v>
      </c>
    </row>
    <row r="32" spans="1:10" ht="13.15" customHeight="1" x14ac:dyDescent="0.2">
      <c r="A32" s="127" t="s">
        <v>390</v>
      </c>
      <c r="B32" s="63">
        <f>IF(B8&lt;=DATEVALUE("12/31/2018"),(A420_C1+A440_C1-A440A_C1),A440_C1)</f>
        <v>538849311</v>
      </c>
      <c r="C32" s="63">
        <f>IF(C8&lt;=DATEVALUE("12/31/2018"),(A420_C2+A440_C2-A440A_C2),A440_C2)</f>
        <v>712343135</v>
      </c>
      <c r="D32" s="64">
        <f t="shared" si="4"/>
        <v>-0.85217882926828126</v>
      </c>
      <c r="E32" s="63">
        <f>IF(E8&lt;=DATEVALUE("12/31/2018"),(A420_C3+A440_C3-A440A_C3),A440_C3)</f>
        <v>113100195</v>
      </c>
      <c r="F32" s="64">
        <f t="shared" si="5"/>
        <v>-36.491171491390872</v>
      </c>
      <c r="G32" s="63">
        <f>IF(G8&lt;=DATEVALUE("12/31/2018"),(A420_C4+A440_C4-A440A_C4),A440_C4)</f>
        <v>297764135</v>
      </c>
      <c r="H32" s="64">
        <f t="shared" si="6"/>
        <v>31.637321668631955</v>
      </c>
      <c r="I32" s="63">
        <f>IF(I8&lt;=DATEVALUE("12/31/2018"),(A420_C5+A440_C5-A440A_C5),A440_C5)</f>
        <v>514383497</v>
      </c>
      <c r="J32" s="64">
        <f t="shared" si="7"/>
        <v>15.165760756691975</v>
      </c>
    </row>
    <row r="33" spans="1:10" ht="13.15" customHeight="1" x14ac:dyDescent="0.2">
      <c r="A33" s="145" t="s">
        <v>391</v>
      </c>
      <c r="B33" s="63">
        <f>A117_C1</f>
        <v>20234394985</v>
      </c>
      <c r="C33" s="63">
        <f>A117_C2</f>
        <v>26626369138</v>
      </c>
      <c r="D33" s="64">
        <f t="shared" si="4"/>
        <v>-1.3077639914421144</v>
      </c>
      <c r="E33" s="63">
        <f>A117_C3</f>
        <v>6155882747</v>
      </c>
      <c r="F33" s="64">
        <f t="shared" si="5"/>
        <v>-7.5220100030147785</v>
      </c>
      <c r="G33" s="63">
        <f>A117_C4</f>
        <v>13005090262</v>
      </c>
      <c r="H33" s="64">
        <f t="shared" si="6"/>
        <v>5.6314000484973832</v>
      </c>
      <c r="I33" s="63">
        <f>A117_C5</f>
        <v>20023125372</v>
      </c>
      <c r="J33" s="64">
        <f t="shared" si="7"/>
        <v>2.6425036587723763</v>
      </c>
    </row>
    <row r="34" spans="1:10" ht="13.15" customHeight="1" x14ac:dyDescent="0.2">
      <c r="A34" s="145" t="s">
        <v>392</v>
      </c>
      <c r="B34" s="63"/>
      <c r="C34" s="63"/>
      <c r="D34" s="64"/>
      <c r="E34" s="63"/>
      <c r="F34" s="64"/>
      <c r="G34" s="63"/>
      <c r="H34" s="64"/>
      <c r="I34" s="63"/>
      <c r="J34" s="64"/>
    </row>
    <row r="35" spans="1:10" ht="13.15" customHeight="1" x14ac:dyDescent="0.2">
      <c r="A35" s="127" t="s">
        <v>393</v>
      </c>
      <c r="B35" s="63">
        <f>A210_C1</f>
        <v>26879442809</v>
      </c>
      <c r="C35" s="63">
        <f>A210_C2</f>
        <v>36132677572</v>
      </c>
      <c r="D35" s="64">
        <f t="shared" ref="D35:D46" si="8">IF(C35="N/A", " ", IF(B35="N/A", " ",IF(AND(B35=0,C35=0,),"N/A",IF(ABS(B35)=0, "N/A", ((C35*Anu_C2-B35*Anu_C1)/ABS(B35*Anu_C1))*100))))</f>
        <v>0.8187125438713253</v>
      </c>
      <c r="E35" s="63">
        <f>A210_C3</f>
        <v>9435744888</v>
      </c>
      <c r="F35" s="64">
        <f t="shared" ref="F35:F46" si="9">IF(E35="N/A", " ", IF(C35="N/A", " ",IF(AND(C35=0,E35=0,),"N/A",IF(ABS(C35)=0, "N/A", ((E35*Anu_C3-C35*Anu_C2)/ABS(C35*Anu_C2))*100))))</f>
        <v>4.4566361759136779</v>
      </c>
      <c r="G35" s="63">
        <f>A210_C4</f>
        <v>19053693858</v>
      </c>
      <c r="H35" s="64">
        <f t="shared" ref="H35:H46" si="10">IF(G35="N/A", " ", IF(E35="N/A", " ",IF(AND(E35=0,G35=0,),"N/A",IF(ABS(E35)=0, "N/A", ((G35*Anu_C4-E35*Anu_C3)/ABS(E35*Anu_C3))*100))))</f>
        <v>0.9654991956793989</v>
      </c>
      <c r="I35" s="63">
        <f>A210_C5</f>
        <v>28800627960</v>
      </c>
      <c r="J35" s="64">
        <f t="shared" ref="J35:J46" si="11">IF(I35="N/A", " ", IF(G35="N/A", " ",IF(AND(G35=0,I35=0,),"N/A",IF(ABS(G35)=0, "N/A", ((I35*Anu_C5-G35*Anu_C4)/ABS(G35*Anu_C4))*100))))</f>
        <v>0.77005951231023495</v>
      </c>
    </row>
    <row r="36" spans="1:10" ht="13.15" customHeight="1" x14ac:dyDescent="0.2">
      <c r="A36" s="127" t="s">
        <v>394</v>
      </c>
      <c r="B36" s="63">
        <f>A230_C1</f>
        <v>391736944</v>
      </c>
      <c r="C36" s="63">
        <f>A230_C2</f>
        <v>531967314</v>
      </c>
      <c r="D36" s="64">
        <f t="shared" si="8"/>
        <v>1.8478067006108096</v>
      </c>
      <c r="E36" s="63">
        <f>A230_C3</f>
        <v>130188667</v>
      </c>
      <c r="F36" s="64">
        <f t="shared" si="9"/>
        <v>-2.1077697266189555</v>
      </c>
      <c r="G36" s="63">
        <f>A230_C4</f>
        <v>279845648</v>
      </c>
      <c r="H36" s="64">
        <f t="shared" si="10"/>
        <v>7.4769618771809068</v>
      </c>
      <c r="I36" s="63">
        <f>A230_C5</f>
        <v>426389188</v>
      </c>
      <c r="J36" s="64">
        <f t="shared" si="11"/>
        <v>1.5772304119114358</v>
      </c>
    </row>
    <row r="37" spans="1:10" ht="13.15" customHeight="1" x14ac:dyDescent="0.2">
      <c r="A37" s="127" t="s">
        <v>395</v>
      </c>
      <c r="B37" s="63">
        <f>A250_C1</f>
        <v>2975903754</v>
      </c>
      <c r="C37" s="63">
        <f>A250_C2</f>
        <v>3989773556</v>
      </c>
      <c r="D37" s="64">
        <f t="shared" si="8"/>
        <v>0.55198065387433226</v>
      </c>
      <c r="E37" s="63">
        <f>A250_C3</f>
        <v>1045689717</v>
      </c>
      <c r="F37" s="64">
        <f t="shared" si="9"/>
        <v>4.8369991251704016</v>
      </c>
      <c r="G37" s="63">
        <f>A250_C4</f>
        <v>2079701362</v>
      </c>
      <c r="H37" s="64">
        <f t="shared" si="10"/>
        <v>-0.55839087877345928</v>
      </c>
      <c r="I37" s="63">
        <f>A250_C5</f>
        <v>3139345102</v>
      </c>
      <c r="J37" s="64">
        <f t="shared" si="11"/>
        <v>0.6344840133189521</v>
      </c>
    </row>
    <row r="38" spans="1:10" ht="13.15" customHeight="1" x14ac:dyDescent="0.2">
      <c r="A38" s="127" t="s">
        <v>396</v>
      </c>
      <c r="B38" s="63">
        <f>A260_C1</f>
        <v>9320426462</v>
      </c>
      <c r="C38" s="63">
        <f>A260_C2</f>
        <v>12587998666</v>
      </c>
      <c r="D38" s="64">
        <f t="shared" si="8"/>
        <v>1.2936375603796968</v>
      </c>
      <c r="E38" s="63">
        <f>A260_C3</f>
        <v>3260085711</v>
      </c>
      <c r="F38" s="64">
        <f t="shared" si="9"/>
        <v>3.5934558781117052</v>
      </c>
      <c r="G38" s="63">
        <f>A260_C4</f>
        <v>6577976971</v>
      </c>
      <c r="H38" s="64">
        <f t="shared" si="10"/>
        <v>0.88656486553337732</v>
      </c>
      <c r="I38" s="63">
        <f>A260_C5</f>
        <v>9968707340</v>
      </c>
      <c r="J38" s="64">
        <f t="shared" si="11"/>
        <v>1.0311365125229626</v>
      </c>
    </row>
    <row r="39" spans="1:10" ht="13.15" customHeight="1" x14ac:dyDescent="0.2">
      <c r="A39" s="127" t="s">
        <v>397</v>
      </c>
      <c r="B39" s="63">
        <f>A270_C1</f>
        <v>1899254578</v>
      </c>
      <c r="C39" s="63">
        <f>A270_C2</f>
        <v>2629636169</v>
      </c>
      <c r="D39" s="64">
        <f t="shared" si="8"/>
        <v>3.8421678481272168</v>
      </c>
      <c r="E39" s="63">
        <f>A270_C3</f>
        <v>635330220</v>
      </c>
      <c r="F39" s="64">
        <f t="shared" si="9"/>
        <v>-3.3584603847909724</v>
      </c>
      <c r="G39" s="63">
        <f>A270_C4</f>
        <v>1358305352</v>
      </c>
      <c r="H39" s="64">
        <f t="shared" si="10"/>
        <v>6.8975872106319764</v>
      </c>
      <c r="I39" s="63">
        <f>A270_C5</f>
        <v>2067879745</v>
      </c>
      <c r="J39" s="64">
        <f t="shared" si="11"/>
        <v>1.4931211628375081</v>
      </c>
    </row>
    <row r="40" spans="1:10" ht="13.15" customHeight="1" x14ac:dyDescent="0.2">
      <c r="A40" s="127" t="s">
        <v>398</v>
      </c>
      <c r="B40" s="63">
        <f>A280_C1</f>
        <v>3343569261</v>
      </c>
      <c r="C40" s="63">
        <f>A280_C2</f>
        <v>4491182932</v>
      </c>
      <c r="D40" s="64">
        <f t="shared" si="8"/>
        <v>0.74225882769891871</v>
      </c>
      <c r="E40" s="63">
        <f>A280_C3</f>
        <v>1132164571</v>
      </c>
      <c r="F40" s="64">
        <f t="shared" si="9"/>
        <v>0.83442052054895011</v>
      </c>
      <c r="G40" s="63">
        <f>A280_C4</f>
        <v>2329466562</v>
      </c>
      <c r="H40" s="64">
        <f t="shared" si="10"/>
        <v>2.8766763096316672</v>
      </c>
      <c r="I40" s="63">
        <f>A280_C5</f>
        <v>3552628677</v>
      </c>
      <c r="J40" s="64">
        <f t="shared" si="11"/>
        <v>1.6721663506754387</v>
      </c>
    </row>
    <row r="41" spans="1:10" ht="13.15" customHeight="1" x14ac:dyDescent="0.2">
      <c r="A41" s="127" t="s">
        <v>399</v>
      </c>
      <c r="B41" s="63">
        <f>A290_C1</f>
        <v>4591770741</v>
      </c>
      <c r="C41" s="63">
        <f>A290_C2</f>
        <v>6278371399</v>
      </c>
      <c r="D41" s="64">
        <f t="shared" si="8"/>
        <v>2.5482066690576528</v>
      </c>
      <c r="E41" s="63">
        <f>A290_C3</f>
        <v>1600249166</v>
      </c>
      <c r="F41" s="64">
        <f t="shared" si="9"/>
        <v>1.9531381182631435</v>
      </c>
      <c r="G41" s="63">
        <f>A290_C4</f>
        <v>3271907410</v>
      </c>
      <c r="H41" s="64">
        <f t="shared" si="10"/>
        <v>2.2311862276577497</v>
      </c>
      <c r="I41" s="63">
        <f>A290_C5</f>
        <v>4984449215</v>
      </c>
      <c r="J41" s="64">
        <f t="shared" si="11"/>
        <v>1.560518894186343</v>
      </c>
    </row>
    <row r="42" spans="1:10" s="62" customFormat="1" ht="13.15" customHeight="1" x14ac:dyDescent="0.2">
      <c r="A42" s="127" t="s">
        <v>400</v>
      </c>
      <c r="B42" s="63">
        <f>A310_C1</f>
        <v>17331057</v>
      </c>
      <c r="C42" s="63">
        <f>A310_C2</f>
        <v>22669931</v>
      </c>
      <c r="D42" s="64">
        <f t="shared" si="8"/>
        <v>-1.8960687164089298</v>
      </c>
      <c r="E42" s="76">
        <f>A310_C3</f>
        <v>6158334</v>
      </c>
      <c r="F42" s="64">
        <f t="shared" si="9"/>
        <v>8.6608335949500681</v>
      </c>
      <c r="G42" s="76">
        <f>A310_C4</f>
        <v>11752444</v>
      </c>
      <c r="H42" s="64">
        <f t="shared" si="10"/>
        <v>-4.5809792063892605</v>
      </c>
      <c r="I42" s="76">
        <f>A310_C5</f>
        <v>18089435</v>
      </c>
      <c r="J42" s="64">
        <f t="shared" si="11"/>
        <v>2.6137485388854613</v>
      </c>
    </row>
    <row r="43" spans="1:10" ht="13.15" customHeight="1" x14ac:dyDescent="0.2">
      <c r="A43" s="127" t="s">
        <v>401</v>
      </c>
      <c r="B43" s="63">
        <f>A320_C1</f>
        <v>176527066</v>
      </c>
      <c r="C43" s="63">
        <f>A320_C2</f>
        <v>237715725</v>
      </c>
      <c r="D43" s="64">
        <f t="shared" si="8"/>
        <v>0.99686002258713968</v>
      </c>
      <c r="E43" s="63">
        <f>A320_C3</f>
        <v>58764206</v>
      </c>
      <c r="F43" s="64">
        <f t="shared" si="9"/>
        <v>-1.1185212926069574</v>
      </c>
      <c r="G43" s="63">
        <f>A320_C4</f>
        <v>120782893</v>
      </c>
      <c r="H43" s="64">
        <f t="shared" si="10"/>
        <v>2.769101483307713</v>
      </c>
      <c r="I43" s="63">
        <f>A320_C5</f>
        <v>183168367</v>
      </c>
      <c r="J43" s="64">
        <f t="shared" si="11"/>
        <v>1.1006125401108391</v>
      </c>
    </row>
    <row r="44" spans="1:10" ht="13.15" customHeight="1" x14ac:dyDescent="0.2">
      <c r="A44" s="127" t="s">
        <v>402</v>
      </c>
      <c r="B44" s="63">
        <f>A360_C1</f>
        <v>1727098967</v>
      </c>
      <c r="C44" s="63">
        <f>A360_C2</f>
        <v>2338355207</v>
      </c>
      <c r="D44" s="64">
        <f t="shared" si="8"/>
        <v>1.5440596491306988</v>
      </c>
      <c r="E44" s="63">
        <f>A360_C3</f>
        <v>558821090</v>
      </c>
      <c r="F44" s="64">
        <f t="shared" si="9"/>
        <v>-4.4078353319226915</v>
      </c>
      <c r="G44" s="63">
        <f>A360_C4</f>
        <v>1146024867</v>
      </c>
      <c r="H44" s="64">
        <f t="shared" si="10"/>
        <v>2.5395146593339919</v>
      </c>
      <c r="I44" s="63">
        <f>A360_C5</f>
        <v>1722647879</v>
      </c>
      <c r="J44" s="64">
        <f t="shared" si="11"/>
        <v>0.21003491308476588</v>
      </c>
    </row>
    <row r="45" spans="1:10" ht="13.15" customHeight="1" x14ac:dyDescent="0.2">
      <c r="A45" s="145" t="s">
        <v>403</v>
      </c>
      <c r="B45" s="63">
        <f>A671_C1</f>
        <v>51323061639</v>
      </c>
      <c r="C45" s="63">
        <f>A671_C2</f>
        <v>69240348471</v>
      </c>
      <c r="D45" s="64">
        <f t="shared" si="8"/>
        <v>1.1830933207394503</v>
      </c>
      <c r="E45" s="63">
        <f>A671_C3</f>
        <v>17863196570</v>
      </c>
      <c r="F45" s="64">
        <f t="shared" si="9"/>
        <v>3.1953013782514939</v>
      </c>
      <c r="G45" s="63">
        <f>A671_C4</f>
        <v>36229457367</v>
      </c>
      <c r="H45" s="64">
        <f t="shared" si="10"/>
        <v>1.4081024777078854</v>
      </c>
      <c r="I45" s="63">
        <f>A671_C5</f>
        <v>54863932908</v>
      </c>
      <c r="J45" s="64">
        <f t="shared" si="11"/>
        <v>0.95639827417236289</v>
      </c>
    </row>
    <row r="46" spans="1:10" s="100" customFormat="1" ht="13.15" customHeight="1" x14ac:dyDescent="0.2">
      <c r="A46" s="145" t="s">
        <v>404</v>
      </c>
      <c r="B46" s="99">
        <f>A661A_C1</f>
        <v>11846895708</v>
      </c>
      <c r="C46" s="99">
        <f>A661A_C2</f>
        <v>14298321638</v>
      </c>
      <c r="D46" s="69">
        <f t="shared" si="8"/>
        <v>-9.4805804590780145</v>
      </c>
      <c r="E46" s="99">
        <f>A661A_C3</f>
        <v>3914861274</v>
      </c>
      <c r="F46" s="69">
        <f t="shared" si="9"/>
        <v>9.519463140223424</v>
      </c>
      <c r="G46" s="99">
        <f>A661A_C4</f>
        <v>8852981552</v>
      </c>
      <c r="H46" s="69">
        <f t="shared" si="10"/>
        <v>13.068905031141597</v>
      </c>
      <c r="I46" s="99">
        <f>A661A_C5</f>
        <v>14339769683</v>
      </c>
      <c r="J46" s="69">
        <f t="shared" si="11"/>
        <v>7.984484088003577</v>
      </c>
    </row>
    <row r="47" spans="1:10" x14ac:dyDescent="0.2">
      <c r="A47" s="31" t="s">
        <v>86</v>
      </c>
      <c r="B47" s="31"/>
      <c r="C47" s="31"/>
      <c r="D47" s="51"/>
      <c r="E47" s="177"/>
      <c r="F47" s="177"/>
      <c r="G47" s="177"/>
      <c r="H47" s="177"/>
      <c r="I47" s="177"/>
      <c r="J47" s="170"/>
    </row>
    <row r="48" spans="1:10" x14ac:dyDescent="0.2">
      <c r="A48" s="30" t="s">
        <v>405</v>
      </c>
      <c r="B48" s="30"/>
      <c r="C48" s="30"/>
      <c r="D48" s="36"/>
      <c r="E48" s="35"/>
      <c r="F48" s="35"/>
      <c r="G48" s="35"/>
      <c r="H48" s="35"/>
      <c r="I48" s="35"/>
    </row>
    <row r="49" spans="1:9" x14ac:dyDescent="0.2">
      <c r="A49" s="30" t="s">
        <v>406</v>
      </c>
      <c r="I49" s="264" t="s">
        <v>407</v>
      </c>
    </row>
    <row r="52" spans="1:9" x14ac:dyDescent="0.2">
      <c r="C52" s="32"/>
      <c r="D52" s="55"/>
      <c r="E52" s="32"/>
    </row>
  </sheetData>
  <mergeCells count="1">
    <mergeCell ref="D5:J5"/>
  </mergeCells>
  <phoneticPr fontId="2" type="noConversion"/>
  <hyperlinks>
    <hyperlink ref="A2" location="'Cover Page'!A1" display="Return to cover" xr:uid="{00000000-0004-0000-0700-000000000000}"/>
  </hyperlinks>
  <printOptions horizontalCentered="1" verticalCentered="1" gridLines="1"/>
  <pageMargins left="0.75" right="0.75" top="0.25" bottom="0.25" header="0.25" footer="0.25"/>
  <pageSetup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7">
    <pageSetUpPr fitToPage="1"/>
  </sheetPr>
  <dimension ref="A1:J47"/>
  <sheetViews>
    <sheetView workbookViewId="0"/>
  </sheetViews>
  <sheetFormatPr defaultRowHeight="12.75" x14ac:dyDescent="0.2"/>
  <cols>
    <col min="1" max="1" width="61.5703125" customWidth="1"/>
    <col min="2" max="3" width="16.7109375" customWidth="1"/>
    <col min="4" max="4" width="6.7109375" customWidth="1"/>
    <col min="5" max="5" width="16.7109375" customWidth="1"/>
    <col min="6" max="6" width="6.7109375" customWidth="1"/>
    <col min="7" max="7" width="16.7109375" customWidth="1"/>
    <col min="8" max="8" width="6.7109375" customWidth="1"/>
    <col min="9" max="9" width="16.7109375" customWidth="1"/>
    <col min="10" max="10" width="6.7109375" customWidth="1"/>
  </cols>
  <sheetData>
    <row r="1" spans="1:10" x14ac:dyDescent="0.2">
      <c r="A1" s="88"/>
      <c r="B1" s="62"/>
      <c r="C1" s="85" t="s">
        <v>12</v>
      </c>
      <c r="D1" s="118"/>
      <c r="E1" s="62"/>
      <c r="F1" s="119"/>
      <c r="G1" s="62"/>
      <c r="H1" s="119"/>
      <c r="I1" s="62"/>
      <c r="J1" s="119"/>
    </row>
    <row r="2" spans="1:10" x14ac:dyDescent="0.2">
      <c r="A2" s="60" t="s">
        <v>49</v>
      </c>
      <c r="B2" s="62"/>
      <c r="C2" s="67" t="s">
        <v>50</v>
      </c>
      <c r="D2" s="87" t="str">
        <f>IF(CU_NUMBER="","N/A",CU_NUMBER)</f>
        <v>N/A</v>
      </c>
      <c r="E2" s="120"/>
      <c r="F2" s="119"/>
      <c r="G2" s="62"/>
      <c r="H2" s="119"/>
      <c r="I2" s="62"/>
      <c r="J2" s="119"/>
    </row>
    <row r="3" spans="1:10" x14ac:dyDescent="0.2">
      <c r="A3" s="121" t="str">
        <f>IF(Request_Date=0,"N/A",Request_Date)</f>
        <v>12/05/2025</v>
      </c>
      <c r="B3" s="62"/>
      <c r="C3" s="67" t="s">
        <v>42</v>
      </c>
      <c r="D3" s="75">
        <f>IF(CountCu_C5=0,"N/A",CountCu_C5)</f>
        <v>4331</v>
      </c>
      <c r="E3" s="120"/>
      <c r="F3" s="119"/>
      <c r="G3" s="62"/>
      <c r="H3" s="119"/>
      <c r="I3" s="62"/>
      <c r="J3" s="119"/>
    </row>
    <row r="4" spans="1:10" x14ac:dyDescent="0.2">
      <c r="A4" s="74" t="str">
        <f>"CU Name:      "&amp;IF(Cu_Name="","N/A",Cu_Name)</f>
        <v>CU Name:      N/A</v>
      </c>
      <c r="B4" s="62"/>
      <c r="C4" s="67" t="s">
        <v>43</v>
      </c>
      <c r="D4" s="89" t="str">
        <f>IF(AssetRange="","N/A",AssetRange)</f>
        <v>N/A</v>
      </c>
      <c r="E4" s="75"/>
      <c r="F4" s="119"/>
      <c r="G4" s="62"/>
      <c r="H4" s="119"/>
      <c r="I4" s="62"/>
      <c r="J4" s="119"/>
    </row>
    <row r="5" spans="1:10" x14ac:dyDescent="0.2">
      <c r="A5" s="74" t="str">
        <f>"Peer Group:      "&amp;IF(Peer_Group="","N/A",IF(Peer_Group="0","N/A",Peer_Group))</f>
        <v>Peer Group:      N/A</v>
      </c>
      <c r="B5" s="90"/>
      <c r="C5" s="67" t="s">
        <v>51</v>
      </c>
      <c r="D5" s="24" t="str">
        <f>IF(_xlnm.Criteria="","N/A",_xlnm.Criteria)</f>
        <v xml:space="preserve">Region: Nation * Peer Group: All * Types Included: All  Federally Insured Credit Unions  (FICUs) *  </v>
      </c>
      <c r="E5" s="23"/>
      <c r="F5" s="23"/>
      <c r="G5" s="23"/>
      <c r="H5" s="23"/>
      <c r="I5" s="23"/>
      <c r="J5" s="23"/>
    </row>
    <row r="6" spans="1:10" x14ac:dyDescent="0.2">
      <c r="A6" s="74"/>
      <c r="B6" s="67"/>
      <c r="C6" s="67" t="s">
        <v>45</v>
      </c>
      <c r="D6" s="75" t="str">
        <f>IF(NoCu_in_Peer_Group="","N/A",NoCu_in_Peer_Group)</f>
        <v>N/A</v>
      </c>
      <c r="E6" s="75" t="str">
        <f>IF(CU_NUMBER&gt;0,"",IF(RetPop=0,"Retroactive Population",""))</f>
        <v/>
      </c>
      <c r="F6" s="119"/>
      <c r="G6" s="62"/>
      <c r="H6" s="119"/>
      <c r="I6" s="62"/>
      <c r="J6" s="119"/>
    </row>
    <row r="7" spans="1:10" x14ac:dyDescent="0.2">
      <c r="A7" s="29"/>
      <c r="D7" s="57"/>
      <c r="E7" s="32"/>
      <c r="F7" s="54"/>
      <c r="G7" s="30"/>
      <c r="H7" s="54"/>
      <c r="I7" s="30"/>
      <c r="J7" s="54"/>
    </row>
    <row r="8" spans="1:10" ht="13.15" customHeight="1" x14ac:dyDescent="0.2">
      <c r="A8" s="145"/>
      <c r="B8" s="139">
        <f>(CycDat_C1)</f>
        <v>45565</v>
      </c>
      <c r="C8" s="139">
        <f>(CycDat_C2)</f>
        <v>45657</v>
      </c>
      <c r="D8" s="184" t="s">
        <v>52</v>
      </c>
      <c r="E8" s="139">
        <f>(CycDat_C3)</f>
        <v>45747</v>
      </c>
      <c r="F8" s="184" t="s">
        <v>52</v>
      </c>
      <c r="G8" s="139">
        <f>(CycDat_C4)</f>
        <v>45838</v>
      </c>
      <c r="H8" s="184" t="s">
        <v>52</v>
      </c>
      <c r="I8" s="139">
        <f>(CycDat_C5)</f>
        <v>45930</v>
      </c>
      <c r="J8" s="184" t="s">
        <v>52</v>
      </c>
    </row>
    <row r="9" spans="1:10" ht="13.15" customHeight="1" x14ac:dyDescent="0.2">
      <c r="A9" s="145" t="s">
        <v>314</v>
      </c>
      <c r="B9" s="86"/>
      <c r="C9" s="86"/>
      <c r="D9" s="86"/>
      <c r="E9" s="86"/>
      <c r="F9" s="86"/>
      <c r="G9" s="86"/>
      <c r="H9" s="86"/>
      <c r="I9" s="86"/>
      <c r="J9" s="86"/>
    </row>
    <row r="10" spans="1:10" ht="13.15" customHeight="1" x14ac:dyDescent="0.2">
      <c r="A10" s="127" t="s">
        <v>408</v>
      </c>
      <c r="B10" s="76">
        <f>A396_C1</f>
        <v>83040467541</v>
      </c>
      <c r="C10" s="76">
        <f>A396_C2</f>
        <v>85191345594</v>
      </c>
      <c r="D10" s="102">
        <f t="shared" ref="D10:D23" si="0">IF(C10="N/A", " ", IF(B10="N/A", " ",IF(AND(B10=0,C10=0,),"N/A",IF(ABS(B10)=0, "N/A", ((C10-B10)/ABS(B10))*100))))</f>
        <v>2.5901564823657042</v>
      </c>
      <c r="E10" s="76">
        <f>A396_C3</f>
        <v>83848627978</v>
      </c>
      <c r="F10" s="102">
        <f t="shared" ref="F10:F23" si="1">IF(E10="N/A", " ", IF(C10="N/A", " ",IF(AND(C10=0,E10=0,),"N/A",IF(ABS(C10)=0, "N/A", ((E10-C10)/ABS(C10))*100))))</f>
        <v>-1.5761197415510328</v>
      </c>
      <c r="G10" s="76">
        <f>A396_C4</f>
        <v>85066977791</v>
      </c>
      <c r="H10" s="102">
        <f t="shared" ref="H10:H23" si="2">IF(G10="N/A", " ", IF(E10="N/A", " ",IF(AND(E10=0,G10=0,),"N/A",IF(ABS(E10)=0, "N/A", ((G10-E10)/ABS(E10))*100))))</f>
        <v>1.4530348824785395</v>
      </c>
      <c r="I10" s="76">
        <f>A396_C5</f>
        <v>85987075774</v>
      </c>
      <c r="J10" s="102">
        <f t="shared" ref="J10:J23" si="3">IF(I10="N/A", " ", IF(G10="N/A", " ",IF(AND(G10=0,I10=0,),"N/A",IF(ABS(G10)=0, "N/A", ((I10-G10)/ABS(G10))*100))))</f>
        <v>1.081615930050527</v>
      </c>
    </row>
    <row r="11" spans="1:10" ht="13.15" customHeight="1" x14ac:dyDescent="0.2">
      <c r="A11" s="127" t="s">
        <v>409</v>
      </c>
      <c r="B11" s="76">
        <f>A397A_C1</f>
        <v>130101600</v>
      </c>
      <c r="C11" s="76">
        <f>A397A_C2</f>
        <v>140815503</v>
      </c>
      <c r="D11" s="102">
        <f t="shared" si="0"/>
        <v>8.2350278551532021</v>
      </c>
      <c r="E11" s="76">
        <f>A397A_C3</f>
        <v>123863922</v>
      </c>
      <c r="F11" s="102">
        <f t="shared" si="1"/>
        <v>-12.038149663109182</v>
      </c>
      <c r="G11" s="76">
        <f>A397A_C4</f>
        <v>131653380</v>
      </c>
      <c r="H11" s="102">
        <f t="shared" si="2"/>
        <v>6.2887222318053189</v>
      </c>
      <c r="I11" s="76">
        <f>A397A_C5</f>
        <v>139124941</v>
      </c>
      <c r="J11" s="102">
        <f t="shared" si="3"/>
        <v>5.6751759810496321</v>
      </c>
    </row>
    <row r="12" spans="1:10" ht="13.15" customHeight="1" x14ac:dyDescent="0.2">
      <c r="A12" s="127" t="s">
        <v>410</v>
      </c>
      <c r="B12" s="76">
        <f>A698A_C1</f>
        <v>7107258616</v>
      </c>
      <c r="C12" s="76">
        <f>A698A_C2</f>
        <v>6954669814</v>
      </c>
      <c r="D12" s="102">
        <f t="shared" si="0"/>
        <v>-2.1469431498734139</v>
      </c>
      <c r="E12" s="76">
        <f>A698A_C3</f>
        <v>6917733775</v>
      </c>
      <c r="F12" s="102">
        <f t="shared" si="1"/>
        <v>-0.53109694619356951</v>
      </c>
      <c r="G12" s="76">
        <f>A698A_C4</f>
        <v>6675841919</v>
      </c>
      <c r="H12" s="102">
        <f t="shared" si="2"/>
        <v>-3.4966921808146632</v>
      </c>
      <c r="I12" s="76">
        <f>A698A_C5</f>
        <v>6661982681</v>
      </c>
      <c r="J12" s="102">
        <f t="shared" si="3"/>
        <v>-0.20760284872167897</v>
      </c>
    </row>
    <row r="13" spans="1:10" ht="13.15" customHeight="1" x14ac:dyDescent="0.2">
      <c r="A13" s="127" t="s">
        <v>411</v>
      </c>
      <c r="B13" s="76">
        <f>A397_C1</f>
        <v>70415309754</v>
      </c>
      <c r="C13" s="76">
        <f>A397_C2</f>
        <v>70831069302</v>
      </c>
      <c r="D13" s="102">
        <f t="shared" si="0"/>
        <v>0.59043913809721249</v>
      </c>
      <c r="E13" s="76">
        <f>A397_C3</f>
        <v>69632648563</v>
      </c>
      <c r="F13" s="102">
        <f t="shared" si="1"/>
        <v>-1.6919421813192381</v>
      </c>
      <c r="G13" s="76">
        <f>A397_C4</f>
        <v>70625681095</v>
      </c>
      <c r="H13" s="102">
        <f t="shared" si="2"/>
        <v>1.426101911234291</v>
      </c>
      <c r="I13" s="76">
        <f>A397_C5</f>
        <v>71282867141</v>
      </c>
      <c r="J13" s="102">
        <f t="shared" si="3"/>
        <v>0.93051994092064905</v>
      </c>
    </row>
    <row r="14" spans="1:10" ht="13.15" customHeight="1" x14ac:dyDescent="0.2">
      <c r="A14" s="127" t="s">
        <v>412</v>
      </c>
      <c r="B14" s="76">
        <f>A385_C1</f>
        <v>166070566228</v>
      </c>
      <c r="C14" s="76">
        <f>A385_C2</f>
        <v>164251393008</v>
      </c>
      <c r="D14" s="102">
        <f t="shared" si="0"/>
        <v>-1.0954218205665887</v>
      </c>
      <c r="E14" s="76">
        <f>A385_C3</f>
        <v>161964161720</v>
      </c>
      <c r="F14" s="102">
        <f t="shared" si="1"/>
        <v>-1.3925186545532666</v>
      </c>
      <c r="G14" s="76">
        <f>A385_C4</f>
        <v>162476276394</v>
      </c>
      <c r="H14" s="102">
        <f t="shared" si="2"/>
        <v>0.31619011796284435</v>
      </c>
      <c r="I14" s="76">
        <f>A385_C5</f>
        <v>161439186092</v>
      </c>
      <c r="J14" s="102">
        <f t="shared" si="3"/>
        <v>-0.63830260331981503</v>
      </c>
    </row>
    <row r="15" spans="1:10" ht="13.15" customHeight="1" x14ac:dyDescent="0.2">
      <c r="A15" s="127" t="s">
        <v>413</v>
      </c>
      <c r="B15" s="76">
        <f>A370_C1</f>
        <v>319665758538</v>
      </c>
      <c r="C15" s="76">
        <f>A370_C2</f>
        <v>317105512079</v>
      </c>
      <c r="D15" s="102">
        <f t="shared" si="0"/>
        <v>-0.80091357632714766</v>
      </c>
      <c r="E15" s="76">
        <f>A370_C3</f>
        <v>317942719054</v>
      </c>
      <c r="F15" s="102">
        <f t="shared" si="1"/>
        <v>0.26401527034680744</v>
      </c>
      <c r="G15" s="76">
        <f>A370_C4</f>
        <v>320954768584</v>
      </c>
      <c r="H15" s="102">
        <f t="shared" si="2"/>
        <v>0.94735603286088388</v>
      </c>
      <c r="I15" s="76">
        <f>A370_C5</f>
        <v>320940501894</v>
      </c>
      <c r="J15" s="102">
        <f t="shared" si="3"/>
        <v>-4.4450780597348047E-3</v>
      </c>
    </row>
    <row r="16" spans="1:10" ht="13.15" customHeight="1" x14ac:dyDescent="0.2">
      <c r="A16" s="127" t="s">
        <v>414</v>
      </c>
      <c r="B16" s="76">
        <f>A002_C1</f>
        <v>6458419877</v>
      </c>
      <c r="C16" s="76">
        <f>A002_C2</f>
        <v>6417423508</v>
      </c>
      <c r="D16" s="102">
        <f t="shared" si="0"/>
        <v>-0.63477398157400722</v>
      </c>
      <c r="E16" s="76">
        <f>A002_C3</f>
        <v>6266719822</v>
      </c>
      <c r="F16" s="102">
        <f t="shared" si="1"/>
        <v>-2.3483518862691835</v>
      </c>
      <c r="G16" s="76">
        <f>A002_C4</f>
        <v>6141752802</v>
      </c>
      <c r="H16" s="102">
        <f t="shared" si="2"/>
        <v>-1.9941376597257421</v>
      </c>
      <c r="I16" s="76">
        <f>A002_C5</f>
        <v>6122455660</v>
      </c>
      <c r="J16" s="102">
        <f t="shared" si="3"/>
        <v>-0.31419600596292446</v>
      </c>
    </row>
    <row r="17" spans="1:10" ht="13.15" customHeight="1" x14ac:dyDescent="0.2">
      <c r="A17" s="127" t="s">
        <v>415</v>
      </c>
      <c r="B17" s="76">
        <f>A698C_C1</f>
        <v>70724376395</v>
      </c>
      <c r="C17" s="76">
        <f>A698C_C2</f>
        <v>69660353444</v>
      </c>
      <c r="D17" s="102">
        <f t="shared" si="0"/>
        <v>-1.5044642388324025</v>
      </c>
      <c r="E17" s="76">
        <f>A698C_C3</f>
        <v>70116134366</v>
      </c>
      <c r="F17" s="102">
        <f t="shared" si="1"/>
        <v>0.65429028057746297</v>
      </c>
      <c r="G17" s="76">
        <f>A698C_C4</f>
        <v>70438584327</v>
      </c>
      <c r="H17" s="102">
        <f t="shared" si="2"/>
        <v>0.45987983210374922</v>
      </c>
      <c r="I17" s="76">
        <f>A698C_C5</f>
        <v>70222375471</v>
      </c>
      <c r="J17" s="102">
        <f t="shared" si="3"/>
        <v>-0.30694662316931942</v>
      </c>
    </row>
    <row r="18" spans="1:10" ht="24" customHeight="1" x14ac:dyDescent="0.2">
      <c r="A18" s="124" t="s">
        <v>416</v>
      </c>
      <c r="B18" s="76">
        <f>A703A_C1</f>
        <v>587894928961</v>
      </c>
      <c r="C18" s="76">
        <f>A703A_C2</f>
        <v>594229880329</v>
      </c>
      <c r="D18" s="102">
        <f t="shared" si="0"/>
        <v>1.0775652341815405</v>
      </c>
      <c r="E18" s="76">
        <f>A703A_C3</f>
        <v>597937577725</v>
      </c>
      <c r="F18" s="102">
        <f t="shared" si="1"/>
        <v>0.6239500097078936</v>
      </c>
      <c r="G18" s="76">
        <f>A703A_C4</f>
        <v>607789787605</v>
      </c>
      <c r="H18" s="102">
        <f t="shared" si="2"/>
        <v>1.6476987309419731</v>
      </c>
      <c r="I18" s="76">
        <f>A703A_C5</f>
        <v>617098094465</v>
      </c>
      <c r="J18" s="102">
        <f t="shared" si="3"/>
        <v>1.5315010304268932</v>
      </c>
    </row>
    <row r="19" spans="1:10" ht="24.4" customHeight="1" x14ac:dyDescent="0.2">
      <c r="A19" s="144" t="s">
        <v>417</v>
      </c>
      <c r="B19" s="76">
        <f>A386A_C1</f>
        <v>148522114569</v>
      </c>
      <c r="C19" s="76">
        <f>A386A_C2</f>
        <v>154414970053</v>
      </c>
      <c r="D19" s="102">
        <f t="shared" si="0"/>
        <v>3.9676619883177824</v>
      </c>
      <c r="E19" s="76">
        <f>A386A_C3</f>
        <v>158881439245</v>
      </c>
      <c r="F19" s="102">
        <f t="shared" si="1"/>
        <v>2.892510480342009</v>
      </c>
      <c r="G19" s="76">
        <f>A386A_C4</f>
        <v>165647259237</v>
      </c>
      <c r="H19" s="102">
        <f t="shared" si="2"/>
        <v>4.2584080457421463</v>
      </c>
      <c r="I19" s="76">
        <f>A386A_C5</f>
        <v>172450192002</v>
      </c>
      <c r="J19" s="102">
        <f t="shared" si="3"/>
        <v>4.1068791577569641</v>
      </c>
    </row>
    <row r="20" spans="1:10" ht="13.15" customHeight="1" x14ac:dyDescent="0.2">
      <c r="A20" s="127" t="s">
        <v>418</v>
      </c>
      <c r="B20" s="76">
        <f>A386B_C1</f>
        <v>1985793118</v>
      </c>
      <c r="C20" s="76">
        <f>A386B_C2</f>
        <v>2016234860</v>
      </c>
      <c r="D20" s="102">
        <f t="shared" si="0"/>
        <v>1.5329765081802444</v>
      </c>
      <c r="E20" s="76">
        <f>A386B_C3</f>
        <v>2043589458</v>
      </c>
      <c r="F20" s="102">
        <f t="shared" si="1"/>
        <v>1.3567168459729935</v>
      </c>
      <c r="G20" s="76">
        <f>A386B_C4</f>
        <v>2060068630</v>
      </c>
      <c r="H20" s="102">
        <f t="shared" si="2"/>
        <v>0.80638368609161226</v>
      </c>
      <c r="I20" s="76">
        <f>A386B_C5</f>
        <v>2392158898</v>
      </c>
      <c r="J20" s="102">
        <f t="shared" si="3"/>
        <v>16.120349738057026</v>
      </c>
    </row>
    <row r="21" spans="1:10" ht="13.15" customHeight="1" x14ac:dyDescent="0.2">
      <c r="A21" s="127" t="s">
        <v>419</v>
      </c>
      <c r="B21" s="76">
        <f>A718A5_C1</f>
        <v>156116573224</v>
      </c>
      <c r="C21" s="76">
        <f>A718A5_C2</f>
        <v>161172453135</v>
      </c>
      <c r="D21" s="102">
        <f t="shared" si="0"/>
        <v>3.2385286242132003</v>
      </c>
      <c r="E21" s="76">
        <f>A718A5_C3</f>
        <v>165315860040</v>
      </c>
      <c r="F21" s="102">
        <f t="shared" si="1"/>
        <v>2.5707909908955919</v>
      </c>
      <c r="G21" s="76">
        <f>A718A5_C4</f>
        <v>170039976657</v>
      </c>
      <c r="H21" s="102">
        <f t="shared" si="2"/>
        <v>2.8576306083741438</v>
      </c>
      <c r="I21" s="76">
        <f>A718A5_C5</f>
        <v>174577793008</v>
      </c>
      <c r="J21" s="102">
        <f t="shared" si="3"/>
        <v>2.6686761785162787</v>
      </c>
    </row>
    <row r="22" spans="1:10" ht="13.15" customHeight="1" x14ac:dyDescent="0.2">
      <c r="A22" s="127" t="s">
        <v>420</v>
      </c>
      <c r="B22" s="76">
        <f>A400P_C1</f>
        <v>12268811490</v>
      </c>
      <c r="C22" s="76">
        <f>A400P_C2</f>
        <v>12806981148</v>
      </c>
      <c r="D22" s="102">
        <f t="shared" si="0"/>
        <v>4.3864856709115516</v>
      </c>
      <c r="E22" s="76">
        <f>A400P_C3</f>
        <v>12749508842</v>
      </c>
      <c r="F22" s="102">
        <f t="shared" si="1"/>
        <v>-0.44875763722799855</v>
      </c>
      <c r="G22" s="76">
        <f>A400P_C4</f>
        <v>13207439496</v>
      </c>
      <c r="H22" s="102">
        <f t="shared" si="2"/>
        <v>3.5917513346981997</v>
      </c>
      <c r="I22" s="76">
        <f>A400P_C5</f>
        <v>13413289103</v>
      </c>
      <c r="J22" s="102">
        <f t="shared" si="3"/>
        <v>1.5585883021636671</v>
      </c>
    </row>
    <row r="23" spans="1:10" ht="13.15" customHeight="1" x14ac:dyDescent="0.2">
      <c r="A23" s="145" t="s">
        <v>320</v>
      </c>
      <c r="B23" s="76">
        <f>A025B_C1</f>
        <v>1630400480217</v>
      </c>
      <c r="C23" s="76">
        <f>A025B_C2</f>
        <v>1645193102116</v>
      </c>
      <c r="D23" s="102">
        <f t="shared" si="0"/>
        <v>0.90729989830665159</v>
      </c>
      <c r="E23" s="76">
        <f>A025B_C3</f>
        <v>1653740584809</v>
      </c>
      <c r="F23" s="102">
        <f t="shared" si="1"/>
        <v>0.51954282339297886</v>
      </c>
      <c r="G23" s="76">
        <f>A025B_C4</f>
        <v>1681256068236</v>
      </c>
      <c r="H23" s="102">
        <f t="shared" si="2"/>
        <v>1.6638331114174065</v>
      </c>
      <c r="I23" s="76">
        <f>A025B_C5</f>
        <v>1702727097420</v>
      </c>
      <c r="J23" s="102">
        <f t="shared" si="3"/>
        <v>1.2770826282594618</v>
      </c>
    </row>
    <row r="24" spans="1:10" ht="13.15" customHeight="1" x14ac:dyDescent="0.2">
      <c r="A24" s="145" t="s">
        <v>421</v>
      </c>
      <c r="B24" s="76"/>
      <c r="C24" s="76"/>
      <c r="D24" s="102"/>
      <c r="E24" s="76"/>
      <c r="F24" s="102"/>
      <c r="G24" s="76"/>
      <c r="H24" s="102"/>
      <c r="I24" s="76"/>
      <c r="J24" s="102"/>
    </row>
    <row r="25" spans="1:10" ht="13.15" customHeight="1" x14ac:dyDescent="0.2">
      <c r="A25" s="127" t="s">
        <v>422</v>
      </c>
      <c r="B25" s="76">
        <f>A031A_C1</f>
        <v>18350878</v>
      </c>
      <c r="C25" s="76">
        <f>A031A_C2</f>
        <v>24164832</v>
      </c>
      <c r="D25" s="102">
        <f>IF(C25="N/A", " ", IF(B25="N/A", " ",IF(AND(B25=0,C25=0,),"N/A",IF(ABS(B25)=0, "N/A", ((C25-B25)/ABS(B25))*100))))</f>
        <v>31.68215711531623</v>
      </c>
      <c r="E25" s="76">
        <f>A031A_C3</f>
        <v>6540089</v>
      </c>
      <c r="F25" s="102">
        <f>IF(E25="N/A", " ", IF(C25="N/A", " ",IF(AND(C25=0,E25=0,),"N/A",IF(ABS(C25)=0, "N/A", ((E25-C25)/ABS(C25))*100))))</f>
        <v>-72.935508097056086</v>
      </c>
      <c r="G25" s="76">
        <f>A031A_C4</f>
        <v>12801689</v>
      </c>
      <c r="H25" s="102">
        <f>IF(G25="N/A", " ", IF(E25="N/A", " ",IF(AND(E25=0,G25=0,),"N/A",IF(ABS(E25)=0, "N/A", ((G25-E25)/ABS(E25))*100))))</f>
        <v>95.741816357544991</v>
      </c>
      <c r="I25" s="76">
        <f>A031A_C5</f>
        <v>19157475</v>
      </c>
      <c r="J25" s="102">
        <f>IF(I25="N/A", " ", IF(G25="N/A", " ",IF(AND(G25=0,I25=0,),"N/A",IF(ABS(G25)=0, "N/A", ((I25-G25)/ABS(G25))*100))))</f>
        <v>49.648026912698782</v>
      </c>
    </row>
    <row r="26" spans="1:10" ht="13.15" customHeight="1" x14ac:dyDescent="0.2">
      <c r="A26" s="127" t="s">
        <v>423</v>
      </c>
      <c r="B26" s="76">
        <f>A031B_C1</f>
        <v>387733305832</v>
      </c>
      <c r="C26" s="76">
        <f>A031B_C2</f>
        <v>525001868757</v>
      </c>
      <c r="D26" s="102">
        <f>IF(C26="N/A", " ", IF(B26="N/A", " ",IF(AND(B26=0,C26=0,),"N/A",IF(ABS(B26)=0, "N/A", ((C26-B26)/ABS(B26))*100))))</f>
        <v>35.40282995046001</v>
      </c>
      <c r="E26" s="76">
        <f>A031B_C3</f>
        <v>133073429885</v>
      </c>
      <c r="F26" s="102">
        <f>IF(E26="N/A", " ", IF(C26="N/A", " ",IF(AND(C26=0,E26=0,),"N/A",IF(ABS(C26)=0, "N/A", ((E26-C26)/ABS(C26))*100))))</f>
        <v>-74.652770246310538</v>
      </c>
      <c r="G26" s="76">
        <f>A031B_C4</f>
        <v>291169692951</v>
      </c>
      <c r="H26" s="102">
        <f>IF(G26="N/A", " ", IF(E26="N/A", " ",IF(AND(E26=0,G26=0,),"N/A",IF(ABS(E26)=0, "N/A", ((G26-E26)/ABS(E26))*100))))</f>
        <v>118.80377863757201</v>
      </c>
      <c r="I26" s="76">
        <f>A031B_C5</f>
        <v>451285745544</v>
      </c>
      <c r="J26" s="102">
        <f>IF(I26="N/A", " ", IF(G26="N/A", " ",IF(AND(G26=0,I26=0,),"N/A",IF(ABS(G26)=0, "N/A", ((I26-G26)/ABS(G26))*100))))</f>
        <v>54.990631397871972</v>
      </c>
    </row>
    <row r="27" spans="1:10" ht="13.15" customHeight="1" x14ac:dyDescent="0.2">
      <c r="A27" s="127" t="s">
        <v>424</v>
      </c>
      <c r="B27" s="76">
        <f>A031C_C1</f>
        <v>220114</v>
      </c>
      <c r="C27" s="76">
        <f>A031C_C2</f>
        <v>295988</v>
      </c>
      <c r="D27" s="102">
        <f>IF(C27="N/A", " ", IF(B27="N/A", " ",IF(AND(B27=0,C27=0,),"N/A",IF(ABS(B27)=0, "N/A", ((C27-B27)/ABS(B27))*100))))</f>
        <v>34.470319925129708</v>
      </c>
      <c r="E27" s="76">
        <f>A031C_C3</f>
        <v>70588</v>
      </c>
      <c r="F27" s="102">
        <f>IF(E27="N/A", " ", IF(C27="N/A", " ",IF(AND(C27=0,E27=0,),"N/A",IF(ABS(C27)=0, "N/A", ((E27-C27)/ABS(C27))*100))))</f>
        <v>-76.151735881184365</v>
      </c>
      <c r="G27" s="76">
        <f>A031C_C4</f>
        <v>150960</v>
      </c>
      <c r="H27" s="102">
        <f>IF(G27="N/A", " ", IF(E27="N/A", " ",IF(AND(E27=0,G27=0,),"N/A",IF(ABS(E27)=0, "N/A", ((G27-E27)/ABS(E27))*100))))</f>
        <v>113.86071286904289</v>
      </c>
      <c r="I27" s="76">
        <f>A031C_C5</f>
        <v>224444</v>
      </c>
      <c r="J27" s="102">
        <f>IF(I27="N/A", " ", IF(G27="N/A", " ",IF(AND(G27=0,I27=0,),"N/A",IF(ABS(G27)=0, "N/A", ((I27-G27)/ABS(G27))*100))))</f>
        <v>48.677795442501328</v>
      </c>
    </row>
    <row r="28" spans="1:10" ht="13.15" customHeight="1" x14ac:dyDescent="0.2">
      <c r="A28" s="127" t="s">
        <v>425</v>
      </c>
      <c r="B28" s="76">
        <f>A031D_C1</f>
        <v>231708419</v>
      </c>
      <c r="C28" s="76">
        <f>A031D_C2</f>
        <v>310262523</v>
      </c>
      <c r="D28" s="102">
        <f>IF(C28="N/A", " ", IF(B28="N/A", " ",IF(AND(B28=0,C28=0,),"N/A",IF(ABS(B28)=0, "N/A", ((C28-B28)/ABS(B28))*100))))</f>
        <v>33.902136287935228</v>
      </c>
      <c r="E28" s="76">
        <f>A031D_C3</f>
        <v>73292451</v>
      </c>
      <c r="F28" s="102">
        <f>IF(E28="N/A", " ", IF(C28="N/A", " ",IF(AND(C28=0,E28=0,),"N/A",IF(ABS(C28)=0, "N/A", ((E28-C28)/ABS(C28))*100))))</f>
        <v>-76.377278734370378</v>
      </c>
      <c r="G28" s="76">
        <f>A031D_C4</f>
        <v>155686913</v>
      </c>
      <c r="H28" s="102">
        <f>IF(G28="N/A", " ", IF(E28="N/A", " ",IF(AND(E28=0,G28=0,),"N/A",IF(ABS(E28)=0, "N/A", ((G28-E28)/ABS(E28))*100))))</f>
        <v>112.41875646920307</v>
      </c>
      <c r="I28" s="76">
        <f>A031D_C5</f>
        <v>233554064</v>
      </c>
      <c r="J28" s="102">
        <f>IF(I28="N/A", " ", IF(G28="N/A", " ",IF(AND(G28=0,I28=0,),"N/A",IF(ABS(G28)=0, "N/A", ((I28-G28)/ABS(G28))*100))))</f>
        <v>50.01521932675228</v>
      </c>
    </row>
    <row r="29" spans="1:10" ht="13.15" customHeight="1" x14ac:dyDescent="0.2">
      <c r="A29" s="145" t="s">
        <v>426</v>
      </c>
      <c r="B29" s="76"/>
      <c r="C29" s="76"/>
      <c r="D29" s="102"/>
      <c r="E29" s="76"/>
      <c r="F29" s="102"/>
      <c r="G29" s="76"/>
      <c r="H29" s="102"/>
      <c r="I29" s="76"/>
      <c r="J29" s="102"/>
    </row>
    <row r="30" spans="1:10" ht="13.15" customHeight="1" x14ac:dyDescent="0.2">
      <c r="A30" s="144" t="s">
        <v>427</v>
      </c>
      <c r="B30" s="76">
        <f>A879B4_C1</f>
        <v>1061</v>
      </c>
      <c r="C30" s="76">
        <f>A879B4_C2</f>
        <v>1064</v>
      </c>
      <c r="D30" s="102">
        <f>IF(C30="N/A", " ", IF(B30="N/A", " ",IF(AND(B30=0,C30=0,),"N/A",IF(ABS(B30)=0, "N/A", ((C30-B30)/ABS(B30))*100))))</f>
        <v>0.28275212064090482</v>
      </c>
      <c r="E30" s="76">
        <f>A879B4_C3</f>
        <v>1069</v>
      </c>
      <c r="F30" s="102">
        <f>IF(E30="N/A", " ", IF(C30="N/A", " ",IF(AND(C30=0,E30=0,),"N/A",IF(ABS(C30)=0, "N/A", ((E30-C30)/ABS(C30))*100))))</f>
        <v>0.46992481203007519</v>
      </c>
      <c r="G30" s="76">
        <f>A879B4_C4</f>
        <v>1074</v>
      </c>
      <c r="H30" s="102">
        <f>IF(G30="N/A", " ", IF(E30="N/A", " ",IF(AND(E30=0,G30=0,),"N/A",IF(ABS(E30)=0, "N/A", ((G30-E30)/ABS(E30))*100))))</f>
        <v>0.46772684752104771</v>
      </c>
      <c r="I30" s="76">
        <f>A879B4_C5</f>
        <v>1075</v>
      </c>
      <c r="J30" s="102">
        <f>IF(I30="N/A", " ", IF(G30="N/A", " ",IF(AND(G30=0,I30=0,),"N/A",IF(ABS(G30)=0, "N/A", ((I30-G30)/ABS(G30))*100))))</f>
        <v>9.3109869646182494E-2</v>
      </c>
    </row>
    <row r="31" spans="1:10" ht="13.15" customHeight="1" x14ac:dyDescent="0.2">
      <c r="A31" s="144" t="s">
        <v>428</v>
      </c>
      <c r="B31" s="76">
        <f>A879D1_C1</f>
        <v>879</v>
      </c>
      <c r="C31" s="76">
        <f>A879D1_C2</f>
        <v>913</v>
      </c>
      <c r="D31" s="102">
        <f>IF(C31="N/A", " ", IF(B31="N/A", " ",IF(AND(B31=0,C31=0,),"N/A",IF(ABS(B31)=0, "N/A", ((C31-B31)/ABS(B31))*100))))</f>
        <v>3.8680318543799777</v>
      </c>
      <c r="E31" s="76">
        <f>A879D1_C3</f>
        <v>934</v>
      </c>
      <c r="F31" s="102">
        <f>IF(E31="N/A", " ", IF(C31="N/A", " ",IF(AND(C31=0,E31=0,),"N/A",IF(ABS(C31)=0, "N/A", ((E31-C31)/ABS(C31))*100))))</f>
        <v>2.3001095290251916</v>
      </c>
      <c r="G31" s="76">
        <f>A879D1_C4</f>
        <v>943</v>
      </c>
      <c r="H31" s="102">
        <f>IF(G31="N/A", " ", IF(E31="N/A", " ",IF(AND(E31=0,G31=0,),"N/A",IF(ABS(E31)=0, "N/A", ((G31-E31)/ABS(E31))*100))))</f>
        <v>0.9635974304068522</v>
      </c>
      <c r="I31" s="76">
        <f>A879D1_C5</f>
        <v>955</v>
      </c>
      <c r="J31" s="102">
        <f>IF(I31="N/A", " ", IF(G31="N/A", " ",IF(AND(G31=0,I31=0,),"N/A",IF(ABS(G31)=0, "N/A", ((I31-G31)/ABS(G31))*100))))</f>
        <v>1.2725344644750796</v>
      </c>
    </row>
    <row r="32" spans="1:10" ht="13.15" customHeight="1" x14ac:dyDescent="0.2">
      <c r="A32" s="144" t="s">
        <v>429</v>
      </c>
      <c r="B32" s="76">
        <f>A879D9_C1</f>
        <v>517</v>
      </c>
      <c r="C32" s="76">
        <f>A879D9_C2</f>
        <v>510</v>
      </c>
      <c r="D32" s="102">
        <f>IF(C32="N/A", " ", IF(B32="N/A", " ",IF(AND(B32=0,C32=0,),"N/A",IF(ABS(B32)=0, "N/A", ((C32-B32)/ABS(B32))*100))))</f>
        <v>-1.3539651837524178</v>
      </c>
      <c r="E32" s="76">
        <f>A879D9_C3</f>
        <v>510</v>
      </c>
      <c r="F32" s="102">
        <f>IF(E32="N/A", " ", IF(C32="N/A", " ",IF(AND(C32=0,E32=0,),"N/A",IF(ABS(C32)=0, "N/A", ((E32-C32)/ABS(C32))*100))))</f>
        <v>0</v>
      </c>
      <c r="G32" s="76">
        <f>A879D9_C4</f>
        <v>499</v>
      </c>
      <c r="H32" s="102">
        <f>IF(G32="N/A", " ", IF(E32="N/A", " ",IF(AND(E32=0,G32=0,),"N/A",IF(ABS(E32)=0, "N/A", ((G32-E32)/ABS(E32))*100))))</f>
        <v>-2.1568627450980391</v>
      </c>
      <c r="I32" s="76">
        <f>A879D9_C5</f>
        <v>493</v>
      </c>
      <c r="J32" s="102">
        <f>IF(I32="N/A", " ", IF(G32="N/A", " ",IF(AND(G32=0,I32=0,),"N/A",IF(ABS(G32)=0, "N/A", ((I32-G32)/ABS(G32))*100))))</f>
        <v>-1.2024048096192386</v>
      </c>
    </row>
    <row r="33" spans="1:10" ht="13.15" customHeight="1" x14ac:dyDescent="0.2">
      <c r="A33" s="144" t="s">
        <v>430</v>
      </c>
      <c r="B33" s="76">
        <f>IF(B8&lt;DATEVALUE("3/31/2020"),"N/A",A879D10_C1)</f>
        <v>141</v>
      </c>
      <c r="C33" s="76">
        <f>IF(C8&lt;DATEVALUE("3/31/2020"),"N/A",A879D10_C2)</f>
        <v>139</v>
      </c>
      <c r="D33" s="102">
        <f>IF(C33="N/A", " ", IF(B33="N/A", " ",IF(AND(B33=0,C33=0,),"N/A",IF(ABS(B33)=0, "N/A", ((C33-B33)/ABS(B33))*100))))</f>
        <v>-1.4184397163120568</v>
      </c>
      <c r="E33" s="76">
        <f>IF(E8&lt;DATEVALUE("3/31/2020"),"N/A",A879D10_C3)</f>
        <v>141</v>
      </c>
      <c r="F33" s="102">
        <f>IF(E33="N/A", " ", IF(C33="N/A", " ",IF(AND(C33=0,E33=0,),"N/A",IF(ABS(C33)=0, "N/A", ((E33-C33)/ABS(C33))*100))))</f>
        <v>1.4388489208633095</v>
      </c>
      <c r="G33" s="76">
        <f>IF(G8&lt;DATEVALUE("3/31/2020"),"N/A",A879D10_C4)</f>
        <v>147</v>
      </c>
      <c r="H33" s="102">
        <f>IF(G33="N/A", " ", IF(E33="N/A", " ",IF(AND(E33=0,G33=0,),"N/A",IF(ABS(E33)=0, "N/A", ((G33-E33)/ABS(E33))*100))))</f>
        <v>4.2553191489361701</v>
      </c>
      <c r="I33" s="76">
        <f>IF(I8&lt;DATEVALUE("3/31/2020"),"N/A",A879D10_C5)</f>
        <v>158</v>
      </c>
      <c r="J33" s="102">
        <f>IF(I33="N/A", " ", IF(G33="N/A", " ",IF(AND(G33=0,I33=0,),"N/A",IF(ABS(G33)=0, "N/A", ((I33-G33)/ABS(G33))*100))))</f>
        <v>7.4829931972789119</v>
      </c>
    </row>
    <row r="34" spans="1:10" ht="13.15" customHeight="1" x14ac:dyDescent="0.2">
      <c r="A34" s="145" t="s">
        <v>431</v>
      </c>
      <c r="B34" s="76"/>
      <c r="C34" s="76"/>
      <c r="D34" s="102"/>
      <c r="E34" s="76"/>
      <c r="F34" s="102"/>
      <c r="G34" s="76"/>
      <c r="H34" s="102"/>
      <c r="I34" s="76"/>
      <c r="J34" s="102"/>
    </row>
    <row r="35" spans="1:10" ht="13.15" customHeight="1" x14ac:dyDescent="0.2">
      <c r="A35" s="127" t="s">
        <v>432</v>
      </c>
      <c r="B35" s="76"/>
      <c r="C35" s="76"/>
      <c r="D35" s="102"/>
      <c r="E35" s="76"/>
      <c r="F35" s="102"/>
      <c r="G35" s="76"/>
      <c r="H35" s="102"/>
      <c r="I35" s="76"/>
      <c r="J35" s="102"/>
    </row>
    <row r="36" spans="1:10" ht="13.15" customHeight="1" x14ac:dyDescent="0.2">
      <c r="A36" s="144" t="s">
        <v>433</v>
      </c>
      <c r="B36" s="76">
        <f>IF(B8&gt;=DATEVALUE("3/31/2019"),ALN0051_C1,"N/A")</f>
        <v>160627478</v>
      </c>
      <c r="C36" s="76">
        <f>IF(C8&gt;=DATEVALUE("3/31/2019"),ALN0051_C2,"N/A")</f>
        <v>204489272</v>
      </c>
      <c r="D36" s="102">
        <f>IF(C36="N/A", " ", IF(B36="N/A", " ",IF(AND(B36=0,C36=0,),"N/A",IF(ABS(B36)=0, "N/A", ((C36-B36)/ABS(B36))*100))))</f>
        <v>27.30653219868147</v>
      </c>
      <c r="E36" s="76">
        <f>IF(E8&gt;=DATEVALUE("3/31/2019"),ALN0051_C3,"N/A")</f>
        <v>201926750</v>
      </c>
      <c r="F36" s="102">
        <f>IF(E36="N/A", " ", IF(C36="N/A", " ",IF(AND(C36=0,E36=0,),"N/A",IF(ABS(C36)=0, "N/A", ((E36-C36)/ABS(C36))*100))))</f>
        <v>-1.25313273157919</v>
      </c>
      <c r="G36" s="76">
        <f>IF(G8&gt;=DATEVALUE("3/31/2019"),ALN0051_C4,"N/A")</f>
        <v>212892123</v>
      </c>
      <c r="H36" s="102">
        <f>IF(G36="N/A", " ", IF(E36="N/A", " ",IF(AND(E36=0,G36=0,),"N/A",IF(ABS(E36)=0, "N/A", ((G36-E36)/ABS(E36))*100))))</f>
        <v>5.4303716570489051</v>
      </c>
      <c r="I36" s="76">
        <f>IF(I8&gt;=DATEVALUE("3/31/2019"),ALN0051_C5,"N/A")</f>
        <v>214519708</v>
      </c>
      <c r="J36" s="102">
        <f>IF(I36="N/A", " ", IF(G36="N/A", " ",IF(AND(G36=0,I36=0,),"N/A",IF(ABS(G36)=0, "N/A", ((I36-G36)/ABS(G36))*100))))</f>
        <v>0.76451161135726942</v>
      </c>
    </row>
    <row r="37" spans="1:10" ht="13.15" customHeight="1" x14ac:dyDescent="0.2">
      <c r="A37" s="144" t="s">
        <v>434</v>
      </c>
      <c r="B37" s="76">
        <f>IF(B8&gt;=DATEVALUE("3/31/2019"),ALN0052_C1,"N/A")</f>
        <v>125044952</v>
      </c>
      <c r="C37" s="76">
        <f>IF(C8&gt;=DATEVALUE("3/31/2019"),ALN0052_C2,"N/A")</f>
        <v>158558272</v>
      </c>
      <c r="D37" s="102">
        <f>IF(C37="N/A", " ", IF(B37="N/A", " ",IF(AND(B37=0,C37=0,),"N/A",IF(ABS(B37)=0, "N/A", ((C37-B37)/ABS(B37))*100))))</f>
        <v>26.801017925137831</v>
      </c>
      <c r="E37" s="76">
        <f>IF(E8&gt;=DATEVALUE("3/31/2019"),ALN0052_C3,"N/A")</f>
        <v>154369631</v>
      </c>
      <c r="F37" s="102">
        <f>IF(E37="N/A", " ", IF(C37="N/A", " ",IF(AND(C37=0,E37=0,),"N/A",IF(ABS(C37)=0, "N/A", ((E37-C37)/ABS(C37))*100))))</f>
        <v>-2.641704495871398</v>
      </c>
      <c r="G37" s="76">
        <f>IF(G8&gt;=DATEVALUE("3/31/2019"),ALN0052_C4,"N/A")</f>
        <v>162780543</v>
      </c>
      <c r="H37" s="102">
        <f>IF(G37="N/A", " ", IF(E37="N/A", " ",IF(AND(E37=0,G37=0,),"N/A",IF(ABS(E37)=0, "N/A", ((G37-E37)/ABS(E37))*100))))</f>
        <v>5.4485535435399202</v>
      </c>
      <c r="I37" s="76">
        <f>IF(I8&gt;=DATEVALUE("3/31/2019"),ALN0052_C5,"N/A")</f>
        <v>164496551</v>
      </c>
      <c r="J37" s="102">
        <f>IF(I37="N/A", " ", IF(G37="N/A", " ",IF(AND(G37=0,I37=0,),"N/A",IF(ABS(G37)=0, "N/A", ((I37-G37)/ABS(G37))*100))))</f>
        <v>1.0541849587023433</v>
      </c>
    </row>
    <row r="38" spans="1:10" ht="24" customHeight="1" x14ac:dyDescent="0.2">
      <c r="A38" s="144" t="s">
        <v>435</v>
      </c>
      <c r="B38" s="76">
        <f>IF(B8&gt;=DATEVALUE("3/31/2019"),ALN0057_C1,"N/A")</f>
        <v>22439535</v>
      </c>
      <c r="C38" s="76">
        <f>IF(C8&gt;=DATEVALUE("3/31/2019"),ALN0057_C2,"N/A")</f>
        <v>16859784</v>
      </c>
      <c r="D38" s="102">
        <f>IF(C38="N/A", " ", IF(B38="N/A", " ",IF(AND(B38=0,C38=0,),"N/A",IF(ABS(B38)=0, "N/A", ((C38-B38)/ABS(B38))*100))))</f>
        <v>-24.865715800260567</v>
      </c>
      <c r="E38" s="76">
        <f>IF(E8&gt;=DATEVALUE("3/31/2019"),ALN0057_C3,"N/A")</f>
        <v>12916753</v>
      </c>
      <c r="F38" s="102">
        <f>IF(E38="N/A", " ", IF(C38="N/A", " ",IF(AND(C38=0,E38=0,),"N/A",IF(ABS(C38)=0, "N/A", ((E38-C38)/ABS(C38))*100))))</f>
        <v>-23.387197605853078</v>
      </c>
      <c r="G38" s="76">
        <f>IF(G8&gt;=DATEVALUE("3/31/2019"),ALN0057_C4,"N/A")</f>
        <v>9309174</v>
      </c>
      <c r="H38" s="102">
        <f>IF(G38="N/A", " ", IF(E38="N/A", " ",IF(AND(E38=0,G38=0,),"N/A",IF(ABS(E38)=0, "N/A", ((G38-E38)/ABS(E38))*100))))</f>
        <v>-27.92945719407966</v>
      </c>
      <c r="I38" s="76">
        <f>IF(I8&gt;=DATEVALUE("3/31/2019"),ALN0057_C5,"N/A")</f>
        <v>8180602</v>
      </c>
      <c r="J38" s="102">
        <f>IF(I38="N/A", " ", IF(G38="N/A", " ",IF(AND(G38=0,I38=0,),"N/A",IF(ABS(G38)=0, "N/A", ((I38-G38)/ABS(G38))*100))))</f>
        <v>-12.123223822006119</v>
      </c>
    </row>
    <row r="39" spans="1:10" ht="13.15" customHeight="1" x14ac:dyDescent="0.2">
      <c r="A39" s="144" t="s">
        <v>436</v>
      </c>
      <c r="B39" s="76">
        <f>IF(B8&gt;=DATEVALUE("3/31/2019"),ALN0054_C1,"N/A")</f>
        <v>15722645815</v>
      </c>
      <c r="C39" s="76">
        <f>IF(C8&gt;=DATEVALUE("3/31/2019"),ALN0054_C2,"N/A")</f>
        <v>15850880037</v>
      </c>
      <c r="D39" s="102">
        <f>IF(C39="N/A", " ", IF(B39="N/A", " ",IF(AND(B39=0,C39=0,),"N/A",IF(ABS(B39)=0, "N/A", ((C39-B39)/ABS(B39))*100))))</f>
        <v>0.81560205266253405</v>
      </c>
      <c r="E39" s="76">
        <f>IF(E8&gt;=DATEVALUE("3/31/2019"),ALN0054_C3,"N/A")</f>
        <v>15742100135</v>
      </c>
      <c r="F39" s="102">
        <f>IF(E39="N/A", " ", IF(C39="N/A", " ",IF(AND(C39=0,E39=0,),"N/A",IF(ABS(C39)=0, "N/A", ((E39-C39)/ABS(C39))*100))))</f>
        <v>-0.686270426285985</v>
      </c>
      <c r="G39" s="76">
        <f>IF(G8&gt;=DATEVALUE("3/31/2019"),ALN0054_C4,"N/A")</f>
        <v>16308826714</v>
      </c>
      <c r="H39" s="102">
        <f>IF(G39="N/A", " ", IF(E39="N/A", " ",IF(AND(E39=0,G39=0,),"N/A",IF(ABS(E39)=0, "N/A", ((G39-E39)/ABS(E39))*100))))</f>
        <v>3.6000697120454443</v>
      </c>
      <c r="I39" s="76">
        <f>IF(I8&gt;=DATEVALUE("3/31/2019"),ALN0054_C5,"N/A")</f>
        <v>16908997218</v>
      </c>
      <c r="J39" s="102">
        <f>IF(I39="N/A", " ", IF(G39="N/A", " ",IF(AND(G39=0,I39=0,),"N/A",IF(ABS(G39)=0, "N/A", ((I39-G39)/ABS(G39))*100))))</f>
        <v>3.6800348334365163</v>
      </c>
    </row>
    <row r="40" spans="1:10" ht="13.15" customHeight="1" x14ac:dyDescent="0.2">
      <c r="A40" s="144" t="s">
        <v>437</v>
      </c>
      <c r="B40" s="76">
        <f>IF(B8&gt;=DATEVALUE("3/31/2019"),ALN0055_C1,"N/A")</f>
        <v>4793070304</v>
      </c>
      <c r="C40" s="76">
        <f>IF(C8&gt;=DATEVALUE("3/31/2019"),ALN0055_C2,"N/A")</f>
        <v>4818779826</v>
      </c>
      <c r="D40" s="102">
        <f>IF(C40="N/A", " ", IF(B40="N/A", " ",IF(AND(B40=0,C40=0,),"N/A",IF(ABS(B40)=0, "N/A", ((C40-B40)/ABS(B40))*100))))</f>
        <v>0.53638941992034672</v>
      </c>
      <c r="E40" s="76">
        <f>IF(E8&gt;=DATEVALUE("3/31/2019"),ALN0055_C3,"N/A")</f>
        <v>4663218831</v>
      </c>
      <c r="F40" s="102">
        <f>IF(E40="N/A", " ", IF(C40="N/A", " ",IF(AND(C40=0,E40=0,),"N/A",IF(ABS(C40)=0, "N/A", ((E40-C40)/ABS(C40))*100))))</f>
        <v>-3.2282237540852528</v>
      </c>
      <c r="G40" s="76">
        <f>IF(G8&gt;=DATEVALUE("3/31/2019"),ALN0055_C4,"N/A")</f>
        <v>4945622892</v>
      </c>
      <c r="H40" s="102">
        <f>IF(G40="N/A", " ", IF(E40="N/A", " ",IF(AND(E40=0,G40=0,),"N/A",IF(ABS(E40)=0, "N/A", ((G40-E40)/ABS(E40))*100))))</f>
        <v>6.0559898909878118</v>
      </c>
      <c r="I40" s="76">
        <f>IF(I8&gt;=DATEVALUE("3/31/2019"),ALN0055_C5,"N/A")</f>
        <v>5098339719</v>
      </c>
      <c r="J40" s="102">
        <f>IF(I40="N/A", " ", IF(G40="N/A", " ",IF(AND(G40=0,I40=0,),"N/A",IF(ABS(G40)=0, "N/A", ((I40-G40)/ABS(G40))*100))))</f>
        <v>3.0879189605627535</v>
      </c>
    </row>
    <row r="41" spans="1:10" ht="13.15" customHeight="1" x14ac:dyDescent="0.2">
      <c r="A41" s="144" t="s">
        <v>438</v>
      </c>
      <c r="B41" s="76"/>
      <c r="C41" s="76"/>
      <c r="D41" s="102"/>
      <c r="E41" s="76"/>
      <c r="F41" s="102"/>
      <c r="G41" s="76"/>
      <c r="H41" s="102"/>
      <c r="I41" s="76"/>
      <c r="J41" s="102"/>
    </row>
    <row r="42" spans="1:10" ht="13.15" customHeight="1" x14ac:dyDescent="0.2">
      <c r="A42" s="144" t="s">
        <v>439</v>
      </c>
      <c r="B42" s="76">
        <f>A691C1_C1</f>
        <v>3743369041</v>
      </c>
      <c r="C42" s="76">
        <f>A691C1_C2</f>
        <v>3954575011</v>
      </c>
      <c r="D42" s="102">
        <f>IF(C42="N/A", " ", IF(B42="N/A", " ",IF(AND(B42=0,C42=0,),"N/A",IF(ABS(B42)=0, "N/A", ((C42-B42)/ABS(B42))*100))))</f>
        <v>5.6421359392227766</v>
      </c>
      <c r="E42" s="76">
        <f>A691C1_C3</f>
        <v>4034505766</v>
      </c>
      <c r="F42" s="102">
        <f>IF(E42="N/A", " ", IF(C42="N/A", " ",IF(AND(C42=0,E42=0,),"N/A",IF(ABS(C42)=0, "N/A", ((E42-C42)/ABS(C42))*100))))</f>
        <v>2.0212223760496526</v>
      </c>
      <c r="G42" s="76">
        <f>A691C1_C4</f>
        <v>4150928067</v>
      </c>
      <c r="H42" s="102">
        <f>IF(G42="N/A", " ", IF(E42="N/A", " ",IF(AND(E42=0,G42=0,),"N/A",IF(ABS(E42)=0, "N/A", ((G42-E42)/ABS(E42))*100))))</f>
        <v>2.8856645089251312</v>
      </c>
      <c r="I42" s="76">
        <f>A691C1_C5</f>
        <v>4311416203</v>
      </c>
      <c r="J42" s="102">
        <f>IF(I42="N/A", " ", IF(G42="N/A", " ",IF(AND(G42=0,I42=0,),"N/A",IF(ABS(G42)=0, "N/A", ((I42-G42)/ABS(G42))*100))))</f>
        <v>3.8663193726695821</v>
      </c>
    </row>
    <row r="43" spans="1:10" ht="13.15" customHeight="1" x14ac:dyDescent="0.2">
      <c r="A43" s="127" t="s">
        <v>440</v>
      </c>
      <c r="B43" s="76">
        <f>A691C2_C1</f>
        <v>1961224355</v>
      </c>
      <c r="C43" s="76">
        <f>A691C2_C2</f>
        <v>2050121619</v>
      </c>
      <c r="D43" s="102">
        <f>IF(C43="N/A", " ", IF(B43="N/A", " ",IF(AND(B43=0,C43=0,),"N/A",IF(ABS(B43)=0, "N/A", ((C43-B43)/ABS(B43))*100))))</f>
        <v>4.5327432210069611</v>
      </c>
      <c r="E43" s="76">
        <f>A691C2_C3</f>
        <v>2108601966</v>
      </c>
      <c r="F43" s="102">
        <f>IF(E43="N/A", " ", IF(C43="N/A", " ",IF(AND(C43=0,E43=0,),"N/A",IF(ABS(C43)=0, "N/A", ((E43-C43)/ABS(C43))*100))))</f>
        <v>2.852530623452735</v>
      </c>
      <c r="G43" s="76">
        <f>A691C2_C4</f>
        <v>2181998475</v>
      </c>
      <c r="H43" s="102">
        <f>IF(G43="N/A", " ", IF(E43="N/A", " ",IF(AND(E43=0,G43=0,),"N/A",IF(ABS(E43)=0, "N/A", ((G43-E43)/ABS(E43))*100))))</f>
        <v>3.4808138370103365</v>
      </c>
      <c r="I43" s="76">
        <f>A691C2_C5</f>
        <v>2264606586</v>
      </c>
      <c r="J43" s="102">
        <f>IF(I43="N/A", " ", IF(G43="N/A", " ",IF(AND(G43=0,I43=0,),"N/A",IF(ABS(G43)=0, "N/A", ((I43-G43)/ABS(G43))*100))))</f>
        <v>3.7858922426607107</v>
      </c>
    </row>
    <row r="44" spans="1:10" ht="13.15" customHeight="1" x14ac:dyDescent="0.2">
      <c r="A44" s="124" t="s">
        <v>441</v>
      </c>
      <c r="B44" s="76">
        <f>A691P1_C1</f>
        <v>3025361124</v>
      </c>
      <c r="C44" s="76">
        <f>A691P1_C2</f>
        <v>3039419948</v>
      </c>
      <c r="D44" s="102">
        <f>IF(C44="N/A", " ", IF(B44="N/A", " ",IF(AND(B44=0,C44=0,),"N/A",IF(ABS(B44)=0, "N/A", ((C44-B44)/ABS(B44))*100))))</f>
        <v>0.4646990367025024</v>
      </c>
      <c r="E44" s="76">
        <f>A691P1_C3</f>
        <v>3093664173</v>
      </c>
      <c r="F44" s="102">
        <f>IF(E44="N/A", " ", IF(C44="N/A", " ",IF(AND(C44=0,E44=0,),"N/A",IF(ABS(C44)=0, "N/A", ((E44-C44)/ABS(C44))*100))))</f>
        <v>1.784690037179423</v>
      </c>
      <c r="G44" s="76">
        <f>A691P1_C4</f>
        <v>3150547244</v>
      </c>
      <c r="H44" s="102">
        <f>IF(G44="N/A", " ", IF(E44="N/A", " ",IF(AND(E44=0,G44=0,),"N/A",IF(ABS(E44)=0, "N/A", ((G44-E44)/ABS(E44))*100))))</f>
        <v>1.8386957284002525</v>
      </c>
      <c r="I44" s="76">
        <f>A691P1_C5</f>
        <v>3131946150</v>
      </c>
      <c r="J44" s="102">
        <f>IF(I44="N/A", " ", IF(G44="N/A", " ",IF(AND(G44=0,I44=0,),"N/A",IF(ABS(G44)=0, "N/A", ((I44-G44)/ABS(G44))*100))))</f>
        <v>-0.59040835002314285</v>
      </c>
    </row>
    <row r="45" spans="1:10" ht="13.15" customHeight="1" x14ac:dyDescent="0.2">
      <c r="A45" s="124" t="s">
        <v>442</v>
      </c>
      <c r="B45" s="76">
        <f>A691P2_C1</f>
        <v>2571530892</v>
      </c>
      <c r="C45" s="76">
        <f>A691P2_C2</f>
        <v>2607304751</v>
      </c>
      <c r="D45" s="102">
        <f>IF(C45="N/A", " ", IF(B45="N/A", " ",IF(AND(B45=0,C45=0,),"N/A",IF(ABS(B45)=0, "N/A", ((C45-B45)/ABS(B45))*100))))</f>
        <v>1.3911502720535858</v>
      </c>
      <c r="E45" s="76">
        <f>A691P2_C3</f>
        <v>2723875572</v>
      </c>
      <c r="F45" s="102">
        <f>IF(E45="N/A", " ", IF(C45="N/A", " ",IF(AND(C45=0,E45=0,),"N/A",IF(ABS(C45)=0, "N/A", ((E45-C45)/ABS(C45))*100))))</f>
        <v>4.4709319443878082</v>
      </c>
      <c r="G45" s="76">
        <f>A691P2_C4</f>
        <v>2766840128</v>
      </c>
      <c r="H45" s="102">
        <f>IF(G45="N/A", " ", IF(E45="N/A", " ",IF(AND(E45=0,G45=0,),"N/A",IF(ABS(E45)=0, "N/A", ((G45-E45)/ABS(E45))*100))))</f>
        <v>1.5773318150672118</v>
      </c>
      <c r="I45" s="76">
        <f>A691P2_C5</f>
        <v>2799055971</v>
      </c>
      <c r="J45" s="102">
        <f>IF(I45="N/A", " ", IF(G45="N/A", " ",IF(AND(G45=0,I45=0,),"N/A",IF(ABS(G45)=0, "N/A", ((I45-G45)/ABS(G45))*100))))</f>
        <v>1.1643550588261526</v>
      </c>
    </row>
    <row r="46" spans="1:10" x14ac:dyDescent="0.2">
      <c r="A46" s="175" t="s">
        <v>86</v>
      </c>
      <c r="B46" s="219"/>
      <c r="C46" s="219"/>
      <c r="D46" s="219"/>
      <c r="E46" s="219"/>
      <c r="F46" s="219"/>
      <c r="G46" s="219"/>
      <c r="H46" s="219"/>
      <c r="I46" s="234" t="s">
        <v>443</v>
      </c>
      <c r="J46" s="219"/>
    </row>
    <row r="47" spans="1:10" x14ac:dyDescent="0.2">
      <c r="A47" s="83"/>
      <c r="B47" s="83"/>
      <c r="C47" s="83"/>
      <c r="D47" s="83"/>
      <c r="E47" s="83"/>
      <c r="F47" s="83"/>
      <c r="G47" s="83"/>
      <c r="H47" s="83"/>
      <c r="J47" s="83"/>
    </row>
  </sheetData>
  <mergeCells count="1">
    <mergeCell ref="D5:J5"/>
  </mergeCells>
  <hyperlinks>
    <hyperlink ref="A2" location="'Cover Page'!A1" display="Return to cover" xr:uid="{00000000-0004-0000-0800-000000000000}"/>
  </hyperlinks>
  <printOptions gridLines="1"/>
  <pageMargins left="0.7" right="0.7" top="0.75" bottom="0.75" header="0.3" footer="0.3"/>
  <pageSetup orientation="landscape"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8">
    <pageSetUpPr fitToPage="1"/>
  </sheetPr>
  <dimension ref="A1:IV82"/>
  <sheetViews>
    <sheetView workbookViewId="0"/>
  </sheetViews>
  <sheetFormatPr defaultRowHeight="12.75" x14ac:dyDescent="0.2"/>
  <cols>
    <col min="1" max="1" width="59" customWidth="1"/>
    <col min="2" max="3" width="16.7109375" customWidth="1"/>
    <col min="4" max="4" width="6.7109375" style="54" customWidth="1"/>
    <col min="5" max="5" width="16.7109375" customWidth="1"/>
    <col min="6" max="6" width="6.7109375" style="54" customWidth="1"/>
    <col min="7" max="7" width="16.7109375" customWidth="1"/>
    <col min="8" max="8" width="6.7109375" style="54" customWidth="1"/>
    <col min="9" max="9" width="16.7109375" customWidth="1"/>
    <col min="10" max="10" width="6.7109375" style="54" customWidth="1"/>
    <col min="11" max="12" width="9.140625" customWidth="1"/>
    <col min="13" max="13" width="14.7109375" customWidth="1"/>
  </cols>
  <sheetData>
    <row r="1" spans="1:11" s="62" customFormat="1" ht="12" customHeight="1" x14ac:dyDescent="0.2">
      <c r="C1" s="85" t="s">
        <v>444</v>
      </c>
      <c r="D1" s="118"/>
      <c r="F1" s="119"/>
      <c r="H1" s="119"/>
      <c r="J1" s="119"/>
    </row>
    <row r="2" spans="1:11" s="62" customFormat="1" x14ac:dyDescent="0.2">
      <c r="A2" s="28" t="s">
        <v>49</v>
      </c>
      <c r="C2" s="67" t="s">
        <v>50</v>
      </c>
      <c r="D2" s="87" t="str">
        <f>IF(CU_NUMBER="","N/A",CU_NUMBER)</f>
        <v>N/A</v>
      </c>
      <c r="E2" s="120"/>
      <c r="F2" s="119"/>
      <c r="H2" s="119"/>
      <c r="J2" s="119"/>
    </row>
    <row r="3" spans="1:11" s="62" customFormat="1" ht="12" customHeight="1" x14ac:dyDescent="0.2">
      <c r="A3" s="121" t="str">
        <f>IF(Request_Date=0,"N/A",Request_Date)</f>
        <v>12/05/2025</v>
      </c>
      <c r="C3" s="67" t="s">
        <v>42</v>
      </c>
      <c r="D3" s="75">
        <f>IF(CountCu_C5=0,"N/A",CountCu_C5)</f>
        <v>4331</v>
      </c>
      <c r="E3" s="120"/>
      <c r="F3" s="119"/>
      <c r="H3" s="119"/>
      <c r="J3" s="119"/>
    </row>
    <row r="4" spans="1:11" s="62" customFormat="1" ht="12" customHeight="1" x14ac:dyDescent="0.2">
      <c r="A4" s="74" t="str">
        <f>"CU Name:      "&amp;IF(Cu_Name="","N/A",Cu_Name)</f>
        <v>CU Name:      N/A</v>
      </c>
      <c r="C4" s="67" t="s">
        <v>43</v>
      </c>
      <c r="D4" s="89" t="str">
        <f>IF(AssetRange="","N/A",AssetRange)</f>
        <v>N/A</v>
      </c>
      <c r="E4" s="75"/>
      <c r="F4" s="119"/>
      <c r="H4" s="119"/>
      <c r="J4" s="119"/>
    </row>
    <row r="5" spans="1:11" s="62" customFormat="1" ht="12" customHeight="1" x14ac:dyDescent="0.2">
      <c r="A5" s="74" t="str">
        <f>"Peer Group:      "&amp;IF(Peer_Group="","N/A",IF(Peer_Group="0","N/A",Peer_Group))</f>
        <v>Peer Group:      N/A</v>
      </c>
      <c r="B5" s="90"/>
      <c r="C5" s="67" t="s">
        <v>51</v>
      </c>
      <c r="D5" s="24" t="str">
        <f>IF(_xlnm.Criteria="","N/A",_xlnm.Criteria)</f>
        <v xml:space="preserve">Region: Nation * Peer Group: All * Types Included: All  Federally Insured Credit Unions  (FICUs) *  </v>
      </c>
      <c r="E5" s="23"/>
      <c r="F5" s="23"/>
      <c r="G5" s="23"/>
      <c r="H5" s="23"/>
      <c r="I5" s="23"/>
      <c r="J5" s="23"/>
    </row>
    <row r="6" spans="1:11" s="62" customFormat="1" ht="12.75" customHeight="1" x14ac:dyDescent="0.2">
      <c r="A6" s="74"/>
      <c r="B6" s="67"/>
      <c r="C6" s="67" t="s">
        <v>45</v>
      </c>
      <c r="D6" s="75" t="str">
        <f>IF(NoCu_in_Peer_Group="","N/A",NoCu_in_Peer_Group)</f>
        <v>N/A</v>
      </c>
      <c r="E6" s="75" t="str">
        <f>IF(CU_NUMBER&gt;0,"",IF(RetPop=0,"Retroactive Population",""))</f>
        <v/>
      </c>
      <c r="F6" s="119"/>
      <c r="H6" s="119"/>
      <c r="J6" s="119"/>
    </row>
    <row r="7" spans="1:11" ht="12.75" customHeight="1" x14ac:dyDescent="0.2">
      <c r="A7" s="29"/>
      <c r="E7" s="32"/>
      <c r="G7" s="30"/>
      <c r="I7" s="30"/>
    </row>
    <row r="8" spans="1:11" ht="13.15" customHeight="1" x14ac:dyDescent="0.2">
      <c r="A8" s="145"/>
      <c r="B8" s="139">
        <f>(CycDat_C1)</f>
        <v>45565</v>
      </c>
      <c r="C8" s="139">
        <f>(CycDat_C2)</f>
        <v>45657</v>
      </c>
      <c r="D8" s="184" t="s">
        <v>52</v>
      </c>
      <c r="E8" s="139">
        <f>(CycDat_C3)</f>
        <v>45747</v>
      </c>
      <c r="F8" s="184" t="s">
        <v>52</v>
      </c>
      <c r="G8" s="139">
        <f>(CycDat_C4)</f>
        <v>45838</v>
      </c>
      <c r="H8" s="184" t="s">
        <v>52</v>
      </c>
      <c r="I8" s="139">
        <f>(CycDat_C5)</f>
        <v>45930</v>
      </c>
      <c r="J8" s="184" t="s">
        <v>52</v>
      </c>
      <c r="K8" s="83"/>
    </row>
    <row r="9" spans="1:11" ht="13.15" customHeight="1" x14ac:dyDescent="0.2">
      <c r="A9" s="145" t="s">
        <v>445</v>
      </c>
      <c r="B9" s="86"/>
      <c r="C9" s="86"/>
      <c r="D9" s="102"/>
      <c r="E9" s="86"/>
      <c r="F9" s="102"/>
      <c r="G9" s="86"/>
      <c r="H9" s="102"/>
      <c r="I9" s="86"/>
      <c r="J9" s="102"/>
      <c r="K9" s="83"/>
    </row>
    <row r="10" spans="1:11" ht="13.15" customHeight="1" x14ac:dyDescent="0.2">
      <c r="A10" s="127" t="s">
        <v>446</v>
      </c>
      <c r="B10" s="76">
        <f>A020B_C1</f>
        <v>13930557278</v>
      </c>
      <c r="C10" s="76">
        <f>A020B_C2</f>
        <v>18747324630</v>
      </c>
      <c r="D10" s="102">
        <f t="shared" ref="D10:D17" si="0">IF(C10="N/A", " ", IF(B10="N/A", " ",IF(AND(B10=0,C10=0,),"N/A",IF(ABS(B10)=0, "N/A", ((C10-B10)/ABS(B10))*100))))</f>
        <v>34.576989677268244</v>
      </c>
      <c r="E10" s="76">
        <f>A020B_C3</f>
        <v>18379330331</v>
      </c>
      <c r="F10" s="102">
        <f t="shared" ref="F10:F17" si="1">IF(E10="N/A", " ", IF(C10="N/A", " ",IF(AND(C10=0,E10=0,),"N/A",IF(ABS(C10)=0, "N/A", ((E10-C10)/ABS(C10))*100))))</f>
        <v>-1.9629163427997884</v>
      </c>
      <c r="G10" s="76">
        <f>A020B_C4</f>
        <v>14109747482</v>
      </c>
      <c r="H10" s="102">
        <f t="shared" ref="H10:H17" si="2">IF(G10="N/A", " ", IF(E10="N/A", " ",IF(AND(E10=0,G10=0,),"N/A",IF(ABS(E10)=0, "N/A", ((G10-E10)/ABS(E10))*100))))</f>
        <v>-23.230350464938276</v>
      </c>
      <c r="I10" s="76">
        <f>A020B_C5</f>
        <v>14410272298</v>
      </c>
      <c r="J10" s="102">
        <f t="shared" ref="J10:J17" si="3">IF(I10="N/A", " ", IF(G10="N/A", " ",IF(AND(G10=0,I10=0,),"N/A",IF(ABS(G10)=0, "N/A", ((I10-G10)/ABS(G10))*100))))</f>
        <v>2.1299092445373926</v>
      </c>
      <c r="K10" s="83"/>
    </row>
    <row r="11" spans="1:11" ht="13.15" customHeight="1" x14ac:dyDescent="0.2">
      <c r="A11" s="127" t="s">
        <v>447</v>
      </c>
      <c r="B11" s="76">
        <f>IF(B8&lt;DATEVALUE("3/31/2022"),"N/A",ADL0141_C1)</f>
        <v>5512616856</v>
      </c>
      <c r="C11" s="76">
        <f>IF(C8&lt;DATEVALUE("3/31/2022"),"N/A",ADL0141_C2)</f>
        <v>6002747969</v>
      </c>
      <c r="D11" s="102">
        <f t="shared" si="0"/>
        <v>8.8910788796528699</v>
      </c>
      <c r="E11" s="76">
        <f>IF(E8&lt;DATEVALUE("3/31/2022"),"N/A",ADL0141_C3)</f>
        <v>3761514813</v>
      </c>
      <c r="F11" s="102">
        <f t="shared" si="1"/>
        <v>-37.336785878307793</v>
      </c>
      <c r="G11" s="76">
        <f>IF(G8&lt;DATEVALUE("3/31/2022"),"N/A",ADL0141_C4)</f>
        <v>5629411383</v>
      </c>
      <c r="H11" s="102">
        <f t="shared" si="2"/>
        <v>49.658094221627088</v>
      </c>
      <c r="I11" s="76">
        <f>IF(I8&lt;DATEVALUE("3/31/2022"),"N/A",ADL0141_C5)</f>
        <v>5873296409</v>
      </c>
      <c r="J11" s="102">
        <f t="shared" si="3"/>
        <v>4.3323361788143098</v>
      </c>
      <c r="K11" s="83"/>
    </row>
    <row r="12" spans="1:11" ht="13.15" customHeight="1" x14ac:dyDescent="0.2">
      <c r="A12" s="127" t="s">
        <v>448</v>
      </c>
      <c r="B12" s="76">
        <f>A021B_C1</f>
        <v>6026757012</v>
      </c>
      <c r="C12" s="76">
        <f>A021B_C2</f>
        <v>6654771718</v>
      </c>
      <c r="D12" s="102">
        <f t="shared" si="0"/>
        <v>10.420441785682531</v>
      </c>
      <c r="E12" s="76">
        <f>A021B_C3</f>
        <v>5660136253</v>
      </c>
      <c r="F12" s="102">
        <f t="shared" si="1"/>
        <v>-14.946199616580147</v>
      </c>
      <c r="G12" s="76">
        <f>A021B_C4</f>
        <v>5819008490</v>
      </c>
      <c r="H12" s="102">
        <f t="shared" si="2"/>
        <v>2.8068624128225559</v>
      </c>
      <c r="I12" s="76">
        <f>A021B_C5</f>
        <v>6329586130</v>
      </c>
      <c r="J12" s="102">
        <f t="shared" si="3"/>
        <v>8.7743064970162994</v>
      </c>
      <c r="K12" s="83"/>
    </row>
    <row r="13" spans="1:11" ht="13.15" customHeight="1" x14ac:dyDescent="0.2">
      <c r="A13" s="127" t="s">
        <v>449</v>
      </c>
      <c r="B13" s="76">
        <f>A022B_C1</f>
        <v>2253642052</v>
      </c>
      <c r="C13" s="76">
        <f>A022B_C2</f>
        <v>2147555606</v>
      </c>
      <c r="D13" s="102">
        <f t="shared" si="0"/>
        <v>-4.7073334430307305</v>
      </c>
      <c r="E13" s="76">
        <f>A022B_C3</f>
        <v>2342128470</v>
      </c>
      <c r="F13" s="102">
        <f t="shared" si="1"/>
        <v>9.0602014428119073</v>
      </c>
      <c r="G13" s="76">
        <f>A022B_C4</f>
        <v>2244663731</v>
      </c>
      <c r="H13" s="102">
        <f t="shared" si="2"/>
        <v>-4.1613745893281422</v>
      </c>
      <c r="I13" s="76">
        <f>A022B_C5</f>
        <v>2239756665</v>
      </c>
      <c r="J13" s="102">
        <f t="shared" si="3"/>
        <v>-0.21861029481747349</v>
      </c>
      <c r="K13" s="83"/>
    </row>
    <row r="14" spans="1:11" ht="13.15" customHeight="1" x14ac:dyDescent="0.2">
      <c r="A14" s="86" t="s">
        <v>450</v>
      </c>
      <c r="B14" s="76">
        <f>A023B_C1</f>
        <v>1028636139</v>
      </c>
      <c r="C14" s="76">
        <f>A023B_C2</f>
        <v>1243206553</v>
      </c>
      <c r="D14" s="102">
        <f t="shared" si="0"/>
        <v>20.859700127646398</v>
      </c>
      <c r="E14" s="76">
        <f>A023B_C3</f>
        <v>1408520330</v>
      </c>
      <c r="F14" s="102">
        <f t="shared" si="1"/>
        <v>13.297370143447113</v>
      </c>
      <c r="G14" s="76">
        <f>A023B_C4</f>
        <v>1536735838</v>
      </c>
      <c r="H14" s="102">
        <f t="shared" si="2"/>
        <v>9.1028510749291058</v>
      </c>
      <c r="I14" s="76">
        <f>A023B_C5</f>
        <v>1701748334</v>
      </c>
      <c r="J14" s="102">
        <f t="shared" si="3"/>
        <v>10.737856951052638</v>
      </c>
      <c r="K14" s="83"/>
    </row>
    <row r="15" spans="1:11" ht="13.15" customHeight="1" x14ac:dyDescent="0.2">
      <c r="A15" s="144" t="s">
        <v>451</v>
      </c>
      <c r="B15" s="76">
        <f>A041B_C1</f>
        <v>14821652059</v>
      </c>
      <c r="C15" s="76">
        <f>A041B_C2</f>
        <v>16048281846</v>
      </c>
      <c r="D15" s="102">
        <f t="shared" si="0"/>
        <v>8.2759316040964954</v>
      </c>
      <c r="E15" s="76">
        <f>A041B_C3</f>
        <v>13172299866</v>
      </c>
      <c r="F15" s="102">
        <f t="shared" si="1"/>
        <v>-17.920809265428201</v>
      </c>
      <c r="G15" s="76">
        <f>A041B_C4</f>
        <v>15229819442</v>
      </c>
      <c r="H15" s="102">
        <f t="shared" si="2"/>
        <v>15.620048108005925</v>
      </c>
      <c r="I15" s="76">
        <f>A041B_C5</f>
        <v>16144387538</v>
      </c>
      <c r="J15" s="102">
        <f t="shared" si="3"/>
        <v>6.0051145023942434</v>
      </c>
      <c r="K15" s="83"/>
    </row>
    <row r="16" spans="1:11" ht="13.15" customHeight="1" x14ac:dyDescent="0.2">
      <c r="A16" s="144" t="s">
        <v>452</v>
      </c>
      <c r="B16" s="131">
        <f>IF(A025B_C1=0,0,(A041B_C1/A025B_C1))* 100</f>
        <v>0.90908045224737022</v>
      </c>
      <c r="C16" s="131">
        <f>IF(A025B_C2=0,0,(A041B_C2/A025B_C2))* 100</f>
        <v>0.97546493632626841</v>
      </c>
      <c r="D16" s="102">
        <f t="shared" si="0"/>
        <v>7.3023772444767392</v>
      </c>
      <c r="E16" s="131">
        <f>IF(A025B_C3=0,0,(A041B_C3/A025B_C3))* 100</f>
        <v>0.79651548658832383</v>
      </c>
      <c r="F16" s="102">
        <f t="shared" si="1"/>
        <v>-18.345041741007336</v>
      </c>
      <c r="G16" s="131">
        <f>IF(A025B_C4=0,0,(A041B_C4/A025B_C4))* 100</f>
        <v>0.90585959686553652</v>
      </c>
      <c r="H16" s="102">
        <f t="shared" si="2"/>
        <v>13.727807195006466</v>
      </c>
      <c r="I16" s="131">
        <f>IF(A025B_C5=0,0,(A041B_C5/A025B_C5))* 100</f>
        <v>0.94814885852596342</v>
      </c>
      <c r="J16" s="102">
        <f t="shared" si="3"/>
        <v>4.6684123904804435</v>
      </c>
      <c r="K16" s="83"/>
    </row>
    <row r="17" spans="1:256" ht="13.15" customHeight="1" x14ac:dyDescent="0.2">
      <c r="A17" s="86" t="s">
        <v>453</v>
      </c>
      <c r="B17" s="76">
        <f>IF(B8&lt;DATEVALUE("3/31/2019"),"N/A",IF(B8&lt;=DATEVALUE("12/31/2021"),ADL0121_C1,ADL0145_C1+ADL0146_C1))</f>
        <v>10148060551</v>
      </c>
      <c r="C17" s="76">
        <f>IF(C8&lt;DATEVALUE("3/31/2019"),"N/A",IF(C8&lt;=DATEVALUE("12/31/2021"),ADL0121_C2,ADL0145_C2+ADL0146_C2))</f>
        <v>10900334063</v>
      </c>
      <c r="D17" s="102">
        <f t="shared" si="0"/>
        <v>7.4129781569530566</v>
      </c>
      <c r="E17" s="76">
        <f>IF(E8&lt;DATEVALUE("3/31/2019"),"N/A",IF(E8&lt;=DATEVALUE("12/31/2021"),ADL0121_C3,ADL0145_C3+ADL0146_C3))</f>
        <v>10157659641</v>
      </c>
      <c r="F17" s="102">
        <f t="shared" si="1"/>
        <v>-6.8133179928946186</v>
      </c>
      <c r="G17" s="76">
        <f>IF(G8&lt;DATEVALUE("3/31/2019"),"N/A",IF(G8&lt;=DATEVALUE("12/31/2021"),ADL0121_C4,ADL0145_C4+ADL0146_C4))</f>
        <v>10449183536</v>
      </c>
      <c r="H17" s="102">
        <f t="shared" si="2"/>
        <v>2.8699907784200973</v>
      </c>
      <c r="I17" s="76">
        <f>IF(I8&lt;DATEVALUE("3/31/2019"),"N/A",IF(I8&lt;=DATEVALUE("12/31/2021"),ADL0121_C5,ADL0145_C5+ADL0146_C5))</f>
        <v>11307430472</v>
      </c>
      <c r="J17" s="102">
        <f t="shared" si="3"/>
        <v>8.2135310672181117</v>
      </c>
      <c r="K17" s="83"/>
    </row>
    <row r="18" spans="1:256" ht="13.15" customHeight="1" x14ac:dyDescent="0.2">
      <c r="A18" s="145" t="s">
        <v>454</v>
      </c>
      <c r="B18" s="224"/>
      <c r="C18" s="224"/>
      <c r="D18" s="224"/>
      <c r="E18" s="224"/>
      <c r="F18" s="224"/>
      <c r="G18" s="224"/>
      <c r="H18" s="224"/>
      <c r="I18" s="224"/>
      <c r="J18" s="224"/>
      <c r="K18" s="224"/>
      <c r="L18" s="117"/>
      <c r="M18" s="117"/>
      <c r="N18" s="117"/>
      <c r="O18" s="117"/>
      <c r="P18" s="117"/>
      <c r="Q18" s="117"/>
      <c r="R18" s="117"/>
      <c r="S18" s="117"/>
      <c r="T18" s="117"/>
      <c r="U18" s="117"/>
      <c r="V18" s="117"/>
      <c r="W18" s="117"/>
      <c r="X18" s="117"/>
      <c r="Y18" s="117"/>
      <c r="Z18" s="117"/>
      <c r="AA18" s="117"/>
      <c r="AB18" s="117"/>
      <c r="AC18" s="117"/>
      <c r="AD18" s="117"/>
      <c r="AE18" s="117"/>
      <c r="AF18" s="117"/>
      <c r="AG18" s="117"/>
      <c r="AH18" s="117"/>
      <c r="AI18" s="117"/>
      <c r="AJ18" s="117"/>
      <c r="AK18" s="117"/>
      <c r="AL18" s="117"/>
      <c r="AM18" s="117"/>
      <c r="AN18" s="117"/>
      <c r="AO18" s="117"/>
      <c r="AP18" s="117"/>
      <c r="AQ18" s="117"/>
      <c r="AR18" s="117"/>
      <c r="AS18" s="117"/>
      <c r="AT18" s="117"/>
      <c r="AU18" s="117"/>
      <c r="AV18" s="117"/>
      <c r="AW18" s="117"/>
      <c r="AX18" s="117"/>
      <c r="AY18" s="117"/>
      <c r="AZ18" s="117"/>
      <c r="BA18" s="117"/>
      <c r="BB18" s="117"/>
      <c r="BC18" s="117"/>
      <c r="BD18" s="117"/>
      <c r="BE18" s="117"/>
      <c r="BF18" s="117"/>
      <c r="BG18" s="117"/>
      <c r="BH18" s="117"/>
      <c r="BI18" s="117"/>
      <c r="BJ18" s="117"/>
      <c r="BK18" s="117"/>
      <c r="BL18" s="117"/>
      <c r="BM18" s="117"/>
      <c r="BN18" s="117"/>
      <c r="BO18" s="117"/>
      <c r="BP18" s="117"/>
      <c r="BQ18" s="117"/>
      <c r="BR18" s="117"/>
      <c r="BS18" s="117"/>
      <c r="BT18" s="117"/>
      <c r="BU18" s="117"/>
      <c r="BV18" s="117"/>
      <c r="BW18" s="117"/>
      <c r="BX18" s="117"/>
      <c r="BY18" s="117"/>
      <c r="BZ18" s="117"/>
      <c r="CA18" s="117"/>
      <c r="CB18" s="117"/>
      <c r="CC18" s="117"/>
      <c r="CD18" s="117"/>
      <c r="CE18" s="117"/>
      <c r="CF18" s="117"/>
      <c r="CG18" s="117"/>
      <c r="CH18" s="117"/>
      <c r="CI18" s="117"/>
      <c r="CJ18" s="117"/>
      <c r="CK18" s="117"/>
      <c r="CL18" s="117"/>
      <c r="CM18" s="117"/>
      <c r="CN18" s="117"/>
      <c r="CO18" s="117"/>
      <c r="CP18" s="117"/>
      <c r="CQ18" s="117"/>
      <c r="CR18" s="117"/>
      <c r="CS18" s="117"/>
      <c r="CT18" s="117"/>
      <c r="CU18" s="117"/>
      <c r="CV18" s="117"/>
      <c r="CW18" s="117"/>
      <c r="CX18" s="117"/>
      <c r="CY18" s="117"/>
      <c r="CZ18" s="117"/>
      <c r="DA18" s="117"/>
      <c r="DB18" s="117"/>
      <c r="DC18" s="117"/>
      <c r="DD18" s="117"/>
      <c r="DE18" s="117"/>
      <c r="DF18" s="117"/>
      <c r="DG18" s="117"/>
      <c r="DH18" s="117"/>
      <c r="DI18" s="117"/>
      <c r="DJ18" s="117"/>
      <c r="DK18" s="117"/>
      <c r="DL18" s="117"/>
      <c r="DM18" s="117"/>
      <c r="DN18" s="117"/>
      <c r="DO18" s="117"/>
      <c r="DP18" s="117"/>
      <c r="DQ18" s="117"/>
      <c r="DR18" s="117"/>
      <c r="DS18" s="117"/>
      <c r="DT18" s="117"/>
      <c r="DU18" s="117"/>
      <c r="DV18" s="117"/>
      <c r="DW18" s="117"/>
      <c r="DX18" s="117"/>
      <c r="DY18" s="117"/>
      <c r="DZ18" s="117"/>
      <c r="EA18" s="117"/>
      <c r="EB18" s="117"/>
      <c r="EC18" s="117"/>
      <c r="ED18" s="117"/>
      <c r="EE18" s="117"/>
      <c r="EF18" s="117"/>
      <c r="EG18" s="117"/>
      <c r="EH18" s="117"/>
      <c r="EI18" s="117"/>
      <c r="EJ18" s="117"/>
      <c r="EK18" s="117"/>
      <c r="EL18" s="117"/>
      <c r="EM18" s="117"/>
      <c r="EN18" s="117"/>
      <c r="EO18" s="117"/>
      <c r="EP18" s="117"/>
      <c r="EQ18" s="117"/>
      <c r="ER18" s="117"/>
      <c r="ES18" s="117"/>
      <c r="ET18" s="117"/>
      <c r="EU18" s="117"/>
      <c r="EV18" s="117"/>
      <c r="EW18" s="117"/>
      <c r="EX18" s="117"/>
      <c r="EY18" s="117"/>
      <c r="EZ18" s="117"/>
      <c r="FA18" s="117"/>
      <c r="FB18" s="117"/>
      <c r="FC18" s="117"/>
      <c r="FD18" s="117"/>
      <c r="FE18" s="117"/>
      <c r="FF18" s="117"/>
      <c r="FG18" s="117"/>
      <c r="FH18" s="117"/>
      <c r="FI18" s="117"/>
      <c r="FJ18" s="117"/>
      <c r="FK18" s="117"/>
      <c r="FL18" s="117"/>
      <c r="FM18" s="117"/>
      <c r="FN18" s="117"/>
      <c r="FO18" s="117"/>
      <c r="FP18" s="117"/>
      <c r="FQ18" s="117"/>
      <c r="FR18" s="117"/>
      <c r="FS18" s="117"/>
      <c r="FT18" s="117"/>
      <c r="FU18" s="117"/>
      <c r="FV18" s="117"/>
      <c r="FW18" s="117"/>
      <c r="FX18" s="117"/>
      <c r="FY18" s="117"/>
      <c r="FZ18" s="117"/>
      <c r="GA18" s="117"/>
      <c r="GB18" s="117"/>
      <c r="GC18" s="117"/>
      <c r="GD18" s="117"/>
      <c r="GE18" s="117"/>
      <c r="GF18" s="117"/>
      <c r="GG18" s="117"/>
      <c r="GH18" s="117"/>
      <c r="GI18" s="117"/>
      <c r="GJ18" s="117"/>
      <c r="GK18" s="117"/>
      <c r="GL18" s="117"/>
      <c r="GM18" s="117"/>
      <c r="GN18" s="117"/>
      <c r="GO18" s="117"/>
      <c r="GP18" s="117"/>
      <c r="GQ18" s="117"/>
      <c r="GR18" s="117"/>
      <c r="GS18" s="117"/>
      <c r="GT18" s="117"/>
      <c r="GU18" s="117"/>
      <c r="GV18" s="117"/>
      <c r="GW18" s="117"/>
      <c r="GX18" s="117"/>
      <c r="GY18" s="117"/>
      <c r="GZ18" s="117"/>
      <c r="HA18" s="117"/>
      <c r="HB18" s="117"/>
      <c r="HC18" s="117"/>
      <c r="HD18" s="117"/>
      <c r="HE18" s="117"/>
      <c r="HF18" s="117"/>
      <c r="HG18" s="117"/>
      <c r="HH18" s="117"/>
      <c r="HI18" s="117"/>
      <c r="HJ18" s="117"/>
      <c r="HK18" s="117"/>
      <c r="HL18" s="117"/>
      <c r="HM18" s="117"/>
      <c r="HN18" s="117"/>
      <c r="HO18" s="117"/>
      <c r="HP18" s="117"/>
      <c r="HQ18" s="117"/>
      <c r="HR18" s="117"/>
      <c r="HS18" s="117"/>
      <c r="HT18" s="117"/>
      <c r="HU18" s="117"/>
      <c r="HV18" s="117"/>
      <c r="HW18" s="117"/>
      <c r="HX18" s="117"/>
      <c r="HY18" s="117"/>
      <c r="HZ18" s="117"/>
      <c r="IA18" s="117"/>
      <c r="IB18" s="117"/>
      <c r="IC18" s="117"/>
      <c r="ID18" s="117"/>
      <c r="IE18" s="117"/>
      <c r="IF18" s="117"/>
      <c r="IG18" s="117"/>
      <c r="IH18" s="117"/>
      <c r="II18" s="117"/>
      <c r="IJ18" s="117"/>
      <c r="IK18" s="117"/>
      <c r="IL18" s="117"/>
      <c r="IM18" s="117"/>
      <c r="IN18" s="117"/>
      <c r="IO18" s="117"/>
      <c r="IP18" s="117"/>
      <c r="IQ18" s="117"/>
      <c r="IR18" s="117"/>
      <c r="IS18" s="117"/>
      <c r="IT18" s="117"/>
      <c r="IU18" s="117"/>
      <c r="IV18" s="117"/>
    </row>
    <row r="19" spans="1:256" ht="13.15" customHeight="1" x14ac:dyDescent="0.2">
      <c r="A19" s="144" t="s">
        <v>455</v>
      </c>
      <c r="B19" s="131">
        <f>IF(B8&gt;=DATEVALUE("3/31/2022"),IF(A400T1_C1=0,0,((ADL0078_C1+ADL0083_C1+ADL0085_C1+ADL0090_C1+ADL0092_C1+ADL0097_C1+ADL0099_C1+ADL0104_C1+ADL0106_C1+ADL0111_C1+ADL0113_C1+ADL0118_C1+ADL0120_C1+ADL0125_C1+ADL0127_C1+ADL0132_C1+ADL0134_C1+ADL0139_C1)/A400T1_C1))*100,
IF(A400T1_C1=0,0,((A020G3_C1 + A020G4_C1 + A020P3_C1 + A020P4_C1 + A041G3_C1 + A041G4_C1 + A041P3_C1 + A041P4_C1)/A400T1_C1))*100)</f>
        <v>1.2339452907045365</v>
      </c>
      <c r="C19" s="131">
        <f>IF(C8&gt;=DATEVALUE("3/31/2022"),IF(A400T1_C2=0,0,((ADL0078_C2+ADL0083_C2+ADL0085_C2+ADL0090_C2+ADL0092_C2+ADL0097_C2+ADL0099_C2+ADL0104_C2+ADL0106_C2+ADL0111_C2+ADL0113_C2+ADL0118_C2+ADL0120_C2+ADL0125_C2+ADL0127_C2+ADL0132_C2+ADL0134_C2+ADL0139_C2)/A400T1_C2))*100,
IF(A400T1_C2=0,0,((A020G3_C2 + A020G4_C2 + A020P3_C2 + A020P4_C2 + A041G3_C2 + A041G4_C2 + A041P3_C2 + A041P4_C2)/A400T1_C2))*100)</f>
        <v>1.4302056756136681</v>
      </c>
      <c r="D19" s="102">
        <f>IF(C19="N/A", " ", IF(B19="N/A", " ",IF(AND(B19=0,C19=0,),"N/A",IF(ABS(B19)=0, "N/A", ((C19-B19)/ABS(B19))*100))))</f>
        <v>15.90511235689179</v>
      </c>
      <c r="E19" s="131">
        <f>IF(E8&gt;=DATEVALUE("3/31/2022"),IF(A400T1_C3=0,0,((ADL0078_C3+ADL0083_C3+ADL0085_C3+ADL0090_C3+ADL0092_C3+ADL0097_C3+ADL0099_C3+ADL0104_C3+ADL0106_C3+ADL0111_C3+ADL0113_C3+ADL0118_C3+ADL0120_C3+ADL0125_C3+ADL0127_C3+ADL0132_C3+ADL0134_C3+ADL0139_C3)/A400T1_C3))*100,
IF(A400T1_C3=0,0,((A020G3_C3 + A020G4_C3 + A020P3_C3 + A020P4_C3 + A041G3_C3 + A041G4_C3 + A041P3_C3 + A041P4_C3)/A400T1_C3))*100)</f>
        <v>1.6065283386154594</v>
      </c>
      <c r="F19" s="102">
        <f>IF(E19="N/A", " ", IF(C19="N/A", " ",IF(AND(C19=0,E19=0,),"N/A",IF(ABS(C19)=0, "N/A", ((E19-C19)/ABS(C19))*100))))</f>
        <v>12.328482959357252</v>
      </c>
      <c r="G19" s="131">
        <f>IF(G8&gt;=DATEVALUE("3/31/2022"),IF(A400T1_C4=0,0,((ADL0078_C4+ADL0083_C4+ADL0085_C4+ADL0090_C4+ADL0092_C4+ADL0097_C4+ADL0099_C4+ADL0104_C4+ADL0106_C4+ADL0111_C4+ADL0113_C4+ADL0118_C4+ADL0120_C4+ADL0125_C4+ADL0127_C4+ADL0132_C4+ADL0134_C4+ADL0139_C4)/A400T1_C4))*100,
IF(A400T1_C4=0,0,((A020G3_C4 + A020G4_C4 + A020P3_C4 + A020P4_C4 + A041G3_C4 + A041G4_C4 + A041P3_C4 + A041P4_C4)/A400T1_C4))*100)</f>
        <v>1.4559643834215685</v>
      </c>
      <c r="H19" s="102">
        <f>IF(G19="N/A", " ", IF(E19="N/A", " ",IF(AND(E19=0,G19=0,),"N/A",IF(ABS(E19)=0, "N/A", ((G19-E19)/ABS(E19))*100))))</f>
        <v>-9.3720074258789676</v>
      </c>
      <c r="I19" s="131">
        <f>IF(I8&gt;=DATEVALUE("3/31/2022"),IF(A400T1_C5=0,0,((ADL0078_C5+ADL0083_C5+ADL0085_C5+ADL0090_C5+ADL0092_C5+ADL0097_C5+ADL0099_C5+ADL0104_C5+ADL0106_C5+ADL0111_C5+ADL0113_C5+ADL0118_C5+ADL0120_C5+ADL0125_C5+ADL0127_C5+ADL0132_C5+ADL0134_C5+ADL0139_C5)/A400T1_C5))*100,
IF(A400T1_C5=0,0,((A020G3_C5 + A020G4_C5 + A020P3_C5 + A020P4_C5 + A041G3_C5 + A041G4_C5 + A041P3_C5 + A041P4_C5)/A400T1_C5))*100)</f>
        <v>1.421799192237986</v>
      </c>
      <c r="J19" s="102">
        <f>IF(I19="N/A", " ", IF(G19="N/A", " ",IF(AND(G19=0,I19=0,),"N/A",IF(ABS(G19)=0, "N/A", ((I19-G19)/ABS(G19))*100))))</f>
        <v>-2.3465677850781694</v>
      </c>
      <c r="K19" s="83"/>
    </row>
    <row r="20" spans="1:256" ht="13.15" customHeight="1" x14ac:dyDescent="0.2">
      <c r="A20" s="144" t="s">
        <v>456</v>
      </c>
      <c r="B20" s="131">
        <f>IF(B8&gt;=DATEVALUE("3/31/2022"), IF(A400T1_C1=0,0,((ADL0083_C1+ADL0090_C1+ADL0097_C1+ADL0104_C1+ADL0111_C1+ADL0118_C1+ADL0125_C1+ADL0132_C1+ADL0139_C1)/ A400T1_C1)) * 100,IF(A400T1_C1=0,0,((A041G3_C1+A041G4_C1+A041P3_C1+A041P4_C1)/A400T1_C1))*100)</f>
        <v>0.90093729882992779</v>
      </c>
      <c r="C20" s="131">
        <f>IF(C8&gt;=DATEVALUE("3/31/2022"), IF(A400T1_C2=0,0,((ADL0083_C2+ADL0090_C2+ADL0097_C2+ADL0104_C2+ADL0111_C2+ADL0118_C2+ADL0125_C2+ADL0132_C2+ADL0139_C2)/ A400T1_C2)) * 100,IF(A400T1_C2=0,0,((A041G3_C2+A041G4_C2+A041P3_C2+A041P4_C2)/A400T1_C2))*100)</f>
        <v>0.85281061121886692</v>
      </c>
      <c r="D20" s="102">
        <f>IF(C20="N/A", " ", IF(B20="N/A", " ",IF(AND(B20=0,C20=0,),"N/A",IF(ABS(B20)=0, "N/A", ((C20-B20)/ABS(B20))*100))))</f>
        <v>-5.3418465051412936</v>
      </c>
      <c r="E20" s="131">
        <f>IF(E8&gt;=DATEVALUE("3/31/2022"), IF(A400T1_C3=0,0,((ADL0083_C3+ADL0090_C3+ADL0097_C3+ADL0104_C3+ADL0111_C3+ADL0118_C3+ADL0125_C3+ADL0132_C3+ADL0139_C3)/ A400T1_C3)) * 100,IF(A400T1_C3=0,0,((A041G3_C3+A041G4_C3+A041P3_C3+A041P4_C3)/A400T1_C3))*100)</f>
        <v>0.92651787494488391</v>
      </c>
      <c r="F20" s="102">
        <f>IF(E20="N/A", " ", IF(C20="N/A", " ",IF(AND(C20=0,E20=0,),"N/A",IF(ABS(C20)=0, "N/A", ((E20-C20)/ABS(C20))*100))))</f>
        <v>8.6428642838615684</v>
      </c>
      <c r="G20" s="131">
        <f>IF(G8&gt;=DATEVALUE("3/31/2022"), IF(A400T1_C4=0,0,((ADL0083_C4+ADL0090_C4+ADL0097_C4+ADL0104_C4+ADL0111_C4+ADL0118_C4+ADL0125_C4+ADL0132_C4+ADL0139_C4)/ A400T1_C4)) * 100,IF(A400T1_C4=0,0,((A041G3_C4+A041G4_C4+A041P3_C4+A041P4_C4)/A400T1_C4))*100)</f>
        <v>1.0502270225290742</v>
      </c>
      <c r="H20" s="102">
        <f>IF(G20="N/A", " ", IF(E20="N/A", " ",IF(AND(E20=0,G20=0,),"N/A",IF(ABS(E20)=0, "N/A", ((G20-E20)/ABS(E20))*100))))</f>
        <v>13.352051906343352</v>
      </c>
      <c r="I20" s="131">
        <f>IF(I8&gt;=DATEVALUE("3/31/2022"), IF(A400T1_C5=0,0,((ADL0083_C5+ADL0090_C5+ADL0097_C5+ADL0104_C5+ADL0111_C5+ADL0118_C5+ADL0125_C5+ADL0132_C5+ADL0139_C5)/ A400T1_C5)) * 100,IF(A400T1_C5=0,0,((A041G3_C5+A041G4_C5+A041P3_C5+A041P4_C5)/A400T1_C5))*100)</f>
        <v>1.09348423999888</v>
      </c>
      <c r="J20" s="102">
        <f>IF(I20="N/A", " ", IF(G20="N/A", " ",IF(AND(G20=0,I20=0,),"N/A",IF(ABS(G20)=0, "N/A", ((I20-G20)/ABS(G20))*100))))</f>
        <v>4.1188444538055391</v>
      </c>
      <c r="K20" s="83"/>
    </row>
    <row r="21" spans="1:256" ht="13.15" customHeight="1" x14ac:dyDescent="0.2">
      <c r="A21" s="153" t="s">
        <v>457</v>
      </c>
      <c r="B21" s="76"/>
      <c r="C21" s="76"/>
      <c r="D21" s="102"/>
      <c r="E21" s="76"/>
      <c r="F21" s="102"/>
      <c r="G21" s="76"/>
      <c r="H21" s="102"/>
      <c r="I21" s="131"/>
      <c r="J21" s="102"/>
      <c r="K21" s="83"/>
    </row>
    <row r="22" spans="1:256" s="34" customFormat="1" ht="13.15" customHeight="1" x14ac:dyDescent="0.2">
      <c r="A22" s="153" t="s">
        <v>458</v>
      </c>
      <c r="B22" s="192"/>
      <c r="C22" s="192"/>
      <c r="D22" s="102"/>
      <c r="E22" s="192"/>
      <c r="F22" s="102"/>
      <c r="G22" s="192"/>
      <c r="H22" s="102"/>
      <c r="I22" s="192"/>
      <c r="J22" s="102"/>
      <c r="K22" s="225"/>
    </row>
    <row r="23" spans="1:256" ht="13.15" customHeight="1" x14ac:dyDescent="0.2">
      <c r="A23" s="127" t="s">
        <v>446</v>
      </c>
      <c r="B23" s="76">
        <f>A024B_C1</f>
        <v>1072286119</v>
      </c>
      <c r="C23" s="76">
        <f>A024B_C2</f>
        <v>1078112046</v>
      </c>
      <c r="D23" s="102">
        <f t="shared" ref="D23:D29" si="4">IF(C23="N/A", " ", IF(B23="N/A", " ",IF(AND(B23=0,C23=0,),"N/A",IF(ABS(B23)=0, "N/A", ((C23-B23)/ABS(B23))*100))))</f>
        <v>0.54331832677580338</v>
      </c>
      <c r="E23" s="76">
        <f>A024B_C3</f>
        <v>951619204</v>
      </c>
      <c r="F23" s="102">
        <f t="shared" ref="F23:F29" si="5">IF(E23="N/A", " ", IF(C23="N/A", " ",IF(AND(C23=0,E23=0,),"N/A",IF(ABS(C23)=0, "N/A", ((E23-C23)/ABS(C23))*100))))</f>
        <v>-11.732810376186077</v>
      </c>
      <c r="G23" s="76">
        <f>A024B_C4</f>
        <v>1011925542</v>
      </c>
      <c r="H23" s="102">
        <f t="shared" ref="H23:H29" si="6">IF(G23="N/A", " ", IF(E23="N/A", " ",IF(AND(E23=0,G23=0,),"N/A",IF(ABS(E23)=0, "N/A", ((G23-E23)/ABS(E23))*100))))</f>
        <v>6.3372342368155907</v>
      </c>
      <c r="I23" s="76">
        <f>A024B_C5</f>
        <v>1060478722</v>
      </c>
      <c r="J23" s="102">
        <f t="shared" ref="J23:J29" si="7">IF(I23="N/A", " ", IF(G23="N/A", " ",IF(AND(G23=0,I23=0,),"N/A",IF(ABS(G23)=0, "N/A", ((I23-G23)/ABS(G23))*100))))</f>
        <v>4.7980980798288817</v>
      </c>
      <c r="K23" s="83"/>
    </row>
    <row r="24" spans="1:256" ht="13.15" customHeight="1" x14ac:dyDescent="0.2">
      <c r="A24" s="127" t="s">
        <v>459</v>
      </c>
      <c r="B24" s="76">
        <f>IF(B8&lt;DATEVALUE("3/31/2022"),"N/A",ADL0002_C1)</f>
        <v>581568104</v>
      </c>
      <c r="C24" s="76">
        <f>IF(C8&lt;DATEVALUE("3/31/2022"),"N/A",ADL0002_C2)</f>
        <v>596581597</v>
      </c>
      <c r="D24" s="102">
        <f t="shared" si="4"/>
        <v>2.5815537160201618</v>
      </c>
      <c r="E24" s="76">
        <f>IF(E8&lt;DATEVALUE("3/31/2022"),"N/A",ADL0002_C3)</f>
        <v>514526837</v>
      </c>
      <c r="F24" s="102">
        <f t="shared" si="5"/>
        <v>-13.754155410194457</v>
      </c>
      <c r="G24" s="76">
        <f>IF(G8&lt;DATEVALUE("3/31/2022"),"N/A",ADL0002_C4)</f>
        <v>543229550</v>
      </c>
      <c r="H24" s="102">
        <f t="shared" si="6"/>
        <v>5.5784676203391115</v>
      </c>
      <c r="I24" s="76">
        <f>IF(I8&lt;DATEVALUE("3/31/2022"),"N/A",ADL0002_C5)</f>
        <v>580729270</v>
      </c>
      <c r="J24" s="102">
        <f t="shared" si="7"/>
        <v>6.9031075352951623</v>
      </c>
      <c r="K24" s="83"/>
    </row>
    <row r="25" spans="1:256" ht="13.15" customHeight="1" x14ac:dyDescent="0.2">
      <c r="A25" s="127" t="s">
        <v>460</v>
      </c>
      <c r="B25" s="76">
        <f>A026B_C1</f>
        <v>1142804630</v>
      </c>
      <c r="C25" s="76">
        <f>A026B_C2</f>
        <v>1183950020</v>
      </c>
      <c r="D25" s="102">
        <f t="shared" si="4"/>
        <v>3.6003870582848445</v>
      </c>
      <c r="E25" s="76">
        <f>A026B_C3</f>
        <v>1109967319</v>
      </c>
      <c r="F25" s="102">
        <f t="shared" si="5"/>
        <v>-6.2488027155065211</v>
      </c>
      <c r="G25" s="76">
        <f>A026B_C4</f>
        <v>1037476850</v>
      </c>
      <c r="H25" s="102">
        <f t="shared" si="6"/>
        <v>-6.5308651668509174</v>
      </c>
      <c r="I25" s="76">
        <f>A026B_C5</f>
        <v>1117590803</v>
      </c>
      <c r="J25" s="102">
        <f t="shared" si="7"/>
        <v>7.7219990981003575</v>
      </c>
      <c r="K25" s="83"/>
    </row>
    <row r="26" spans="1:256" ht="13.15" customHeight="1" x14ac:dyDescent="0.2">
      <c r="A26" s="127" t="s">
        <v>449</v>
      </c>
      <c r="B26" s="76">
        <f>A027B_C1</f>
        <v>61804207</v>
      </c>
      <c r="C26" s="76">
        <f>A027B_C2</f>
        <v>55157446</v>
      </c>
      <c r="D26" s="102">
        <f t="shared" si="4"/>
        <v>-10.754544589496957</v>
      </c>
      <c r="E26" s="76">
        <f>A027B_C3</f>
        <v>58433525</v>
      </c>
      <c r="F26" s="102">
        <f t="shared" si="5"/>
        <v>5.9395045231064545</v>
      </c>
      <c r="G26" s="76">
        <f>A027B_C4</f>
        <v>53259124</v>
      </c>
      <c r="H26" s="102">
        <f t="shared" si="6"/>
        <v>-8.8551922890155961</v>
      </c>
      <c r="I26" s="76">
        <f>A027B_C5</f>
        <v>47426848</v>
      </c>
      <c r="J26" s="102">
        <f t="shared" si="7"/>
        <v>-10.950754653794155</v>
      </c>
      <c r="K26" s="83"/>
    </row>
    <row r="27" spans="1:256" ht="13.15" customHeight="1" x14ac:dyDescent="0.2">
      <c r="A27" s="86" t="s">
        <v>450</v>
      </c>
      <c r="B27" s="76">
        <f>A028B_C1</f>
        <v>5098460</v>
      </c>
      <c r="C27" s="76">
        <f>A028B_C2</f>
        <v>4227914</v>
      </c>
      <c r="D27" s="102">
        <f t="shared" si="4"/>
        <v>-17.074685297128937</v>
      </c>
      <c r="E27" s="76">
        <f>A028B_C3</f>
        <v>4640274</v>
      </c>
      <c r="F27" s="102">
        <f t="shared" si="5"/>
        <v>9.7532731271260484</v>
      </c>
      <c r="G27" s="76">
        <f>A028B_C4</f>
        <v>4693129</v>
      </c>
      <c r="H27" s="102">
        <f t="shared" si="6"/>
        <v>1.1390491164961378</v>
      </c>
      <c r="I27" s="76">
        <f>A028B_C5</f>
        <v>5001476</v>
      </c>
      <c r="J27" s="102">
        <f t="shared" si="7"/>
        <v>6.5701795113665096</v>
      </c>
      <c r="K27" s="83"/>
    </row>
    <row r="28" spans="1:256" ht="13.15" customHeight="1" x14ac:dyDescent="0.2">
      <c r="A28" s="144" t="s">
        <v>461</v>
      </c>
      <c r="B28" s="76">
        <f>A045B_C1</f>
        <v>1791275401</v>
      </c>
      <c r="C28" s="76">
        <f>A045B_C2</f>
        <v>1839916977</v>
      </c>
      <c r="D28" s="102">
        <f t="shared" si="4"/>
        <v>2.7154716674412702</v>
      </c>
      <c r="E28" s="76">
        <f>A045B_C3</f>
        <v>1687567955</v>
      </c>
      <c r="F28" s="102">
        <f t="shared" si="5"/>
        <v>-8.2802117652290139</v>
      </c>
      <c r="G28" s="76">
        <f>A045B_C4</f>
        <v>1638658653</v>
      </c>
      <c r="H28" s="102">
        <f t="shared" si="6"/>
        <v>-2.8982122974716003</v>
      </c>
      <c r="I28" s="76">
        <f>A045B_C5</f>
        <v>1750748397</v>
      </c>
      <c r="J28" s="102">
        <f t="shared" si="7"/>
        <v>6.8403351603941402</v>
      </c>
      <c r="K28" s="83"/>
    </row>
    <row r="29" spans="1:256" ht="13.15" customHeight="1" x14ac:dyDescent="0.2">
      <c r="A29" s="144" t="s">
        <v>462</v>
      </c>
      <c r="B29" s="131">
        <f>IF(A396_C1=0,0,(A045B_C1/A396_C1))*100</f>
        <v>2.1571114109100895</v>
      </c>
      <c r="C29" s="131">
        <f>IF(A396_C2=0,0,(A045B_C2/A396_C2))*100</f>
        <v>2.1597463500207756</v>
      </c>
      <c r="D29" s="102">
        <f t="shared" si="4"/>
        <v>0.12215127588493185</v>
      </c>
      <c r="E29" s="131">
        <f>IF(A396_C3=0,0,(A045B_C3/A396_C3))*100</f>
        <v>2.0126363372848273</v>
      </c>
      <c r="F29" s="102">
        <f t="shared" si="5"/>
        <v>-6.8114486099042724</v>
      </c>
      <c r="G29" s="131">
        <f>IF(A396_C4=0,0,(A045B_C4/A396_C4))*100</f>
        <v>1.9263158226051007</v>
      </c>
      <c r="H29" s="102">
        <f t="shared" si="6"/>
        <v>-4.2889275663271764</v>
      </c>
      <c r="I29" s="131">
        <f>IF(A396_C5=0,0,(A045B_C5/A396_C5))*100</f>
        <v>2.0360599325432296</v>
      </c>
      <c r="J29" s="102">
        <f t="shared" si="7"/>
        <v>5.697098505358988</v>
      </c>
      <c r="K29" s="83"/>
    </row>
    <row r="30" spans="1:256" ht="13.15" customHeight="1" x14ac:dyDescent="0.2">
      <c r="A30" s="145" t="s">
        <v>463</v>
      </c>
      <c r="B30" s="130"/>
      <c r="C30" s="130"/>
      <c r="D30" s="102"/>
      <c r="E30" s="130"/>
      <c r="F30" s="102"/>
      <c r="G30" s="130"/>
      <c r="H30" s="102"/>
      <c r="I30" s="130"/>
      <c r="J30" s="102"/>
      <c r="K30" s="83"/>
    </row>
    <row r="31" spans="1:256" ht="13.15" customHeight="1" x14ac:dyDescent="0.2">
      <c r="A31" s="127" t="s">
        <v>446</v>
      </c>
      <c r="B31" s="76">
        <f>A089B_C1</f>
        <v>4799920</v>
      </c>
      <c r="C31" s="76">
        <f>A089B_C2</f>
        <v>5159941</v>
      </c>
      <c r="D31" s="102">
        <f t="shared" ref="D31:D37" si="8">IF(C31="N/A", " ", IF(B31="N/A", " ",IF(AND(B31=0,C31=0,),"N/A",IF(ABS(B31)=0, "N/A", ((C31-B31)/ABS(B31))*100))))</f>
        <v>7.5005625093751567</v>
      </c>
      <c r="E31" s="76">
        <f>A089B_C3</f>
        <v>4032908</v>
      </c>
      <c r="F31" s="102">
        <f t="shared" ref="F31:F37" si="9">IF(E31="N/A", " ", IF(C31="N/A", " ",IF(AND(C31=0,E31=0,),"N/A",IF(ABS(C31)=0, "N/A", ((E31-C31)/ABS(C31))*100))))</f>
        <v>-21.841974549708997</v>
      </c>
      <c r="G31" s="76">
        <f>A089B_C4</f>
        <v>3982947</v>
      </c>
      <c r="H31" s="102">
        <f t="shared" ref="H31:H37" si="10">IF(G31="N/A", " ", IF(E31="N/A", " ",IF(AND(E31=0,G31=0,),"N/A",IF(ABS(E31)=0, "N/A", ((G31-E31)/ABS(E31))*100))))</f>
        <v>-1.2388331199223983</v>
      </c>
      <c r="I31" s="76">
        <f>A089B_C5</f>
        <v>4765647</v>
      </c>
      <c r="J31" s="102">
        <f t="shared" ref="J31:J37" si="11">IF(I31="N/A", " ", IF(G31="N/A", " ",IF(AND(G31=0,I31=0,),"N/A",IF(ABS(G31)=0, "N/A", ((I31-G31)/ABS(G31))*100))))</f>
        <v>19.651278312264765</v>
      </c>
      <c r="K31" s="83"/>
    </row>
    <row r="32" spans="1:256" ht="13.15" customHeight="1" x14ac:dyDescent="0.2">
      <c r="A32" s="127" t="s">
        <v>464</v>
      </c>
      <c r="B32" s="76">
        <f>IF(B8&lt;DATEVALUE("3/31/2022"),"N/A",ADL0009_C1)</f>
        <v>2464990</v>
      </c>
      <c r="C32" s="76">
        <f>IF(C8&lt;DATEVALUE("3/31/2022"),"N/A",ADL0009_C2)</f>
        <v>2523772</v>
      </c>
      <c r="D32" s="102">
        <f t="shared" si="8"/>
        <v>2.3846749885395075</v>
      </c>
      <c r="E32" s="76">
        <f>IF(E8&lt;DATEVALUE("3/31/2022"),"N/A",ADL0009_C3)</f>
        <v>1736980</v>
      </c>
      <c r="F32" s="102">
        <f t="shared" si="9"/>
        <v>-31.175240869618971</v>
      </c>
      <c r="G32" s="76">
        <f>IF(G8&lt;DATEVALUE("3/31/2022"),"N/A",ADL0009_C4)</f>
        <v>2071615</v>
      </c>
      <c r="H32" s="102">
        <f t="shared" si="10"/>
        <v>19.265334085596841</v>
      </c>
      <c r="I32" s="76">
        <f>IF(I8&lt;DATEVALUE("3/31/2022"),"N/A",ADL0009_C5)</f>
        <v>2367314</v>
      </c>
      <c r="J32" s="102">
        <f t="shared" si="11"/>
        <v>14.27383949237672</v>
      </c>
      <c r="K32" s="83"/>
    </row>
    <row r="33" spans="1:11" ht="13.15" customHeight="1" x14ac:dyDescent="0.2">
      <c r="A33" s="127" t="s">
        <v>465</v>
      </c>
      <c r="B33" s="76">
        <f>A127B_C1</f>
        <v>3178572</v>
      </c>
      <c r="C33" s="76">
        <f>A127B_C2</f>
        <v>3446155</v>
      </c>
      <c r="D33" s="102">
        <f t="shared" si="8"/>
        <v>8.4183400596242581</v>
      </c>
      <c r="E33" s="76">
        <f>A127B_C3</f>
        <v>2963995</v>
      </c>
      <c r="F33" s="102">
        <f t="shared" si="9"/>
        <v>-13.991245315431255</v>
      </c>
      <c r="G33" s="76">
        <f>A127B_C4</f>
        <v>2641686</v>
      </c>
      <c r="H33" s="102">
        <f t="shared" si="10"/>
        <v>-10.874141150710443</v>
      </c>
      <c r="I33" s="76">
        <f>A127B_C5</f>
        <v>3113559</v>
      </c>
      <c r="J33" s="102">
        <f t="shared" si="11"/>
        <v>17.862569586241513</v>
      </c>
      <c r="K33" s="83"/>
    </row>
    <row r="34" spans="1:11" ht="13.15" customHeight="1" x14ac:dyDescent="0.2">
      <c r="A34" s="127" t="s">
        <v>449</v>
      </c>
      <c r="B34" s="76">
        <f>A128B_C1</f>
        <v>350948</v>
      </c>
      <c r="C34" s="76">
        <f>A128B_C2</f>
        <v>159712</v>
      </c>
      <c r="D34" s="102">
        <f t="shared" si="8"/>
        <v>-54.491263662992807</v>
      </c>
      <c r="E34" s="76">
        <f>A128B_C3</f>
        <v>168907</v>
      </c>
      <c r="F34" s="102">
        <f t="shared" si="9"/>
        <v>5.7572380284512121</v>
      </c>
      <c r="G34" s="76">
        <f>A128B_C4</f>
        <v>121576</v>
      </c>
      <c r="H34" s="102">
        <f t="shared" si="10"/>
        <v>-28.021929227326282</v>
      </c>
      <c r="I34" s="76">
        <f>A128B_C5</f>
        <v>119419</v>
      </c>
      <c r="J34" s="102">
        <f t="shared" si="11"/>
        <v>-1.7741988550371783</v>
      </c>
      <c r="K34" s="83"/>
    </row>
    <row r="35" spans="1:11" ht="13.15" customHeight="1" x14ac:dyDescent="0.2">
      <c r="A35" s="86" t="s">
        <v>450</v>
      </c>
      <c r="B35" s="76">
        <f>A129B_C1</f>
        <v>74346</v>
      </c>
      <c r="C35" s="76">
        <f>A129B_C2</f>
        <v>7013</v>
      </c>
      <c r="D35" s="102">
        <f t="shared" si="8"/>
        <v>-90.567078255723246</v>
      </c>
      <c r="E35" s="76">
        <f>A129B_C3</f>
        <v>8283</v>
      </c>
      <c r="F35" s="102">
        <f t="shared" si="9"/>
        <v>18.109225723656067</v>
      </c>
      <c r="G35" s="76">
        <f>A129B_C4</f>
        <v>15598</v>
      </c>
      <c r="H35" s="102">
        <f t="shared" si="10"/>
        <v>88.31341301460823</v>
      </c>
      <c r="I35" s="76">
        <f>A129B_C5</f>
        <v>10617</v>
      </c>
      <c r="J35" s="102">
        <f t="shared" si="11"/>
        <v>-31.933581228362613</v>
      </c>
      <c r="K35" s="83"/>
    </row>
    <row r="36" spans="1:11" ht="13.15" customHeight="1" x14ac:dyDescent="0.2">
      <c r="A36" s="144" t="s">
        <v>466</v>
      </c>
      <c r="B36" s="76">
        <f>A130B_C1</f>
        <v>6068856</v>
      </c>
      <c r="C36" s="76">
        <f>A130B_C2</f>
        <v>6136652</v>
      </c>
      <c r="D36" s="102">
        <f t="shared" si="8"/>
        <v>1.1171133406361924</v>
      </c>
      <c r="E36" s="76">
        <f>A130B_C3</f>
        <v>4878165</v>
      </c>
      <c r="F36" s="102">
        <f t="shared" si="9"/>
        <v>-20.507713326419683</v>
      </c>
      <c r="G36" s="76">
        <f>A130B_C4</f>
        <v>4850475</v>
      </c>
      <c r="H36" s="102">
        <f t="shared" si="10"/>
        <v>-0.56763147618008003</v>
      </c>
      <c r="I36" s="76">
        <f>A130B_C5</f>
        <v>5610909</v>
      </c>
      <c r="J36" s="102">
        <f t="shared" si="11"/>
        <v>15.677516119555301</v>
      </c>
      <c r="K36" s="83"/>
    </row>
    <row r="37" spans="1:11" ht="13.15" customHeight="1" x14ac:dyDescent="0.2">
      <c r="A37" s="144" t="s">
        <v>467</v>
      </c>
      <c r="B37" s="131">
        <f>IF(A397A_C1=0, 0,(A130B_C1/A397A_C1)*100)</f>
        <v>4.664705122765592</v>
      </c>
      <c r="C37" s="131">
        <f>IF(A397A_C2=0, 0,(A130B_C2/A397A_C2)*100)</f>
        <v>4.357937776212041</v>
      </c>
      <c r="D37" s="102">
        <f t="shared" si="8"/>
        <v>-6.5763502403700906</v>
      </c>
      <c r="E37" s="131">
        <f>IF(A397A_C3=0, 0,(A130B_C3/A397A_C3)*100)</f>
        <v>3.9383259638750987</v>
      </c>
      <c r="F37" s="102">
        <f t="shared" si="9"/>
        <v>-9.6286783769013038</v>
      </c>
      <c r="G37" s="131">
        <f>IF(A397A_C4=0, 0,(A130B_C4/A397A_C4)*100)</f>
        <v>3.6842768487979569</v>
      </c>
      <c r="H37" s="102">
        <f t="shared" si="10"/>
        <v>-6.4506878660488347</v>
      </c>
      <c r="I37" s="131">
        <f>IF(A397A_C5=0, 0,(A130B_C5/A397A_C5)*100)</f>
        <v>4.0330000930602372</v>
      </c>
      <c r="J37" s="102">
        <f t="shared" si="11"/>
        <v>9.4651748110638252</v>
      </c>
      <c r="K37" s="83"/>
    </row>
    <row r="38" spans="1:11" ht="13.15" customHeight="1" x14ac:dyDescent="0.2">
      <c r="A38" s="153" t="s">
        <v>468</v>
      </c>
      <c r="B38" s="130"/>
      <c r="C38" s="130"/>
      <c r="D38" s="102"/>
      <c r="E38" s="130"/>
      <c r="F38" s="102"/>
      <c r="G38" s="130"/>
      <c r="H38" s="102"/>
      <c r="I38" s="130"/>
      <c r="J38" s="102"/>
      <c r="K38" s="83"/>
    </row>
    <row r="39" spans="1:11" ht="13.15" customHeight="1" x14ac:dyDescent="0.2">
      <c r="A39" s="127" t="s">
        <v>446</v>
      </c>
      <c r="B39" s="76">
        <f>A020T_C1</f>
        <v>48336850</v>
      </c>
      <c r="C39" s="76">
        <f>A020T_C2</f>
        <v>51769233</v>
      </c>
      <c r="D39" s="102">
        <f t="shared" ref="D39:D45" si="12">IF(C39="N/A", " ", IF(B39="N/A", " ",IF(AND(B39=0,C39=0,),"N/A",IF(ABS(B39)=0, "N/A", ((C39-B39)/ABS(B39))*100))))</f>
        <v>7.1009654125165369</v>
      </c>
      <c r="E39" s="76">
        <f>A020T_C3</f>
        <v>52422282</v>
      </c>
      <c r="F39" s="102">
        <f t="shared" ref="F39:F45" si="13">IF(E39="N/A", " ", IF(C39="N/A", " ",IF(AND(C39=0,E39=0,),"N/A",IF(ABS(C39)=0, "N/A", ((E39-C39)/ABS(C39))*100))))</f>
        <v>1.2614616098330065</v>
      </c>
      <c r="G39" s="76">
        <f>A020T_C4</f>
        <v>40643546</v>
      </c>
      <c r="H39" s="102">
        <f t="shared" ref="H39:H45" si="14">IF(G39="N/A", " ", IF(E39="N/A", " ",IF(AND(E39=0,G39=0,),"N/A",IF(ABS(E39)=0, "N/A", ((G39-E39)/ABS(E39))*100))))</f>
        <v>-22.468949367751677</v>
      </c>
      <c r="I39" s="76">
        <f>A020T_C5</f>
        <v>47070175</v>
      </c>
      <c r="J39" s="102">
        <f t="shared" ref="J39:J45" si="15">IF(I39="N/A", " ", IF(G39="N/A", " ",IF(AND(G39=0,I39=0,),"N/A",IF(ABS(G39)=0, "N/A", ((I39-G39)/ABS(G39))*100))))</f>
        <v>15.812175935633174</v>
      </c>
      <c r="K39" s="83"/>
    </row>
    <row r="40" spans="1:11" ht="13.15" customHeight="1" x14ac:dyDescent="0.2">
      <c r="A40" s="127" t="s">
        <v>469</v>
      </c>
      <c r="B40" s="76">
        <f>IF(B8&lt;DATEVALUE("3/31/2022"),"N/A",ADL0016_C1)</f>
        <v>28870292</v>
      </c>
      <c r="C40" s="76">
        <f>IF(C8&lt;DATEVALUE("3/31/2022"),"N/A",ADL0016_C2)</f>
        <v>26346962</v>
      </c>
      <c r="D40" s="102">
        <f t="shared" si="12"/>
        <v>-8.7402302685404081</v>
      </c>
      <c r="E40" s="76">
        <f>IF(E8&lt;DATEVALUE("3/31/2022"),"N/A",ADL0016_C3)</f>
        <v>25209196</v>
      </c>
      <c r="F40" s="102">
        <f t="shared" si="13"/>
        <v>-4.3183954187962925</v>
      </c>
      <c r="G40" s="76">
        <f>IF(G8&lt;DATEVALUE("3/31/2022"),"N/A",ADL0016_C4)</f>
        <v>26071951</v>
      </c>
      <c r="H40" s="102">
        <f t="shared" si="14"/>
        <v>3.4223820545486658</v>
      </c>
      <c r="I40" s="76">
        <f>IF(I8&lt;DATEVALUE("3/31/2022"),"N/A",ADL0016_C5)</f>
        <v>25138412</v>
      </c>
      <c r="J40" s="102">
        <f t="shared" si="15"/>
        <v>-3.5806257843918168</v>
      </c>
      <c r="K40" s="83"/>
    </row>
    <row r="41" spans="1:11" ht="13.15" customHeight="1" x14ac:dyDescent="0.2">
      <c r="A41" s="127" t="s">
        <v>470</v>
      </c>
      <c r="B41" s="76">
        <f>A021T_C1</f>
        <v>34437449</v>
      </c>
      <c r="C41" s="76">
        <f>A021T_C2</f>
        <v>38264720</v>
      </c>
      <c r="D41" s="102">
        <f t="shared" si="12"/>
        <v>11.113689054029525</v>
      </c>
      <c r="E41" s="76">
        <f>A021T_C3</f>
        <v>33749987</v>
      </c>
      <c r="F41" s="102">
        <f t="shared" si="13"/>
        <v>-11.798682964359859</v>
      </c>
      <c r="G41" s="76">
        <f>A021T_C4</f>
        <v>34267780</v>
      </c>
      <c r="H41" s="102">
        <f t="shared" si="14"/>
        <v>1.5342020724333909</v>
      </c>
      <c r="I41" s="76">
        <f>A021T_C5</f>
        <v>31456759</v>
      </c>
      <c r="J41" s="102">
        <f t="shared" si="15"/>
        <v>-8.2031021560194439</v>
      </c>
      <c r="K41" s="83"/>
    </row>
    <row r="42" spans="1:11" ht="13.15" customHeight="1" x14ac:dyDescent="0.2">
      <c r="A42" s="127" t="s">
        <v>449</v>
      </c>
      <c r="B42" s="76">
        <f>A022T_C1</f>
        <v>8896059</v>
      </c>
      <c r="C42" s="76">
        <f>A022T_C2</f>
        <v>9418705</v>
      </c>
      <c r="D42" s="102">
        <f t="shared" si="12"/>
        <v>5.8750284817130822</v>
      </c>
      <c r="E42" s="76">
        <f>A022T_C3</f>
        <v>7968988</v>
      </c>
      <c r="F42" s="102">
        <f t="shared" si="13"/>
        <v>-15.391893046867908</v>
      </c>
      <c r="G42" s="76">
        <f>A022T_C4</f>
        <v>8105527</v>
      </c>
      <c r="H42" s="102">
        <f t="shared" si="14"/>
        <v>1.7133794153034239</v>
      </c>
      <c r="I42" s="76">
        <f>A022T_C5</f>
        <v>9067618</v>
      </c>
      <c r="J42" s="102">
        <f t="shared" si="15"/>
        <v>11.869567518558632</v>
      </c>
      <c r="K42" s="83"/>
    </row>
    <row r="43" spans="1:11" ht="13.15" customHeight="1" x14ac:dyDescent="0.2">
      <c r="A43" s="86" t="s">
        <v>450</v>
      </c>
      <c r="B43" s="76">
        <f>A023T_C1</f>
        <v>5059347</v>
      </c>
      <c r="C43" s="76">
        <f>A023T_C2</f>
        <v>3970083</v>
      </c>
      <c r="D43" s="102">
        <f t="shared" si="12"/>
        <v>-21.529734963820431</v>
      </c>
      <c r="E43" s="76">
        <f>A023T_C3</f>
        <v>4937542</v>
      </c>
      <c r="F43" s="102">
        <f t="shared" si="13"/>
        <v>24.368734860203176</v>
      </c>
      <c r="G43" s="76">
        <f>A023T_C4</f>
        <v>4727631</v>
      </c>
      <c r="H43" s="102">
        <f t="shared" si="14"/>
        <v>-4.2513258621395016</v>
      </c>
      <c r="I43" s="76">
        <f>A023T_C5</f>
        <v>4536172</v>
      </c>
      <c r="J43" s="102">
        <f t="shared" si="15"/>
        <v>-4.0497873036199312</v>
      </c>
      <c r="K43" s="83"/>
    </row>
    <row r="44" spans="1:11" ht="13.15" customHeight="1" x14ac:dyDescent="0.2">
      <c r="A44" s="86" t="s">
        <v>471</v>
      </c>
      <c r="B44" s="76">
        <f>A041T_C1</f>
        <v>77263147</v>
      </c>
      <c r="C44" s="76">
        <f>A041T_C2</f>
        <v>78000470</v>
      </c>
      <c r="D44" s="102">
        <f t="shared" si="12"/>
        <v>0.9543010201228278</v>
      </c>
      <c r="E44" s="76">
        <f>A041T_C3</f>
        <v>71865713</v>
      </c>
      <c r="F44" s="102">
        <f t="shared" si="13"/>
        <v>-7.8650256851016414</v>
      </c>
      <c r="G44" s="76">
        <f>A041T_C4</f>
        <v>73172889</v>
      </c>
      <c r="H44" s="102">
        <f t="shared" si="14"/>
        <v>1.8189146749298932</v>
      </c>
      <c r="I44" s="76">
        <f>A041T_C5</f>
        <v>70198961</v>
      </c>
      <c r="J44" s="102">
        <f t="shared" si="15"/>
        <v>-4.064248440429898</v>
      </c>
      <c r="K44" s="83"/>
    </row>
    <row r="45" spans="1:11" ht="24" customHeight="1" x14ac:dyDescent="0.2">
      <c r="A45" s="144" t="s">
        <v>472</v>
      </c>
      <c r="B45" s="131">
        <f>IF(A698A_C1=0,0,(A041T_C1/A698A_C1))*100</f>
        <v>1.0871019499144676</v>
      </c>
      <c r="C45" s="131">
        <f>IF(A698A_C2=0,0,(A041T_C2/A698A_C2))*100</f>
        <v>1.1215553302470558</v>
      </c>
      <c r="D45" s="102">
        <f t="shared" si="12"/>
        <v>3.169286959268073</v>
      </c>
      <c r="E45" s="131">
        <f>IF(A698A_C3=0,0,(A041T_C3/A698A_C3))*100</f>
        <v>1.0388620802337829</v>
      </c>
      <c r="F45" s="102">
        <f t="shared" si="13"/>
        <v>-7.3730869786921032</v>
      </c>
      <c r="G45" s="131">
        <f>IF(A698A_C4=0,0,(A041T_C4/A698A_C4))*100</f>
        <v>1.0960848067978346</v>
      </c>
      <c r="H45" s="102">
        <f t="shared" si="14"/>
        <v>5.5082120767344245</v>
      </c>
      <c r="I45" s="131">
        <f>IF(A698A_C5=0,0,(A041T_C5/A698A_C5))*100</f>
        <v>1.0537247597506925</v>
      </c>
      <c r="J45" s="102">
        <f t="shared" si="15"/>
        <v>-3.8646687541354781</v>
      </c>
      <c r="K45" s="83"/>
    </row>
    <row r="46" spans="1:11" x14ac:dyDescent="0.2">
      <c r="A46" s="175" t="s">
        <v>86</v>
      </c>
      <c r="B46" s="219"/>
      <c r="C46" s="219"/>
      <c r="D46" s="212"/>
      <c r="E46" s="219"/>
      <c r="F46" s="212"/>
      <c r="G46" s="219"/>
      <c r="H46" s="212"/>
      <c r="I46" s="219"/>
      <c r="J46" s="212"/>
      <c r="K46" s="83"/>
    </row>
    <row r="47" spans="1:11" x14ac:dyDescent="0.2">
      <c r="A47" s="107" t="s">
        <v>473</v>
      </c>
      <c r="B47" s="83"/>
      <c r="C47" s="83"/>
      <c r="D47" s="188"/>
      <c r="E47" s="83"/>
      <c r="F47" s="188"/>
      <c r="G47" s="83"/>
      <c r="H47" s="188"/>
      <c r="I47" s="213" t="s">
        <v>474</v>
      </c>
      <c r="J47" s="188"/>
      <c r="K47" s="83"/>
    </row>
    <row r="75" spans="1:10" x14ac:dyDescent="0.2">
      <c r="B75" s="30"/>
      <c r="C75" s="30"/>
      <c r="E75" s="30"/>
      <c r="G75" s="30"/>
    </row>
    <row r="76" spans="1:10" ht="24" customHeight="1" x14ac:dyDescent="0.2">
      <c r="B76" s="110"/>
      <c r="C76" s="110"/>
      <c r="D76" s="110"/>
      <c r="E76" s="110"/>
      <c r="F76" s="110"/>
      <c r="G76" s="110"/>
    </row>
    <row r="77" spans="1:10" ht="12.75" customHeight="1" x14ac:dyDescent="0.2">
      <c r="A77" s="107"/>
      <c r="B77" s="169"/>
      <c r="C77" s="169"/>
      <c r="D77" s="169"/>
      <c r="E77" s="169"/>
      <c r="F77" s="169"/>
      <c r="I77" s="106"/>
      <c r="J77" s="105"/>
    </row>
    <row r="78" spans="1:10" x14ac:dyDescent="0.2">
      <c r="A78" s="110"/>
      <c r="B78" s="30"/>
      <c r="C78" s="32"/>
      <c r="D78" s="55"/>
      <c r="E78" s="32"/>
      <c r="G78" s="30"/>
    </row>
    <row r="79" spans="1:10" x14ac:dyDescent="0.2">
      <c r="A79" s="110"/>
      <c r="B79" s="30"/>
      <c r="C79" s="30"/>
      <c r="E79" s="30"/>
      <c r="G79" s="30"/>
      <c r="I79" s="30"/>
    </row>
    <row r="80" spans="1:10" x14ac:dyDescent="0.2">
      <c r="A80" s="30"/>
      <c r="B80" s="63"/>
      <c r="C80" s="63"/>
      <c r="D80" s="64"/>
      <c r="E80" s="63"/>
      <c r="F80" s="64"/>
      <c r="G80" s="63"/>
      <c r="H80" s="64"/>
      <c r="I80" s="63"/>
      <c r="J80" s="64"/>
    </row>
    <row r="81" spans="1:1" x14ac:dyDescent="0.2">
      <c r="A81" s="30"/>
    </row>
    <row r="82" spans="1:1" x14ac:dyDescent="0.2">
      <c r="A82" s="62"/>
    </row>
  </sheetData>
  <mergeCells count="1">
    <mergeCell ref="D5:J5"/>
  </mergeCells>
  <phoneticPr fontId="2" type="noConversion"/>
  <hyperlinks>
    <hyperlink ref="A2" location="'Cover Page'!A1" display="Return to cover" xr:uid="{00000000-0004-0000-0900-000000000000}"/>
  </hyperlinks>
  <printOptions horizontalCentered="1" verticalCentered="1" gridLines="1"/>
  <pageMargins left="0.25" right="0.25" top="0.5" bottom="0.5" header="0.5" footer="0.5"/>
  <pageSetup orientation="landscape" r:id="rId1"/>
  <headerFooter alignWithMargins="0"/>
  <ignoredErrors>
    <ignoredError sqref="G21:I22 G38:I38 H34:H37 H42:H45 G14:I15 H10:H12 G26:I28 H23:H24 H31:H32 H39:H40 G30:I30 H29"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8">
    <pageSetUpPr fitToPage="1"/>
  </sheetPr>
  <dimension ref="A1:K58"/>
  <sheetViews>
    <sheetView workbookViewId="0"/>
  </sheetViews>
  <sheetFormatPr defaultRowHeight="12.75" x14ac:dyDescent="0.2"/>
  <cols>
    <col min="1" max="1" width="59" customWidth="1"/>
    <col min="2" max="3" width="16.7109375" customWidth="1"/>
    <col min="4" max="4" width="7.140625" customWidth="1"/>
    <col min="5" max="5" width="16.7109375" customWidth="1"/>
    <col min="6" max="6" width="6.7109375" customWidth="1"/>
    <col min="7" max="7" width="16.7109375" customWidth="1"/>
    <col min="8" max="8" width="6.7109375" customWidth="1"/>
    <col min="9" max="9" width="16.7109375" customWidth="1"/>
    <col min="10" max="10" width="6.7109375" customWidth="1"/>
  </cols>
  <sheetData>
    <row r="1" spans="1:11" x14ac:dyDescent="0.2">
      <c r="A1" s="62"/>
      <c r="B1" s="62"/>
      <c r="C1" s="85" t="s">
        <v>475</v>
      </c>
      <c r="D1" s="118"/>
      <c r="E1" s="62"/>
      <c r="F1" s="119"/>
      <c r="G1" s="62"/>
      <c r="H1" s="119"/>
      <c r="I1" s="62"/>
      <c r="J1" s="119"/>
    </row>
    <row r="2" spans="1:11" x14ac:dyDescent="0.2">
      <c r="A2" s="28" t="s">
        <v>49</v>
      </c>
      <c r="B2" s="62"/>
      <c r="C2" s="67" t="s">
        <v>50</v>
      </c>
      <c r="D2" s="87" t="str">
        <f>IF(CU_NUMBER="","N/A",CU_NUMBER)</f>
        <v>N/A</v>
      </c>
      <c r="E2" s="120"/>
      <c r="F2" s="119"/>
      <c r="G2" s="62"/>
      <c r="H2" s="119"/>
      <c r="I2" s="62"/>
      <c r="J2" s="119"/>
    </row>
    <row r="3" spans="1:11" x14ac:dyDescent="0.2">
      <c r="A3" s="121" t="str">
        <f>IF(Request_Date=0,"N/A",Request_Date)</f>
        <v>12/05/2025</v>
      </c>
      <c r="B3" s="62"/>
      <c r="C3" s="67" t="s">
        <v>42</v>
      </c>
      <c r="D3" s="75">
        <f>IF(CountCu_C5=0,"N/A",CountCu_C5)</f>
        <v>4331</v>
      </c>
      <c r="E3" s="120"/>
      <c r="F3" s="119"/>
      <c r="G3" s="62"/>
      <c r="H3" s="119"/>
      <c r="I3" s="62"/>
      <c r="J3" s="119"/>
    </row>
    <row r="4" spans="1:11" x14ac:dyDescent="0.2">
      <c r="A4" s="74" t="str">
        <f>"CU Name:      "&amp;IF(Cu_Name="","N/A",Cu_Name)</f>
        <v>CU Name:      N/A</v>
      </c>
      <c r="B4" s="62"/>
      <c r="C4" s="67" t="s">
        <v>43</v>
      </c>
      <c r="D4" s="89" t="str">
        <f>IF(AssetRange="","N/A",AssetRange)</f>
        <v>N/A</v>
      </c>
      <c r="E4" s="75"/>
      <c r="F4" s="119"/>
      <c r="G4" s="62"/>
      <c r="H4" s="119"/>
      <c r="I4" s="62"/>
      <c r="J4" s="119"/>
    </row>
    <row r="5" spans="1:11" x14ac:dyDescent="0.2">
      <c r="A5" s="74" t="str">
        <f>"Peer Group:      "&amp;IF(Peer_Group="","N/A",IF(Peer_Group="0","N/A",Peer_Group))</f>
        <v>Peer Group:      N/A</v>
      </c>
      <c r="B5" s="90"/>
      <c r="C5" s="67" t="s">
        <v>51</v>
      </c>
      <c r="D5" s="24" t="str">
        <f>IF(_xlnm.Criteria="","N/A",_xlnm.Criteria)</f>
        <v xml:space="preserve">Region: Nation * Peer Group: All * Types Included: All  Federally Insured Credit Unions  (FICUs) *  </v>
      </c>
      <c r="E5" s="23"/>
      <c r="F5" s="23"/>
      <c r="G5" s="23"/>
      <c r="H5" s="23"/>
      <c r="I5" s="23"/>
      <c r="J5" s="23"/>
    </row>
    <row r="6" spans="1:11" x14ac:dyDescent="0.2">
      <c r="A6" s="74"/>
      <c r="B6" s="67"/>
      <c r="C6" s="67" t="s">
        <v>45</v>
      </c>
      <c r="D6" s="75" t="str">
        <f>IF(NoCu_in_Peer_Group="","N/A",NoCu_in_Peer_Group)</f>
        <v>N/A</v>
      </c>
      <c r="E6" s="75" t="str">
        <f>IF(CU_NUMBER&gt;0,"",IF(RetPop=0,"Retroactive Population",""))</f>
        <v/>
      </c>
      <c r="F6" s="119"/>
      <c r="G6" s="62"/>
      <c r="H6" s="119"/>
      <c r="I6" s="62"/>
      <c r="J6" s="119"/>
    </row>
    <row r="7" spans="1:11" x14ac:dyDescent="0.2">
      <c r="A7" s="29"/>
      <c r="D7" s="54"/>
      <c r="E7" s="32"/>
      <c r="F7" s="54"/>
      <c r="G7" s="30"/>
      <c r="H7" s="54"/>
      <c r="I7" s="30"/>
      <c r="J7" s="54"/>
    </row>
    <row r="8" spans="1:11" ht="13.15" customHeight="1" x14ac:dyDescent="0.2">
      <c r="A8" s="145"/>
      <c r="B8" s="139">
        <f>(CycDat_C1)</f>
        <v>45565</v>
      </c>
      <c r="C8" s="139">
        <f>(CycDat_C2)</f>
        <v>45657</v>
      </c>
      <c r="D8" s="184" t="s">
        <v>52</v>
      </c>
      <c r="E8" s="139">
        <f>(CycDat_C3)</f>
        <v>45747</v>
      </c>
      <c r="F8" s="184" t="s">
        <v>52</v>
      </c>
      <c r="G8" s="139">
        <f>(CycDat_C4)</f>
        <v>45838</v>
      </c>
      <c r="H8" s="184" t="s">
        <v>52</v>
      </c>
      <c r="I8" s="139">
        <f>(CycDat_C5)</f>
        <v>45930</v>
      </c>
      <c r="J8" s="184" t="s">
        <v>52</v>
      </c>
      <c r="K8" s="83"/>
    </row>
    <row r="9" spans="1:11" ht="13.15" customHeight="1" x14ac:dyDescent="0.2">
      <c r="A9" s="145" t="s">
        <v>476</v>
      </c>
      <c r="B9" s="86"/>
      <c r="C9" s="86"/>
      <c r="D9" s="86"/>
      <c r="E9" s="86"/>
      <c r="F9" s="86"/>
      <c r="G9" s="86"/>
      <c r="H9" s="86"/>
      <c r="I9" s="86"/>
      <c r="J9" s="86"/>
      <c r="K9" s="83"/>
    </row>
    <row r="10" spans="1:11" ht="13.15" customHeight="1" x14ac:dyDescent="0.2">
      <c r="A10" s="145" t="s">
        <v>477</v>
      </c>
      <c r="B10" s="86"/>
      <c r="C10" s="86"/>
      <c r="D10" s="86"/>
      <c r="E10" s="86"/>
      <c r="F10" s="86"/>
      <c r="G10" s="86"/>
      <c r="H10" s="86"/>
      <c r="I10" s="86"/>
      <c r="J10" s="86"/>
      <c r="K10" s="83"/>
    </row>
    <row r="11" spans="1:11" ht="13.15" customHeight="1" x14ac:dyDescent="0.2">
      <c r="A11" s="127" t="s">
        <v>446</v>
      </c>
      <c r="B11" s="76">
        <f>IF(B8&lt;DATEVALUE("3/31/2022"),"N/A",ADL0022_C1)</f>
        <v>837630350</v>
      </c>
      <c r="C11" s="76">
        <f>IF(C8&lt;DATEVALUE("3/31/2022"),"N/A",ADL0022_C2)</f>
        <v>910550446</v>
      </c>
      <c r="D11" s="102">
        <f t="shared" ref="D11:D17" si="0">IF(C11="N/A", " ", IF(B11="N/A", " ",IF(AND(B11=0,C11=0,),"N/A",IF(ABS(B11)=0, "N/A", ((C11-B11)/ABS(B11))*100))))</f>
        <v>8.7055221912625296</v>
      </c>
      <c r="E11" s="76">
        <f>IF(E8&lt;DATEVALUE("3/31/2022"),"N/A",ADL0022_C3)</f>
        <v>806405021</v>
      </c>
      <c r="F11" s="102">
        <f t="shared" ref="F11:F17" si="1">IF(E11="N/A", " ", IF(C11="N/A", " ",IF(AND(C11=0,E11=0,),"N/A",IF(ABS(C11)=0, "N/A", ((E11-C11)/ABS(C11))*100))))</f>
        <v>-11.437633736549726</v>
      </c>
      <c r="G11" s="76">
        <f>IF(G8&lt;DATEVALUE("3/31/2022"),"N/A",ADL0022_C4)</f>
        <v>782924727</v>
      </c>
      <c r="H11" s="102">
        <f t="shared" ref="H11:H17" si="2">IF(G11="N/A", " ", IF(E11="N/A", " ",IF(AND(E11=0,G11=0,),"N/A",IF(ABS(E11)=0, "N/A", ((G11-E11)/ABS(E11))*100))))</f>
        <v>-2.9117246778650698</v>
      </c>
      <c r="I11" s="76">
        <f>IF(I8&lt;DATEVALUE("3/31/2022"),"N/A",ADL0022_C5)</f>
        <v>792847181</v>
      </c>
      <c r="J11" s="102">
        <f t="shared" ref="J11:J17" si="3">IF(I11="N/A", " ", IF(G11="N/A", " ",IF(AND(G11=0,I11=0,),"N/A",IF(ABS(G11)=0, "N/A", ((I11-G11)/ABS(G11))*100))))</f>
        <v>1.2673573407268308</v>
      </c>
      <c r="K11" s="83"/>
    </row>
    <row r="12" spans="1:11" ht="13.15" customHeight="1" x14ac:dyDescent="0.2">
      <c r="A12" s="127" t="s">
        <v>478</v>
      </c>
      <c r="B12" s="76">
        <f>IF(B8&lt;DATEVALUE("3/31/2022"),"N/A",ADL0023_C1)</f>
        <v>457734346</v>
      </c>
      <c r="C12" s="76">
        <f>IF(C8&lt;DATEVALUE("3/31/2022"),"N/A",ADL0023_C2)</f>
        <v>466716694</v>
      </c>
      <c r="D12" s="102">
        <f t="shared" si="0"/>
        <v>1.9623495764506167</v>
      </c>
      <c r="E12" s="76">
        <f>IF(E8&lt;DATEVALUE("3/31/2022"),"N/A",ADL0023_C3)</f>
        <v>377723335</v>
      </c>
      <c r="F12" s="102">
        <f t="shared" si="1"/>
        <v>-19.067961387299338</v>
      </c>
      <c r="G12" s="76">
        <f>IF(G8&lt;DATEVALUE("3/31/2022"),"N/A",ADL0023_C4)</f>
        <v>423273811</v>
      </c>
      <c r="H12" s="102">
        <f t="shared" si="2"/>
        <v>12.059216833929522</v>
      </c>
      <c r="I12" s="76">
        <f>IF(I8&lt;DATEVALUE("3/31/2022"),"N/A",ADL0023_C5)</f>
        <v>437348617</v>
      </c>
      <c r="J12" s="102">
        <f t="shared" si="3"/>
        <v>3.3252248625417558</v>
      </c>
      <c r="K12" s="83"/>
    </row>
    <row r="13" spans="1:11" ht="13.15" customHeight="1" x14ac:dyDescent="0.2">
      <c r="A13" s="127" t="s">
        <v>479</v>
      </c>
      <c r="B13" s="76">
        <f>IF(B8&lt;DATEVALUE("3/31/2022"),"N/A",ADL0024_C1)</f>
        <v>735681747</v>
      </c>
      <c r="C13" s="76">
        <f>IF(C8&lt;DATEVALUE("3/31/2022"),"N/A",ADL0024_C2)</f>
        <v>747939720</v>
      </c>
      <c r="D13" s="102">
        <f t="shared" si="0"/>
        <v>1.6662059443483788</v>
      </c>
      <c r="E13" s="76">
        <f>IF(E8&lt;DATEVALUE("3/31/2022"),"N/A",ADL0024_C3)</f>
        <v>680885722</v>
      </c>
      <c r="F13" s="102">
        <f t="shared" si="1"/>
        <v>-8.9651607217758134</v>
      </c>
      <c r="G13" s="76">
        <f>IF(G8&lt;DATEVALUE("3/31/2022"),"N/A",ADL0024_C4)</f>
        <v>653064490</v>
      </c>
      <c r="H13" s="102">
        <f t="shared" si="2"/>
        <v>-4.0860354536851347</v>
      </c>
      <c r="I13" s="76">
        <f>IF(I8&lt;DATEVALUE("3/31/2022"),"N/A",ADL0024_C5)</f>
        <v>684390086</v>
      </c>
      <c r="J13" s="102">
        <f t="shared" si="3"/>
        <v>4.7967079024615167</v>
      </c>
      <c r="K13" s="83"/>
    </row>
    <row r="14" spans="1:11" ht="13.15" customHeight="1" x14ac:dyDescent="0.2">
      <c r="A14" s="127" t="s">
        <v>449</v>
      </c>
      <c r="B14" s="76">
        <f>IF(B8&lt;DATEVALUE("3/31/2022"),"N/A",ADL0025_C1)</f>
        <v>69821317</v>
      </c>
      <c r="C14" s="76">
        <f>IF(C8&lt;DATEVALUE("3/31/2022"),"N/A",ADL0025_C2)</f>
        <v>64205207</v>
      </c>
      <c r="D14" s="102">
        <f t="shared" si="0"/>
        <v>-8.0435463570531045</v>
      </c>
      <c r="E14" s="76">
        <f>IF(E8&lt;DATEVALUE("3/31/2022"),"N/A",ADL0025_C3)</f>
        <v>65719132</v>
      </c>
      <c r="F14" s="102">
        <f t="shared" si="1"/>
        <v>2.3579473857938034</v>
      </c>
      <c r="G14" s="76">
        <f>IF(G8&lt;DATEVALUE("3/31/2022"),"N/A",ADL0025_C4)</f>
        <v>67391072</v>
      </c>
      <c r="H14" s="102">
        <f t="shared" si="2"/>
        <v>2.5440689021881786</v>
      </c>
      <c r="I14" s="76">
        <f>IF(I8&lt;DATEVALUE("3/31/2022"),"N/A",ADL0025_C5)</f>
        <v>61920798</v>
      </c>
      <c r="J14" s="102">
        <f t="shared" si="3"/>
        <v>-8.1172087602345897</v>
      </c>
      <c r="K14" s="83"/>
    </row>
    <row r="15" spans="1:11" ht="13.15" customHeight="1" x14ac:dyDescent="0.2">
      <c r="A15" s="127" t="s">
        <v>480</v>
      </c>
      <c r="B15" s="76">
        <f>IF(B8&lt;DATEVALUE("3/31/2022"),"N/A",ADL0026_C1)</f>
        <v>12340347</v>
      </c>
      <c r="C15" s="76">
        <f>IF(C8&lt;DATEVALUE("3/31/2022"),"N/A",ADL0026_C2)</f>
        <v>10958837</v>
      </c>
      <c r="D15" s="102">
        <f t="shared" si="0"/>
        <v>-11.19506607067046</v>
      </c>
      <c r="E15" s="76">
        <f>IF(E8&lt;DATEVALUE("3/31/2022"),"N/A",ADL0026_C3)</f>
        <v>10964792</v>
      </c>
      <c r="F15" s="102">
        <f t="shared" si="1"/>
        <v>5.4339707762785419E-2</v>
      </c>
      <c r="G15" s="76">
        <f>IF(G8&lt;DATEVALUE("3/31/2022"),"N/A",ADL0026_C4)</f>
        <v>11298361</v>
      </c>
      <c r="H15" s="102">
        <f t="shared" si="2"/>
        <v>3.0421826515268142</v>
      </c>
      <c r="I15" s="76">
        <f>IF(I8&lt;DATEVALUE("3/31/2022"),"N/A",ADL0026_C5)</f>
        <v>11372801</v>
      </c>
      <c r="J15" s="102">
        <f t="shared" si="3"/>
        <v>0.65885662531052069</v>
      </c>
      <c r="K15" s="83"/>
    </row>
    <row r="16" spans="1:11" ht="13.15" customHeight="1" x14ac:dyDescent="0.2">
      <c r="A16" s="127" t="s">
        <v>481</v>
      </c>
      <c r="B16" s="76">
        <f>IF(B8&lt;DATEVALUE("3/31/2022"),"N/A",ADL0027_C1)</f>
        <v>1275577757</v>
      </c>
      <c r="C16" s="76">
        <f>IF(C8&lt;DATEVALUE("3/31/2022"),"N/A",ADL0027_C2)</f>
        <v>1289820458</v>
      </c>
      <c r="D16" s="102">
        <f t="shared" si="0"/>
        <v>1.1165686232642578</v>
      </c>
      <c r="E16" s="76">
        <f>IF(E8&lt;DATEVALUE("3/31/2022"),"N/A",ADL0027_C3)</f>
        <v>1135292981</v>
      </c>
      <c r="F16" s="102">
        <f t="shared" si="1"/>
        <v>-11.980541635973958</v>
      </c>
      <c r="G16" s="76">
        <f>IF(G8&lt;DATEVALUE("3/31/2022"),"N/A",ADL0027_C4)</f>
        <v>1155027734</v>
      </c>
      <c r="H16" s="102">
        <f t="shared" si="2"/>
        <v>1.7382960460670722</v>
      </c>
      <c r="I16" s="76">
        <f>IF(I8&lt;DATEVALUE("3/31/2022"),"N/A",ADL0027_C5)</f>
        <v>1195032302</v>
      </c>
      <c r="J16" s="102">
        <f t="shared" si="3"/>
        <v>3.4635157946778792</v>
      </c>
      <c r="K16" s="83"/>
    </row>
    <row r="17" spans="1:11" ht="24.75" customHeight="1" x14ac:dyDescent="0.2">
      <c r="A17" s="153" t="s">
        <v>482</v>
      </c>
      <c r="B17" s="131">
        <f>IF(B8&lt;DATEVALUE("3/31/2022"),"N/A",IF(A397_C1=0,0,(ADL0027_C1/A397_C1))*100)</f>
        <v>1.8115062781890834</v>
      </c>
      <c r="C17" s="131">
        <f>IF(C8&lt;DATEVALUE("3/31/2022"),"N/A",IF(A397_C2=0,0,(ADL0027_C2/A397_C2))*100)</f>
        <v>1.8209812031788435</v>
      </c>
      <c r="D17" s="102">
        <f t="shared" si="0"/>
        <v>0.52304124494848259</v>
      </c>
      <c r="E17" s="131">
        <f>IF(E8&lt;DATEVALUE("3/31/2022"),"N/A",IF(A397_C3=0,0,(ADL0027_C3/A397_C3))*100)</f>
        <v>1.6304032726442195</v>
      </c>
      <c r="F17" s="102">
        <f t="shared" si="1"/>
        <v>-10.465672583656364</v>
      </c>
      <c r="G17" s="131">
        <f>IF(G8&lt;DATEVALUE("3/31/2022"),"N/A",IF(A397_C4=0,0,(ADL0027_C4/A397_C4))*100)</f>
        <v>1.6354217277513392</v>
      </c>
      <c r="H17" s="102">
        <f t="shared" si="2"/>
        <v>0.307804528567997</v>
      </c>
      <c r="I17" s="131">
        <f>IF(I8&lt;DATEVALUE("3/31/2022"),"N/A",IF(A397_C5=0,0,(ADL0027_C5/A397_C5))*100)</f>
        <v>1.6764649766909407</v>
      </c>
      <c r="J17" s="102">
        <f t="shared" si="3"/>
        <v>2.5096431240420722</v>
      </c>
      <c r="K17" s="83"/>
    </row>
    <row r="18" spans="1:11" ht="13.15" customHeight="1" x14ac:dyDescent="0.2">
      <c r="A18" s="153" t="s">
        <v>483</v>
      </c>
      <c r="B18" s="76"/>
      <c r="C18" s="76"/>
      <c r="D18" s="102"/>
      <c r="E18" s="76"/>
      <c r="F18" s="102"/>
      <c r="G18" s="76"/>
      <c r="H18" s="102"/>
      <c r="I18" s="76"/>
      <c r="J18" s="102"/>
      <c r="K18" s="83"/>
    </row>
    <row r="19" spans="1:11" ht="13.15" customHeight="1" x14ac:dyDescent="0.2">
      <c r="A19" s="127" t="s">
        <v>446</v>
      </c>
      <c r="B19" s="76">
        <f>A020C1_C1</f>
        <v>1679501110</v>
      </c>
      <c r="C19" s="76">
        <f>A020C1_C2</f>
        <v>1863339064</v>
      </c>
      <c r="D19" s="102">
        <f t="shared" ref="D19:D25" si="4">IF(C19="N/A", " ", IF(B19="N/A", " ",IF(AND(B19=0,C19=0,),"N/A",IF(ABS(B19)=0, "N/A", ((C19-B19)/ABS(B19))*100))))</f>
        <v>10.945985858860194</v>
      </c>
      <c r="E19" s="76">
        <f>A020C1_C3</f>
        <v>1625857499</v>
      </c>
      <c r="F19" s="102">
        <f t="shared" ref="F19:F25" si="5">IF(E19="N/A", " ", IF(C19="N/A", " ",IF(AND(C19=0,E19=0,),"N/A",IF(ABS(C19)=0, "N/A", ((E19-C19)/ABS(C19))*100))))</f>
        <v>-12.744946402304375</v>
      </c>
      <c r="G19" s="76">
        <f>A020C1_C4</f>
        <v>1629735738</v>
      </c>
      <c r="H19" s="102">
        <f t="shared" ref="H19:H25" si="6">IF(G19="N/A", " ", IF(E19="N/A", " ",IF(AND(E19=0,G19=0,),"N/A",IF(ABS(E19)=0, "N/A", ((G19-E19)/ABS(E19))*100))))</f>
        <v>0.23853498860664912</v>
      </c>
      <c r="I19" s="76">
        <f>A020C1_C5</f>
        <v>1660900321</v>
      </c>
      <c r="J19" s="102">
        <f t="shared" ref="J19:J25" si="7">IF(I19="N/A", " ", IF(G19="N/A", " ",IF(AND(G19=0,I19=0,),"N/A",IF(ABS(G19)=0, "N/A", ((I19-G19)/ABS(G19))*100))))</f>
        <v>1.9122476284557</v>
      </c>
      <c r="K19" s="83"/>
    </row>
    <row r="20" spans="1:11" ht="13.15" customHeight="1" x14ac:dyDescent="0.2">
      <c r="A20" s="127" t="s">
        <v>484</v>
      </c>
      <c r="B20" s="76">
        <f>IF(B8&lt;DATEVALUE("3/31/2022"),"N/A",ADL0030_C1)</f>
        <v>424386159</v>
      </c>
      <c r="C20" s="76">
        <f>IF(C8&lt;DATEVALUE("3/31/2022"),"N/A",ADL0030_C2)</f>
        <v>471243442</v>
      </c>
      <c r="D20" s="102">
        <f t="shared" si="4"/>
        <v>11.041190200550343</v>
      </c>
      <c r="E20" s="76">
        <f>IF(E8&lt;DATEVALUE("3/31/2022"),"N/A",ADL0030_C3)</f>
        <v>349334073</v>
      </c>
      <c r="F20" s="102">
        <f t="shared" si="5"/>
        <v>-25.86972212973523</v>
      </c>
      <c r="G20" s="76">
        <f>IF(G8&lt;DATEVALUE("3/31/2022"),"N/A",ADL0030_C4)</f>
        <v>412015724</v>
      </c>
      <c r="H20" s="102">
        <f t="shared" si="6"/>
        <v>17.943182713814466</v>
      </c>
      <c r="I20" s="76">
        <f>IF(I8&lt;DATEVALUE("3/31/2022"),"N/A",ADL0030_C5)</f>
        <v>422495551</v>
      </c>
      <c r="J20" s="102">
        <f t="shared" si="7"/>
        <v>2.5435502553781175</v>
      </c>
      <c r="K20" s="83"/>
    </row>
    <row r="21" spans="1:11" ht="13.15" customHeight="1" x14ac:dyDescent="0.2">
      <c r="A21" s="127" t="s">
        <v>485</v>
      </c>
      <c r="B21" s="76">
        <f>A021C1_C1</f>
        <v>353537059</v>
      </c>
      <c r="C21" s="76">
        <f>A021C1_C2</f>
        <v>374239572</v>
      </c>
      <c r="D21" s="102">
        <f t="shared" si="4"/>
        <v>5.8558254284736808</v>
      </c>
      <c r="E21" s="76">
        <f>A021C1_C3</f>
        <v>326722227</v>
      </c>
      <c r="F21" s="102">
        <f t="shared" si="5"/>
        <v>-12.697039157580054</v>
      </c>
      <c r="G21" s="76">
        <f>A021C1_C4</f>
        <v>316463328</v>
      </c>
      <c r="H21" s="102">
        <f t="shared" si="6"/>
        <v>-3.139945235498165</v>
      </c>
      <c r="I21" s="76">
        <f>A021C1_C5</f>
        <v>352001439</v>
      </c>
      <c r="J21" s="102">
        <f t="shared" si="7"/>
        <v>11.229772253422047</v>
      </c>
      <c r="K21" s="83"/>
    </row>
    <row r="22" spans="1:11" ht="13.15" customHeight="1" x14ac:dyDescent="0.2">
      <c r="A22" s="127" t="s">
        <v>449</v>
      </c>
      <c r="B22" s="76">
        <f>A022C1_C1</f>
        <v>82145017</v>
      </c>
      <c r="C22" s="76">
        <f>A022C1_C2</f>
        <v>91655238</v>
      </c>
      <c r="D22" s="102">
        <f t="shared" si="4"/>
        <v>11.577355933835889</v>
      </c>
      <c r="E22" s="76">
        <f>A022C1_C3</f>
        <v>96650810</v>
      </c>
      <c r="F22" s="102">
        <f t="shared" si="5"/>
        <v>5.4503944444506267</v>
      </c>
      <c r="G22" s="76">
        <f>A022C1_C4</f>
        <v>82533950</v>
      </c>
      <c r="H22" s="102">
        <f t="shared" si="6"/>
        <v>-14.60604417076277</v>
      </c>
      <c r="I22" s="76">
        <f>A022C1_C5</f>
        <v>86407119</v>
      </c>
      <c r="J22" s="102">
        <f t="shared" si="7"/>
        <v>4.6928191368521679</v>
      </c>
      <c r="K22" s="83"/>
    </row>
    <row r="23" spans="1:11" ht="13.15" customHeight="1" x14ac:dyDescent="0.2">
      <c r="A23" s="86" t="s">
        <v>450</v>
      </c>
      <c r="B23" s="76">
        <f>A023C1_C1</f>
        <v>17603827</v>
      </c>
      <c r="C23" s="76">
        <f>A023C1_C2</f>
        <v>17592437</v>
      </c>
      <c r="D23" s="102">
        <f t="shared" si="4"/>
        <v>-6.4701840116924578E-2</v>
      </c>
      <c r="E23" s="76">
        <f>A023C1_C3</f>
        <v>17546427</v>
      </c>
      <c r="F23" s="102">
        <f t="shared" si="5"/>
        <v>-0.26153283936728039</v>
      </c>
      <c r="G23" s="76">
        <f>A023C1_C4</f>
        <v>17843992</v>
      </c>
      <c r="H23" s="102">
        <f t="shared" si="6"/>
        <v>1.6958723277394312</v>
      </c>
      <c r="I23" s="76">
        <f>A023C1_C5</f>
        <v>18067022</v>
      </c>
      <c r="J23" s="102">
        <f t="shared" si="7"/>
        <v>1.2498884778697503</v>
      </c>
      <c r="K23" s="83"/>
    </row>
    <row r="24" spans="1:11" ht="13.15" customHeight="1" x14ac:dyDescent="0.2">
      <c r="A24" s="144" t="s">
        <v>486</v>
      </c>
      <c r="B24" s="76">
        <f>A041C1_C1</f>
        <v>877672062</v>
      </c>
      <c r="C24" s="76">
        <f>A041C1_C2</f>
        <v>954730689</v>
      </c>
      <c r="D24" s="102">
        <f t="shared" si="4"/>
        <v>8.7798883360149613</v>
      </c>
      <c r="E24" s="76">
        <f>A041C1_C3</f>
        <v>790253537</v>
      </c>
      <c r="F24" s="102">
        <f t="shared" si="5"/>
        <v>-17.227596629608289</v>
      </c>
      <c r="G24" s="76">
        <f>A041C1_C4</f>
        <v>828856994</v>
      </c>
      <c r="H24" s="102">
        <f t="shared" si="6"/>
        <v>4.88494580442479</v>
      </c>
      <c r="I24" s="76">
        <f>A041C1_C5</f>
        <v>878971131</v>
      </c>
      <c r="J24" s="102">
        <f t="shared" si="7"/>
        <v>6.046174112394592</v>
      </c>
      <c r="K24" s="83"/>
    </row>
    <row r="25" spans="1:11" ht="13.15" customHeight="1" x14ac:dyDescent="0.2">
      <c r="A25" s="144" t="s">
        <v>487</v>
      </c>
      <c r="B25" s="131">
        <f>IF(A385_C1=0,0,(A041C1_C1/A385_C1))*100</f>
        <v>0.52849344825803446</v>
      </c>
      <c r="C25" s="131">
        <f>IF(A385_C2=0,0,(A041C1_C2/A385_C2))*100</f>
        <v>0.58126185204012182</v>
      </c>
      <c r="D25" s="102">
        <f t="shared" si="4"/>
        <v>9.984684570076908</v>
      </c>
      <c r="E25" s="131">
        <f>IF(A385_C3=0,0,(A041C1_C3/A385_C3))*100</f>
        <v>0.48791876462533268</v>
      </c>
      <c r="F25" s="102">
        <f t="shared" si="5"/>
        <v>-16.05869834519023</v>
      </c>
      <c r="G25" s="131">
        <f>IF(A385_C4=0,0,(A041C1_C4/A385_C4))*100</f>
        <v>0.51014031857183084</v>
      </c>
      <c r="H25" s="102">
        <f t="shared" si="6"/>
        <v>4.5543552651765387</v>
      </c>
      <c r="I25" s="131">
        <f>IF(A385_C5=0,0,(A041C1_C5/A385_C5))*100</f>
        <v>0.54445959018840517</v>
      </c>
      <c r="J25" s="102">
        <f t="shared" si="7"/>
        <v>6.7274179999442589</v>
      </c>
      <c r="K25" s="83"/>
    </row>
    <row r="26" spans="1:11" ht="13.15" customHeight="1" x14ac:dyDescent="0.2">
      <c r="A26" s="153" t="s">
        <v>488</v>
      </c>
      <c r="B26" s="76"/>
      <c r="C26" s="76"/>
      <c r="D26" s="102"/>
      <c r="E26" s="76"/>
      <c r="F26" s="102"/>
      <c r="G26" s="76"/>
      <c r="H26" s="102"/>
      <c r="I26" s="76"/>
      <c r="J26" s="102"/>
      <c r="K26" s="83"/>
    </row>
    <row r="27" spans="1:11" ht="13.15" customHeight="1" x14ac:dyDescent="0.2">
      <c r="A27" s="127" t="s">
        <v>446</v>
      </c>
      <c r="B27" s="76">
        <f>A020C2_C1</f>
        <v>5247685873</v>
      </c>
      <c r="C27" s="76">
        <f>A020C2_C2</f>
        <v>5885896117</v>
      </c>
      <c r="D27" s="102">
        <f t="shared" ref="D27:D34" si="8">IF(C27="N/A", " ", IF(B27="N/A", " ",IF(AND(B27=0,C27=0,),"N/A",IF(ABS(B27)=0, "N/A", ((C27-B27)/ABS(B27))*100))))</f>
        <v>12.161746328675493</v>
      </c>
      <c r="E27" s="76">
        <f>A020C2_C3</f>
        <v>5010543090</v>
      </c>
      <c r="F27" s="102">
        <f t="shared" ref="F27:F34" si="9">IF(E27="N/A", " ", IF(C27="N/A", " ",IF(AND(C27=0,E27=0,),"N/A",IF(ABS(C27)=0, "N/A", ((E27-C27)/ABS(C27))*100))))</f>
        <v>-14.872043433993893</v>
      </c>
      <c r="G27" s="76">
        <f>A020C2_C4</f>
        <v>5016251066</v>
      </c>
      <c r="H27" s="102">
        <f t="shared" ref="H27:H34" si="10">IF(G27="N/A", " ", IF(E27="N/A", " ",IF(AND(E27=0,G27=0,),"N/A",IF(ABS(E27)=0, "N/A", ((G27-E27)/ABS(E27))*100))))</f>
        <v>0.11391930769724205</v>
      </c>
      <c r="I27" s="76">
        <f>A020C2_C5</f>
        <v>5141808962</v>
      </c>
      <c r="J27" s="102">
        <f t="shared" ref="J27:J34" si="11">IF(I27="N/A", " ", IF(G27="N/A", " ",IF(AND(G27=0,I27=0,),"N/A",IF(ABS(G27)=0, "N/A", ((I27-G27)/ABS(G27))*100))))</f>
        <v>2.5030225630257559</v>
      </c>
      <c r="K27" s="83"/>
    </row>
    <row r="28" spans="1:11" ht="13.15" customHeight="1" x14ac:dyDescent="0.2">
      <c r="A28" s="127" t="s">
        <v>489</v>
      </c>
      <c r="B28" s="76">
        <f>IF(B8&lt;DATEVALUE("3/31/2022"),"N/A",ADL0037_C1)</f>
        <v>1509876257</v>
      </c>
      <c r="C28" s="76">
        <f>IF(C8&lt;DATEVALUE("3/31/2022"),"N/A",ADL0037_C2)</f>
        <v>1614283848</v>
      </c>
      <c r="D28" s="102">
        <f t="shared" si="8"/>
        <v>6.9149766754693722</v>
      </c>
      <c r="E28" s="76">
        <f>IF(E8&lt;DATEVALUE("3/31/2022"),"N/A",ADL0037_C3)</f>
        <v>1191219994</v>
      </c>
      <c r="F28" s="102">
        <f t="shared" si="9"/>
        <v>-26.207525679213759</v>
      </c>
      <c r="G28" s="76">
        <f>IF(G8&lt;DATEVALUE("3/31/2022"),"N/A",ADL0037_C4)</f>
        <v>1438962342</v>
      </c>
      <c r="H28" s="102">
        <f t="shared" si="10"/>
        <v>20.797363144326138</v>
      </c>
      <c r="I28" s="76">
        <f>IF(I8&lt;DATEVALUE("3/31/2022"),"N/A",ADL0037_C5)</f>
        <v>1448442700</v>
      </c>
      <c r="J28" s="102">
        <f t="shared" si="11"/>
        <v>0.65883294672071413</v>
      </c>
      <c r="K28" s="83"/>
    </row>
    <row r="29" spans="1:11" ht="13.15" customHeight="1" x14ac:dyDescent="0.2">
      <c r="A29" s="127" t="s">
        <v>490</v>
      </c>
      <c r="B29" s="76">
        <f>A021C2_C1</f>
        <v>1465537942</v>
      </c>
      <c r="C29" s="76">
        <f>A021C2_C2</f>
        <v>1513836850</v>
      </c>
      <c r="D29" s="102">
        <f t="shared" si="8"/>
        <v>3.2956436415482444</v>
      </c>
      <c r="E29" s="76">
        <f>A021C2_C3</f>
        <v>1302526101</v>
      </c>
      <c r="F29" s="102">
        <f t="shared" si="9"/>
        <v>-13.958621036342192</v>
      </c>
      <c r="G29" s="76">
        <f>A021C2_C4</f>
        <v>1230708767</v>
      </c>
      <c r="H29" s="102">
        <f t="shared" si="10"/>
        <v>-5.5136963431951989</v>
      </c>
      <c r="I29" s="76">
        <f>A021C2_C5</f>
        <v>1383543132</v>
      </c>
      <c r="J29" s="102">
        <f t="shared" si="11"/>
        <v>12.418402232768038</v>
      </c>
      <c r="K29" s="83"/>
    </row>
    <row r="30" spans="1:11" ht="13.15" customHeight="1" x14ac:dyDescent="0.2">
      <c r="A30" s="127" t="s">
        <v>449</v>
      </c>
      <c r="B30" s="76">
        <f>A022C2_C1</f>
        <v>415471759</v>
      </c>
      <c r="C30" s="76">
        <f>A022C2_C2</f>
        <v>454863720</v>
      </c>
      <c r="D30" s="102">
        <f t="shared" si="8"/>
        <v>9.4812607949124157</v>
      </c>
      <c r="E30" s="76">
        <f>A022C2_C3</f>
        <v>452085468</v>
      </c>
      <c r="F30" s="102">
        <f t="shared" si="9"/>
        <v>-0.61078777617172897</v>
      </c>
      <c r="G30" s="76">
        <f>A022C2_C4</f>
        <v>393895589</v>
      </c>
      <c r="H30" s="102">
        <f t="shared" si="10"/>
        <v>-12.871433195459403</v>
      </c>
      <c r="I30" s="76">
        <f>A022C2_C5</f>
        <v>376811368</v>
      </c>
      <c r="J30" s="102">
        <f t="shared" si="11"/>
        <v>-4.3372460817275114</v>
      </c>
      <c r="K30" s="83"/>
    </row>
    <row r="31" spans="1:11" ht="13.15" customHeight="1" x14ac:dyDescent="0.2">
      <c r="A31" s="86" t="s">
        <v>450</v>
      </c>
      <c r="B31" s="76">
        <f>A023C2_C1</f>
        <v>80471830</v>
      </c>
      <c r="C31" s="76">
        <f>A023C2_C2</f>
        <v>79670129</v>
      </c>
      <c r="D31" s="102">
        <f t="shared" si="8"/>
        <v>-0.99625048914632619</v>
      </c>
      <c r="E31" s="76">
        <f>A023C2_C3</f>
        <v>78805711</v>
      </c>
      <c r="F31" s="102">
        <f t="shared" si="9"/>
        <v>-1.0849963604301431</v>
      </c>
      <c r="G31" s="76">
        <f>A023C2_C4</f>
        <v>86440231</v>
      </c>
      <c r="H31" s="102">
        <f t="shared" si="10"/>
        <v>9.6877750395526547</v>
      </c>
      <c r="I31" s="76">
        <f>A023C2_C5</f>
        <v>90536222</v>
      </c>
      <c r="J31" s="102">
        <f t="shared" si="11"/>
        <v>4.7385238940418839</v>
      </c>
      <c r="K31" s="83"/>
    </row>
    <row r="32" spans="1:11" ht="13.15" customHeight="1" x14ac:dyDescent="0.2">
      <c r="A32" s="144" t="s">
        <v>491</v>
      </c>
      <c r="B32" s="76">
        <f>A041C2_C1</f>
        <v>3471357788</v>
      </c>
      <c r="C32" s="76">
        <f>A041C2_C2</f>
        <v>3662654547</v>
      </c>
      <c r="D32" s="102">
        <f t="shared" si="8"/>
        <v>5.5107185914769783</v>
      </c>
      <c r="E32" s="76">
        <f>A041C2_C3</f>
        <v>3024637274</v>
      </c>
      <c r="F32" s="102">
        <f t="shared" si="9"/>
        <v>-17.41953178528906</v>
      </c>
      <c r="G32" s="76">
        <f>A041C2_C4</f>
        <v>3150006929</v>
      </c>
      <c r="H32" s="102">
        <f t="shared" si="10"/>
        <v>4.1449484233262144</v>
      </c>
      <c r="I32" s="76">
        <f>A041C2_C5</f>
        <v>3299333422</v>
      </c>
      <c r="J32" s="102">
        <f t="shared" si="11"/>
        <v>4.7405131596775609</v>
      </c>
      <c r="K32" s="83"/>
    </row>
    <row r="33" spans="1:11" ht="13.15" customHeight="1" x14ac:dyDescent="0.2">
      <c r="A33" s="144" t="s">
        <v>492</v>
      </c>
      <c r="B33" s="131">
        <f>IF(A370_C1=0,0,(A041C2_C1/A370_C1))*100</f>
        <v>1.0859335713266096</v>
      </c>
      <c r="C33" s="131">
        <f>IF(A370_C2=0,0,(A041C2_C2/A370_C2))*100</f>
        <v>1.1550270832528222</v>
      </c>
      <c r="D33" s="102">
        <f t="shared" si="8"/>
        <v>6.3625910231144127</v>
      </c>
      <c r="E33" s="131">
        <f>IF(A370_C3=0,0,(A041C2_C3/A370_C3))*100</f>
        <v>0.95131515607573636</v>
      </c>
      <c r="F33" s="102">
        <f t="shared" si="9"/>
        <v>-17.636982728005492</v>
      </c>
      <c r="G33" s="131">
        <f>IF(A370_C4=0,0,(A041C2_C4/A370_C4))*100</f>
        <v>0.98144886361941763</v>
      </c>
      <c r="H33" s="102">
        <f t="shared" si="10"/>
        <v>3.1675840914787514</v>
      </c>
      <c r="I33" s="131">
        <f>IF(A370_C5=0,0,(A041C2_C5/A370_C5))*100</f>
        <v>1.0280202724583827</v>
      </c>
      <c r="J33" s="102">
        <f t="shared" si="11"/>
        <v>4.7451691642107114</v>
      </c>
      <c r="K33" s="83"/>
    </row>
    <row r="34" spans="1:11" ht="24" customHeight="1" x14ac:dyDescent="0.2">
      <c r="A34" s="153" t="s">
        <v>493</v>
      </c>
      <c r="B34" s="131">
        <f>IF((A385_C1+A370_C1)=0,0,((A041C1_C1+A041C2_C1)/(A385_C1+A370_C1)))*100</f>
        <v>0.89534787255104187</v>
      </c>
      <c r="C34" s="131">
        <f>IF((A385_C2+A370_C2)=0,0,((A041C1_C2+A041C2_C2)/(A385_C2+A370_C2)))*100</f>
        <v>0.95924358562290857</v>
      </c>
      <c r="D34" s="102">
        <f t="shared" si="8"/>
        <v>7.136412005962983</v>
      </c>
      <c r="E34" s="131">
        <f>IF((A385_C3+A370_C3)=0,0,((A041C1_C3+A041C2_C3)/(A385_C3+A370_C3)))*100</f>
        <v>0.79492313276427606</v>
      </c>
      <c r="F34" s="102">
        <f t="shared" si="9"/>
        <v>-17.13021127495233</v>
      </c>
      <c r="G34" s="131">
        <f>IF((A385_C4+A370_C4)=0,0,((A041C1_C4+A041C2_C4)/(A385_C4+A370_C4)))*100</f>
        <v>0.82304683663438927</v>
      </c>
      <c r="H34" s="102">
        <f t="shared" si="10"/>
        <v>3.5379148889925327</v>
      </c>
      <c r="I34" s="131">
        <f>IF((A385_C5+A370_C5)=0,0,((A041C1_C5+A041C2_C5)/(A385_C5+A370_C5)))*100</f>
        <v>0.86618584013041322</v>
      </c>
      <c r="J34" s="102">
        <f t="shared" si="11"/>
        <v>5.2413789320214583</v>
      </c>
      <c r="K34" s="83"/>
    </row>
    <row r="35" spans="1:11" x14ac:dyDescent="0.2">
      <c r="A35" s="153" t="s">
        <v>494</v>
      </c>
      <c r="B35" s="76"/>
      <c r="C35" s="76"/>
      <c r="D35" s="102"/>
      <c r="E35" s="76"/>
      <c r="F35" s="102"/>
      <c r="G35" s="76"/>
      <c r="H35" s="102"/>
      <c r="I35" s="76"/>
      <c r="J35" s="102"/>
      <c r="K35" s="83"/>
    </row>
    <row r="36" spans="1:11" ht="13.15" customHeight="1" x14ac:dyDescent="0.2">
      <c r="A36" s="127" t="s">
        <v>446</v>
      </c>
      <c r="B36" s="76">
        <f>A020D_C1</f>
        <v>53996015</v>
      </c>
      <c r="C36" s="76">
        <f>A020D_C2</f>
        <v>65585458</v>
      </c>
      <c r="D36" s="102">
        <f t="shared" ref="D36:D42" si="12">IF(C36="N/A", " ", IF(B36="N/A", " ",IF(AND(B36=0,C36=0,),"N/A",IF(ABS(B36)=0, "N/A", ((C36-B36)/ABS(B36))*100))))</f>
        <v>21.463515409424193</v>
      </c>
      <c r="E36" s="76">
        <f>A020D_C3</f>
        <v>54835064</v>
      </c>
      <c r="F36" s="102">
        <f t="shared" ref="F36:F42" si="13">IF(E36="N/A", " ", IF(C36="N/A", " ",IF(AND(C36=0,E36=0,),"N/A",IF(ABS(C36)=0, "N/A", ((E36-C36)/ABS(C36))*100))))</f>
        <v>-16.39142933178876</v>
      </c>
      <c r="G36" s="76">
        <f>A020D_C4</f>
        <v>46938082</v>
      </c>
      <c r="H36" s="102">
        <f t="shared" ref="H36:H42" si="14">IF(G36="N/A", " ", IF(E36="N/A", " ",IF(AND(E36=0,G36=0,),"N/A",IF(ABS(E36)=0, "N/A", ((G36-E36)/ABS(E36))*100))))</f>
        <v>-14.401336342016489</v>
      </c>
      <c r="I36" s="76">
        <f>A020D_C5</f>
        <v>51833974</v>
      </c>
      <c r="J36" s="102">
        <f t="shared" ref="J36:J42" si="15">IF(I36="N/A", " ", IF(G36="N/A", " ",IF(AND(G36=0,I36=0,),"N/A",IF(ABS(G36)=0, "N/A", ((I36-G36)/ABS(G36))*100))))</f>
        <v>10.430532717549047</v>
      </c>
      <c r="K36" s="83"/>
    </row>
    <row r="37" spans="1:11" ht="13.15" customHeight="1" x14ac:dyDescent="0.2">
      <c r="A37" s="127" t="s">
        <v>495</v>
      </c>
      <c r="B37" s="76">
        <f>IF(B8&lt;DATEVALUE("3/31/2022"),"N/A",ADL0044_C1)</f>
        <v>10458385</v>
      </c>
      <c r="C37" s="76">
        <f>IF(C8&lt;DATEVALUE("3/31/2022"),"N/A",ADL0044_C2)</f>
        <v>10200667</v>
      </c>
      <c r="D37" s="102">
        <f t="shared" si="12"/>
        <v>-2.4642236827196551</v>
      </c>
      <c r="E37" s="76">
        <f>IF(E8&lt;DATEVALUE("3/31/2022"),"N/A",ADL0044_C3)</f>
        <v>9490824</v>
      </c>
      <c r="F37" s="102">
        <f t="shared" si="13"/>
        <v>-6.9587900477488391</v>
      </c>
      <c r="G37" s="76">
        <f>IF(G8&lt;DATEVALUE("3/31/2022"),"N/A",ADL0044_C4)</f>
        <v>10689340</v>
      </c>
      <c r="H37" s="102">
        <f t="shared" si="14"/>
        <v>12.628155363538509</v>
      </c>
      <c r="I37" s="76">
        <f>IF(I8&lt;DATEVALUE("3/31/2022"),"N/A",ADL0044_C5)</f>
        <v>9799763</v>
      </c>
      <c r="J37" s="102">
        <f t="shared" si="15"/>
        <v>-8.3220947224056854</v>
      </c>
      <c r="K37" s="83"/>
    </row>
    <row r="38" spans="1:11" ht="13.15" customHeight="1" x14ac:dyDescent="0.2">
      <c r="A38" s="127" t="s">
        <v>496</v>
      </c>
      <c r="B38" s="76">
        <f>A021D_C1</f>
        <v>10584477</v>
      </c>
      <c r="C38" s="76">
        <f>A021D_C2</f>
        <v>10330106</v>
      </c>
      <c r="D38" s="102">
        <f t="shared" si="12"/>
        <v>-2.4032458098779941</v>
      </c>
      <c r="E38" s="76">
        <f>A021D_C3</f>
        <v>7694783</v>
      </c>
      <c r="F38" s="102">
        <f t="shared" si="13"/>
        <v>-25.511093497007682</v>
      </c>
      <c r="G38" s="76">
        <f>A021D_C4</f>
        <v>8077610</v>
      </c>
      <c r="H38" s="102">
        <f t="shared" si="14"/>
        <v>4.9751500464665472</v>
      </c>
      <c r="I38" s="76">
        <f>A021D_C5</f>
        <v>9427408</v>
      </c>
      <c r="J38" s="102">
        <f t="shared" si="15"/>
        <v>16.710363585268414</v>
      </c>
      <c r="K38" s="83"/>
    </row>
    <row r="39" spans="1:11" ht="13.15" customHeight="1" x14ac:dyDescent="0.2">
      <c r="A39" s="127" t="s">
        <v>449</v>
      </c>
      <c r="B39" s="76">
        <f>A022D_C1</f>
        <v>3212830</v>
      </c>
      <c r="C39" s="76">
        <f>A022D_C2</f>
        <v>3093535</v>
      </c>
      <c r="D39" s="102">
        <f t="shared" si="12"/>
        <v>-3.7130816134062492</v>
      </c>
      <c r="E39" s="76">
        <f>A022D_C3</f>
        <v>2826534</v>
      </c>
      <c r="F39" s="102">
        <f t="shared" si="13"/>
        <v>-8.6309351599383888</v>
      </c>
      <c r="G39" s="76">
        <f>A022D_C4</f>
        <v>2582732</v>
      </c>
      <c r="H39" s="102">
        <f t="shared" si="14"/>
        <v>-8.625475582462478</v>
      </c>
      <c r="I39" s="76">
        <f>A022D_C5</f>
        <v>3799333</v>
      </c>
      <c r="J39" s="102">
        <f t="shared" si="15"/>
        <v>47.10519713233893</v>
      </c>
      <c r="K39" s="83"/>
    </row>
    <row r="40" spans="1:11" ht="13.15" customHeight="1" x14ac:dyDescent="0.2">
      <c r="A40" s="86" t="s">
        <v>450</v>
      </c>
      <c r="B40" s="76">
        <f>A023D_C1</f>
        <v>1722527</v>
      </c>
      <c r="C40" s="76">
        <f>A023D_C2</f>
        <v>1276482</v>
      </c>
      <c r="D40" s="102">
        <f t="shared" si="12"/>
        <v>-25.894804551684818</v>
      </c>
      <c r="E40" s="76">
        <f>A023D_C3</f>
        <v>230389</v>
      </c>
      <c r="F40" s="102">
        <f t="shared" si="13"/>
        <v>-81.951253523355589</v>
      </c>
      <c r="G40" s="76">
        <f>A023D_C4</f>
        <v>320469</v>
      </c>
      <c r="H40" s="102">
        <f t="shared" si="14"/>
        <v>39.099088932197283</v>
      </c>
      <c r="I40" s="76">
        <f>A023D_C5</f>
        <v>402325</v>
      </c>
      <c r="J40" s="102">
        <f t="shared" si="15"/>
        <v>25.542564179374605</v>
      </c>
      <c r="K40" s="83"/>
    </row>
    <row r="41" spans="1:11" ht="13.15" customHeight="1" x14ac:dyDescent="0.2">
      <c r="A41" s="144" t="s">
        <v>497</v>
      </c>
      <c r="B41" s="76">
        <f>A041D_C1</f>
        <v>25978219</v>
      </c>
      <c r="C41" s="76">
        <f>A041D_C2</f>
        <v>24900790</v>
      </c>
      <c r="D41" s="102">
        <f t="shared" si="12"/>
        <v>-4.1474321238111056</v>
      </c>
      <c r="E41" s="76">
        <f>A041D_C3</f>
        <v>20242530</v>
      </c>
      <c r="F41" s="102">
        <f t="shared" si="13"/>
        <v>-18.707277961863859</v>
      </c>
      <c r="G41" s="76">
        <f>A041D_C4</f>
        <v>21670151</v>
      </c>
      <c r="H41" s="102">
        <f t="shared" si="14"/>
        <v>7.0525818660019279</v>
      </c>
      <c r="I41" s="76">
        <f>A041D_C5</f>
        <v>23428829</v>
      </c>
      <c r="J41" s="102">
        <f t="shared" si="15"/>
        <v>8.1156702599811137</v>
      </c>
      <c r="K41" s="83"/>
    </row>
    <row r="42" spans="1:11" ht="13.15" customHeight="1" x14ac:dyDescent="0.2">
      <c r="A42" s="144" t="s">
        <v>498</v>
      </c>
      <c r="B42" s="131">
        <f>IF((A002_C1)=0,0,(A041D_C1/A002_C1)*100)</f>
        <v>0.40223800085396644</v>
      </c>
      <c r="C42" s="131">
        <f>IF((A002_C2)=0,0,(A041D_C2/A002_C2)*100)</f>
        <v>0.38801849323109999</v>
      </c>
      <c r="D42" s="102">
        <f t="shared" si="12"/>
        <v>-3.535098024721159</v>
      </c>
      <c r="E42" s="131">
        <f>IF((A002_C3)=0,0,(A041D_C3/A002_C3)*100)</f>
        <v>0.32301635584435101</v>
      </c>
      <c r="F42" s="102">
        <f t="shared" si="13"/>
        <v>-16.752329726726284</v>
      </c>
      <c r="G42" s="131">
        <f>IF((A002_C4)=0,0,(A041D_C4/A002_C4)*100)</f>
        <v>0.35283333111263177</v>
      </c>
      <c r="H42" s="102">
        <f t="shared" si="14"/>
        <v>9.2307942705688841</v>
      </c>
      <c r="I42" s="131">
        <f>IF((A002_C5)=0,0,(A041D_C5/A002_C5)*100)</f>
        <v>0.38267045612217632</v>
      </c>
      <c r="J42" s="102">
        <f t="shared" si="15"/>
        <v>8.4564360502607716</v>
      </c>
      <c r="K42" s="83"/>
    </row>
    <row r="43" spans="1:11" ht="13.15" customHeight="1" x14ac:dyDescent="0.2">
      <c r="A43" s="145" t="s">
        <v>499</v>
      </c>
      <c r="B43" s="76"/>
      <c r="C43" s="76"/>
      <c r="D43" s="102"/>
      <c r="E43" s="76"/>
      <c r="F43" s="102"/>
      <c r="G43" s="76"/>
      <c r="H43" s="102"/>
      <c r="I43" s="76"/>
      <c r="J43" s="102"/>
      <c r="K43" s="83"/>
    </row>
    <row r="44" spans="1:11" ht="13.15" customHeight="1" x14ac:dyDescent="0.2">
      <c r="A44" s="127" t="s">
        <v>446</v>
      </c>
      <c r="B44" s="76">
        <f>IF(B8&lt;DATEVALUE("3/31/2022"),"N/A",ADL0050_C1)</f>
        <v>742417934</v>
      </c>
      <c r="C44" s="76">
        <f>IF(C8&lt;DATEVALUE("3/31/2022"),"N/A",ADL0050_C2)</f>
        <v>850692578</v>
      </c>
      <c r="D44" s="102">
        <f t="shared" ref="D44:D53" si="16">IF(C44="N/A", " ", IF(B44="N/A", " ",IF(AND(B44=0,C44=0,),"N/A",IF(ABS(B44)=0, "N/A", ((C44-B44)/ABS(B44))*100))))</f>
        <v>14.58405556242934</v>
      </c>
      <c r="E44" s="76">
        <f>IF(E8&lt;DATEVALUE("3/31/2022"),"N/A",ADL0050_C3)</f>
        <v>808371863</v>
      </c>
      <c r="F44" s="102">
        <f t="shared" ref="F44:F53" si="17">IF(E44="N/A", " ", IF(C44="N/A", " ",IF(AND(C44=0,E44=0,),"N/A",IF(ABS(C44)=0, "N/A", ((E44-C44)/ABS(C44))*100))))</f>
        <v>-4.9748541476048942</v>
      </c>
      <c r="G44" s="76">
        <f>IF(G8&lt;DATEVALUE("3/31/2022"),"N/A",ADL0050_C4)</f>
        <v>716189852</v>
      </c>
      <c r="H44" s="102">
        <f t="shared" ref="H44:H53" si="18">IF(G44="N/A", " ", IF(E44="N/A", " ",IF(AND(E44=0,G44=0,),"N/A",IF(ABS(E44)=0, "N/A", ((G44-E44)/ABS(E44))*100))))</f>
        <v>-11.403416573394514</v>
      </c>
      <c r="I44" s="76">
        <f>IF(I8&lt;DATEVALUE("3/31/2022"),"N/A",ADL0050_C5)</f>
        <v>748232761</v>
      </c>
      <c r="J44" s="102">
        <f t="shared" ref="J44:J53" si="19">IF(I44="N/A", " ", IF(G44="N/A", " ",IF(AND(G44=0,I44=0,),"N/A",IF(ABS(G44)=0, "N/A", ((I44-G44)/ABS(G44))*100))))</f>
        <v>4.4740802889790174</v>
      </c>
      <c r="K44" s="83"/>
    </row>
    <row r="45" spans="1:11" ht="13.15" customHeight="1" x14ac:dyDescent="0.2">
      <c r="A45" s="127" t="s">
        <v>500</v>
      </c>
      <c r="B45" s="76">
        <f t="array" ref="B45">IF(B8&lt;DATEVALUE("3/31/2022"),"N/A",ADL0051_C1)</f>
        <v>260710265</v>
      </c>
      <c r="C45" s="76">
        <f>IF(C8&lt;DATEVALUE("3/31/2022"),"N/A",ADL0051_C2)</f>
        <v>298556995</v>
      </c>
      <c r="D45" s="102">
        <f t="shared" si="16"/>
        <v>14.51677784915757</v>
      </c>
      <c r="E45" s="76">
        <f>IF(E8&lt;DATEVALUE("3/31/2022"),"N/A",ADL0051_C3)</f>
        <v>244335400</v>
      </c>
      <c r="F45" s="102">
        <f t="shared" si="17"/>
        <v>-18.1612207746129</v>
      </c>
      <c r="G45" s="76">
        <f>IF(G8&lt;DATEVALUE("3/31/2022"),"N/A",ADL0051_C4)</f>
        <v>260829122</v>
      </c>
      <c r="H45" s="102">
        <f t="shared" si="18"/>
        <v>6.7504430385445584</v>
      </c>
      <c r="I45" s="76">
        <f>IF(I8&lt;DATEVALUE("3/31/2022"),"N/A",ADL0051_C5)</f>
        <v>276357824</v>
      </c>
      <c r="J45" s="102">
        <f t="shared" si="19"/>
        <v>5.9535920992748652</v>
      </c>
      <c r="K45" s="83"/>
    </row>
    <row r="46" spans="1:11" ht="13.15" customHeight="1" x14ac:dyDescent="0.2">
      <c r="A46" s="127" t="s">
        <v>501</v>
      </c>
      <c r="B46" s="76">
        <f>IF(B8&lt;DATEVALUE("3/31/2022"),"N/A",ADL0052_C1)</f>
        <v>315768036</v>
      </c>
      <c r="C46" s="76">
        <f>IF(C8&lt;DATEVALUE("3/31/2022"),"N/A",ADL0052_C2)</f>
        <v>366851367</v>
      </c>
      <c r="D46" s="102">
        <f t="shared" si="16"/>
        <v>16.17748637484004</v>
      </c>
      <c r="E46" s="76">
        <f>IF(E8&lt;DATEVALUE("3/31/2022"),"N/A",ADL0052_C3)</f>
        <v>332437252</v>
      </c>
      <c r="F46" s="102">
        <f t="shared" si="17"/>
        <v>-9.3809422822731356</v>
      </c>
      <c r="G46" s="76">
        <f>IF(G8&lt;DATEVALUE("3/31/2022"),"N/A",ADL0052_C4)</f>
        <v>310613303</v>
      </c>
      <c r="H46" s="102">
        <f t="shared" si="18"/>
        <v>-6.5648325717720706</v>
      </c>
      <c r="I46" s="76">
        <f>IF(I8&lt;DATEVALUE("3/31/2022"),"N/A",ADL0052_C5)</f>
        <v>323287405</v>
      </c>
      <c r="J46" s="102">
        <f t="shared" si="19"/>
        <v>4.0803474537598925</v>
      </c>
      <c r="K46" s="83"/>
    </row>
    <row r="47" spans="1:11" ht="13.15" customHeight="1" x14ac:dyDescent="0.2">
      <c r="A47" s="127" t="s">
        <v>449</v>
      </c>
      <c r="B47" s="76">
        <f>IF(B8&lt;DATEVALUE("3/31/2022"),"N/A",ADL0053_C1)</f>
        <v>102736858</v>
      </c>
      <c r="C47" s="76">
        <f>IF(C8&lt;DATEVALUE("3/31/2022"),"N/A",ADL0053_C2)</f>
        <v>111406563</v>
      </c>
      <c r="D47" s="102">
        <f t="shared" si="16"/>
        <v>8.4387484382674032</v>
      </c>
      <c r="E47" s="76">
        <f>IF(E8&lt;DATEVALUE("3/31/2022"),"N/A",ADL0053_C3)</f>
        <v>115029002</v>
      </c>
      <c r="F47" s="102">
        <f t="shared" si="17"/>
        <v>3.2515490133197988</v>
      </c>
      <c r="G47" s="76">
        <f>IF(G8&lt;DATEVALUE("3/31/2022"),"N/A",ADL0053_C4)</f>
        <v>107426356</v>
      </c>
      <c r="H47" s="102">
        <f t="shared" si="18"/>
        <v>-6.6093297062596434</v>
      </c>
      <c r="I47" s="76">
        <f>IF(I8&lt;DATEVALUE("3/31/2022"),"N/A",ADL0053_C5)</f>
        <v>97993606</v>
      </c>
      <c r="J47" s="102">
        <f t="shared" si="19"/>
        <v>-8.7806664502331255</v>
      </c>
      <c r="K47" s="83"/>
    </row>
    <row r="48" spans="1:11" ht="13.15" customHeight="1" x14ac:dyDescent="0.2">
      <c r="A48" s="86" t="s">
        <v>450</v>
      </c>
      <c r="B48" s="76">
        <f>IF(B8&lt;DATEVALUE("3/31/2022"),"N/A",ADL0054_C1)</f>
        <v>30985949</v>
      </c>
      <c r="C48" s="76">
        <f>IF(C8&lt;DATEVALUE("3/31/2022"),"N/A",ADL0054_C2)</f>
        <v>35943056</v>
      </c>
      <c r="D48" s="102">
        <f t="shared" si="16"/>
        <v>15.997918927704941</v>
      </c>
      <c r="E48" s="76">
        <f>IF(E8&lt;DATEVALUE("3/31/2022"),"N/A",ADL0054_C3)</f>
        <v>26501060</v>
      </c>
      <c r="F48" s="102">
        <f t="shared" si="17"/>
        <v>-26.269318891526645</v>
      </c>
      <c r="G48" s="76">
        <f>IF(G8&lt;DATEVALUE("3/31/2022"),"N/A",ADL0054_C4)</f>
        <v>22610535</v>
      </c>
      <c r="H48" s="102">
        <f t="shared" si="18"/>
        <v>-14.68063918952676</v>
      </c>
      <c r="I48" s="76">
        <f>IF(I8&lt;DATEVALUE("3/31/2022"),"N/A",ADL0054_C5)</f>
        <v>26166383</v>
      </c>
      <c r="J48" s="102">
        <f t="shared" si="19"/>
        <v>15.726509788468073</v>
      </c>
      <c r="K48" s="83"/>
    </row>
    <row r="49" spans="1:11" ht="13.15" customHeight="1" x14ac:dyDescent="0.2">
      <c r="A49" s="144" t="s">
        <v>502</v>
      </c>
      <c r="B49" s="76">
        <f>IF(B8&lt;DATEVALUE("3/31/2022"),"N/A",ADL0055_C1)</f>
        <v>710201108</v>
      </c>
      <c r="C49" s="76">
        <f>IF(C8&lt;DATEVALUE("3/31/2022"),"N/A",ADL0055_C2)</f>
        <v>812757981</v>
      </c>
      <c r="D49" s="102">
        <f t="shared" si="16"/>
        <v>14.44053970695861</v>
      </c>
      <c r="E49" s="76">
        <f>IF(E8&lt;DATEVALUE("3/31/2022"),"N/A",ADL0055_C3)</f>
        <v>718302714</v>
      </c>
      <c r="F49" s="102">
        <f t="shared" si="17"/>
        <v>-11.621573605931776</v>
      </c>
      <c r="G49" s="76">
        <f>IF(G8&lt;DATEVALUE("3/31/2022"),"N/A",ADL0055_C4)</f>
        <v>701479316</v>
      </c>
      <c r="H49" s="102">
        <f t="shared" si="18"/>
        <v>-2.3421041953629596</v>
      </c>
      <c r="I49" s="76">
        <f>IF(I8&lt;DATEVALUE("3/31/2022"),"N/A",ADL0055_C5)</f>
        <v>723805218</v>
      </c>
      <c r="J49" s="102">
        <f t="shared" si="19"/>
        <v>3.1826885683967907</v>
      </c>
      <c r="K49" s="83"/>
    </row>
    <row r="50" spans="1:11" ht="13.15" customHeight="1" x14ac:dyDescent="0.2">
      <c r="A50" s="144" t="s">
        <v>503</v>
      </c>
      <c r="B50" s="131">
        <f>IF(B8&lt;DATEVALUE("3/31/2022"),"N/A",IF(A698C_C1=0,0,(ADL0055_C1/A698C_C1))*100)</f>
        <v>1.0041815060107184</v>
      </c>
      <c r="C50" s="131">
        <f>IF(C8&lt;DATEVALUE("3/31/2022"),"N/A",IF(A698C_C2=0,0,(ADL0055_C2/A698C_C2))*100)</f>
        <v>1.1667439810700597</v>
      </c>
      <c r="D50" s="102">
        <f t="shared" si="16"/>
        <v>16.188554966038794</v>
      </c>
      <c r="E50" s="131">
        <f>IF(E8&lt;DATEVALUE("3/31/2022"),"N/A",IF(A698C_C3=0,0,(ADL0055_C3/A698C_C3))*100)</f>
        <v>1.024447112629632</v>
      </c>
      <c r="F50" s="102">
        <f t="shared" si="17"/>
        <v>-12.196066210679962</v>
      </c>
      <c r="G50" s="131">
        <f>IF(G8&lt;DATEVALUE("3/31/2022"),"N/A",IF(A698C_C4=0,0,(ADL0055_C4/A698C_C4))*100)</f>
        <v>0.99587367165628016</v>
      </c>
      <c r="H50" s="102">
        <f t="shared" si="18"/>
        <v>-2.7891572557618147</v>
      </c>
      <c r="I50" s="131">
        <f>IF(I8&lt;DATEVALUE("3/31/2022"),"N/A",IF(A698C_C5=0,0,(ADL0055_C5/A698C_C5))*100)</f>
        <v>1.0307330293873533</v>
      </c>
      <c r="J50" s="102">
        <f t="shared" si="19"/>
        <v>3.5003794882032668</v>
      </c>
      <c r="K50" s="83"/>
    </row>
    <row r="51" spans="1:11" ht="13.15" customHeight="1" x14ac:dyDescent="0.2">
      <c r="A51" s="127" t="s">
        <v>504</v>
      </c>
      <c r="B51" s="76">
        <f>A971_C1</f>
        <v>3805979489</v>
      </c>
      <c r="C51" s="76">
        <f>A971_C2</f>
        <v>4142834109</v>
      </c>
      <c r="D51" s="102">
        <f t="shared" si="16"/>
        <v>8.8506682963892338</v>
      </c>
      <c r="E51" s="76">
        <f>A971_C3</f>
        <v>3942339140</v>
      </c>
      <c r="F51" s="102">
        <f t="shared" si="17"/>
        <v>-4.8395606419392836</v>
      </c>
      <c r="G51" s="76">
        <f>A971_C4</f>
        <v>4338947940</v>
      </c>
      <c r="H51" s="102">
        <f t="shared" si="18"/>
        <v>10.060240530194466</v>
      </c>
      <c r="I51" s="76">
        <f>A971_C5</f>
        <v>4728757795</v>
      </c>
      <c r="J51" s="102">
        <f t="shared" si="19"/>
        <v>8.9839716998309971</v>
      </c>
      <c r="K51" s="83"/>
    </row>
    <row r="52" spans="1:11" ht="24" customHeight="1" x14ac:dyDescent="0.2">
      <c r="A52" s="124" t="s">
        <v>505</v>
      </c>
      <c r="B52" s="76">
        <f>A1001F_C1</f>
        <v>6650813041</v>
      </c>
      <c r="C52" s="76">
        <f>A1001F_C2</f>
        <v>7474473940</v>
      </c>
      <c r="D52" s="102">
        <f t="shared" si="16"/>
        <v>12.38436404575517</v>
      </c>
      <c r="E52" s="76">
        <f>A1001F_C3</f>
        <v>7732189998</v>
      </c>
      <c r="F52" s="102">
        <f t="shared" si="17"/>
        <v>3.447949114128559</v>
      </c>
      <c r="G52" s="76">
        <f>A1001F_C4</f>
        <v>8009875721</v>
      </c>
      <c r="H52" s="102">
        <f t="shared" si="18"/>
        <v>3.5912946147446703</v>
      </c>
      <c r="I52" s="76">
        <f>A1001F_C5</f>
        <v>8684874290</v>
      </c>
      <c r="J52" s="102">
        <f t="shared" si="19"/>
        <v>8.4270791771501941</v>
      </c>
      <c r="K52" s="83"/>
    </row>
    <row r="53" spans="1:11" ht="24" customHeight="1" x14ac:dyDescent="0.2">
      <c r="A53" s="124" t="s">
        <v>506</v>
      </c>
      <c r="B53" s="76">
        <f t="array" ref="B53">IF(B8&lt;DATEVALUE("3/31/2024"),"N/A",ADL0148_C1)</f>
        <v>51215</v>
      </c>
      <c r="C53" s="76">
        <f t="array" ref="C53">IF(C8&lt;DATEVALUE("3/31/2024"),"N/A",ADL0148_C2)</f>
        <v>58456</v>
      </c>
      <c r="D53" s="102">
        <f t="shared" si="16"/>
        <v>14.138436005076638</v>
      </c>
      <c r="E53" s="76">
        <f t="array" ref="E53">IF(E8&lt;DATEVALUE("3/31/2024"),"N/A",ADL0148_C3)</f>
        <v>55633</v>
      </c>
      <c r="F53" s="102">
        <f t="shared" si="17"/>
        <v>-4.8292732995757497</v>
      </c>
      <c r="G53" s="76">
        <f t="array" ref="G53">IF(G8&lt;DATEVALUE("3/31/2024"),"N/A",ADL0148_C4)</f>
        <v>62132</v>
      </c>
      <c r="H53" s="102">
        <f t="shared" si="18"/>
        <v>11.681915409918574</v>
      </c>
      <c r="I53" s="76">
        <f t="array" ref="I53">IF(I8&lt;DATEVALUE("3/31/2024"),"N/A",ADL0148_C5)</f>
        <v>64709</v>
      </c>
      <c r="J53" s="102">
        <f t="shared" si="19"/>
        <v>4.1476211935878453</v>
      </c>
      <c r="K53" s="83"/>
    </row>
    <row r="54" spans="1:11" ht="13.15" customHeight="1" x14ac:dyDescent="0.2">
      <c r="A54" s="175" t="s">
        <v>86</v>
      </c>
      <c r="B54" s="219"/>
      <c r="C54" s="219"/>
      <c r="D54" s="219"/>
      <c r="E54" s="219"/>
      <c r="F54" s="219"/>
      <c r="G54" s="219"/>
      <c r="H54" s="219"/>
      <c r="I54" s="219"/>
      <c r="J54" s="219"/>
      <c r="K54" s="83"/>
    </row>
    <row r="55" spans="1:11" ht="13.15" customHeight="1" x14ac:dyDescent="0.2">
      <c r="A55" s="107" t="s">
        <v>507</v>
      </c>
      <c r="B55" s="83"/>
      <c r="C55" s="83"/>
      <c r="D55" s="83"/>
      <c r="E55" s="83"/>
      <c r="F55" s="83"/>
      <c r="G55" s="83"/>
      <c r="H55" s="218" t="s">
        <v>508</v>
      </c>
      <c r="I55" s="83"/>
      <c r="J55" s="83"/>
      <c r="K55" s="83"/>
    </row>
    <row r="56" spans="1:11" x14ac:dyDescent="0.2">
      <c r="A56" s="83"/>
      <c r="B56" s="83"/>
      <c r="C56" s="83"/>
      <c r="D56" s="83"/>
      <c r="E56" s="83"/>
      <c r="F56" s="83"/>
      <c r="G56" s="83"/>
      <c r="H56" s="107"/>
      <c r="I56" s="83"/>
      <c r="J56" s="83"/>
      <c r="K56" s="83"/>
    </row>
    <row r="57" spans="1:11" x14ac:dyDescent="0.2">
      <c r="A57" s="83"/>
      <c r="B57" s="83"/>
      <c r="C57" s="83"/>
      <c r="D57" s="83"/>
      <c r="E57" s="83"/>
      <c r="F57" s="83"/>
      <c r="G57" s="83"/>
      <c r="I57" s="83"/>
      <c r="J57" s="83"/>
      <c r="K57" s="83"/>
    </row>
    <row r="58" spans="1:11" x14ac:dyDescent="0.2">
      <c r="A58" s="83"/>
      <c r="B58" s="83"/>
      <c r="C58" s="83"/>
      <c r="D58" s="83"/>
      <c r="E58" s="83"/>
      <c r="F58" s="83"/>
      <c r="G58" s="83"/>
      <c r="H58" s="83"/>
      <c r="I58" s="83"/>
      <c r="J58" s="83"/>
      <c r="K58" s="83"/>
    </row>
  </sheetData>
  <mergeCells count="1">
    <mergeCell ref="D5:J5"/>
  </mergeCells>
  <hyperlinks>
    <hyperlink ref="A2" location="'Cover Page'!A1" display="Return to cover" xr:uid="{00000000-0004-0000-0A00-000000000000}"/>
  </hyperlinks>
  <printOptions gridLines="1"/>
  <pageMargins left="0.7" right="0.7" top="0.75" bottom="0.75" header="0.3" footer="0.3"/>
  <pageSetup orientation="landscape"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42">
    <pageSetUpPr fitToPage="1"/>
  </sheetPr>
  <dimension ref="A1:J40"/>
  <sheetViews>
    <sheetView workbookViewId="0"/>
  </sheetViews>
  <sheetFormatPr defaultRowHeight="12.75" x14ac:dyDescent="0.2"/>
  <cols>
    <col min="1" max="1" width="60.7109375" customWidth="1"/>
    <col min="2" max="3" width="16.7109375" customWidth="1"/>
    <col min="4" max="4" width="6.7109375" style="54" customWidth="1"/>
    <col min="5" max="5" width="16.7109375" customWidth="1"/>
    <col min="6" max="6" width="6.7109375" style="54" customWidth="1"/>
    <col min="7" max="7" width="16.7109375" customWidth="1"/>
    <col min="8" max="8" width="6.7109375" style="54" customWidth="1"/>
    <col min="9" max="9" width="16.7109375" customWidth="1"/>
    <col min="10" max="10" width="6.7109375" style="54" customWidth="1"/>
    <col min="11" max="12" width="9.140625" customWidth="1"/>
    <col min="13" max="13" width="14.7109375" customWidth="1"/>
  </cols>
  <sheetData>
    <row r="1" spans="1:10" s="62" customFormat="1" ht="13.5" customHeight="1" x14ac:dyDescent="0.2">
      <c r="C1" s="85" t="s">
        <v>509</v>
      </c>
      <c r="D1" s="118"/>
      <c r="F1" s="119"/>
      <c r="H1" s="119"/>
      <c r="J1" s="119"/>
    </row>
    <row r="2" spans="1:10" s="62" customFormat="1" x14ac:dyDescent="0.2">
      <c r="A2" s="28" t="s">
        <v>49</v>
      </c>
      <c r="C2" s="67" t="s">
        <v>50</v>
      </c>
      <c r="D2" s="87" t="str">
        <f>IF(CU_NUMBER="","N/A",CU_NUMBER)</f>
        <v>N/A</v>
      </c>
      <c r="E2" s="120"/>
      <c r="F2" s="119"/>
      <c r="H2" s="119"/>
      <c r="J2" s="119"/>
    </row>
    <row r="3" spans="1:10" s="62" customFormat="1" ht="12" customHeight="1" x14ac:dyDescent="0.2">
      <c r="A3" s="121" t="str">
        <f>IF(Request_Date=0,"N/A",Request_Date)</f>
        <v>12/05/2025</v>
      </c>
      <c r="C3" s="67" t="s">
        <v>42</v>
      </c>
      <c r="D3" s="75">
        <f>IF(CountCu_C5=0,"N/A",CountCu_C5)</f>
        <v>4331</v>
      </c>
      <c r="E3" s="120"/>
      <c r="F3" s="119"/>
      <c r="H3" s="119"/>
      <c r="J3" s="119"/>
    </row>
    <row r="4" spans="1:10" s="62" customFormat="1" ht="12" customHeight="1" x14ac:dyDescent="0.2">
      <c r="A4" s="74" t="str">
        <f>"CU Name:      "&amp;IF(Cu_Name="","N/A",Cu_Name)</f>
        <v>CU Name:      N/A</v>
      </c>
      <c r="C4" s="67" t="s">
        <v>43</v>
      </c>
      <c r="D4" s="89" t="str">
        <f>IF(AssetRange="","N/A",AssetRange)</f>
        <v>N/A</v>
      </c>
      <c r="E4" s="75"/>
      <c r="F4" s="119"/>
      <c r="H4" s="119"/>
      <c r="J4" s="119"/>
    </row>
    <row r="5" spans="1:10" s="62" customFormat="1" ht="12" customHeight="1" x14ac:dyDescent="0.2">
      <c r="A5" s="74" t="str">
        <f>"Peer Group:      "&amp;IF(Peer_Group="","N/A",IF(Peer_Group="0","N/A",Peer_Group))</f>
        <v>Peer Group:      N/A</v>
      </c>
      <c r="B5" s="90"/>
      <c r="C5" s="67" t="s">
        <v>51</v>
      </c>
      <c r="D5" s="24" t="str">
        <f>IF(_xlnm.Criteria="","N/A",_xlnm.Criteria)</f>
        <v xml:space="preserve">Region: Nation * Peer Group: All * Types Included: All  Federally Insured Credit Unions  (FICUs) *  </v>
      </c>
      <c r="E5" s="23"/>
      <c r="F5" s="23"/>
      <c r="G5" s="23"/>
      <c r="H5" s="23"/>
      <c r="I5" s="23"/>
      <c r="J5" s="23"/>
    </row>
    <row r="6" spans="1:10" s="62" customFormat="1" ht="12.75" customHeight="1" x14ac:dyDescent="0.2">
      <c r="A6" s="74"/>
      <c r="B6" s="67"/>
      <c r="C6" s="67" t="s">
        <v>45</v>
      </c>
      <c r="D6" s="75" t="str">
        <f>IF(NoCu_in_Peer_Group="","N/A",NoCu_in_Peer_Group)</f>
        <v>N/A</v>
      </c>
      <c r="E6" s="75" t="str">
        <f>IF(CU_NUMBER&gt;0,"",IF(RetPop=0,"Retroactive Population",""))</f>
        <v/>
      </c>
      <c r="F6" s="119"/>
      <c r="H6" s="119"/>
      <c r="J6" s="119"/>
    </row>
    <row r="7" spans="1:10" ht="12.75" customHeight="1" x14ac:dyDescent="0.2">
      <c r="A7" s="29"/>
      <c r="E7" s="32"/>
      <c r="G7" s="30"/>
      <c r="I7" s="30"/>
    </row>
    <row r="8" spans="1:10" ht="13.15" customHeight="1" x14ac:dyDescent="0.2">
      <c r="A8" s="145"/>
      <c r="B8" s="139">
        <f>(CycDat_C1)</f>
        <v>45565</v>
      </c>
      <c r="C8" s="139">
        <f>(CycDat_C2)</f>
        <v>45657</v>
      </c>
      <c r="D8" s="184" t="s">
        <v>52</v>
      </c>
      <c r="E8" s="139">
        <f>(CycDat_C3)</f>
        <v>45747</v>
      </c>
      <c r="F8" s="184" t="s">
        <v>52</v>
      </c>
      <c r="G8" s="139">
        <f>(CycDat_C4)</f>
        <v>45838</v>
      </c>
      <c r="H8" s="184" t="s">
        <v>52</v>
      </c>
      <c r="I8" s="139">
        <f>(CycDat_C5)</f>
        <v>45930</v>
      </c>
      <c r="J8" s="184" t="s">
        <v>52</v>
      </c>
    </row>
    <row r="9" spans="1:10" ht="13.15" customHeight="1" x14ac:dyDescent="0.2">
      <c r="A9" s="145" t="s">
        <v>510</v>
      </c>
      <c r="B9" s="139"/>
      <c r="C9" s="139"/>
      <c r="D9" s="184"/>
      <c r="E9" s="139"/>
      <c r="F9" s="184"/>
      <c r="G9" s="139"/>
      <c r="H9" s="184"/>
      <c r="I9" s="139"/>
      <c r="J9" s="184"/>
    </row>
    <row r="10" spans="1:10" ht="13.15" customHeight="1" x14ac:dyDescent="0.2">
      <c r="A10" s="153" t="s">
        <v>511</v>
      </c>
      <c r="B10" s="86"/>
      <c r="C10" s="86"/>
      <c r="D10" s="102"/>
      <c r="E10" s="86"/>
      <c r="F10" s="102"/>
      <c r="G10" s="86"/>
      <c r="H10" s="102"/>
      <c r="I10" s="86"/>
      <c r="J10" s="102"/>
    </row>
    <row r="11" spans="1:10" ht="13.15" customHeight="1" x14ac:dyDescent="0.2">
      <c r="A11" s="127" t="s">
        <v>446</v>
      </c>
      <c r="B11" s="76">
        <f>IF(B8&lt;DATEVALUE("3/31/2022"),"N/A",ADL0057_C1)</f>
        <v>2677225199</v>
      </c>
      <c r="C11" s="76">
        <f>IF(C8&lt;DATEVALUE("3/31/2022"),"N/A",ADL0057_C2)</f>
        <v>5659746430</v>
      </c>
      <c r="D11" s="102">
        <f t="shared" ref="D11:D17" si="0">IF(C11="N/A", " ", IF(B11="N/A", " ",IF(AND(B11=0,C11=0,),"N/A",IF(ABS(B11)=0, "N/A", ((C11-B11)/ABS(B11))*100))))</f>
        <v>111.40344981490666</v>
      </c>
      <c r="E11" s="76">
        <f>IF(E8&lt;DATEVALUE("3/31/2022"),"N/A",ADL0057_C3)</f>
        <v>6443614470</v>
      </c>
      <c r="F11" s="102">
        <f t="shared" ref="F11:F17" si="1">IF(E11="N/A", " ", IF(C11="N/A", " ",IF(AND(C11=0,E11=0,),"N/A",IF(ABS(C11)=0, "N/A", ((E11-C11)/ABS(C11))*100))))</f>
        <v>13.849879136723093</v>
      </c>
      <c r="G11" s="76">
        <f>IF(G8&lt;DATEVALUE("3/31/2022"),"N/A",ADL0057_C4)</f>
        <v>3019477627</v>
      </c>
      <c r="H11" s="102">
        <f t="shared" ref="H11:H17" si="2">IF(G11="N/A", " ", IF(E11="N/A", " ",IF(AND(E11=0,G11=0,),"N/A",IF(ABS(E11)=0, "N/A", ((G11-E11)/ABS(E11))*100))))</f>
        <v>-53.140001763637478</v>
      </c>
      <c r="I11" s="76">
        <f>IF(I8&lt;DATEVALUE("3/31/2022"),"N/A",ADL0057_C5)</f>
        <v>3074937019</v>
      </c>
      <c r="J11" s="102">
        <f t="shared" ref="J11:J17" si="3">IF(I11="N/A", " ", IF(G11="N/A", " ",IF(AND(G11=0,I11=0,),"N/A",IF(ABS(G11)=0, "N/A", ((I11-G11)/ABS(G11))*100))))</f>
        <v>1.8367214085007693</v>
      </c>
    </row>
    <row r="12" spans="1:10" ht="13.15" customHeight="1" x14ac:dyDescent="0.2">
      <c r="A12" s="127" t="s">
        <v>512</v>
      </c>
      <c r="B12" s="76">
        <f>IF(B8&lt;DATEVALUE("3/31/2022"),"N/A",ADL0058_C1)</f>
        <v>1612184240</v>
      </c>
      <c r="C12" s="76">
        <f>IF(C8&lt;DATEVALUE("3/31/2022"),"N/A",ADL0058_C2)</f>
        <v>1875054985</v>
      </c>
      <c r="D12" s="102">
        <f t="shared" si="0"/>
        <v>16.305254602910647</v>
      </c>
      <c r="E12" s="76">
        <f>IF(E8&lt;DATEVALUE("3/31/2022"),"N/A",ADL0058_C3)</f>
        <v>543966179</v>
      </c>
      <c r="F12" s="102">
        <f t="shared" si="1"/>
        <v>-70.989321201159342</v>
      </c>
      <c r="G12" s="76">
        <f>IF(G8&lt;DATEVALUE("3/31/2022"),"N/A",ADL0058_C4)</f>
        <v>1667023608</v>
      </c>
      <c r="H12" s="102">
        <f t="shared" si="2"/>
        <v>206.45721597334821</v>
      </c>
      <c r="I12" s="76">
        <f>IF(I8&lt;DATEVALUE("3/31/2022"),"N/A",ADL0058_C5)</f>
        <v>1809706241</v>
      </c>
      <c r="J12" s="102">
        <f t="shared" si="3"/>
        <v>8.559124916724036</v>
      </c>
    </row>
    <row r="13" spans="1:10" ht="13.15" customHeight="1" x14ac:dyDescent="0.2">
      <c r="A13" s="127" t="s">
        <v>513</v>
      </c>
      <c r="B13" s="76">
        <f>IF(B8&lt;DATEVALUE("3/31/2022"),"N/A",ADL0059_C1)</f>
        <v>1313680847</v>
      </c>
      <c r="C13" s="76">
        <f>IF(C8&lt;DATEVALUE("3/31/2022"),"N/A",ADL0059_C2)</f>
        <v>1592140389</v>
      </c>
      <c r="D13" s="102">
        <f t="shared" si="0"/>
        <v>21.19689440825044</v>
      </c>
      <c r="E13" s="76">
        <f>IF(E8&lt;DATEVALUE("3/31/2022"),"N/A",ADL0059_C3)</f>
        <v>1081323590</v>
      </c>
      <c r="F13" s="102">
        <f t="shared" si="1"/>
        <v>-32.083653082931747</v>
      </c>
      <c r="G13" s="76">
        <f>IF(G8&lt;DATEVALUE("3/31/2022"),"N/A",ADL0059_C4)</f>
        <v>1419400992</v>
      </c>
      <c r="H13" s="102">
        <f t="shared" si="2"/>
        <v>31.265146263941212</v>
      </c>
      <c r="I13" s="76">
        <f>IF(I8&lt;DATEVALUE("3/31/2022"),"N/A",ADL0059_C5)</f>
        <v>1489958242</v>
      </c>
      <c r="J13" s="102">
        <f t="shared" si="3"/>
        <v>4.9709173375017626</v>
      </c>
    </row>
    <row r="14" spans="1:10" ht="13.15" customHeight="1" x14ac:dyDescent="0.2">
      <c r="A14" s="127" t="s">
        <v>449</v>
      </c>
      <c r="B14" s="76">
        <f>IF(B8&lt;DATEVALUE("3/31/2022"),"N/A",ADL0060_C1)</f>
        <v>649630138</v>
      </c>
      <c r="C14" s="76">
        <f>IF(C8&lt;DATEVALUE("3/31/2022"),"N/A",ADL0060_C2)</f>
        <v>755806077</v>
      </c>
      <c r="D14" s="102">
        <f t="shared" si="0"/>
        <v>16.344059917983671</v>
      </c>
      <c r="E14" s="76">
        <f>IF(E8&lt;DATEVALUE("3/31/2022"),"N/A",ADL0060_C3)</f>
        <v>861795553</v>
      </c>
      <c r="F14" s="102">
        <f t="shared" si="1"/>
        <v>14.023369118795801</v>
      </c>
      <c r="G14" s="76">
        <f>IF(G8&lt;DATEVALUE("3/31/2022"),"N/A",ADL0060_C4)</f>
        <v>828169796</v>
      </c>
      <c r="H14" s="102">
        <f t="shared" si="2"/>
        <v>-3.9018253091403459</v>
      </c>
      <c r="I14" s="76">
        <f>IF(I8&lt;DATEVALUE("3/31/2022"),"N/A",ADL0060_C5)</f>
        <v>838526025</v>
      </c>
      <c r="J14" s="102">
        <f t="shared" si="3"/>
        <v>1.2504958584604069</v>
      </c>
    </row>
    <row r="15" spans="1:10" ht="13.15" customHeight="1" x14ac:dyDescent="0.2">
      <c r="A15" s="127" t="s">
        <v>480</v>
      </c>
      <c r="B15" s="76">
        <f>IF(B8&lt;DATEVALUE("3/31/2022"),"N/A",ADL0061_C1)</f>
        <v>459070495</v>
      </c>
      <c r="C15" s="76">
        <f>IF(C8&lt;DATEVALUE("3/31/2022"),"N/A",ADL0061_C2)</f>
        <v>485129179</v>
      </c>
      <c r="D15" s="102">
        <f t="shared" si="0"/>
        <v>5.6764013988744804</v>
      </c>
      <c r="E15" s="76">
        <f>IF(E8&lt;DATEVALUE("3/31/2022"),"N/A",ADL0061_C3)</f>
        <v>522422502</v>
      </c>
      <c r="F15" s="102">
        <f t="shared" si="1"/>
        <v>7.6872974486657295</v>
      </c>
      <c r="G15" s="76">
        <f>IF(G8&lt;DATEVALUE("3/31/2022"),"N/A",ADL0061_C4)</f>
        <v>578482943</v>
      </c>
      <c r="H15" s="102">
        <f t="shared" si="2"/>
        <v>10.730862622758925</v>
      </c>
      <c r="I15" s="76">
        <f>IF(I8&lt;DATEVALUE("3/31/2022"),"N/A",ADL0061_C5)</f>
        <v>641277252</v>
      </c>
      <c r="J15" s="102">
        <f t="shared" si="3"/>
        <v>10.854997499900355</v>
      </c>
    </row>
    <row r="16" spans="1:10" ht="26.45" customHeight="1" x14ac:dyDescent="0.2">
      <c r="A16" s="124" t="s">
        <v>514</v>
      </c>
      <c r="B16" s="76">
        <f>IF(B8&lt;DATEVALUE("3/31/2022"),"N/A",ADL0062_C1)</f>
        <v>4034565720</v>
      </c>
      <c r="C16" s="76">
        <f>IF(C8&lt;DATEVALUE("3/31/2022"),"N/A",ADL0062_C2)</f>
        <v>4708130630</v>
      </c>
      <c r="D16" s="102">
        <f t="shared" si="0"/>
        <v>16.694855326337329</v>
      </c>
      <c r="E16" s="76">
        <f>IF(E8&lt;DATEVALUE("3/31/2022"),"N/A",ADL0062_C3)</f>
        <v>3009507824</v>
      </c>
      <c r="F16" s="102">
        <f t="shared" si="1"/>
        <v>-36.078497804977005</v>
      </c>
      <c r="G16" s="76">
        <f>IF(G8&lt;DATEVALUE("3/31/2022"),"N/A",ADL0062_C4)</f>
        <v>4493077339</v>
      </c>
      <c r="H16" s="102">
        <f t="shared" si="2"/>
        <v>49.296084335416566</v>
      </c>
      <c r="I16" s="76">
        <f>IF(I8&lt;DATEVALUE("3/31/2022"),"N/A",ADL0062_C5)</f>
        <v>4779467760</v>
      </c>
      <c r="J16" s="102">
        <f t="shared" si="3"/>
        <v>6.3740371997188987</v>
      </c>
    </row>
    <row r="17" spans="1:10" ht="26.45" customHeight="1" x14ac:dyDescent="0.2">
      <c r="A17" s="124" t="s">
        <v>515</v>
      </c>
      <c r="B17" s="131">
        <f>IF(B8&lt;DATEVALUE("3/31/2022"),"N/A",IF(A703A_C1=0,0,(ADL0062_C1/A703A_C1))*100)</f>
        <v>0.68627326436211644</v>
      </c>
      <c r="C17" s="131">
        <f>IF(C8&lt;DATEVALUE("3/31/2022"),"N/A",IF(A703A_C2=0,0,(ADL0062_C2/A703A_C2))*100)</f>
        <v>0.79230795788884034</v>
      </c>
      <c r="D17" s="102">
        <f t="shared" si="0"/>
        <v>15.450797668080805</v>
      </c>
      <c r="E17" s="131">
        <f>IF(E8&lt;DATEVALUE("3/31/2022"),"N/A",IF(A703A_C3=0,0,(ADL0062_C3/A703A_C3))*100)</f>
        <v>0.50331471647097514</v>
      </c>
      <c r="F17" s="102">
        <f t="shared" si="1"/>
        <v>-36.474862904054099</v>
      </c>
      <c r="G17" s="131">
        <f>IF(G8&lt;DATEVALUE("3/31/2022"),"N/A",IF(A703A_C4=0,0,(ADL0062_C4/A703A_C4))*100)</f>
        <v>0.73924857419947831</v>
      </c>
      <c r="H17" s="102">
        <f t="shared" si="2"/>
        <v>46.876010179628608</v>
      </c>
      <c r="I17" s="131">
        <f>IF(I8&lt;DATEVALUE("3/31/2022"),"N/A",IF(A703A_C5=0,0,(ADL0062_C5/A703A_C5))*100)</f>
        <v>0.77450697107460886</v>
      </c>
      <c r="J17" s="102">
        <f t="shared" si="3"/>
        <v>4.7694913599679731</v>
      </c>
    </row>
    <row r="18" spans="1:10" ht="13.15" customHeight="1" x14ac:dyDescent="0.2">
      <c r="A18" s="153" t="s">
        <v>516</v>
      </c>
      <c r="B18" s="76"/>
      <c r="C18" s="76"/>
      <c r="D18" s="102"/>
      <c r="E18" s="76"/>
      <c r="F18" s="102"/>
      <c r="G18" s="76"/>
      <c r="H18" s="102"/>
      <c r="I18" s="76"/>
      <c r="J18" s="102"/>
    </row>
    <row r="19" spans="1:10" ht="13.15" customHeight="1" x14ac:dyDescent="0.2">
      <c r="A19" s="127" t="s">
        <v>446</v>
      </c>
      <c r="B19" s="76">
        <f>IF(B8&lt;DATEVALUE("3/31/2022"),"N/A",ADL0064_C1)</f>
        <v>997158266</v>
      </c>
      <c r="C19" s="76">
        <f>IF(C8&lt;DATEVALUE("3/31/2022"),"N/A",ADL0064_C2)</f>
        <v>1349349182</v>
      </c>
      <c r="D19" s="102">
        <f t="shared" ref="D19:D25" si="4">IF(C19="N/A", " ", IF(B19="N/A", " ",IF(AND(B19=0,C19=0,),"N/A",IF(ABS(B19)=0, "N/A", ((C19-B19)/ABS(B19))*100))))</f>
        <v>35.319460110658099</v>
      </c>
      <c r="E19" s="76">
        <f>IF(E8&lt;DATEVALUE("3/31/2022"),"N/A",ADL0064_C3)</f>
        <v>1389694394</v>
      </c>
      <c r="F19" s="102">
        <f t="shared" ref="F19:F25" si="5">IF(E19="N/A", " ", IF(C19="N/A", " ",IF(AND(C19=0,E19=0,),"N/A",IF(ABS(C19)=0, "N/A", ((E19-C19)/ABS(C19))*100))))</f>
        <v>2.9899756518324256</v>
      </c>
      <c r="G19" s="76">
        <f>IF(G8&lt;DATEVALUE("3/31/2022"),"N/A",ADL0064_C4)</f>
        <v>1088908853</v>
      </c>
      <c r="H19" s="102">
        <f t="shared" ref="H19:H25" si="6">IF(G19="N/A", " ", IF(E19="N/A", " ",IF(AND(E19=0,G19=0,),"N/A",IF(ABS(E19)=0, "N/A", ((G19-E19)/ABS(E19))*100))))</f>
        <v>-21.644006214505893</v>
      </c>
      <c r="I19" s="76">
        <f>IF(I8&lt;DATEVALUE("3/31/2022"),"N/A",ADL0064_C5)</f>
        <v>1189958195</v>
      </c>
      <c r="J19" s="102">
        <f t="shared" ref="J19:J25" si="7">IF(I19="N/A", " ", IF(G19="N/A", " ",IF(AND(G19=0,I19=0,),"N/A",IF(ABS(G19)=0, "N/A", ((I19-G19)/ABS(G19))*100))))</f>
        <v>9.2798714714830233</v>
      </c>
    </row>
    <row r="20" spans="1:10" ht="13.15" customHeight="1" x14ac:dyDescent="0.2">
      <c r="A20" s="127" t="s">
        <v>517</v>
      </c>
      <c r="B20" s="76">
        <f>IF(B8&lt;DATEVALUE("3/31/2022"),"N/A",ADL0065_C1)</f>
        <v>353276969</v>
      </c>
      <c r="C20" s="76">
        <f>IF(C8&lt;DATEVALUE("3/31/2022"),"N/A",ADL0065_C2)</f>
        <v>393777265</v>
      </c>
      <c r="D20" s="102">
        <f t="shared" si="4"/>
        <v>11.464176709464466</v>
      </c>
      <c r="E20" s="76">
        <f>IF(E8&lt;DATEVALUE("3/31/2022"),"N/A",ADL0065_C3)</f>
        <v>286884097</v>
      </c>
      <c r="F20" s="102">
        <f t="shared" si="5"/>
        <v>-27.145591556688782</v>
      </c>
      <c r="G20" s="76">
        <f>IF(G8&lt;DATEVALUE("3/31/2022"),"N/A",ADL0065_C4)</f>
        <v>403008413</v>
      </c>
      <c r="H20" s="102">
        <f t="shared" si="6"/>
        <v>40.477780823103629</v>
      </c>
      <c r="I20" s="76">
        <f>IF(I8&lt;DATEVALUE("3/31/2022"),"N/A",ADL0065_C5)</f>
        <v>419342790</v>
      </c>
      <c r="J20" s="102">
        <f t="shared" si="7"/>
        <v>4.0531106729029993</v>
      </c>
    </row>
    <row r="21" spans="1:10" ht="13.15" customHeight="1" x14ac:dyDescent="0.2">
      <c r="A21" s="127" t="s">
        <v>518</v>
      </c>
      <c r="B21" s="76">
        <f>IF(B8&lt;DATEVALUE("3/31/2022"),"N/A",ADL0066_C1)</f>
        <v>345326046</v>
      </c>
      <c r="C21" s="76">
        <f>IF(C8&lt;DATEVALUE("3/31/2022"),"N/A",ADL0066_C2)</f>
        <v>402392800</v>
      </c>
      <c r="D21" s="102">
        <f t="shared" si="4"/>
        <v>16.525470540383161</v>
      </c>
      <c r="E21" s="76">
        <f>IF(E8&lt;DATEVALUE("3/31/2022"),"N/A",ADL0066_C3)</f>
        <v>355808181</v>
      </c>
      <c r="F21" s="102">
        <f t="shared" si="5"/>
        <v>-11.576901723887703</v>
      </c>
      <c r="G21" s="76">
        <f>IF(G8&lt;DATEVALUE("3/31/2022"),"N/A",ADL0066_C4)</f>
        <v>385101875</v>
      </c>
      <c r="H21" s="102">
        <f t="shared" si="6"/>
        <v>8.2330018150987936</v>
      </c>
      <c r="I21" s="76">
        <f>IF(I8&lt;DATEVALUE("3/31/2022"),"N/A",ADL0066_C5)</f>
        <v>452470805</v>
      </c>
      <c r="J21" s="102">
        <f t="shared" si="7"/>
        <v>17.493794336888129</v>
      </c>
    </row>
    <row r="22" spans="1:10" ht="13.15" customHeight="1" x14ac:dyDescent="0.2">
      <c r="A22" s="127" t="s">
        <v>449</v>
      </c>
      <c r="B22" s="76">
        <f>IF(B8&lt;DATEVALUE("3/31/2022"),"N/A",ADL0067_C1)</f>
        <v>183130853</v>
      </c>
      <c r="C22" s="76">
        <f>IF(C8&lt;DATEVALUE("3/31/2022"),"N/A",ADL0067_C2)</f>
        <v>221190307</v>
      </c>
      <c r="D22" s="102">
        <f t="shared" si="4"/>
        <v>20.782655339895129</v>
      </c>
      <c r="E22" s="76">
        <f>IF(E8&lt;DATEVALUE("3/31/2022"),"N/A",ADL0067_C3)</f>
        <v>226711249</v>
      </c>
      <c r="F22" s="102">
        <f t="shared" si="5"/>
        <v>2.4960144388243921</v>
      </c>
      <c r="G22" s="76">
        <f>IF(G8&lt;DATEVALUE("3/31/2022"),"N/A",ADL0067_C4)</f>
        <v>235470509</v>
      </c>
      <c r="H22" s="102">
        <f t="shared" si="6"/>
        <v>3.8636194889473701</v>
      </c>
      <c r="I22" s="76">
        <f>IF(I8&lt;DATEVALUE("3/31/2022"),"N/A",ADL0067_C5)</f>
        <v>245708875</v>
      </c>
      <c r="J22" s="102">
        <f t="shared" si="7"/>
        <v>4.3480459797196938</v>
      </c>
    </row>
    <row r="23" spans="1:10" ht="13.15" customHeight="1" x14ac:dyDescent="0.2">
      <c r="A23" s="127" t="s">
        <v>480</v>
      </c>
      <c r="B23" s="76">
        <f>IF(B8&lt;DATEVALUE("3/31/2022"),"N/A",ADL0068_C1)</f>
        <v>139187168</v>
      </c>
      <c r="C23" s="76">
        <f>IF(C8&lt;DATEVALUE("3/31/2022"),"N/A",ADL0068_C2)</f>
        <v>157736306</v>
      </c>
      <c r="D23" s="102">
        <f t="shared" si="4"/>
        <v>13.326758685110974</v>
      </c>
      <c r="E23" s="76">
        <f>IF(E8&lt;DATEVALUE("3/31/2022"),"N/A",ADL0068_C3)</f>
        <v>176575346</v>
      </c>
      <c r="F23" s="102">
        <f t="shared" si="5"/>
        <v>11.94337592767007</v>
      </c>
      <c r="G23" s="76">
        <f>IF(G8&lt;DATEVALUE("3/31/2022"),"N/A",ADL0068_C4)</f>
        <v>200566346</v>
      </c>
      <c r="H23" s="102">
        <f t="shared" si="6"/>
        <v>13.586834483677013</v>
      </c>
      <c r="I23" s="76">
        <f>IF(I8&lt;DATEVALUE("3/31/2022"),"N/A",ADL0068_C5)</f>
        <v>215631118</v>
      </c>
      <c r="J23" s="102">
        <f t="shared" si="7"/>
        <v>7.5111165459433558</v>
      </c>
    </row>
    <row r="24" spans="1:10" ht="26.45" customHeight="1" x14ac:dyDescent="0.2">
      <c r="A24" s="124" t="s">
        <v>519</v>
      </c>
      <c r="B24" s="76">
        <f>IF(B8&lt;DATEVALUE("3/31/2022"),"N/A",ADL0069_C1)</f>
        <v>1020921036</v>
      </c>
      <c r="C24" s="76">
        <f>IF(C8&lt;DATEVALUE("3/31/2022"),"N/A",ADL0069_C2)</f>
        <v>1175096678</v>
      </c>
      <c r="D24" s="102">
        <f t="shared" si="4"/>
        <v>15.101622609723558</v>
      </c>
      <c r="E24" s="76">
        <f>IF(E8&lt;DATEVALUE("3/31/2022"),"N/A",ADL0069_C3)</f>
        <v>1045978873</v>
      </c>
      <c r="F24" s="102">
        <f t="shared" si="5"/>
        <v>-10.98784529114293</v>
      </c>
      <c r="G24" s="76">
        <f>IF(G8&lt;DATEVALUE("3/31/2022"),"N/A",ADL0069_C4)</f>
        <v>1224147143</v>
      </c>
      <c r="H24" s="102">
        <f t="shared" si="6"/>
        <v>17.03363945478084</v>
      </c>
      <c r="I24" s="76">
        <f>IF(I8&lt;DATEVALUE("3/31/2022"),"N/A",ADL0069_C5)</f>
        <v>1333153588</v>
      </c>
      <c r="J24" s="102">
        <f t="shared" si="7"/>
        <v>8.9046848349340948</v>
      </c>
    </row>
    <row r="25" spans="1:10" ht="26.45" customHeight="1" x14ac:dyDescent="0.2">
      <c r="A25" s="124" t="s">
        <v>520</v>
      </c>
      <c r="B25" s="131">
        <f>IF(B8&lt;DATEVALUE("3/31/2022"),"N/A",(ADL0069_C1/A386A_C1)*100)</f>
        <v>0.68738654776269248</v>
      </c>
      <c r="C25" s="131">
        <f>IF(C8&lt;DATEVALUE("3/31/2022"),"N/A",(ADL0069_C2/A386A_C2)*100)</f>
        <v>0.76099919431171115</v>
      </c>
      <c r="D25" s="102">
        <f t="shared" si="4"/>
        <v>10.709061268163204</v>
      </c>
      <c r="E25" s="131">
        <f>IF(E8&lt;DATEVALUE("3/31/2022"),"N/A",(ADL0069_C3/A386A_C3)*100)</f>
        <v>0.65833924841722313</v>
      </c>
      <c r="F25" s="102">
        <f t="shared" si="5"/>
        <v>-13.490151719193241</v>
      </c>
      <c r="G25" s="131">
        <f>IF(G8&lt;DATEVALUE("3/31/2022"),"N/A",(ADL0069_C4/A386A_C4)*100)</f>
        <v>0.73900838965802029</v>
      </c>
      <c r="H25" s="102">
        <f t="shared" si="6"/>
        <v>12.253430345333598</v>
      </c>
      <c r="I25" s="131">
        <f>IF(I8&lt;DATEVALUE("3/31/2022"),"N/A",(ADL0069_C5/A386A_C5)*100)</f>
        <v>0.77306587631084722</v>
      </c>
      <c r="J25" s="102">
        <f t="shared" si="7"/>
        <v>4.6085385672802976</v>
      </c>
    </row>
    <row r="26" spans="1:10" ht="13.15" customHeight="1" x14ac:dyDescent="0.2">
      <c r="A26" s="145" t="s">
        <v>521</v>
      </c>
      <c r="B26" s="76"/>
      <c r="C26" s="76"/>
      <c r="D26" s="102"/>
      <c r="E26" s="76"/>
      <c r="F26" s="102"/>
      <c r="G26" s="76"/>
      <c r="H26" s="102"/>
      <c r="I26" s="76"/>
      <c r="J26" s="102"/>
    </row>
    <row r="27" spans="1:10" ht="13.15" customHeight="1" x14ac:dyDescent="0.2">
      <c r="A27" s="127" t="s">
        <v>446</v>
      </c>
      <c r="B27" s="76">
        <f>IF(B8&lt;DATEVALUE("3/31/2022"),"N/A",ADL0071_C1)</f>
        <v>8782854</v>
      </c>
      <c r="C27" s="76">
        <f>IF(C8&lt;DATEVALUE("3/31/2022"),"N/A",ADL0071_C2)</f>
        <v>22575469</v>
      </c>
      <c r="D27" s="102">
        <f t="shared" ref="D27:D35" si="8">IF(C27="N/A", " ", IF(B27="N/A", " ",IF(AND(B27=0,C27=0,),"N/A",IF(ABS(B27)=0, "N/A", ((C27-B27)/ABS(B27))*100))))</f>
        <v>157.04023999488092</v>
      </c>
      <c r="E27" s="76">
        <f>IF(E8&lt;DATEVALUE("3/31/2022"),"N/A",ADL0071_C3)</f>
        <v>21071396</v>
      </c>
      <c r="F27" s="102">
        <f t="shared" ref="F27:F35" si="9">IF(E27="N/A", " ", IF(C27="N/A", " ",IF(AND(C27=0,E27=0,),"N/A",IF(ABS(C27)=0, "N/A", ((E27-C27)/ABS(C27))*100))))</f>
        <v>-6.6624219412673114</v>
      </c>
      <c r="G27" s="76">
        <f>IF(G8&lt;DATEVALUE("3/31/2022"),"N/A",ADL0071_C4)</f>
        <v>9266272</v>
      </c>
      <c r="H27" s="102">
        <f t="shared" ref="H27:H35" si="10">IF(G27="N/A", " ", IF(E27="N/A", " ",IF(AND(E27=0,G27=0,),"N/A",IF(ABS(E27)=0, "N/A", ((G27-E27)/ABS(E27))*100))))</f>
        <v>-56.02440388857007</v>
      </c>
      <c r="I27" s="76">
        <f>IF(I8&lt;DATEVALUE("3/31/2022"),"N/A",ADL0071_C5)</f>
        <v>20236510</v>
      </c>
      <c r="J27" s="102">
        <f t="shared" ref="J27:J35" si="11">IF(I27="N/A", " ", IF(G27="N/A", " ",IF(AND(G27=0,I27=0,),"N/A",IF(ABS(G27)=0, "N/A", ((I27-G27)/ABS(G27))*100))))</f>
        <v>118.38890548431991</v>
      </c>
    </row>
    <row r="28" spans="1:10" ht="13.15" customHeight="1" x14ac:dyDescent="0.2">
      <c r="A28" s="127" t="s">
        <v>522</v>
      </c>
      <c r="B28" s="76">
        <f>IF(B8&lt;DATEVALUE("3/31/2022"),"N/A",ADL0072_C1)</f>
        <v>4049829</v>
      </c>
      <c r="C28" s="76">
        <f>IF(C8&lt;DATEVALUE("3/31/2022"),"N/A",ADL0072_C2)</f>
        <v>4824534</v>
      </c>
      <c r="D28" s="102">
        <f t="shared" si="8"/>
        <v>19.129326201180348</v>
      </c>
      <c r="E28" s="76">
        <f>IF(E8&lt;DATEVALUE("3/31/2022"),"N/A",ADL0072_C3)</f>
        <v>3800500</v>
      </c>
      <c r="F28" s="102">
        <f t="shared" si="9"/>
        <v>-21.225552561138546</v>
      </c>
      <c r="G28" s="76">
        <f>IF(G8&lt;DATEVALUE("3/31/2022"),"N/A",ADL0072_C4)</f>
        <v>4430920</v>
      </c>
      <c r="H28" s="102">
        <f t="shared" si="10"/>
        <v>16.587817392448361</v>
      </c>
      <c r="I28" s="76">
        <f>IF(I8&lt;DATEVALUE("3/31/2022"),"N/A",ADL0072_C5)</f>
        <v>10092744</v>
      </c>
      <c r="J28" s="102">
        <f t="shared" si="11"/>
        <v>127.77987415705994</v>
      </c>
    </row>
    <row r="29" spans="1:10" ht="13.15" customHeight="1" x14ac:dyDescent="0.2">
      <c r="A29" s="127" t="s">
        <v>523</v>
      </c>
      <c r="B29" s="76">
        <f>IF(B8&lt;DATEVALUE("3/31/2022"),"N/A",ADL0073_C1)</f>
        <v>4692689</v>
      </c>
      <c r="C29" s="76">
        <f>IF(C8&lt;DATEVALUE("3/31/2022"),"N/A",ADL0073_C2)</f>
        <v>3359351</v>
      </c>
      <c r="D29" s="102">
        <f t="shared" si="8"/>
        <v>-28.413091087007896</v>
      </c>
      <c r="E29" s="76">
        <f>IF(E8&lt;DATEVALUE("3/31/2022"),"N/A",ADL0073_C3)</f>
        <v>4571026</v>
      </c>
      <c r="F29" s="102">
        <f t="shared" si="9"/>
        <v>36.068722797945199</v>
      </c>
      <c r="G29" s="76">
        <f>IF(G8&lt;DATEVALUE("3/31/2022"),"N/A",ADL0073_C4)</f>
        <v>6356923</v>
      </c>
      <c r="H29" s="102">
        <f t="shared" si="10"/>
        <v>39.069937471368569</v>
      </c>
      <c r="I29" s="76">
        <f>IF(I8&lt;DATEVALUE("3/31/2022"),"N/A",ADL0073_C5)</f>
        <v>13870885</v>
      </c>
      <c r="J29" s="102">
        <f t="shared" si="11"/>
        <v>118.20124295984078</v>
      </c>
    </row>
    <row r="30" spans="1:10" ht="13.15" customHeight="1" x14ac:dyDescent="0.2">
      <c r="A30" s="127" t="s">
        <v>449</v>
      </c>
      <c r="B30" s="76">
        <f>IF(B8&lt;DATEVALUE("3/31/2022"),"N/A",ADL0074_C1)</f>
        <v>3013707</v>
      </c>
      <c r="C30" s="76">
        <f>IF(C8&lt;DATEVALUE("3/31/2022"),"N/A",ADL0074_C2)</f>
        <v>2102710</v>
      </c>
      <c r="D30" s="102">
        <f t="shared" si="8"/>
        <v>-30.228452865524087</v>
      </c>
      <c r="E30" s="76">
        <f>IF(E8&lt;DATEVALUE("3/31/2022"),"N/A",ADL0074_C3)</f>
        <v>2443400</v>
      </c>
      <c r="F30" s="102">
        <f t="shared" si="9"/>
        <v>16.202424490300611</v>
      </c>
      <c r="G30" s="76">
        <f>IF(G8&lt;DATEVALUE("3/31/2022"),"N/A",ADL0074_C4)</f>
        <v>1642136</v>
      </c>
      <c r="H30" s="102">
        <f t="shared" si="10"/>
        <v>-32.792993369894404</v>
      </c>
      <c r="I30" s="76">
        <f>IF(I8&lt;DATEVALUE("3/31/2022"),"N/A",ADL0074_C5)</f>
        <v>3419620</v>
      </c>
      <c r="J30" s="102">
        <f t="shared" si="11"/>
        <v>108.24219187692128</v>
      </c>
    </row>
    <row r="31" spans="1:10" ht="13.15" customHeight="1" x14ac:dyDescent="0.2">
      <c r="A31" s="127" t="s">
        <v>480</v>
      </c>
      <c r="B31" s="76">
        <f>IF(B8&lt;DATEVALUE("3/31/2022"),"N/A",ADL0075_C1)</f>
        <v>1968004</v>
      </c>
      <c r="C31" s="76">
        <f>IF(C8&lt;DATEVALUE("3/31/2022"),"N/A",ADL0075_C2)</f>
        <v>2134303</v>
      </c>
      <c r="D31" s="102">
        <f t="shared" si="8"/>
        <v>8.4501352639527152</v>
      </c>
      <c r="E31" s="76">
        <f>IF(E8&lt;DATEVALUE("3/31/2022"),"N/A",ADL0075_C3)</f>
        <v>3149903</v>
      </c>
      <c r="F31" s="102">
        <f t="shared" si="9"/>
        <v>47.584621302598549</v>
      </c>
      <c r="G31" s="76">
        <f>IF(G8&lt;DATEVALUE("3/31/2022"),"N/A",ADL0075_C4)</f>
        <v>1927958</v>
      </c>
      <c r="H31" s="102">
        <f t="shared" si="10"/>
        <v>-38.793099343059133</v>
      </c>
      <c r="I31" s="76">
        <f>IF(I8&lt;DATEVALUE("3/31/2022"),"N/A",ADL0075_C5)</f>
        <v>1600918</v>
      </c>
      <c r="J31" s="102">
        <f t="shared" si="11"/>
        <v>-16.963025128140757</v>
      </c>
    </row>
    <row r="32" spans="1:10" ht="26.45" customHeight="1" x14ac:dyDescent="0.2">
      <c r="A32" s="124" t="s">
        <v>524</v>
      </c>
      <c r="B32" s="76">
        <f>IF(B8&lt;DATEVALUE("3/31/2022"),"N/A",ADL0076_C1)</f>
        <v>13724229</v>
      </c>
      <c r="C32" s="76">
        <f>IF(C8&lt;DATEVALUE("3/31/2022"),"N/A",ADL0076_C2)</f>
        <v>12420898</v>
      </c>
      <c r="D32" s="102">
        <f t="shared" si="8"/>
        <v>-9.4965698983891915</v>
      </c>
      <c r="E32" s="76">
        <f>IF(E8&lt;DATEVALUE("3/31/2022"),"N/A",ADL0076_C3)</f>
        <v>13964829</v>
      </c>
      <c r="F32" s="102">
        <f t="shared" si="9"/>
        <v>12.4301077104087</v>
      </c>
      <c r="G32" s="76">
        <f>IF(G8&lt;DATEVALUE("3/31/2022"),"N/A",ADL0076_C4)</f>
        <v>14357937</v>
      </c>
      <c r="H32" s="102">
        <f t="shared" si="10"/>
        <v>2.8149861340944455</v>
      </c>
      <c r="I32" s="76">
        <f>IF(I8&lt;DATEVALUE("3/31/2022"),"N/A",ADL0076_C5)</f>
        <v>28984167</v>
      </c>
      <c r="J32" s="102">
        <f t="shared" si="11"/>
        <v>101.86860410377898</v>
      </c>
    </row>
    <row r="33" spans="1:10" ht="32.25" customHeight="1" x14ac:dyDescent="0.2">
      <c r="A33" s="124" t="s">
        <v>525</v>
      </c>
      <c r="B33" s="131">
        <f>IF(B8&lt;DATEVALUE("3/31/2022"),"N/A",IF(A386B_C1=0,0,(ADL0076_C1/A386B_C1))*100)</f>
        <v>0.69112078572527313</v>
      </c>
      <c r="C33" s="131">
        <f>IF(C8&lt;DATEVALUE("3/31/2022"),"N/A",IF(A386B_C2=0,0,(ADL0076_C2/A386B_C2))*100)</f>
        <v>0.61604420429473183</v>
      </c>
      <c r="D33" s="102">
        <f t="shared" si="8"/>
        <v>-10.863018879074044</v>
      </c>
      <c r="E33" s="131">
        <f>IF(E8&lt;DATEVALUE("3/31/2022"),"N/A",IF(A386B_C3=0,0,(ADL0076_C3/A386B_C3))*100)</f>
        <v>0.68334806412962035</v>
      </c>
      <c r="F33" s="102">
        <f t="shared" si="9"/>
        <v>10.925167279503951</v>
      </c>
      <c r="G33" s="131">
        <f>IF(G8&lt;DATEVALUE("3/31/2022"),"N/A",IF(A386B_C4=0,0,(ADL0076_C4/A386B_C4))*100)</f>
        <v>0.69696401328144109</v>
      </c>
      <c r="H33" s="102">
        <f t="shared" si="10"/>
        <v>1.9925349710565667</v>
      </c>
      <c r="I33" s="131">
        <f>IF(I8&lt;DATEVALUE("3/31/2022"),"N/A",IF(A386B_C5=0,0,(ADL0076_C5/A386B_C5))*100)</f>
        <v>1.2116321797951066</v>
      </c>
      <c r="J33" s="102">
        <f t="shared" si="11"/>
        <v>73.844295645984431</v>
      </c>
    </row>
    <row r="34" spans="1:10" ht="34.5" customHeight="1" x14ac:dyDescent="0.2">
      <c r="A34" s="124" t="s">
        <v>526</v>
      </c>
      <c r="B34" s="76">
        <f>IF(B8&lt;DATEVALUE("3/31/2022"),"N/A",(ADL0062_C1 + ADL0069_C1 + ADL0076_C1))</f>
        <v>5069210985</v>
      </c>
      <c r="C34" s="76">
        <f>IF(C8&lt;DATEVALUE("3/31/2022"),"N/A",(ADL0062_C2 + ADL0069_C2 + ADL0076_C2))</f>
        <v>5895648206</v>
      </c>
      <c r="D34" s="102">
        <f t="shared" si="8"/>
        <v>16.303074057194721</v>
      </c>
      <c r="E34" s="76">
        <f>IF(E8&lt;DATEVALUE("3/31/2022"),"N/A",(ADL0062_C3 + ADL0069_C3 + ADL0076_C3))</f>
        <v>4069451526</v>
      </c>
      <c r="F34" s="102">
        <f t="shared" si="9"/>
        <v>-30.975333266009326</v>
      </c>
      <c r="G34" s="76">
        <f>IF(G8&lt;DATEVALUE("3/31/2022"),"N/A",(ADL0062_C4 + ADL0069_C4 + ADL0076_C4))</f>
        <v>5731582419</v>
      </c>
      <c r="H34" s="102">
        <f t="shared" si="10"/>
        <v>40.844101038691178</v>
      </c>
      <c r="I34" s="76">
        <f>IF(I8&lt;DATEVALUE("3/31/2022"),"N/A",(ADL0062_C5 + ADL0069_C5 + ADL0076_C5))</f>
        <v>6141605515</v>
      </c>
      <c r="J34" s="102">
        <f t="shared" si="11"/>
        <v>7.1537503262761692</v>
      </c>
    </row>
    <row r="35" spans="1:10" ht="52.5" customHeight="1" x14ac:dyDescent="0.2">
      <c r="A35" s="124" t="s">
        <v>527</v>
      </c>
      <c r="B35" s="131">
        <f>IF(B8&lt;DATEVALUE("3/31/2022"),"N/A",IF((A703A_C1 + A386A_C1 + A386B_C1)=0,0,((ADL0062_C1 + ADL0069_C1 + ADL0076_C1)/(A703A_C1 + A386A_C1 + A386B_C1)))*100)</f>
        <v>0.68651022631654868</v>
      </c>
      <c r="C35" s="131">
        <f>IF(C8&lt;DATEVALUE("3/31/2022"),"N/A",IF((A703A_C2 + A386A_C2 + A386B_C2)=0,0,((ADL0062_C2 + ADL0069_C2 + ADL0076_C2)/(A703A_C2 + A386A_C2 + A386B_C2)))*100)</f>
        <v>0.78539414416285425</v>
      </c>
      <c r="D35" s="102">
        <f t="shared" si="8"/>
        <v>14.403852128593108</v>
      </c>
      <c r="E35" s="131">
        <f>IF(E8&lt;DATEVALUE("3/31/2022"),"N/A",IF((A703A_C3 + A386A_C3 + A386B_C3)=0,0,((ADL0062_C3 + ADL0069_C3 + ADL0076_C3)/(A703A_C3 + A386A_C3 + A386B_C3)))*100)</f>
        <v>0.53625669410106913</v>
      </c>
      <c r="F35" s="102">
        <f t="shared" si="9"/>
        <v>-31.721327681573037</v>
      </c>
      <c r="G35" s="131">
        <f>IF(G8&lt;DATEVALUE("3/31/2022"),"N/A",IF((A703A_C4 + A386A_C4 + A386B_C4)=0,0,((ADL0062_C4 + ADL0069_C4 + ADL0076_C4)/(A703A_C4 + A386A_C4 + A386B_C4)))*100)</f>
        <v>0.73908494366371935</v>
      </c>
      <c r="H35" s="102">
        <f t="shared" si="10"/>
        <v>37.822977651151305</v>
      </c>
      <c r="I35" s="131">
        <f>IF(I8&lt;DATEVALUE("3/31/2022"),"N/A",IF((A703A_C5 + A386A_C5 + A386B_C5)=0,0,((ADL0062_C5 + ADL0069_C5 + ADL0076_C5)/(A703A_C5 + A386A_C5 + A386B_C5)))*100)</f>
        <v>0.77551355672576816</v>
      </c>
      <c r="J35" s="102">
        <f t="shared" si="11"/>
        <v>4.9288804181923211</v>
      </c>
    </row>
    <row r="36" spans="1:10" x14ac:dyDescent="0.2">
      <c r="A36" s="175" t="s">
        <v>86</v>
      </c>
      <c r="B36" s="175"/>
      <c r="C36" s="175"/>
      <c r="D36" s="212"/>
      <c r="E36" s="175"/>
      <c r="F36" s="212"/>
      <c r="G36" s="175"/>
      <c r="H36" s="212"/>
      <c r="I36" s="219"/>
      <c r="J36" s="212"/>
    </row>
    <row r="37" spans="1:10" ht="13.15" customHeight="1" x14ac:dyDescent="0.2">
      <c r="A37" s="10" t="s">
        <v>528</v>
      </c>
      <c r="B37" s="10"/>
      <c r="C37" s="10"/>
      <c r="D37" s="10"/>
      <c r="E37" s="10"/>
      <c r="F37" s="10"/>
      <c r="G37" s="10"/>
      <c r="H37" s="8" t="s">
        <v>529</v>
      </c>
      <c r="I37" s="8"/>
      <c r="J37" s="188"/>
    </row>
    <row r="38" spans="1:10" ht="22.5" customHeight="1" x14ac:dyDescent="0.2">
      <c r="A38" s="81"/>
      <c r="B38" s="81"/>
      <c r="C38" s="81"/>
      <c r="D38" s="81"/>
      <c r="E38" s="81"/>
      <c r="F38" s="81"/>
      <c r="G38" s="81"/>
      <c r="H38" s="188"/>
    </row>
    <row r="39" spans="1:10" x14ac:dyDescent="0.2">
      <c r="A39" s="30"/>
      <c r="B39" s="30"/>
      <c r="C39" s="30"/>
      <c r="E39" s="30"/>
      <c r="G39" s="30"/>
      <c r="I39" s="30"/>
    </row>
    <row r="40" spans="1:10" x14ac:dyDescent="0.2">
      <c r="A40" s="62"/>
      <c r="B40" s="63"/>
      <c r="C40" s="63"/>
      <c r="D40" s="64"/>
      <c r="E40" s="63"/>
      <c r="F40" s="64"/>
      <c r="G40" s="63"/>
      <c r="H40" s="64"/>
      <c r="I40" s="63"/>
      <c r="J40" s="64"/>
    </row>
  </sheetData>
  <mergeCells count="3">
    <mergeCell ref="D5:J5"/>
    <mergeCell ref="A37:G37"/>
    <mergeCell ref="H37:I37"/>
  </mergeCells>
  <hyperlinks>
    <hyperlink ref="A2" location="'Cover Page'!A1" display="Return to cover" xr:uid="{00000000-0004-0000-0B00-000000000000}"/>
  </hyperlinks>
  <printOptions horizontalCentered="1" verticalCentered="1" gridLines="1"/>
  <pageMargins left="0.25" right="0.25" top="0.5" bottom="0.5" header="0.5" footer="0.5"/>
  <pageSetup orientation="landscape"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2">
    <pageSetUpPr fitToPage="1"/>
  </sheetPr>
  <dimension ref="A1:K55"/>
  <sheetViews>
    <sheetView workbookViewId="0"/>
  </sheetViews>
  <sheetFormatPr defaultRowHeight="12.75" x14ac:dyDescent="0.2"/>
  <cols>
    <col min="1" max="1" width="66.140625" customWidth="1"/>
    <col min="2" max="3" width="16.7109375" customWidth="1"/>
    <col min="4" max="4" width="6.7109375" style="54" customWidth="1"/>
    <col min="5" max="5" width="16.7109375" customWidth="1"/>
    <col min="6" max="6" width="6.7109375" style="54" customWidth="1"/>
    <col min="7" max="7" width="16.7109375" customWidth="1"/>
    <col min="8" max="8" width="6.7109375" style="54" customWidth="1"/>
    <col min="9" max="9" width="16.7109375" customWidth="1"/>
    <col min="10" max="10" width="6.7109375" style="54" customWidth="1"/>
    <col min="11" max="12" width="9.140625" customWidth="1"/>
    <col min="13" max="13" width="14.7109375" customWidth="1"/>
  </cols>
  <sheetData>
    <row r="1" spans="1:11" s="62" customFormat="1" ht="12" customHeight="1" x14ac:dyDescent="0.2">
      <c r="C1" s="85" t="s">
        <v>530</v>
      </c>
      <c r="D1" s="118"/>
      <c r="F1" s="119"/>
      <c r="H1" s="119"/>
      <c r="J1" s="119"/>
    </row>
    <row r="2" spans="1:11" s="62" customFormat="1" x14ac:dyDescent="0.2">
      <c r="A2" s="28" t="s">
        <v>49</v>
      </c>
      <c r="C2" s="67" t="s">
        <v>50</v>
      </c>
      <c r="D2" s="87" t="str">
        <f>IF(CU_NUMBER="","N/A",CU_NUMBER)</f>
        <v>N/A</v>
      </c>
      <c r="E2" s="120"/>
      <c r="F2" s="119"/>
      <c r="H2" s="119"/>
      <c r="J2" s="119"/>
    </row>
    <row r="3" spans="1:11" s="62" customFormat="1" ht="12" customHeight="1" x14ac:dyDescent="0.2">
      <c r="A3" s="121" t="str">
        <f>IF(Request_Date=0,"N/A",Request_Date)</f>
        <v>12/05/2025</v>
      </c>
      <c r="C3" s="67" t="s">
        <v>42</v>
      </c>
      <c r="D3" s="75">
        <f>IF(CountCu_C5=0,"N/A",CountCu_C5)</f>
        <v>4331</v>
      </c>
      <c r="E3" s="120"/>
      <c r="F3" s="119"/>
      <c r="H3" s="119"/>
      <c r="J3" s="119"/>
    </row>
    <row r="4" spans="1:11" s="62" customFormat="1" ht="12" customHeight="1" x14ac:dyDescent="0.2">
      <c r="A4" s="74" t="str">
        <f>"CU Name:      "&amp;IF(Cu_Name="","N/A",Cu_Name)</f>
        <v>CU Name:      N/A</v>
      </c>
      <c r="C4" s="67" t="s">
        <v>43</v>
      </c>
      <c r="D4" s="89" t="str">
        <f>IF(AssetRange="","N/A",AssetRange)</f>
        <v>N/A</v>
      </c>
      <c r="E4" s="75"/>
      <c r="F4" s="119"/>
      <c r="H4" s="119"/>
      <c r="J4" s="119"/>
    </row>
    <row r="5" spans="1:11" s="62" customFormat="1" ht="12" customHeight="1" x14ac:dyDescent="0.2">
      <c r="A5" s="74" t="str">
        <f>"Peer Group:      "&amp;IF(Peer_Group="","N/A",IF(Peer_Group="0","N/A",Peer_Group))</f>
        <v>Peer Group:      N/A</v>
      </c>
      <c r="B5" s="90"/>
      <c r="C5" s="67" t="s">
        <v>51</v>
      </c>
      <c r="D5" s="24" t="str">
        <f>IF(_xlnm.Criteria="","N/A",_xlnm.Criteria)</f>
        <v xml:space="preserve">Region: Nation * Peer Group: All * Types Included: All  Federally Insured Credit Unions  (FICUs) *  </v>
      </c>
      <c r="E5" s="23"/>
      <c r="F5" s="23"/>
      <c r="G5" s="23"/>
      <c r="H5" s="23"/>
      <c r="I5" s="23"/>
      <c r="J5" s="23"/>
    </row>
    <row r="6" spans="1:11" s="62" customFormat="1" ht="12" customHeight="1" x14ac:dyDescent="0.2">
      <c r="A6" s="74"/>
      <c r="B6" s="67"/>
      <c r="C6" s="67" t="s">
        <v>45</v>
      </c>
      <c r="D6" s="75" t="str">
        <f>IF(NoCu_in_Peer_Group="","N/A",NoCu_in_Peer_Group)</f>
        <v>N/A</v>
      </c>
      <c r="E6" s="75" t="str">
        <f>IF(CU_NUMBER&gt;0,"",IF(RetPop=0,"Retroactive Population",""))</f>
        <v/>
      </c>
      <c r="F6" s="119"/>
      <c r="H6" s="119"/>
      <c r="J6" s="119"/>
    </row>
    <row r="7" spans="1:11" x14ac:dyDescent="0.2">
      <c r="A7" s="29"/>
      <c r="E7" s="32"/>
      <c r="G7" s="30"/>
      <c r="I7" s="30"/>
    </row>
    <row r="8" spans="1:11" ht="13.15" customHeight="1" x14ac:dyDescent="0.2">
      <c r="A8" s="145"/>
      <c r="B8" s="139">
        <f>(CycDat_C1)</f>
        <v>45565</v>
      </c>
      <c r="C8" s="139">
        <f>(CycDat_C2)</f>
        <v>45657</v>
      </c>
      <c r="D8" s="184" t="s">
        <v>52</v>
      </c>
      <c r="E8" s="139">
        <f>(CycDat_C3)</f>
        <v>45747</v>
      </c>
      <c r="F8" s="184" t="s">
        <v>52</v>
      </c>
      <c r="G8" s="139">
        <f>(CycDat_C4)</f>
        <v>45838</v>
      </c>
      <c r="H8" s="184" t="s">
        <v>52</v>
      </c>
      <c r="I8" s="139">
        <f>(CycDat_C5)</f>
        <v>45930</v>
      </c>
      <c r="J8" s="184" t="s">
        <v>52</v>
      </c>
    </row>
    <row r="9" spans="1:11" ht="13.15" customHeight="1" x14ac:dyDescent="0.2">
      <c r="A9" s="145"/>
      <c r="B9" s="86"/>
      <c r="C9" s="86"/>
      <c r="D9" s="102"/>
      <c r="E9" s="86"/>
      <c r="F9" s="102"/>
      <c r="G9" s="86"/>
      <c r="H9" s="102"/>
      <c r="I9" s="86"/>
      <c r="J9" s="102"/>
    </row>
    <row r="10" spans="1:11" ht="13.15" customHeight="1" x14ac:dyDescent="0.2">
      <c r="A10" s="145" t="s">
        <v>531</v>
      </c>
      <c r="B10" s="86"/>
      <c r="C10" s="86"/>
      <c r="D10" s="102"/>
      <c r="E10" s="86"/>
      <c r="F10" s="102"/>
      <c r="G10" s="86"/>
      <c r="H10" s="102"/>
      <c r="I10" s="86"/>
      <c r="J10" s="102"/>
    </row>
    <row r="11" spans="1:11" ht="13.15" customHeight="1" x14ac:dyDescent="0.2">
      <c r="A11" s="145" t="s">
        <v>532</v>
      </c>
      <c r="B11" s="86"/>
      <c r="C11" s="86"/>
      <c r="D11" s="102"/>
      <c r="E11" s="86"/>
      <c r="F11" s="102"/>
      <c r="G11" s="86"/>
      <c r="H11" s="102"/>
      <c r="I11" s="86"/>
      <c r="J11" s="102"/>
    </row>
    <row r="12" spans="1:11" ht="13.15" customHeight="1" x14ac:dyDescent="0.2">
      <c r="A12" s="127" t="s">
        <v>446</v>
      </c>
      <c r="B12" s="63">
        <f>IF(B8&lt;DATEVALUE("3/31/2022"),"N/A",ADL0078_C1)</f>
        <v>59649074</v>
      </c>
      <c r="C12" s="63">
        <f>IF(C8&lt;DATEVALUE("3/31/2022"),"N/A",ADL0078_C2)</f>
        <v>57748380</v>
      </c>
      <c r="D12" s="102">
        <f t="shared" ref="D12:D18" si="0">IF(C12="N/A", " ", IF(B12="N/A", " ",IF(AND(B12=0,C12=0,),"N/A",IF(ABS(B12)=0, "N/A", ((C12-B12)/ABS(B12))*100))))</f>
        <v>-3.1864601955094893</v>
      </c>
      <c r="E12" s="63">
        <f>IF(E8&lt;DATEVALUE("3/31/2022"),"N/A",ADL0078_C3)</f>
        <v>135755356</v>
      </c>
      <c r="F12" s="102">
        <f t="shared" ref="F12:F18" si="1">IF(E12="N/A", " ", IF(C12="N/A", " ",IF(AND(C12=0,E12=0,),"N/A",IF(ABS(C12)=0, "N/A", ((E12-C12)/ABS(C12))*100))))</f>
        <v>135.0808039983113</v>
      </c>
      <c r="G12" s="63">
        <f>IF(G8&lt;DATEVALUE("3/31/2022"),"N/A",ADL0078_C4)</f>
        <v>105480462</v>
      </c>
      <c r="H12" s="102">
        <f t="shared" ref="H12:H18" si="2">IF(G12="N/A", " ", IF(E12="N/A", " ",IF(AND(E12=0,G12=0,),"N/A",IF(ABS(E12)=0, "N/A", ((G12-E12)/ABS(E12))*100))))</f>
        <v>-22.301067812013251</v>
      </c>
      <c r="I12" s="63">
        <f>IF(I8&lt;DATEVALUE("3/31/2022"),"N/A",ADL0078_C5)</f>
        <v>46880461</v>
      </c>
      <c r="J12" s="102">
        <f t="shared" ref="J12:J18" si="3">IF(I12="N/A", " ", IF(G12="N/A", " ",IF(AND(G12=0,I12=0,),"N/A",IF(ABS(G12)=0, "N/A", ((I12-G12)/ABS(G12))*100))))</f>
        <v>-55.555313172594943</v>
      </c>
    </row>
    <row r="13" spans="1:11" ht="13.15" customHeight="1" x14ac:dyDescent="0.2">
      <c r="A13" s="127" t="s">
        <v>533</v>
      </c>
      <c r="B13" s="76">
        <f>IF(B8&lt;DATEVALUE("3/31/2022"),"N/A",ADL0079_C1)</f>
        <v>22678020</v>
      </c>
      <c r="C13" s="76">
        <f>IF(C8&lt;DATEVALUE("3/31/2022"),"N/A",ADL0079_C2)</f>
        <v>9009668</v>
      </c>
      <c r="D13" s="102">
        <f t="shared" si="0"/>
        <v>-60.271364078521849</v>
      </c>
      <c r="E13" s="76">
        <f>IF(E8&lt;DATEVALUE("3/31/2022"),"N/A",ADL0079_C3)</f>
        <v>18302724</v>
      </c>
      <c r="F13" s="102">
        <f t="shared" si="1"/>
        <v>103.14537672198354</v>
      </c>
      <c r="G13" s="76">
        <f>IF(G8&lt;DATEVALUE("3/31/2022"),"N/A",ADL0079_C4)</f>
        <v>60868733</v>
      </c>
      <c r="H13" s="102">
        <f t="shared" si="2"/>
        <v>232.56652397752379</v>
      </c>
      <c r="I13" s="76">
        <f>IF(I8&lt;DATEVALUE("3/31/2022"),"N/A",ADL0079_C5)</f>
        <v>10532899</v>
      </c>
      <c r="J13" s="102">
        <f t="shared" si="3"/>
        <v>-82.695715056201351</v>
      </c>
    </row>
    <row r="14" spans="1:11" s="30" customFormat="1" ht="13.15" customHeight="1" x14ac:dyDescent="0.2">
      <c r="A14" s="127" t="s">
        <v>534</v>
      </c>
      <c r="B14" s="76">
        <f>IF(B8&lt;DATEVALUE("3/31/2022"),"N/A",ADL0080_C1)</f>
        <v>32165107</v>
      </c>
      <c r="C14" s="76">
        <f>IF(C8&lt;DATEVALUE("3/31/2022"),"N/A",ADL0080_C2)</f>
        <v>30571548</v>
      </c>
      <c r="D14" s="102">
        <f t="shared" si="0"/>
        <v>-4.9543096498948378</v>
      </c>
      <c r="E14" s="76">
        <f>IF(E8&lt;DATEVALUE("3/31/2022"),"N/A",ADL0080_C3)</f>
        <v>12792870</v>
      </c>
      <c r="F14" s="102">
        <f t="shared" si="1"/>
        <v>-58.154327023283216</v>
      </c>
      <c r="G14" s="76">
        <f>IF(G8&lt;DATEVALUE("3/31/2022"),"N/A",ADL0080_C4)</f>
        <v>36498254</v>
      </c>
      <c r="H14" s="102">
        <f t="shared" si="2"/>
        <v>185.30153124357551</v>
      </c>
      <c r="I14" s="76">
        <f>IF(I8&lt;DATEVALUE("3/31/2022"),"N/A",ADL0080_C5)</f>
        <v>31384493</v>
      </c>
      <c r="J14" s="102">
        <f t="shared" si="3"/>
        <v>-14.010974333183171</v>
      </c>
      <c r="K14" s="42"/>
    </row>
    <row r="15" spans="1:11" ht="13.15" customHeight="1" x14ac:dyDescent="0.2">
      <c r="A15" s="127" t="s">
        <v>535</v>
      </c>
      <c r="B15" s="76">
        <f>IF(B8&lt;DATEVALUE("3/31/2022"),"N/A",ADL0081_C1)</f>
        <v>44439841</v>
      </c>
      <c r="C15" s="76">
        <f>IF(C8&lt;DATEVALUE("3/31/2022"),"N/A",ADL0081_C2)</f>
        <v>56919624</v>
      </c>
      <c r="D15" s="102">
        <f t="shared" si="0"/>
        <v>28.082420456904877</v>
      </c>
      <c r="E15" s="76">
        <f>IF(E8&lt;DATEVALUE("3/31/2022"),"N/A",ADL0081_C3)</f>
        <v>45107610</v>
      </c>
      <c r="F15" s="102">
        <f t="shared" si="1"/>
        <v>-20.752094216223213</v>
      </c>
      <c r="G15" s="76">
        <f>IF(G8&lt;DATEVALUE("3/31/2022"),"N/A",ADL0081_C4)</f>
        <v>16000616</v>
      </c>
      <c r="H15" s="102">
        <f t="shared" si="2"/>
        <v>-64.527901167896061</v>
      </c>
      <c r="I15" s="76">
        <f>IF(I8&lt;DATEVALUE("3/31/2022"),"N/A",ADL0081_C5)</f>
        <v>10071522</v>
      </c>
      <c r="J15" s="102">
        <f t="shared" si="3"/>
        <v>-37.055410866681633</v>
      </c>
    </row>
    <row r="16" spans="1:11" s="30" customFormat="1" ht="13.15" customHeight="1" x14ac:dyDescent="0.2">
      <c r="A16" s="127" t="s">
        <v>480</v>
      </c>
      <c r="B16" s="76">
        <f>IF(B8&lt;DATEVALUE("3/31/2022"),"N/A",ADL0082_C1)</f>
        <v>17455285</v>
      </c>
      <c r="C16" s="76">
        <f>IF(C8&lt;DATEVALUE("3/31/2022"),"N/A",ADL0082_C2)</f>
        <v>19455816</v>
      </c>
      <c r="D16" s="102">
        <f t="shared" si="0"/>
        <v>11.460889925314884</v>
      </c>
      <c r="E16" s="76">
        <f>IF(E8&lt;DATEVALUE("3/31/2022"),"N/A",ADL0082_C3)</f>
        <v>38064184</v>
      </c>
      <c r="F16" s="102">
        <f t="shared" si="1"/>
        <v>95.644243346051383</v>
      </c>
      <c r="G16" s="76">
        <f>IF(G8&lt;DATEVALUE("3/31/2022"),"N/A",ADL0082_C4)</f>
        <v>51117098</v>
      </c>
      <c r="H16" s="102">
        <f t="shared" si="2"/>
        <v>34.291852939760901</v>
      </c>
      <c r="I16" s="76">
        <f>IF(I8&lt;DATEVALUE("3/31/2022"),"N/A",ADL0082_C5)</f>
        <v>56650380</v>
      </c>
      <c r="J16" s="102">
        <f t="shared" si="3"/>
        <v>10.824718570682554</v>
      </c>
      <c r="K16" s="42"/>
    </row>
    <row r="17" spans="1:11" s="30" customFormat="1" ht="13.15" customHeight="1" x14ac:dyDescent="0.2">
      <c r="A17" s="127" t="s">
        <v>536</v>
      </c>
      <c r="B17" s="76">
        <f>IF(B8&lt;DATEVALUE("3/31/2022"),"N/A",ADL0083_C1)</f>
        <v>116738253</v>
      </c>
      <c r="C17" s="76">
        <f>IF(C8&lt;DATEVALUE("3/31/2022"),"N/A",ADL0083_C2)</f>
        <v>115956656</v>
      </c>
      <c r="D17" s="102">
        <f t="shared" si="0"/>
        <v>-0.66952946434790317</v>
      </c>
      <c r="E17" s="76">
        <f>IF(E8&lt;DATEVALUE("3/31/2022"),"N/A",ADL0083_C3)</f>
        <v>114267388</v>
      </c>
      <c r="F17" s="102">
        <f t="shared" si="1"/>
        <v>-1.4568098617814573</v>
      </c>
      <c r="G17" s="76">
        <f>IF(G8&lt;DATEVALUE("3/31/2022"),"N/A",ADL0083_C4)</f>
        <v>164484701</v>
      </c>
      <c r="H17" s="102">
        <f t="shared" si="2"/>
        <v>43.947196027619007</v>
      </c>
      <c r="I17" s="76">
        <f>IF(I8&lt;DATEVALUE("3/31/2022"),"N/A",ADL0083_C5)</f>
        <v>108639294</v>
      </c>
      <c r="J17" s="102">
        <f t="shared" si="3"/>
        <v>-33.951733298284076</v>
      </c>
      <c r="K17" s="42"/>
    </row>
    <row r="18" spans="1:11" ht="26.45" customHeight="1" x14ac:dyDescent="0.2">
      <c r="A18" s="124" t="s">
        <v>537</v>
      </c>
      <c r="B18" s="131">
        <f>IF(B8&lt;DATEVALUE("3/31/2022"),"N/A",IF((A143B3_C1+A143B4_C1)=0,0,(ADL0083_C1/(A143B3_C1+A143B4_C1)))*100)</f>
        <v>1.1728148932980524</v>
      </c>
      <c r="C18" s="131">
        <f>IF(C8&lt;DATEVALUE("3/31/2022"),"N/A",IF((A143B3_C2+A143B4_C2)=0,0,(ADL0083_C2/(A143B3_C2+A143B4_C2)))*100)</f>
        <v>1.1481605060819853</v>
      </c>
      <c r="D18" s="102">
        <f t="shared" si="0"/>
        <v>-2.1021550252262733</v>
      </c>
      <c r="E18" s="131">
        <f>IF(E8&lt;DATEVALUE("3/31/2022"),"N/A",IF((A143B3_C3+A143B4_C3)=0,0,(ADL0083_C3/(A143B3_C3+A143B4_C3)))*100)</f>
        <v>1.1423411661670726</v>
      </c>
      <c r="F18" s="102">
        <f t="shared" si="1"/>
        <v>-0.50684027921938868</v>
      </c>
      <c r="G18" s="131">
        <f>IF(G8&lt;DATEVALUE("3/31/2022"),"N/A",IF((A143B3_C4+A143B4_C4)=0,0,(ADL0083_C4/(A143B3_C4+A143B4_C4)))*100)</f>
        <v>1.6650066993265944</v>
      </c>
      <c r="H18" s="102">
        <f t="shared" si="2"/>
        <v>45.753891100084857</v>
      </c>
      <c r="I18" s="131">
        <f>IF(I8&lt;DATEVALUE("3/31/2022"),"N/A",IF((A143B3_C5+A143B4_C5)=0,0,(ADL0083_C5/(A143B3_C5+A143B4_C5)))*100)</f>
        <v>1.0581971618092019</v>
      </c>
      <c r="J18" s="102">
        <f t="shared" si="3"/>
        <v>-36.44487062801695</v>
      </c>
    </row>
    <row r="19" spans="1:11" ht="13.15" customHeight="1" x14ac:dyDescent="0.2">
      <c r="A19" s="145" t="s">
        <v>538</v>
      </c>
      <c r="B19" s="76"/>
      <c r="C19" s="76"/>
      <c r="D19" s="102"/>
      <c r="E19" s="76"/>
      <c r="F19" s="102"/>
      <c r="G19" s="76"/>
      <c r="H19" s="102"/>
      <c r="I19" s="76"/>
      <c r="J19" s="102"/>
    </row>
    <row r="20" spans="1:11" ht="13.15" customHeight="1" x14ac:dyDescent="0.2">
      <c r="A20" s="127" t="s">
        <v>446</v>
      </c>
      <c r="B20" s="76">
        <f>IF(B8&lt;DATEVALUE("3/31/2022"),"N/A",ADL0085_C1)</f>
        <v>6965351</v>
      </c>
      <c r="C20" s="76">
        <f>IF(C8&lt;DATEVALUE("3/31/2022"),"N/A",ADL0085_C2)</f>
        <v>15824877</v>
      </c>
      <c r="D20" s="102">
        <f t="shared" ref="D20:D26" si="4">IF(C20="N/A", " ", IF(B20="N/A", " ",IF(AND(B20=0,C20=0,),"N/A",IF(ABS(B20)=0, "N/A", ((C20-B20)/ABS(B20))*100))))</f>
        <v>127.19425051228575</v>
      </c>
      <c r="E20" s="76">
        <f>IF(E8&lt;DATEVALUE("3/31/2022"),"N/A",ADL0085_C3)</f>
        <v>17030475</v>
      </c>
      <c r="F20" s="102">
        <f t="shared" ref="F20:F26" si="5">IF(E20="N/A", " ", IF(C20="N/A", " ",IF(AND(C20=0,E20=0,),"N/A",IF(ABS(C20)=0, "N/A", ((E20-C20)/ABS(C20))*100))))</f>
        <v>7.6183720100952437</v>
      </c>
      <c r="G20" s="76">
        <f>IF(G8&lt;DATEVALUE("3/31/2022"),"N/A",ADL0085_C4)</f>
        <v>8911694</v>
      </c>
      <c r="H20" s="102">
        <f t="shared" ref="H20:H26" si="6">IF(G20="N/A", " ", IF(E20="N/A", " ",IF(AND(E20=0,G20=0,),"N/A",IF(ABS(E20)=0, "N/A", ((G20-E20)/ABS(E20))*100))))</f>
        <v>-47.672076087132034</v>
      </c>
      <c r="I20" s="76">
        <f>IF(I8&lt;DATEVALUE("3/31/2022"),"N/A",ADL0085_C5)</f>
        <v>5000364</v>
      </c>
      <c r="J20" s="102">
        <f t="shared" ref="J20:J26" si="7">IF(I20="N/A", " ", IF(G20="N/A", " ",IF(AND(G20=0,I20=0,),"N/A",IF(ABS(G20)=0, "N/A", ((I20-G20)/ABS(G20))*100))))</f>
        <v>-43.889859773012851</v>
      </c>
    </row>
    <row r="21" spans="1:11" ht="13.15" customHeight="1" x14ac:dyDescent="0.2">
      <c r="A21" s="127" t="s">
        <v>539</v>
      </c>
      <c r="B21" s="76">
        <f>IF(B8&lt;DATEVALUE("3/31/2022"),"N/A",ADL0086_C1)</f>
        <v>2346805</v>
      </c>
      <c r="C21" s="76">
        <f>IF(C8&lt;DATEVALUE("3/31/2022"),"N/A",ADL0086_C2)</f>
        <v>3617783</v>
      </c>
      <c r="D21" s="102">
        <f t="shared" si="4"/>
        <v>54.157801777309999</v>
      </c>
      <c r="E21" s="76">
        <f>IF(E8&lt;DATEVALUE("3/31/2022"),"N/A",ADL0086_C3)</f>
        <v>4007703</v>
      </c>
      <c r="F21" s="102">
        <f t="shared" si="5"/>
        <v>10.777871420148749</v>
      </c>
      <c r="G21" s="76">
        <f>IF(G8&lt;DATEVALUE("3/31/2022"),"N/A",ADL0086_C4)</f>
        <v>12162564</v>
      </c>
      <c r="H21" s="102">
        <f t="shared" si="6"/>
        <v>203.47967401776029</v>
      </c>
      <c r="I21" s="76">
        <f>IF(I8&lt;DATEVALUE("3/31/2022"),"N/A",ADL0086_C5)</f>
        <v>3977526</v>
      </c>
      <c r="J21" s="102">
        <f t="shared" si="7"/>
        <v>-67.296977841185452</v>
      </c>
    </row>
    <row r="22" spans="1:11" ht="13.15" customHeight="1" x14ac:dyDescent="0.2">
      <c r="A22" s="127" t="s">
        <v>540</v>
      </c>
      <c r="B22" s="76">
        <f>IF(B8&lt;DATEVALUE("3/31/2022"),"N/A",ADL0087_C1)</f>
        <v>4867303</v>
      </c>
      <c r="C22" s="76">
        <f>IF(C8&lt;DATEVALUE("3/31/2022"),"N/A",ADL0087_C2)</f>
        <v>2726193</v>
      </c>
      <c r="D22" s="102">
        <f t="shared" si="4"/>
        <v>-43.989659160319377</v>
      </c>
      <c r="E22" s="76">
        <f>IF(E8&lt;DATEVALUE("3/31/2022"),"N/A",ADL0087_C3)</f>
        <v>7681835</v>
      </c>
      <c r="F22" s="102">
        <f t="shared" si="5"/>
        <v>181.77883957592144</v>
      </c>
      <c r="G22" s="76">
        <f>IF(G8&lt;DATEVALUE("3/31/2022"),"N/A",ADL0087_C4)</f>
        <v>2137512</v>
      </c>
      <c r="H22" s="102">
        <f t="shared" si="6"/>
        <v>-72.174460919819282</v>
      </c>
      <c r="I22" s="76">
        <f>IF(I8&lt;DATEVALUE("3/31/2022"),"N/A",ADL0087_C5)</f>
        <v>8694840</v>
      </c>
      <c r="J22" s="102">
        <f t="shared" si="7"/>
        <v>306.77385670817284</v>
      </c>
    </row>
    <row r="23" spans="1:11" ht="13.15" customHeight="1" x14ac:dyDescent="0.2">
      <c r="A23" s="127" t="s">
        <v>449</v>
      </c>
      <c r="B23" s="76">
        <f>IF(B8&lt;DATEVALUE("3/31/2022"),"N/A",ADL0088_C1)</f>
        <v>2827311</v>
      </c>
      <c r="C23" s="76">
        <f>IF(C8&lt;DATEVALUE("3/31/2022"),"N/A",ADL0088_C2)</f>
        <v>1362298</v>
      </c>
      <c r="D23" s="102">
        <f t="shared" si="4"/>
        <v>-51.816478625803811</v>
      </c>
      <c r="E23" s="76">
        <f>IF(E8&lt;DATEVALUE("3/31/2022"),"N/A",ADL0088_C3)</f>
        <v>2561059</v>
      </c>
      <c r="F23" s="102">
        <f t="shared" si="5"/>
        <v>87.995504654635042</v>
      </c>
      <c r="G23" s="76">
        <f>IF(G8&lt;DATEVALUE("3/31/2022"),"N/A",ADL0088_C4)</f>
        <v>4571746</v>
      </c>
      <c r="H23" s="102">
        <f t="shared" si="6"/>
        <v>78.50998356539229</v>
      </c>
      <c r="I23" s="76">
        <f>IF(I8&lt;DATEVALUE("3/31/2022"),"N/A",ADL0088_C5)</f>
        <v>10356674</v>
      </c>
      <c r="J23" s="102">
        <f t="shared" si="7"/>
        <v>126.53651362083545</v>
      </c>
    </row>
    <row r="24" spans="1:11" ht="13.15" customHeight="1" x14ac:dyDescent="0.2">
      <c r="A24" s="127" t="s">
        <v>480</v>
      </c>
      <c r="B24" s="76">
        <f>IF(B8&lt;DATEVALUE("3/31/2022"),"N/A",ADL0089_C1)</f>
        <v>12781649</v>
      </c>
      <c r="C24" s="76">
        <f>IF(C8&lt;DATEVALUE("3/31/2022"),"N/A",ADL0089_C2)</f>
        <v>12469780</v>
      </c>
      <c r="D24" s="102">
        <f t="shared" si="4"/>
        <v>-2.4399746855824316</v>
      </c>
      <c r="E24" s="76">
        <f>IF(E8&lt;DATEVALUE("3/31/2022"),"N/A",ADL0089_C3)</f>
        <v>10248935</v>
      </c>
      <c r="F24" s="102">
        <f t="shared" si="5"/>
        <v>-17.809817013612108</v>
      </c>
      <c r="G24" s="76">
        <f>IF(G8&lt;DATEVALUE("3/31/2022"),"N/A",ADL0089_C4)</f>
        <v>7884309</v>
      </c>
      <c r="H24" s="102">
        <f t="shared" si="6"/>
        <v>-23.071919179895279</v>
      </c>
      <c r="I24" s="76">
        <f>IF(I8&lt;DATEVALUE("3/31/2022"),"N/A",ADL0089_C5)</f>
        <v>7529580</v>
      </c>
      <c r="J24" s="102">
        <f t="shared" si="7"/>
        <v>-4.499176782645125</v>
      </c>
    </row>
    <row r="25" spans="1:11" ht="13.15" customHeight="1" x14ac:dyDescent="0.2">
      <c r="A25" s="127" t="s">
        <v>541</v>
      </c>
      <c r="B25" s="76">
        <f>IF(B8&lt;DATEVALUE("3/31/2022"),"N/A",ADL0090_C1)</f>
        <v>22823068</v>
      </c>
      <c r="C25" s="76">
        <f>IF(C8&lt;DATEVALUE("3/31/2022"),"N/A",ADL0090_C2)</f>
        <v>20176054</v>
      </c>
      <c r="D25" s="102">
        <f t="shared" si="4"/>
        <v>-11.597976223003849</v>
      </c>
      <c r="E25" s="76">
        <f>IF(E8&lt;DATEVALUE("3/31/2022"),"N/A",ADL0090_C3)</f>
        <v>24499532</v>
      </c>
      <c r="F25" s="102">
        <f t="shared" si="5"/>
        <v>21.428759062599653</v>
      </c>
      <c r="G25" s="76">
        <f>IF(G8&lt;DATEVALUE("3/31/2022"),"N/A",ADL0090_C4)</f>
        <v>26756131</v>
      </c>
      <c r="H25" s="102">
        <f t="shared" si="6"/>
        <v>9.210784108039288</v>
      </c>
      <c r="I25" s="76">
        <f>IF(I8&lt;DATEVALUE("3/31/2022"),"N/A",ADL0090_C5)</f>
        <v>30558620</v>
      </c>
      <c r="J25" s="102">
        <f t="shared" si="7"/>
        <v>14.211654891359293</v>
      </c>
    </row>
    <row r="26" spans="1:11" ht="13.15" customHeight="1" x14ac:dyDescent="0.2">
      <c r="A26" s="127" t="s">
        <v>542</v>
      </c>
      <c r="B26" s="131">
        <f>IF(B8&lt;DATEVALUE("3/31/2022"),"N/A",IF((A042A5_C1+A042A7_C1)=0,0,(ADL0090_C1/(A042A5_C1+A042A7_C1)))*100)</f>
        <v>0.97369113919999961</v>
      </c>
      <c r="C26" s="131">
        <f>IF(C8&lt;DATEVALUE("3/31/2022"),"N/A",IF((A042A5_C2+A042A7_C2)=0,0,(ADL0090_C2/(A042A5_C2+A042A7_C2)))*100)</f>
        <v>0.85318206881991043</v>
      </c>
      <c r="D26" s="102">
        <f t="shared" si="4"/>
        <v>-12.376519157717855</v>
      </c>
      <c r="E26" s="131">
        <f>IF(E8&lt;DATEVALUE("3/31/2022"),"N/A",IF((A042A5_C3+A042A7_C3)=0,0,(ADL0090_C3/(A042A5_C3+A042A7_C3)))*100)</f>
        <v>1.0279212220178706</v>
      </c>
      <c r="F26" s="102">
        <f t="shared" si="5"/>
        <v>20.480875018816658</v>
      </c>
      <c r="G26" s="131">
        <f>IF(G8&lt;DATEVALUE("3/31/2022"),"N/A",IF((A042A5_C4+A042A7_C4)=0,0,(ADL0090_C4/(A042A5_C4+A042A7_C4)))*100)</f>
        <v>1.1055638612720649</v>
      </c>
      <c r="H26" s="102">
        <f t="shared" si="6"/>
        <v>7.5533647512186883</v>
      </c>
      <c r="I26" s="131">
        <f>IF(I8&lt;DATEVALUE("3/31/2022"),"N/A",IF((A042A5_C5+A042A7_C5)=0,0,(ADL0090_C5/(A042A5_C5+A042A7_C5)))*100)</f>
        <v>1.2317612024921061</v>
      </c>
      <c r="J26" s="102">
        <f t="shared" si="7"/>
        <v>11.414749128543168</v>
      </c>
    </row>
    <row r="27" spans="1:11" ht="13.15" customHeight="1" x14ac:dyDescent="0.2">
      <c r="A27" s="145" t="s">
        <v>543</v>
      </c>
      <c r="B27" s="76"/>
      <c r="C27" s="76"/>
      <c r="D27" s="102"/>
      <c r="E27" s="76"/>
      <c r="F27" s="102"/>
      <c r="G27" s="76"/>
      <c r="H27" s="102"/>
      <c r="I27" s="76"/>
      <c r="J27" s="102"/>
    </row>
    <row r="28" spans="1:11" ht="13.15" customHeight="1" x14ac:dyDescent="0.2">
      <c r="A28" s="127" t="s">
        <v>446</v>
      </c>
      <c r="B28" s="76">
        <f>IF(B8&lt;DATEVALUE("3/31/2022"),"N/A",ADL0092_C1)</f>
        <v>57817054</v>
      </c>
      <c r="C28" s="76">
        <f>IF(C8&lt;DATEVALUE("3/31/2022"),"N/A",ADL0092_C2)</f>
        <v>195437091</v>
      </c>
      <c r="D28" s="102">
        <f t="shared" ref="D28:D34" si="8">IF(C28="N/A", " ", IF(B28="N/A", " ",IF(AND(B28=0,C28=0,),"N/A",IF(ABS(B28)=0, "N/A", ((C28-B28)/ABS(B28))*100))))</f>
        <v>238.02671959038247</v>
      </c>
      <c r="E28" s="76">
        <f>IF(E8&lt;DATEVALUE("3/31/2022"),"N/A",ADL0092_C3)</f>
        <v>161349908</v>
      </c>
      <c r="F28" s="102">
        <f t="shared" ref="F28:F34" si="9">IF(E28="N/A", " ", IF(C28="N/A", " ",IF(AND(C28=0,E28=0,),"N/A",IF(ABS(C28)=0, "N/A", ((E28-C28)/ABS(C28))*100))))</f>
        <v>-17.441511652463145</v>
      </c>
      <c r="G28" s="76">
        <f>IF(G8&lt;DATEVALUE("3/31/2022"),"N/A",ADL0092_C4)</f>
        <v>125610541</v>
      </c>
      <c r="H28" s="102">
        <f t="shared" ref="H28:H34" si="10">IF(G28="N/A", " ", IF(E28="N/A", " ",IF(AND(E28=0,G28=0,),"N/A",IF(ABS(E28)=0, "N/A", ((G28-E28)/ABS(E28))*100))))</f>
        <v>-22.150224591389293</v>
      </c>
      <c r="I28" s="76">
        <f>IF(I8&lt;DATEVALUE("3/31/2022"),"N/A",ADL0092_C5)</f>
        <v>106465443</v>
      </c>
      <c r="J28" s="102">
        <f t="shared" ref="J28:J34" si="11">IF(I28="N/A", " ", IF(G28="N/A", " ",IF(AND(G28=0,I28=0,),"N/A",IF(ABS(G28)=0, "N/A", ((I28-G28)/ABS(G28))*100))))</f>
        <v>-15.241633263883484</v>
      </c>
    </row>
    <row r="29" spans="1:11" ht="13.15" customHeight="1" x14ac:dyDescent="0.2">
      <c r="A29" s="127" t="s">
        <v>544</v>
      </c>
      <c r="B29" s="76">
        <f>IF(B8&lt;DATEVALUE("3/31/2022"),"N/A",ADL0093_C1)</f>
        <v>63437803</v>
      </c>
      <c r="C29" s="76">
        <f>IF(C8&lt;DATEVALUE("3/31/2022"),"N/A",ADL0093_C2)</f>
        <v>59997478</v>
      </c>
      <c r="D29" s="102">
        <f t="shared" si="8"/>
        <v>-5.423146510921887</v>
      </c>
      <c r="E29" s="76">
        <f>IF(E8&lt;DATEVALUE("3/31/2022"),"N/A",ADL0093_C3)</f>
        <v>32969092</v>
      </c>
      <c r="F29" s="102">
        <f t="shared" si="9"/>
        <v>-45.049203568189981</v>
      </c>
      <c r="G29" s="76">
        <f>IF(G8&lt;DATEVALUE("3/31/2022"),"N/A",ADL0093_C4)</f>
        <v>35199510</v>
      </c>
      <c r="H29" s="102">
        <f t="shared" si="10"/>
        <v>6.765178731643565</v>
      </c>
      <c r="I29" s="76">
        <f>IF(I8&lt;DATEVALUE("3/31/2022"),"N/A",ADL0093_C5)</f>
        <v>96744264</v>
      </c>
      <c r="J29" s="102">
        <f t="shared" si="11"/>
        <v>174.84548506499095</v>
      </c>
    </row>
    <row r="30" spans="1:11" ht="13.15" customHeight="1" x14ac:dyDescent="0.2">
      <c r="A30" s="127" t="s">
        <v>545</v>
      </c>
      <c r="B30" s="76">
        <f>IF(B8&lt;DATEVALUE("3/31/2022"),"N/A",ADL0094_C1)</f>
        <v>39031374</v>
      </c>
      <c r="C30" s="76">
        <f>IF(C8&lt;DATEVALUE("3/31/2022"),"N/A",ADL0094_C2)</f>
        <v>59000481</v>
      </c>
      <c r="D30" s="102">
        <f t="shared" si="8"/>
        <v>51.161680857045923</v>
      </c>
      <c r="E30" s="76">
        <f>IF(E8&lt;DATEVALUE("3/31/2022"),"N/A",ADL0094_C3)</f>
        <v>114955106</v>
      </c>
      <c r="F30" s="102">
        <f t="shared" si="9"/>
        <v>94.837574290284181</v>
      </c>
      <c r="G30" s="76">
        <f>IF(G8&lt;DATEVALUE("3/31/2022"),"N/A",ADL0094_C4)</f>
        <v>42468100</v>
      </c>
      <c r="H30" s="102">
        <f t="shared" si="10"/>
        <v>-63.056795406721648</v>
      </c>
      <c r="I30" s="76">
        <f>IF(I8&lt;DATEVALUE("3/31/2022"),"N/A",ADL0094_C5)</f>
        <v>53899030</v>
      </c>
      <c r="J30" s="102">
        <f t="shared" si="11"/>
        <v>26.916509097416647</v>
      </c>
    </row>
    <row r="31" spans="1:11" ht="13.15" customHeight="1" x14ac:dyDescent="0.2">
      <c r="A31" s="127" t="s">
        <v>449</v>
      </c>
      <c r="B31" s="76">
        <f>IF(B8&lt;DATEVALUE("3/31/2022"),"N/A",ADL0095_C1)</f>
        <v>33872482</v>
      </c>
      <c r="C31" s="76">
        <f>IF(C8&lt;DATEVALUE("3/31/2022"),"N/A",ADL0095_C2)</f>
        <v>48323215</v>
      </c>
      <c r="D31" s="102">
        <f t="shared" si="8"/>
        <v>42.662161574106086</v>
      </c>
      <c r="E31" s="76">
        <f>IF(E8&lt;DATEVALUE("3/31/2022"),"N/A",ADL0095_C3)</f>
        <v>68726297</v>
      </c>
      <c r="F31" s="102">
        <f t="shared" si="9"/>
        <v>42.222112084222871</v>
      </c>
      <c r="G31" s="76">
        <f>IF(G8&lt;DATEVALUE("3/31/2022"),"N/A",ADL0095_C4)</f>
        <v>124175094</v>
      </c>
      <c r="H31" s="102">
        <f t="shared" si="10"/>
        <v>80.680611964296574</v>
      </c>
      <c r="I31" s="76">
        <f>IF(I8&lt;DATEVALUE("3/31/2022"),"N/A",ADL0095_C5)</f>
        <v>100317177</v>
      </c>
      <c r="J31" s="102">
        <f t="shared" si="11"/>
        <v>-19.213125781889886</v>
      </c>
    </row>
    <row r="32" spans="1:11" ht="13.15" customHeight="1" x14ac:dyDescent="0.2">
      <c r="A32" s="127" t="s">
        <v>480</v>
      </c>
      <c r="B32" s="76">
        <f>IF(B8&lt;DATEVALUE("3/31/2022"),"N/A",ADL0096_C1)</f>
        <v>10686979</v>
      </c>
      <c r="C32" s="76">
        <f>IF(C8&lt;DATEVALUE("3/31/2022"),"N/A",ADL0096_C2)</f>
        <v>18721610</v>
      </c>
      <c r="D32" s="102">
        <f t="shared" si="8"/>
        <v>75.181498906285853</v>
      </c>
      <c r="E32" s="76">
        <f>IF(E8&lt;DATEVALUE("3/31/2022"),"N/A",ADL0096_C3)</f>
        <v>37608623</v>
      </c>
      <c r="F32" s="102">
        <f t="shared" si="9"/>
        <v>100.8834870505261</v>
      </c>
      <c r="G32" s="76">
        <f>IF(G8&lt;DATEVALUE("3/31/2022"),"N/A",ADL0096_C4)</f>
        <v>50089731</v>
      </c>
      <c r="H32" s="102">
        <f t="shared" si="10"/>
        <v>33.18682526610985</v>
      </c>
      <c r="I32" s="76">
        <f>IF(I8&lt;DATEVALUE("3/31/2022"),"N/A",ADL0096_C5)</f>
        <v>58393322</v>
      </c>
      <c r="J32" s="102">
        <f t="shared" si="11"/>
        <v>16.577431809326345</v>
      </c>
    </row>
    <row r="33" spans="1:10" ht="13.15" customHeight="1" x14ac:dyDescent="0.2">
      <c r="A33" s="127" t="s">
        <v>546</v>
      </c>
      <c r="B33" s="76">
        <f>IF(B8&lt;DATEVALUE("3/31/2022"),"N/A",ADL0097_C1)</f>
        <v>147028638</v>
      </c>
      <c r="C33" s="76">
        <f>IF(C8&lt;DATEVALUE("3/31/2022"),"N/A",ADL0097_C2)</f>
        <v>186042784</v>
      </c>
      <c r="D33" s="102">
        <f t="shared" si="8"/>
        <v>26.535065910084811</v>
      </c>
      <c r="E33" s="76">
        <f>IF(E8&lt;DATEVALUE("3/31/2022"),"N/A",ADL0097_C3)</f>
        <v>254259118</v>
      </c>
      <c r="F33" s="102">
        <f t="shared" si="9"/>
        <v>36.667014185296217</v>
      </c>
      <c r="G33" s="76">
        <f>IF(G8&lt;DATEVALUE("3/31/2022"),"N/A",ADL0097_C4)</f>
        <v>251932435</v>
      </c>
      <c r="H33" s="102">
        <f t="shared" si="10"/>
        <v>-0.91508340715631686</v>
      </c>
      <c r="I33" s="76">
        <f>IF(I8&lt;DATEVALUE("3/31/2022"),"N/A",ADL0097_C5)</f>
        <v>309353793</v>
      </c>
      <c r="J33" s="102">
        <f t="shared" si="11"/>
        <v>22.792364151126471</v>
      </c>
    </row>
    <row r="34" spans="1:10" ht="13.15" customHeight="1" x14ac:dyDescent="0.2">
      <c r="A34" s="144" t="s">
        <v>547</v>
      </c>
      <c r="B34" s="131">
        <f>IF(B8&lt;DATEVALUE("3/31/2022"),"N/A",IF((A400M_C1+A400M1_C1)=0,0,(ADL0097_C1/(A400M_C1+A400M1_C1)))*100)</f>
        <v>0.37431893107897474</v>
      </c>
      <c r="C34" s="131">
        <f>IF(C8&lt;DATEVALUE("3/31/2022"),"N/A",IF((A400M_C2+A400M1_C2)=0,0,(ADL0097_C2/(A400M_C2+A400M1_C2)))*100)</f>
        <v>0.4542038705318962</v>
      </c>
      <c r="D34" s="102">
        <f t="shared" si="8"/>
        <v>21.341410444471254</v>
      </c>
      <c r="E34" s="131">
        <f>IF(E8&lt;DATEVALUE("3/31/2022"),"N/A",IF((A400M_C3+A400M1_C3)=0,0,(ADL0097_C3/(A400M_C3+A400M1_C3)))*100)</f>
        <v>0.60125855754405533</v>
      </c>
      <c r="F34" s="102">
        <f t="shared" si="9"/>
        <v>32.376361487177661</v>
      </c>
      <c r="G34" s="131">
        <f>IF(G8&lt;DATEVALUE("3/31/2022"),"N/A",IF((A400M_C4+A400M1_C4)=0,0,(ADL0097_C4/(A400M_C4+A400M1_C4)))*100)</f>
        <v>0.57673405253501275</v>
      </c>
      <c r="H34" s="102">
        <f t="shared" si="10"/>
        <v>-4.0788616979053334</v>
      </c>
      <c r="I34" s="131">
        <f>IF(I8&lt;DATEVALUE("3/31/2022"),"N/A",IF((A400M_C5+A400M1_C5)=0,0,(ADL0097_C5/(A400M_C5+A400M1_C5)))*100)</f>
        <v>0.69248111184284777</v>
      </c>
      <c r="J34" s="102">
        <f t="shared" si="11"/>
        <v>20.069399196921562</v>
      </c>
    </row>
    <row r="35" spans="1:10" ht="13.15" customHeight="1" x14ac:dyDescent="0.2">
      <c r="A35" s="145" t="s">
        <v>548</v>
      </c>
      <c r="B35" s="76"/>
      <c r="C35" s="76"/>
      <c r="D35" s="102"/>
      <c r="E35" s="76"/>
      <c r="F35" s="102"/>
      <c r="G35" s="76"/>
      <c r="H35" s="102"/>
      <c r="I35" s="76"/>
      <c r="J35" s="102"/>
    </row>
    <row r="36" spans="1:10" ht="13.15" customHeight="1" x14ac:dyDescent="0.2">
      <c r="A36" s="127" t="s">
        <v>446</v>
      </c>
      <c r="B36" s="76">
        <f>IF(B8&lt;DATEVALUE("3/31/2022"),"N/A",ADL0099_C1)</f>
        <v>133826674</v>
      </c>
      <c r="C36" s="76">
        <f>IF(C8&lt;DATEVALUE("3/31/2022"),"N/A",ADL0099_C2)</f>
        <v>154136459</v>
      </c>
      <c r="D36" s="102">
        <f t="shared" ref="D36:D42" si="12">IF(C36="N/A", " ", IF(B36="N/A", " ",IF(AND(B36=0,C36=0,),"N/A",IF(ABS(B36)=0, "N/A", ((C36-B36)/ABS(B36))*100))))</f>
        <v>15.176186027009834</v>
      </c>
      <c r="E36" s="76">
        <f>IF(E8&lt;DATEVALUE("3/31/2022"),"N/A",ADL0099_C3)</f>
        <v>230605804</v>
      </c>
      <c r="F36" s="102">
        <f t="shared" ref="F36:F42" si="13">IF(E36="N/A", " ", IF(C36="N/A", " ",IF(AND(C36=0,E36=0,),"N/A",IF(ABS(C36)=0, "N/A", ((E36-C36)/ABS(C36))*100))))</f>
        <v>49.611458246877206</v>
      </c>
      <c r="G36" s="76">
        <f>IF(G8&lt;DATEVALUE("3/31/2022"),"N/A",ADL0099_C4)</f>
        <v>114357489</v>
      </c>
      <c r="H36" s="102">
        <f t="shared" ref="H36:H42" si="14">IF(G36="N/A", " ", IF(E36="N/A", " ",IF(AND(E36=0,G36=0,),"N/A",IF(ABS(E36)=0, "N/A", ((G36-E36)/ABS(E36))*100))))</f>
        <v>-50.40996929981867</v>
      </c>
      <c r="I36" s="76">
        <f>IF(I8&lt;DATEVALUE("3/31/2022"),"N/A",ADL0099_C5)</f>
        <v>135785455</v>
      </c>
      <c r="J36" s="102">
        <f t="shared" ref="J36:J42" si="15">IF(I36="N/A", " ", IF(G36="N/A", " ",IF(AND(G36=0,I36=0,),"N/A",IF(ABS(G36)=0, "N/A", ((I36-G36)/ABS(G36))*100))))</f>
        <v>18.737702434162401</v>
      </c>
    </row>
    <row r="37" spans="1:10" ht="13.15" customHeight="1" x14ac:dyDescent="0.2">
      <c r="A37" s="127" t="s">
        <v>549</v>
      </c>
      <c r="B37" s="76">
        <f>IF(B8&lt;DATEVALUE("3/31/2022"),"N/A",ADL0100_C1)</f>
        <v>64032042</v>
      </c>
      <c r="C37" s="76">
        <f>IF(C8&lt;DATEVALUE("3/31/2022"),"N/A",ADL0100_C2)</f>
        <v>58198965</v>
      </c>
      <c r="D37" s="102">
        <f t="shared" si="12"/>
        <v>-9.1096220232988987</v>
      </c>
      <c r="E37" s="76">
        <f>IF(E8&lt;DATEVALUE("3/31/2022"),"N/A",ADL0100_C3)</f>
        <v>46930055</v>
      </c>
      <c r="F37" s="102">
        <f t="shared" si="13"/>
        <v>-19.362732653407154</v>
      </c>
      <c r="G37" s="76">
        <f>IF(G8&lt;DATEVALUE("3/31/2022"),"N/A",ADL0100_C4)</f>
        <v>57439312</v>
      </c>
      <c r="H37" s="102">
        <f t="shared" si="14"/>
        <v>22.393447013859241</v>
      </c>
      <c r="I37" s="76">
        <f>IF(I8&lt;DATEVALUE("3/31/2022"),"N/A",ADL0100_C5)</f>
        <v>75691239</v>
      </c>
      <c r="J37" s="102">
        <f t="shared" si="15"/>
        <v>31.776019531710268</v>
      </c>
    </row>
    <row r="38" spans="1:10" ht="13.15" customHeight="1" x14ac:dyDescent="0.2">
      <c r="A38" s="127" t="s">
        <v>550</v>
      </c>
      <c r="B38" s="76">
        <f>IF(B8&lt;DATEVALUE("3/31/2022"),"N/A",ADL0101_C1)</f>
        <v>55126246</v>
      </c>
      <c r="C38" s="76">
        <f>IF(C8&lt;DATEVALUE("3/31/2022"),"N/A",ADL0101_C2)</f>
        <v>102561124</v>
      </c>
      <c r="D38" s="102">
        <f t="shared" si="12"/>
        <v>86.047720354475075</v>
      </c>
      <c r="E38" s="76">
        <f>IF(E8&lt;DATEVALUE("3/31/2022"),"N/A",ADL0101_C3)</f>
        <v>60883060</v>
      </c>
      <c r="F38" s="102">
        <f t="shared" si="13"/>
        <v>-40.637292547612873</v>
      </c>
      <c r="G38" s="76">
        <f>IF(G8&lt;DATEVALUE("3/31/2022"),"N/A",ADL0101_C4)</f>
        <v>88017094</v>
      </c>
      <c r="H38" s="102">
        <f t="shared" si="14"/>
        <v>44.567460965332558</v>
      </c>
      <c r="I38" s="76">
        <f>IF(I8&lt;DATEVALUE("3/31/2022"),"N/A",ADL0101_C5)</f>
        <v>68438764</v>
      </c>
      <c r="J38" s="102">
        <f t="shared" si="15"/>
        <v>-22.243781418186789</v>
      </c>
    </row>
    <row r="39" spans="1:10" ht="13.15" customHeight="1" x14ac:dyDescent="0.2">
      <c r="A39" s="127" t="s">
        <v>449</v>
      </c>
      <c r="B39" s="76">
        <f>IF(B8&lt;DATEVALUE("3/31/2022"),"N/A",ADL0102_C1)</f>
        <v>67139086</v>
      </c>
      <c r="C39" s="76">
        <f>IF(C8&lt;DATEVALUE("3/31/2022"),"N/A",ADL0102_C2)</f>
        <v>59004641</v>
      </c>
      <c r="D39" s="102">
        <f t="shared" si="12"/>
        <v>-12.115811347208391</v>
      </c>
      <c r="E39" s="76">
        <f>IF(E8&lt;DATEVALUE("3/31/2022"),"N/A",ADL0102_C3)</f>
        <v>113920014</v>
      </c>
      <c r="F39" s="102">
        <f t="shared" si="13"/>
        <v>93.069582441828601</v>
      </c>
      <c r="G39" s="76">
        <f>IF(G8&lt;DATEVALUE("3/31/2022"),"N/A",ADL0102_C4)</f>
        <v>83886398</v>
      </c>
      <c r="H39" s="102">
        <f t="shared" si="14"/>
        <v>-26.363774849957444</v>
      </c>
      <c r="I39" s="76">
        <f>IF(I8&lt;DATEVALUE("3/31/2022"),"N/A",ADL0102_C5)</f>
        <v>53087917</v>
      </c>
      <c r="J39" s="102">
        <f t="shared" si="15"/>
        <v>-36.714511213128972</v>
      </c>
    </row>
    <row r="40" spans="1:10" ht="13.15" customHeight="1" x14ac:dyDescent="0.2">
      <c r="A40" s="127" t="s">
        <v>480</v>
      </c>
      <c r="B40" s="76">
        <f>IF(B8&lt;DATEVALUE("3/31/2022"),"N/A",ADL0103_C1)</f>
        <v>61239619</v>
      </c>
      <c r="C40" s="76">
        <f>IF(C8&lt;DATEVALUE("3/31/2022"),"N/A",ADL0103_C2)</f>
        <v>58856676</v>
      </c>
      <c r="D40" s="102">
        <f t="shared" si="12"/>
        <v>-3.8911786828719492</v>
      </c>
      <c r="E40" s="76">
        <f>IF(E8&lt;DATEVALUE("3/31/2022"),"N/A",ADL0103_C3)</f>
        <v>68530443</v>
      </c>
      <c r="F40" s="102">
        <f t="shared" si="13"/>
        <v>16.43614226532263</v>
      </c>
      <c r="G40" s="76">
        <f>IF(G8&lt;DATEVALUE("3/31/2022"),"N/A",ADL0103_C4)</f>
        <v>70519117</v>
      </c>
      <c r="H40" s="102">
        <f t="shared" si="14"/>
        <v>2.9018840575713192</v>
      </c>
      <c r="I40" s="76">
        <f>IF(I8&lt;DATEVALUE("3/31/2022"),"N/A",ADL0103_C5)</f>
        <v>93662284</v>
      </c>
      <c r="J40" s="102">
        <f t="shared" si="15"/>
        <v>32.818288124623002</v>
      </c>
    </row>
    <row r="41" spans="1:10" ht="26.45" customHeight="1" x14ac:dyDescent="0.2">
      <c r="A41" s="124" t="s">
        <v>551</v>
      </c>
      <c r="B41" s="76">
        <f>IF(B8&lt;DATEVALUE("3/31/2022"),"N/A",ADL0104_C1)</f>
        <v>247536993</v>
      </c>
      <c r="C41" s="76">
        <f>IF(C8&lt;DATEVALUE("3/31/2022"),"N/A",ADL0104_C2)</f>
        <v>278621406</v>
      </c>
      <c r="D41" s="102">
        <f t="shared" si="12"/>
        <v>12.557481862923009</v>
      </c>
      <c r="E41" s="76">
        <f>IF(E8&lt;DATEVALUE("3/31/2022"),"N/A",ADL0104_C3)</f>
        <v>290263572</v>
      </c>
      <c r="F41" s="102">
        <f t="shared" si="13"/>
        <v>4.1784894302055164</v>
      </c>
      <c r="G41" s="76">
        <f>IF(G8&lt;DATEVALUE("3/31/2022"),"N/A",ADL0104_C4)</f>
        <v>299861921</v>
      </c>
      <c r="H41" s="102">
        <f t="shared" si="14"/>
        <v>3.3067700965245481</v>
      </c>
      <c r="I41" s="76">
        <f>IF(I8&lt;DATEVALUE("3/31/2022"),"N/A",ADL0104_C5)</f>
        <v>290880204</v>
      </c>
      <c r="J41" s="102">
        <f t="shared" si="15"/>
        <v>-2.9952842861965125</v>
      </c>
    </row>
    <row r="42" spans="1:10" ht="33.75" customHeight="1" x14ac:dyDescent="0.2">
      <c r="A42" s="144" t="s">
        <v>552</v>
      </c>
      <c r="B42" s="131">
        <f>IF(B8&lt;DATEVALUE("3/31/2022"),"N/A",IF((A400H2_C1+A400H3_C1)=0,0,(ADL0104_C1/(A400H2_C1+A400H3_C1)))*100)</f>
        <v>0.80976517838310513</v>
      </c>
      <c r="C42" s="131">
        <f>IF(C8&lt;DATEVALUE("3/31/2022"),"N/A",IF((A400H2_C2+A400H3_C2)=0,0,(ADL0104_C2/(A400H2_C2+A400H3_C2)))*100)</f>
        <v>0.88399464899259661</v>
      </c>
      <c r="D42" s="102">
        <f t="shared" si="12"/>
        <v>9.1667896559480155</v>
      </c>
      <c r="E42" s="131">
        <f>IF(E8&lt;DATEVALUE("3/31/2022"),"N/A",IF((A400H2_C3+A400H3_C3)=0,0,(ADL0104_C3/(A400H2_C3+A400H3_C3)))*100)</f>
        <v>0.88908618633688452</v>
      </c>
      <c r="F42" s="102">
        <f t="shared" si="13"/>
        <v>0.57596924937161598</v>
      </c>
      <c r="G42" s="131">
        <f>IF(G8&lt;DATEVALUE("3/31/2022"),"N/A",IF((A400H2_C4+A400H3_C4)=0,0,(ADL0104_C4/(A400H2_C4+A400H3_C4)))*100)</f>
        <v>0.8919930891033746</v>
      </c>
      <c r="H42" s="102">
        <f t="shared" si="14"/>
        <v>0.32695399064367259</v>
      </c>
      <c r="I42" s="131">
        <f>IF(I8&lt;DATEVALUE("3/31/2022"),"N/A",IF((A400H2_C5+A400H3_C5)=0,0,(ADL0104_C5/(A400H2_C5+A400H3_C5)))*100)</f>
        <v>0.83223899347017116</v>
      </c>
      <c r="J42" s="102">
        <f t="shared" si="15"/>
        <v>-6.6989415459785508</v>
      </c>
    </row>
    <row r="43" spans="1:10" ht="13.15" customHeight="1" x14ac:dyDescent="0.2">
      <c r="A43" s="145" t="s">
        <v>553</v>
      </c>
      <c r="B43" s="76"/>
      <c r="C43" s="76"/>
      <c r="D43" s="102"/>
      <c r="E43" s="76"/>
      <c r="F43" s="102"/>
      <c r="G43" s="76"/>
      <c r="H43" s="102"/>
      <c r="I43" s="76"/>
      <c r="J43" s="102"/>
    </row>
    <row r="44" spans="1:10" ht="13.15" customHeight="1" x14ac:dyDescent="0.2">
      <c r="A44" s="127" t="s">
        <v>446</v>
      </c>
      <c r="B44" s="76">
        <f>IF(B8&lt;DATEVALUE("3/31/2022"),"N/A",ADL0106_C1)</f>
        <v>218270481</v>
      </c>
      <c r="C44" s="76">
        <f>IF(C8&lt;DATEVALUE("3/31/2022"),"N/A",ADL0106_C2)</f>
        <v>426766714</v>
      </c>
      <c r="D44" s="102">
        <f t="shared" ref="D44:D49" si="16">IF(C44="N/A", " ", IF(B44="N/A", " ",IF(AND(B44=0,C44=0,),"N/A",IF(ABS(B44)=0, "N/A", ((C44-B44)/ABS(B44))*100))))</f>
        <v>95.521956081637995</v>
      </c>
      <c r="E44" s="76">
        <f>IF(E8&lt;DATEVALUE("3/31/2022"),"N/A",ADL0106_C3)</f>
        <v>469017892</v>
      </c>
      <c r="F44" s="102">
        <f t="shared" ref="F44:F49" si="17">IF(E44="N/A", " ", IF(C44="N/A", " ",IF(AND(C44=0,E44=0,),"N/A",IF(ABS(C44)=0, "N/A", ((E44-C44)/ABS(C44))*100))))</f>
        <v>9.9002983630068204</v>
      </c>
      <c r="G44" s="76">
        <f>IF(G8&lt;DATEVALUE("3/31/2022"),"N/A",ADL0106_C4)</f>
        <v>261806546</v>
      </c>
      <c r="H44" s="102">
        <f t="shared" ref="H44:H49" si="18">IF(G44="N/A", " ", IF(E44="N/A", " ",IF(AND(E44=0,G44=0,),"N/A",IF(ABS(E44)=0, "N/A", ((G44-E44)/ABS(E44))*100))))</f>
        <v>-44.179838239518588</v>
      </c>
      <c r="I44" s="76">
        <f>IF(I8&lt;DATEVALUE("3/31/2022"),"N/A",ADL0106_C5)</f>
        <v>194466156</v>
      </c>
      <c r="J44" s="102">
        <f t="shared" ref="J44:J49" si="19">IF(I44="N/A", " ", IF(G44="N/A", " ",IF(AND(G44=0,I44=0,),"N/A",IF(ABS(G44)=0, "N/A", ((I44-G44)/ABS(G44))*100))))</f>
        <v>-25.721430968345611</v>
      </c>
    </row>
    <row r="45" spans="1:10" ht="13.15" customHeight="1" x14ac:dyDescent="0.2">
      <c r="A45" s="127" t="s">
        <v>554</v>
      </c>
      <c r="B45" s="76">
        <f>IF(B8&lt;DATEVALUE("3/31/2022"),"N/A",ADL0107_C1)</f>
        <v>74195970</v>
      </c>
      <c r="C45" s="76">
        <f>IF(C8&lt;DATEVALUE("3/31/2022"),"N/A",ADL0107_C2)</f>
        <v>66051513</v>
      </c>
      <c r="D45" s="102">
        <f t="shared" si="16"/>
        <v>-10.976953330484122</v>
      </c>
      <c r="E45" s="76">
        <f>IF(E8&lt;DATEVALUE("3/31/2022"),"N/A",ADL0107_C3)</f>
        <v>59464416</v>
      </c>
      <c r="F45" s="102">
        <f t="shared" si="17"/>
        <v>-9.9726663339263713</v>
      </c>
      <c r="G45" s="76">
        <f>IF(G8&lt;DATEVALUE("3/31/2022"),"N/A",ADL0107_C4)</f>
        <v>225055762</v>
      </c>
      <c r="H45" s="102">
        <f t="shared" si="18"/>
        <v>278.47132308505309</v>
      </c>
      <c r="I45" s="76">
        <f>IF(I8&lt;DATEVALUE("3/31/2022"),"N/A",ADL0107_C5)</f>
        <v>194590048</v>
      </c>
      <c r="J45" s="102">
        <f t="shared" si="19"/>
        <v>-13.536962452887566</v>
      </c>
    </row>
    <row r="46" spans="1:10" ht="13.15" customHeight="1" x14ac:dyDescent="0.2">
      <c r="A46" s="127" t="s">
        <v>555</v>
      </c>
      <c r="B46" s="76">
        <f>IF(B8&lt;DATEVALUE("3/31/2022"),"N/A",ADL0108_C1)</f>
        <v>111000488</v>
      </c>
      <c r="C46" s="76">
        <f>IF(C8&lt;DATEVALUE("3/31/2022"),"N/A",ADL0108_C2)</f>
        <v>162249021</v>
      </c>
      <c r="D46" s="102">
        <f t="shared" si="16"/>
        <v>46.169646569481749</v>
      </c>
      <c r="E46" s="76">
        <f>IF(E8&lt;DATEVALUE("3/31/2022"),"N/A",ADL0108_C3)</f>
        <v>151904082</v>
      </c>
      <c r="F46" s="102">
        <f t="shared" si="17"/>
        <v>-6.3759638956465565</v>
      </c>
      <c r="G46" s="76">
        <f>IF(G8&lt;DATEVALUE("3/31/2022"),"N/A",ADL0108_C4)</f>
        <v>143882016</v>
      </c>
      <c r="H46" s="102">
        <f t="shared" si="18"/>
        <v>-5.281007524208599</v>
      </c>
      <c r="I46" s="76">
        <f>IF(I8&lt;DATEVALUE("3/31/2022"),"N/A",ADL0108_C5)</f>
        <v>246939875</v>
      </c>
      <c r="J46" s="102">
        <f t="shared" si="19"/>
        <v>71.626643735656302</v>
      </c>
    </row>
    <row r="47" spans="1:10" ht="13.15" customHeight="1" x14ac:dyDescent="0.2">
      <c r="A47" s="127" t="s">
        <v>449</v>
      </c>
      <c r="B47" s="76">
        <f>IF(B8&lt;DATEVALUE("3/31/2022"),"N/A",ADL0109_C1)</f>
        <v>480027878</v>
      </c>
      <c r="C47" s="76">
        <f>IF(C8&lt;DATEVALUE("3/31/2022"),"N/A",ADL0109_C2)</f>
        <v>164000338</v>
      </c>
      <c r="D47" s="102">
        <f t="shared" si="16"/>
        <v>-65.835247177040003</v>
      </c>
      <c r="E47" s="76">
        <f>IF(E8&lt;DATEVALUE("3/31/2022"),"N/A",ADL0109_C3)</f>
        <v>177613606</v>
      </c>
      <c r="F47" s="102">
        <f t="shared" si="17"/>
        <v>8.3007560630759194</v>
      </c>
      <c r="G47" s="76">
        <f>IF(G8&lt;DATEVALUE("3/31/2022"),"N/A",ADL0109_C4)</f>
        <v>189736845</v>
      </c>
      <c r="H47" s="102">
        <f t="shared" si="18"/>
        <v>6.8256251719814749</v>
      </c>
      <c r="I47" s="76">
        <f>IF(I8&lt;DATEVALUE("3/31/2022"),"N/A",ADL0109_C5)</f>
        <v>228816062</v>
      </c>
      <c r="J47" s="102">
        <f t="shared" si="19"/>
        <v>20.59653569131499</v>
      </c>
    </row>
    <row r="48" spans="1:10" ht="13.15" customHeight="1" x14ac:dyDescent="0.2">
      <c r="A48" s="127" t="s">
        <v>480</v>
      </c>
      <c r="B48" s="76">
        <f>IF(B8&lt;DATEVALUE("3/31/2022"),"N/A",ADL0110_C1)</f>
        <v>103967809</v>
      </c>
      <c r="C48" s="76">
        <f>IF(C8&lt;DATEVALUE("3/31/2022"),"N/A",ADL0110_C2)</f>
        <v>261995797</v>
      </c>
      <c r="D48" s="102">
        <f t="shared" si="16"/>
        <v>151.99703592868826</v>
      </c>
      <c r="E48" s="76">
        <f>IF(E8&lt;DATEVALUE("3/31/2022"),"N/A",ADL0110_C3)</f>
        <v>324678367</v>
      </c>
      <c r="F48" s="102">
        <f t="shared" si="17"/>
        <v>23.925028843115374</v>
      </c>
      <c r="G48" s="76">
        <f>IF(G8&lt;DATEVALUE("3/31/2022"),"N/A",ADL0110_C4)</f>
        <v>340646738</v>
      </c>
      <c r="H48" s="102">
        <f t="shared" si="18"/>
        <v>4.9182121825812928</v>
      </c>
      <c r="I48" s="76">
        <f>IF(I8&lt;DATEVALUE("3/31/2022"),"N/A",ADL0110_C5)</f>
        <v>378063933</v>
      </c>
      <c r="J48" s="102">
        <f t="shared" si="19"/>
        <v>10.984163600004884</v>
      </c>
    </row>
    <row r="49" spans="1:10" ht="26.45" customHeight="1" x14ac:dyDescent="0.2">
      <c r="A49" s="124" t="s">
        <v>556</v>
      </c>
      <c r="B49" s="76">
        <f>IF(B8&lt;DATEVALUE("3/31/2022"),"N/A",ADL0111_C1)</f>
        <v>769192145</v>
      </c>
      <c r="C49" s="76">
        <f>IF(C8&lt;DATEVALUE("3/31/2022"),"N/A",ADL0111_C2)</f>
        <v>654296669</v>
      </c>
      <c r="D49" s="102">
        <f t="shared" si="16"/>
        <v>-14.937161897304607</v>
      </c>
      <c r="E49" s="76">
        <f>IF(E8&lt;DATEVALUE("3/31/2022"),"N/A",ADL0111_C3)</f>
        <v>713660471</v>
      </c>
      <c r="F49" s="102">
        <f t="shared" si="17"/>
        <v>9.0729182666830894</v>
      </c>
      <c r="G49" s="76">
        <f>IF(G8&lt;DATEVALUE("3/31/2022"),"N/A",ADL0111_C4)</f>
        <v>899321361</v>
      </c>
      <c r="H49" s="102">
        <f t="shared" si="18"/>
        <v>26.015296845549962</v>
      </c>
      <c r="I49" s="76">
        <f>IF(I8&lt;DATEVALUE("3/31/2022"),"N/A",ADL0111_C5)</f>
        <v>1048409918</v>
      </c>
      <c r="J49" s="102">
        <f t="shared" si="19"/>
        <v>16.577895673935849</v>
      </c>
    </row>
    <row r="50" spans="1:10" ht="13.15" customHeight="1" x14ac:dyDescent="0.2">
      <c r="A50" s="178" t="s">
        <v>86</v>
      </c>
      <c r="B50" s="185"/>
      <c r="C50" s="185"/>
      <c r="D50" s="186"/>
      <c r="E50" s="187"/>
      <c r="F50" s="186"/>
      <c r="G50" s="187"/>
      <c r="H50" s="186"/>
      <c r="I50" s="187"/>
      <c r="J50" s="186"/>
    </row>
    <row r="51" spans="1:10" ht="15.4" customHeight="1" x14ac:dyDescent="0.2">
      <c r="A51" s="107" t="s">
        <v>557</v>
      </c>
      <c r="B51" s="107"/>
      <c r="C51" s="107"/>
      <c r="D51" s="188"/>
      <c r="E51" s="107"/>
      <c r="F51" s="188"/>
      <c r="G51" s="107"/>
      <c r="H51" s="188"/>
      <c r="I51" s="189" t="s">
        <v>558</v>
      </c>
      <c r="J51" s="188"/>
    </row>
    <row r="52" spans="1:10" ht="14.25" customHeight="1" x14ac:dyDescent="0.2">
      <c r="A52" s="107"/>
      <c r="B52" s="81"/>
      <c r="C52" s="107"/>
      <c r="D52" s="188"/>
      <c r="E52" s="107"/>
      <c r="F52" s="188"/>
      <c r="G52" s="107"/>
      <c r="H52" s="188"/>
      <c r="J52" s="188"/>
    </row>
    <row r="53" spans="1:10" ht="25.5" customHeight="1" x14ac:dyDescent="0.2">
      <c r="A53" s="110"/>
      <c r="B53" s="30"/>
      <c r="C53" s="30"/>
      <c r="E53" s="30"/>
      <c r="G53" s="30"/>
      <c r="I53" s="30"/>
    </row>
    <row r="54" spans="1:10" s="34" customFormat="1" ht="22.5" customHeight="1" x14ac:dyDescent="0.2">
      <c r="A54" s="103"/>
      <c r="B54" s="110"/>
      <c r="C54" s="110"/>
      <c r="D54" s="110"/>
      <c r="E54" s="110"/>
      <c r="F54" s="110"/>
      <c r="G54"/>
      <c r="H54" s="54"/>
      <c r="I54"/>
      <c r="J54" s="54"/>
    </row>
    <row r="55" spans="1:10" x14ac:dyDescent="0.2">
      <c r="B55" s="103"/>
      <c r="C55" s="103"/>
      <c r="D55" s="103"/>
      <c r="E55" s="103"/>
      <c r="F55" s="103"/>
      <c r="G55" s="7"/>
      <c r="H55" s="7"/>
      <c r="I55" s="7"/>
      <c r="J55" s="7"/>
    </row>
  </sheetData>
  <mergeCells count="2">
    <mergeCell ref="D5:J5"/>
    <mergeCell ref="G55:J55"/>
  </mergeCells>
  <phoneticPr fontId="2" type="noConversion"/>
  <hyperlinks>
    <hyperlink ref="A2" location="'Cover Page'!A1" display="Return to cover" xr:uid="{00000000-0004-0000-0C00-000000000000}"/>
  </hyperlinks>
  <printOptions horizontalCentered="1" verticalCentered="1" gridLines="1"/>
  <pageMargins left="0.75" right="0.75" top="0.5" bottom="0.5" header="0.5" footer="0.5"/>
  <pageSetup orientation="landscape"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3">
    <pageSetUpPr fitToPage="1"/>
  </sheetPr>
  <dimension ref="A1:J51"/>
  <sheetViews>
    <sheetView workbookViewId="0"/>
  </sheetViews>
  <sheetFormatPr defaultRowHeight="12.75" x14ac:dyDescent="0.2"/>
  <cols>
    <col min="1" max="1" width="50.7109375" customWidth="1"/>
    <col min="2" max="3" width="16.7109375" customWidth="1"/>
    <col min="4" max="4" width="6.7109375" style="54" customWidth="1"/>
    <col min="5" max="5" width="16.7109375" customWidth="1"/>
    <col min="6" max="6" width="6.7109375" style="54" customWidth="1"/>
    <col min="7" max="7" width="16.7109375" customWidth="1"/>
    <col min="8" max="8" width="6.7109375" style="54" customWidth="1"/>
    <col min="9" max="9" width="16.7109375" customWidth="1"/>
    <col min="10" max="10" width="6.7109375" style="54" customWidth="1"/>
    <col min="11" max="12" width="9.140625" customWidth="1"/>
    <col min="13" max="13" width="14.7109375" customWidth="1"/>
  </cols>
  <sheetData>
    <row r="1" spans="1:10" s="62" customFormat="1" ht="12" customHeight="1" x14ac:dyDescent="0.2">
      <c r="C1" s="85" t="s">
        <v>530</v>
      </c>
      <c r="D1" s="118"/>
      <c r="F1" s="119"/>
      <c r="H1" s="119"/>
      <c r="J1" s="119"/>
    </row>
    <row r="2" spans="1:10" s="62" customFormat="1" x14ac:dyDescent="0.2">
      <c r="A2" s="28" t="s">
        <v>49</v>
      </c>
      <c r="C2" s="67" t="s">
        <v>50</v>
      </c>
      <c r="D2" s="87" t="str">
        <f>IF(CU_NUMBER="","N/A",CU_NUMBER)</f>
        <v>N/A</v>
      </c>
      <c r="E2" s="120"/>
      <c r="F2" s="119"/>
      <c r="H2" s="119"/>
      <c r="J2" s="119"/>
    </row>
    <row r="3" spans="1:10" s="62" customFormat="1" ht="12" customHeight="1" x14ac:dyDescent="0.2">
      <c r="A3" s="121" t="str">
        <f>IF(Request_Date=0,"N/A",Request_Date)</f>
        <v>12/05/2025</v>
      </c>
      <c r="C3" s="67" t="s">
        <v>42</v>
      </c>
      <c r="D3" s="75">
        <f>IF(CountCu_C5=0,"N/A",CountCu_C5)</f>
        <v>4331</v>
      </c>
      <c r="E3" s="120"/>
      <c r="F3" s="119"/>
      <c r="H3" s="119"/>
      <c r="J3" s="119"/>
    </row>
    <row r="4" spans="1:10" s="62" customFormat="1" ht="12" customHeight="1" x14ac:dyDescent="0.2">
      <c r="A4" s="74" t="str">
        <f>"CU Name:      "&amp;IF(Cu_Name="","N/A",Cu_Name)</f>
        <v>CU Name:      N/A</v>
      </c>
      <c r="C4" s="67" t="s">
        <v>43</v>
      </c>
      <c r="D4" s="89" t="str">
        <f>IF(AssetRange="","N/A",AssetRange)</f>
        <v>N/A</v>
      </c>
      <c r="E4" s="75"/>
      <c r="F4" s="119"/>
      <c r="H4" s="119"/>
      <c r="J4" s="119"/>
    </row>
    <row r="5" spans="1:10" s="62" customFormat="1" ht="12" customHeight="1" x14ac:dyDescent="0.2">
      <c r="A5" s="74" t="str">
        <f>"Peer Group:      "&amp;IF(Peer_Group="","N/A",IF(Peer_Group="0","N/A",Peer_Group))</f>
        <v>Peer Group:      N/A</v>
      </c>
      <c r="B5" s="90"/>
      <c r="C5" s="67" t="s">
        <v>51</v>
      </c>
      <c r="D5" s="24" t="str">
        <f>IF(_xlnm.Criteria="","N/A",_xlnm.Criteria)</f>
        <v xml:space="preserve">Region: Nation * Peer Group: All * Types Included: All  Federally Insured Credit Unions  (FICUs) *  </v>
      </c>
      <c r="E5" s="23"/>
      <c r="F5" s="23"/>
      <c r="G5" s="23"/>
      <c r="H5" s="23"/>
      <c r="I5" s="23"/>
      <c r="J5" s="23"/>
    </row>
    <row r="6" spans="1:10" s="62" customFormat="1" ht="12.75" customHeight="1" x14ac:dyDescent="0.2">
      <c r="A6" s="74"/>
      <c r="B6" s="67"/>
      <c r="C6" s="67" t="s">
        <v>45</v>
      </c>
      <c r="D6" s="75" t="str">
        <f>IF(NoCu_in_Peer_Group="","N/A",NoCu_in_Peer_Group)</f>
        <v>N/A</v>
      </c>
      <c r="E6" s="75" t="str">
        <f>IF(CU_NUMBER&gt;0,"",IF(RetPop=0,"Retroactive Population",""))</f>
        <v/>
      </c>
      <c r="F6" s="119"/>
      <c r="H6" s="119"/>
      <c r="J6" s="119"/>
    </row>
    <row r="7" spans="1:10" ht="12.75" customHeight="1" x14ac:dyDescent="0.2">
      <c r="A7" s="29"/>
      <c r="E7" s="32"/>
      <c r="G7" s="30"/>
      <c r="I7" s="30"/>
    </row>
    <row r="8" spans="1:10" x14ac:dyDescent="0.2">
      <c r="A8" s="145"/>
      <c r="B8" s="139">
        <f>(CycDat_C1)</f>
        <v>45565</v>
      </c>
      <c r="C8" s="139">
        <f>(CycDat_C2)</f>
        <v>45657</v>
      </c>
      <c r="D8" s="184" t="s">
        <v>52</v>
      </c>
      <c r="E8" s="139">
        <f>(CycDat_C3)</f>
        <v>45747</v>
      </c>
      <c r="F8" s="184" t="s">
        <v>52</v>
      </c>
      <c r="G8" s="139">
        <f>(CycDat_C4)</f>
        <v>45838</v>
      </c>
      <c r="H8" s="184" t="s">
        <v>52</v>
      </c>
      <c r="I8" s="139">
        <f>(CycDat_C5)</f>
        <v>45930</v>
      </c>
      <c r="J8" s="184" t="s">
        <v>52</v>
      </c>
    </row>
    <row r="9" spans="1:10" ht="26.45" customHeight="1" x14ac:dyDescent="0.2">
      <c r="A9" s="153" t="s">
        <v>559</v>
      </c>
      <c r="B9" s="153"/>
      <c r="C9" s="156"/>
      <c r="D9" s="102"/>
      <c r="E9" s="130"/>
      <c r="F9" s="102"/>
      <c r="G9" s="130"/>
      <c r="H9" s="102"/>
      <c r="I9" s="130"/>
      <c r="J9" s="102"/>
    </row>
    <row r="10" spans="1:10" ht="26.45" customHeight="1" x14ac:dyDescent="0.2">
      <c r="A10" s="153" t="s">
        <v>560</v>
      </c>
      <c r="B10" s="153"/>
      <c r="C10" s="222"/>
      <c r="D10" s="102"/>
      <c r="E10" s="76"/>
      <c r="F10" s="102"/>
      <c r="G10" s="76"/>
      <c r="H10" s="102"/>
      <c r="I10" s="76"/>
      <c r="J10" s="102"/>
    </row>
    <row r="11" spans="1:10" ht="38.25" customHeight="1" x14ac:dyDescent="0.2">
      <c r="A11" s="144" t="s">
        <v>561</v>
      </c>
      <c r="B11" s="131">
        <f>IF(B8&lt;DATEVALUE("3/31/2022"),"N/A",IF((A400J2_C1+A400J3_C1)=0,0,(ADL0111_C1/(A400J2_C1+A400J3_C1)))*100)</f>
        <v>1.0398569342281974</v>
      </c>
      <c r="C11" s="131">
        <f>IF(C8&lt;DATEVALUE("3/31/2022"),"N/A",IF((A400J2_C2+A400J3_C2)=0,0,(ADL0111_C2/(A400J2_C2+A400J3_C2)))*100)</f>
        <v>0.85832286645061429</v>
      </c>
      <c r="D11" s="102">
        <f>IF(C11="N/A", " ", IF(B11="N/A", " ",IF(AND(B11=0,C11=0,),"N/A",IF(ABS(B11)=0, "N/A", ((C11-B11)/ABS(B11))*100))))</f>
        <v>-17.457600348871193</v>
      </c>
      <c r="E11" s="131">
        <f>IF(E8&lt;DATEVALUE("3/31/2022"),"N/A",IF((A400J2_C3+A400J3_C3)=0,0,(ADL0111_C3/(A400J2_C3+A400J3_C3)))*100)</f>
        <v>0.91501595999065732</v>
      </c>
      <c r="F11" s="102">
        <f>IF(E11="N/A", " ", IF(C11="N/A", " ",IF(AND(C11=0,E11=0,),"N/A",IF(ABS(C11)=0, "N/A", ((E11-C11)/ABS(C11))*100))))</f>
        <v>6.6051011520272738</v>
      </c>
      <c r="G11" s="131">
        <f>IF(G8&lt;DATEVALUE("3/31/2022"),"N/A",IF((A400J2_C4+A400J3_C4)=0,0,(ADL0111_C4/(A400J2_C4+A400J3_C4)))*100)</f>
        <v>1.117985282039766</v>
      </c>
      <c r="H11" s="102">
        <f>IF(G11="N/A", " ", IF(E11="N/A", " ",IF(AND(E11=0,G11=0,),"N/A",IF(ABS(E11)=0, "N/A", ((G11-E11)/ABS(E11))*100))))</f>
        <v>22.182052655254346</v>
      </c>
      <c r="I11" s="131">
        <f>IF(I8&lt;DATEVALUE("3/31/2022"),"N/A",IF((A400J2_C5+A400J3_C5)=0,0,(ADL0111_C5/(A400J2_C5+A400J3_C5)))*100)</f>
        <v>1.2753496671042726</v>
      </c>
      <c r="J11" s="102">
        <f>IF(I11="N/A", " ", IF(G11="N/A", " ",IF(AND(G11=0,I11=0,),"N/A",IF(ABS(G11)=0, "N/A", ((I11-G11)/ABS(G11))*100))))</f>
        <v>14.075711692500548</v>
      </c>
    </row>
    <row r="12" spans="1:10" ht="26.45" customHeight="1" x14ac:dyDescent="0.2">
      <c r="A12" s="153" t="s">
        <v>562</v>
      </c>
      <c r="B12" s="153"/>
      <c r="C12" s="76"/>
      <c r="D12" s="102"/>
      <c r="E12" s="76"/>
      <c r="F12" s="102"/>
      <c r="G12" s="76"/>
      <c r="H12" s="102"/>
      <c r="I12" s="76"/>
      <c r="J12" s="102"/>
    </row>
    <row r="13" spans="1:10" ht="13.15" customHeight="1" x14ac:dyDescent="0.2">
      <c r="A13" s="127" t="s">
        <v>446</v>
      </c>
      <c r="B13" s="76">
        <f>IF(B8&lt;DATEVALUE("3/31/2022"),"N/A",ADL0113_C1)</f>
        <v>5154758</v>
      </c>
      <c r="C13" s="76">
        <f>IF(C8&lt;DATEVALUE("3/31/2022"),"N/A",ADL0113_C2)</f>
        <v>13810192</v>
      </c>
      <c r="D13" s="102">
        <f t="shared" ref="D13:D19" si="0">IF(C13="N/A", " ", IF(B13="N/A", " ",IF(AND(B13=0,C13=0,),"N/A",IF(ABS(B13)=0, "N/A", ((C13-B13)/ABS(B13))*100))))</f>
        <v>167.91154890297469</v>
      </c>
      <c r="E13" s="76">
        <f>IF(E8&lt;DATEVALUE("3/31/2022"),"N/A",ADL0113_C3)</f>
        <v>21314670</v>
      </c>
      <c r="F13" s="102">
        <f t="shared" ref="F13:F19" si="1">IF(E13="N/A", " ", IF(C13="N/A", " ",IF(AND(C13=0,E13=0,),"N/A",IF(ABS(C13)=0, "N/A", ((E13-C13)/ABS(C13))*100))))</f>
        <v>54.340142410764457</v>
      </c>
      <c r="G13" s="76">
        <f>IF(G8&lt;DATEVALUE("3/31/2022"),"N/A",ADL0113_C4)</f>
        <v>13525266</v>
      </c>
      <c r="H13" s="102">
        <f t="shared" ref="H13:H19" si="2">IF(G13="N/A", " ", IF(E13="N/A", " ",IF(AND(E13=0,G13=0,),"N/A",IF(ABS(E13)=0, "N/A", ((G13-E13)/ABS(E13))*100))))</f>
        <v>-36.544802241836258</v>
      </c>
      <c r="I13" s="76">
        <f>IF(I8&lt;DATEVALUE("3/31/2022"),"N/A",ADL0113_C5)</f>
        <v>8055072</v>
      </c>
      <c r="J13" s="102">
        <f t="shared" ref="J13:J19" si="3">IF(I13="N/A", " ", IF(G13="N/A", " ",IF(AND(G13=0,I13=0,),"N/A",IF(ABS(G13)=0, "N/A", ((I13-G13)/ABS(G13))*100))))</f>
        <v>-40.444261872557625</v>
      </c>
    </row>
    <row r="14" spans="1:10" ht="13.15" customHeight="1" x14ac:dyDescent="0.2">
      <c r="A14" s="127" t="s">
        <v>563</v>
      </c>
      <c r="B14" s="76">
        <f>IF(B8&lt;DATEVALUE("3/31/2022"),"N/A",ADL0114_C1)</f>
        <v>3637757</v>
      </c>
      <c r="C14" s="76">
        <f>IF(C8&lt;DATEVALUE("3/31/2022"),"N/A",ADL0114_C2)</f>
        <v>876435</v>
      </c>
      <c r="D14" s="102">
        <f t="shared" si="0"/>
        <v>-75.907269232111986</v>
      </c>
      <c r="E14" s="76">
        <f>IF(E8&lt;DATEVALUE("3/31/2022"),"N/A",ADL0114_C3)</f>
        <v>3160858</v>
      </c>
      <c r="F14" s="102">
        <f t="shared" si="1"/>
        <v>260.64944918904428</v>
      </c>
      <c r="G14" s="76">
        <f>IF(G8&lt;DATEVALUE("3/31/2022"),"N/A",ADL0114_C4)</f>
        <v>5451510</v>
      </c>
      <c r="H14" s="102">
        <f t="shared" si="2"/>
        <v>72.469310547958813</v>
      </c>
      <c r="I14" s="76">
        <f>IF(I8&lt;DATEVALUE("3/31/2022"),"N/A",ADL0114_C5)</f>
        <v>5392185</v>
      </c>
      <c r="J14" s="102">
        <f t="shared" si="3"/>
        <v>-1.0882306003290831</v>
      </c>
    </row>
    <row r="15" spans="1:10" ht="13.15" customHeight="1" x14ac:dyDescent="0.2">
      <c r="A15" s="127" t="s">
        <v>564</v>
      </c>
      <c r="B15" s="76">
        <f>IF(B8&lt;DATEVALUE("3/31/2022"),"N/A",ADL0115_C1)</f>
        <v>6464371</v>
      </c>
      <c r="C15" s="76">
        <f>IF(C8&lt;DATEVALUE("3/31/2022"),"N/A",ADL0115_C2)</f>
        <v>5618583</v>
      </c>
      <c r="D15" s="102">
        <f t="shared" si="0"/>
        <v>-13.083840639715758</v>
      </c>
      <c r="E15" s="76">
        <f>IF(E8&lt;DATEVALUE("3/31/2022"),"N/A",ADL0115_C3)</f>
        <v>8149610</v>
      </c>
      <c r="F15" s="102">
        <f t="shared" si="1"/>
        <v>45.047425658747052</v>
      </c>
      <c r="G15" s="76">
        <f>IF(G8&lt;DATEVALUE("3/31/2022"),"N/A",ADL0115_C4)</f>
        <v>12672637</v>
      </c>
      <c r="H15" s="102">
        <f t="shared" si="2"/>
        <v>55.499919628055814</v>
      </c>
      <c r="I15" s="76">
        <f>IF(I8&lt;DATEVALUE("3/31/2022"),"N/A",ADL0115_C5)</f>
        <v>3379383</v>
      </c>
      <c r="J15" s="102">
        <f t="shared" si="3"/>
        <v>-73.333229697970509</v>
      </c>
    </row>
    <row r="16" spans="1:10" ht="13.15" customHeight="1" x14ac:dyDescent="0.2">
      <c r="A16" s="127" t="s">
        <v>449</v>
      </c>
      <c r="B16" s="76">
        <f>IF(B8&lt;DATEVALUE("3/31/2022"),"N/A",ADL0116_C1)</f>
        <v>5927930</v>
      </c>
      <c r="C16" s="76">
        <f>IF(C8&lt;DATEVALUE("3/31/2022"),"N/A",ADL0116_C2)</f>
        <v>4619690</v>
      </c>
      <c r="D16" s="102">
        <f t="shared" si="0"/>
        <v>-22.069086510805626</v>
      </c>
      <c r="E16" s="76">
        <f>IF(E8&lt;DATEVALUE("3/31/2022"),"N/A",ADL0116_C3)</f>
        <v>5654579</v>
      </c>
      <c r="F16" s="102">
        <f t="shared" si="1"/>
        <v>22.401697949429508</v>
      </c>
      <c r="G16" s="76">
        <f>IF(G8&lt;DATEVALUE("3/31/2022"),"N/A",ADL0116_C4)</f>
        <v>7549977</v>
      </c>
      <c r="H16" s="102">
        <f t="shared" si="2"/>
        <v>33.519701466722815</v>
      </c>
      <c r="I16" s="76">
        <f>IF(I8&lt;DATEVALUE("3/31/2022"),"N/A",ADL0116_C5)</f>
        <v>9260608</v>
      </c>
      <c r="J16" s="102">
        <f t="shared" si="3"/>
        <v>22.657433261054969</v>
      </c>
    </row>
    <row r="17" spans="1:10" ht="13.15" customHeight="1" x14ac:dyDescent="0.2">
      <c r="A17" s="86" t="s">
        <v>480</v>
      </c>
      <c r="B17" s="76">
        <f>IF(B8&lt;DATEVALUE("3/31/2022"),"N/A",ADL0117_C1)</f>
        <v>967561</v>
      </c>
      <c r="C17" s="76">
        <f>IF(C8&lt;DATEVALUE("3/31/2022"),"N/A",ADL0117_C2)</f>
        <v>1252347</v>
      </c>
      <c r="D17" s="102">
        <f t="shared" si="0"/>
        <v>29.433389729433081</v>
      </c>
      <c r="E17" s="76">
        <f>IF(E8&lt;DATEVALUE("3/31/2022"),"N/A",ADL0117_C3)</f>
        <v>2124127</v>
      </c>
      <c r="F17" s="102">
        <f t="shared" si="1"/>
        <v>69.611697077567158</v>
      </c>
      <c r="G17" s="76">
        <f>IF(G8&lt;DATEVALUE("3/31/2022"),"N/A",ADL0117_C4)</f>
        <v>3843627</v>
      </c>
      <c r="H17" s="102">
        <f t="shared" si="2"/>
        <v>80.950903594747388</v>
      </c>
      <c r="I17" s="76">
        <f>IF(I8&lt;DATEVALUE("3/31/2022"),"N/A",ADL0117_C5)</f>
        <v>3293399</v>
      </c>
      <c r="J17" s="102">
        <f t="shared" si="3"/>
        <v>-14.315332887400364</v>
      </c>
    </row>
    <row r="18" spans="1:10" ht="26.45" customHeight="1" x14ac:dyDescent="0.2">
      <c r="A18" s="144" t="s">
        <v>565</v>
      </c>
      <c r="B18" s="76">
        <f>IF(B8&lt;DATEVALUE("3/31/2022"),"N/A",ADL0118_C1)</f>
        <v>16997619</v>
      </c>
      <c r="C18" s="76">
        <f>IF(C8&lt;DATEVALUE("3/31/2022"),"N/A",ADL0118_C2)</f>
        <v>12367055</v>
      </c>
      <c r="D18" s="102">
        <f t="shared" si="0"/>
        <v>-27.242427307024592</v>
      </c>
      <c r="E18" s="76">
        <f>IF(E8&lt;DATEVALUE("3/31/2022"),"N/A",ADL0118_C3)</f>
        <v>19089174</v>
      </c>
      <c r="F18" s="102">
        <f t="shared" si="1"/>
        <v>54.355050575905096</v>
      </c>
      <c r="G18" s="76">
        <f>IF(G8&lt;DATEVALUE("3/31/2022"),"N/A",ADL0118_C4)</f>
        <v>29517751</v>
      </c>
      <c r="H18" s="102">
        <f t="shared" si="2"/>
        <v>54.630844687150947</v>
      </c>
      <c r="I18" s="76">
        <f>IF(I8&lt;DATEVALUE("3/31/2022"),"N/A",ADL0118_C5)</f>
        <v>21325575</v>
      </c>
      <c r="J18" s="102">
        <f t="shared" si="3"/>
        <v>-27.753388122286143</v>
      </c>
    </row>
    <row r="19" spans="1:10" ht="36.75" customHeight="1" x14ac:dyDescent="0.2">
      <c r="A19" s="144" t="s">
        <v>566</v>
      </c>
      <c r="B19" s="131">
        <f>IF(B8&lt;DATEVALUE("3/31/2022"),"N/A",IF((A042A6_C1+A042A8_C1)=0,0,(ADL0118_C1/(A042A6_C1+A042A8_C1)))*100)</f>
        <v>1.0860705668335346</v>
      </c>
      <c r="C19" s="131">
        <f>IF(C8&lt;DATEVALUE("3/31/2022"),"N/A",IF((A042A6_C2+A042A8_C2)=0,0,(ADL0118_C2/(A042A6_C2+A042A8_C2)))*100)</f>
        <v>0.80763367698625832</v>
      </c>
      <c r="D19" s="102">
        <f t="shared" si="0"/>
        <v>-25.637090107235473</v>
      </c>
      <c r="E19" s="131">
        <f>IF(E8&lt;DATEVALUE("3/31/2022"),"N/A",IF((A042A6_C3+A042A8_C3)=0,0,(ADL0118_C3/(A042A6_C3+A042A8_C3)))*100)</f>
        <v>1.2611478009606409</v>
      </c>
      <c r="F19" s="102">
        <f t="shared" si="1"/>
        <v>56.153443931003764</v>
      </c>
      <c r="G19" s="131">
        <f>IF(G8&lt;DATEVALUE("3/31/2022"),"N/A",IF((A042A6_C4+A042A8_C4)=0,0,(ADL0118_C4/(A042A6_C4+A042A8_C4)))*100)</f>
        <v>1.7981413154903596</v>
      </c>
      <c r="H19" s="102">
        <f t="shared" si="2"/>
        <v>42.579744746863149</v>
      </c>
      <c r="I19" s="131">
        <f>IF(I8&lt;DATEVALUE("3/31/2022"),"N/A",IF((A042A6_C5+A042A8_C5)=0,0,(ADL0118_C5/(A042A6_C5+A042A8_C5)))*100)</f>
        <v>1.286978267759656</v>
      </c>
      <c r="J19" s="102">
        <f t="shared" si="3"/>
        <v>-28.427301198588367</v>
      </c>
    </row>
    <row r="20" spans="1:10" ht="13.15" customHeight="1" x14ac:dyDescent="0.2">
      <c r="A20" s="145" t="s">
        <v>567</v>
      </c>
      <c r="B20" s="76"/>
      <c r="C20" s="76"/>
      <c r="D20" s="102"/>
      <c r="E20" s="76"/>
      <c r="F20" s="102"/>
      <c r="G20" s="76"/>
      <c r="H20" s="102"/>
      <c r="I20" s="76"/>
      <c r="J20" s="102"/>
    </row>
    <row r="21" spans="1:10" ht="13.15" customHeight="1" x14ac:dyDescent="0.2">
      <c r="A21" s="127" t="s">
        <v>446</v>
      </c>
      <c r="B21" s="76">
        <f>IF(B8&lt;DATEVALUE("3/31/2022"),"N/A",ADL0120_C1)</f>
        <v>70138447</v>
      </c>
      <c r="C21" s="76">
        <f>IF(C8&lt;DATEVALUE("3/31/2022"),"N/A",ADL0120_C2)</f>
        <v>129150885</v>
      </c>
      <c r="D21" s="102">
        <f t="shared" ref="D21:D27" si="4">IF(C21="N/A", " ", IF(B21="N/A", " ",IF(AND(B21=0,C21=0,),"N/A",IF(ABS(B21)=0, "N/A", ((C21-B21)/ABS(B21))*100))))</f>
        <v>84.137075347562231</v>
      </c>
      <c r="E21" s="76">
        <f>IF(E8&lt;DATEVALUE("3/31/2022"),"N/A",ADL0120_C3)</f>
        <v>163135540</v>
      </c>
      <c r="F21" s="102">
        <f t="shared" ref="F21:F27" si="5">IF(E21="N/A", " ", IF(C21="N/A", " ",IF(AND(C21=0,E21=0,),"N/A",IF(ABS(C21)=0, "N/A", ((E21-C21)/ABS(C21))*100))))</f>
        <v>26.313915696357792</v>
      </c>
      <c r="G21" s="76">
        <f>IF(G8&lt;DATEVALUE("3/31/2022"),"N/A",ADL0120_C4)</f>
        <v>100053391</v>
      </c>
      <c r="H21" s="102">
        <f t="shared" ref="H21:H27" si="6">IF(G21="N/A", " ", IF(E21="N/A", " ",IF(AND(E21=0,G21=0,),"N/A",IF(ABS(E21)=0, "N/A", ((G21-E21)/ABS(E21))*100))))</f>
        <v>-38.668550703298621</v>
      </c>
      <c r="I21" s="76">
        <f>IF(I8&lt;DATEVALUE("3/31/2022"),"N/A",ADL0120_C5)</f>
        <v>109279363</v>
      </c>
      <c r="J21" s="102">
        <f t="shared" ref="J21:J27" si="7">IF(I21="N/A", " ", IF(G21="N/A", " ",IF(AND(G21=0,I21=0,),"N/A",IF(ABS(G21)=0, "N/A", ((I21-G21)/ABS(G21))*100))))</f>
        <v>9.2210487898406157</v>
      </c>
    </row>
    <row r="22" spans="1:10" ht="13.15" customHeight="1" x14ac:dyDescent="0.2">
      <c r="A22" s="127" t="s">
        <v>568</v>
      </c>
      <c r="B22" s="76">
        <f>IF(B8&lt;DATEVALUE("3/31/2022"),"N/A",ADL0147_C1)</f>
        <v>29608293</v>
      </c>
      <c r="C22" s="76">
        <f>IF(C8&lt;DATEVALUE("3/31/2022"),"N/A",ADL0147_C2)</f>
        <v>36513826</v>
      </c>
      <c r="D22" s="102">
        <f t="shared" si="4"/>
        <v>23.322969007365604</v>
      </c>
      <c r="E22" s="76">
        <f>IF(E8&lt;DATEVALUE("3/31/2022"),"N/A",ADL0147_C3)</f>
        <v>41998603</v>
      </c>
      <c r="F22" s="102">
        <f t="shared" si="5"/>
        <v>15.021096392363814</v>
      </c>
      <c r="G22" s="76">
        <f>IF(G8&lt;DATEVALUE("3/31/2022"),"N/A",ADL0147_C4)</f>
        <v>37862995</v>
      </c>
      <c r="H22" s="102">
        <f t="shared" si="6"/>
        <v>-9.847013244702449</v>
      </c>
      <c r="I22" s="76">
        <f>IF(I8&lt;DATEVALUE("3/31/2022"),"N/A",ADL0147_C5)</f>
        <v>37249593</v>
      </c>
      <c r="J22" s="102">
        <f t="shared" si="7"/>
        <v>-1.6200567334940092</v>
      </c>
    </row>
    <row r="23" spans="1:10" ht="13.15" customHeight="1" x14ac:dyDescent="0.2">
      <c r="A23" s="127" t="s">
        <v>569</v>
      </c>
      <c r="B23" s="76">
        <f>IF(B8&lt;DATEVALUE("3/31/2022"),"N/A",ADL0122_C1)</f>
        <v>44912455</v>
      </c>
      <c r="C23" s="76">
        <f>IF(C8&lt;DATEVALUE("3/31/2022"),"N/A",ADL0122_C2)</f>
        <v>47644502</v>
      </c>
      <c r="D23" s="102">
        <f t="shared" si="4"/>
        <v>6.0830497909766894</v>
      </c>
      <c r="E23" s="76">
        <f>IF(E8&lt;DATEVALUE("3/31/2022"),"N/A",ADL0122_C3)</f>
        <v>56501926</v>
      </c>
      <c r="F23" s="102">
        <f t="shared" si="5"/>
        <v>18.5906529152094</v>
      </c>
      <c r="G23" s="76">
        <f>IF(G8&lt;DATEVALUE("3/31/2022"),"N/A",ADL0122_C4)</f>
        <v>81774590</v>
      </c>
      <c r="H23" s="102">
        <f t="shared" si="6"/>
        <v>44.728854021719542</v>
      </c>
      <c r="I23" s="76">
        <f>IF(I8&lt;DATEVALUE("3/31/2022"),"N/A",ADL0122_C5)</f>
        <v>45939787</v>
      </c>
      <c r="J23" s="102">
        <f t="shared" si="7"/>
        <v>-43.821440131952968</v>
      </c>
    </row>
    <row r="24" spans="1:10" ht="13.15" customHeight="1" x14ac:dyDescent="0.2">
      <c r="A24" s="127" t="s">
        <v>449</v>
      </c>
      <c r="B24" s="76">
        <f>IF(B8&lt;DATEVALUE("3/31/2022"),"N/A",ADL0123_C1)</f>
        <v>37228495</v>
      </c>
      <c r="C24" s="76">
        <f>IF(C8&lt;DATEVALUE("3/31/2022"),"N/A",ADL0123_C2)</f>
        <v>42914137</v>
      </c>
      <c r="D24" s="102">
        <f t="shared" si="4"/>
        <v>15.272285382473827</v>
      </c>
      <c r="E24" s="76">
        <f>IF(E8&lt;DATEVALUE("3/31/2022"),"N/A",ADL0123_C3)</f>
        <v>36761464</v>
      </c>
      <c r="F24" s="102">
        <f t="shared" si="5"/>
        <v>-14.337170522618223</v>
      </c>
      <c r="G24" s="76">
        <f>IF(G8&lt;DATEVALUE("3/31/2022"),"N/A",ADL0123_C4)</f>
        <v>34634316</v>
      </c>
      <c r="H24" s="102">
        <f t="shared" si="6"/>
        <v>-5.7863527959604655</v>
      </c>
      <c r="I24" s="76">
        <f>IF(I8&lt;DATEVALUE("3/31/2022"),"N/A",ADL0123_C5)</f>
        <v>53199377</v>
      </c>
      <c r="J24" s="102">
        <f t="shared" si="7"/>
        <v>53.603082561237827</v>
      </c>
    </row>
    <row r="25" spans="1:10" ht="13.15" customHeight="1" x14ac:dyDescent="0.2">
      <c r="A25" s="86" t="s">
        <v>480</v>
      </c>
      <c r="B25" s="76">
        <f>IF(B8&lt;DATEVALUE("3/31/2022"),"N/A",ADL0124_C1)</f>
        <v>65409659</v>
      </c>
      <c r="C25" s="76">
        <f>IF(C8&lt;DATEVALUE("3/31/2022"),"N/A",ADL0124_C2)</f>
        <v>69648780</v>
      </c>
      <c r="D25" s="102">
        <f t="shared" si="4"/>
        <v>6.4808792230517511</v>
      </c>
      <c r="E25" s="76">
        <f>IF(E8&lt;DATEVALUE("3/31/2022"),"N/A",ADL0124_C3)</f>
        <v>78135848</v>
      </c>
      <c r="F25" s="102">
        <f t="shared" si="5"/>
        <v>12.185522847636383</v>
      </c>
      <c r="G25" s="76">
        <f>IF(G8&lt;DATEVALUE("3/31/2022"),"N/A",ADL0124_C4)</f>
        <v>81154613</v>
      </c>
      <c r="H25" s="102">
        <f t="shared" si="6"/>
        <v>3.8634827384224462</v>
      </c>
      <c r="I25" s="76">
        <f>IF(I8&lt;DATEVALUE("3/31/2022"),"N/A",ADL0124_C5)</f>
        <v>87472315</v>
      </c>
      <c r="J25" s="102">
        <f t="shared" si="7"/>
        <v>7.7847725057847299</v>
      </c>
    </row>
    <row r="26" spans="1:10" ht="13.15" customHeight="1" x14ac:dyDescent="0.2">
      <c r="A26" s="144" t="s">
        <v>570</v>
      </c>
      <c r="B26" s="76">
        <f>IF(B8&lt;DATEVALUE("3/31/2022"),"N/A",ADL0125_C1)</f>
        <v>177158902</v>
      </c>
      <c r="C26" s="76">
        <f>IF(C8&lt;DATEVALUE("3/31/2022"),"N/A",ADL0125_C2)</f>
        <v>196721245</v>
      </c>
      <c r="D26" s="102">
        <f t="shared" si="4"/>
        <v>11.042257983739367</v>
      </c>
      <c r="E26" s="76">
        <f>IF(E8&lt;DATEVALUE("3/31/2022"),"N/A",ADL0125_C3)</f>
        <v>213397841</v>
      </c>
      <c r="F26" s="102">
        <f t="shared" si="5"/>
        <v>8.4772724979449983</v>
      </c>
      <c r="G26" s="76">
        <f>IF(G8&lt;DATEVALUE("3/31/2022"),"N/A",ADL0125_C4)</f>
        <v>235426514</v>
      </c>
      <c r="H26" s="102">
        <f t="shared" si="6"/>
        <v>10.322819057949138</v>
      </c>
      <c r="I26" s="76">
        <f>IF(I8&lt;DATEVALUE("3/31/2022"),"N/A",ADL0125_C5)</f>
        <v>223861072</v>
      </c>
      <c r="J26" s="102">
        <f t="shared" si="7"/>
        <v>-4.9125486350275738</v>
      </c>
    </row>
    <row r="27" spans="1:10" ht="26.45" customHeight="1" x14ac:dyDescent="0.2">
      <c r="A27" s="144" t="s">
        <v>571</v>
      </c>
      <c r="B27" s="131">
        <f>IF(B8&lt;DATEVALUE("3/31/2022"),"N/A",IF((A400L2_C1+A400L3_C1)=0,0,(ADL0125_C1/(A400L2_C1+A400L3_C1)))*100)</f>
        <v>1.8321528388450268</v>
      </c>
      <c r="C27" s="131">
        <f>IF(C8&lt;DATEVALUE("3/31/2022"),"N/A",IF((A400L2_C2+A400L3_C2)=0,0,(ADL0125_C2/(A400L2_C2+A400L3_C2)))*100)</f>
        <v>1.9294237105337415</v>
      </c>
      <c r="D27" s="102">
        <f t="shared" si="4"/>
        <v>5.3091024736797312</v>
      </c>
      <c r="E27" s="131">
        <f>IF(E8&lt;DATEVALUE("3/31/2022"),"N/A",IF((A400L2_C3+A400L3_C3)=0,0,(ADL0125_C3/(A400L2_C3+A400L3_C3)))*100)</f>
        <v>2.1093095015135641</v>
      </c>
      <c r="F27" s="102">
        <f t="shared" si="5"/>
        <v>9.3232911981816748</v>
      </c>
      <c r="G27" s="131">
        <f>IF(G8&lt;DATEVALUE("3/31/2022"),"N/A",IF((A400L2_C4+A400L3_C4)=0,0,(ADL0125_C4/(A400L2_C4+A400L3_C4)))*100)</f>
        <v>2.2536172737380311</v>
      </c>
      <c r="H27" s="102">
        <f t="shared" si="6"/>
        <v>6.841469785297841</v>
      </c>
      <c r="I27" s="131">
        <f>IF(I8&lt;DATEVALUE("3/31/2022"),"N/A",IF((A400L2_C5+A400L3_C5)=0,0,(ADL0125_C5/(A400L2_C5+A400L3_C5)))*100)</f>
        <v>2.1146068199836736</v>
      </c>
      <c r="J27" s="102">
        <f t="shared" si="7"/>
        <v>-6.1683257123683459</v>
      </c>
    </row>
    <row r="28" spans="1:10" ht="13.15" customHeight="1" x14ac:dyDescent="0.2">
      <c r="A28" s="145" t="s">
        <v>572</v>
      </c>
      <c r="B28" s="76"/>
      <c r="C28" s="76"/>
      <c r="D28" s="102"/>
      <c r="E28" s="76"/>
      <c r="F28" s="102"/>
      <c r="G28" s="76"/>
      <c r="H28" s="102"/>
      <c r="I28" s="76"/>
      <c r="J28" s="102"/>
    </row>
    <row r="29" spans="1:10" ht="13.15" customHeight="1" x14ac:dyDescent="0.2">
      <c r="A29" s="127" t="s">
        <v>446</v>
      </c>
      <c r="B29" s="76">
        <f>IF(B8&lt;DATEVALUE("3/31/2022"),"N/A",ADL0127_C1)</f>
        <v>5100195</v>
      </c>
      <c r="C29" s="76">
        <f>IF(C8&lt;DATEVALUE("3/31/2022"),"N/A",ADL0127_C2)</f>
        <v>6329555</v>
      </c>
      <c r="D29" s="102">
        <f t="shared" ref="D29:D35" si="8">IF(C29="N/A", " ", IF(B29="N/A", " ",IF(AND(B29=0,C29=0,),"N/A",IF(ABS(B29)=0, "N/A", ((C29-B29)/ABS(B29))*100))))</f>
        <v>24.104176408941228</v>
      </c>
      <c r="E29" s="76">
        <f>IF(E8&lt;DATEVALUE("3/31/2022"),"N/A",ADL0127_C3)</f>
        <v>7107267</v>
      </c>
      <c r="F29" s="102">
        <f t="shared" ref="F29:F35" si="9">IF(E29="N/A", " ", IF(C29="N/A", " ",IF(AND(C29=0,E29=0,),"N/A",IF(ABS(C29)=0, "N/A", ((E29-C29)/ABS(C29))*100))))</f>
        <v>12.286993319435568</v>
      </c>
      <c r="G29" s="76">
        <f>IF(G8&lt;DATEVALUE("3/31/2022"),"N/A",ADL0127_C4)</f>
        <v>4909940</v>
      </c>
      <c r="H29" s="102">
        <f t="shared" ref="H29:H35" si="10">IF(G29="N/A", " ", IF(E29="N/A", " ",IF(AND(E29=0,G29=0,),"N/A",IF(ABS(E29)=0, "N/A", ((G29-E29)/ABS(E29))*100))))</f>
        <v>-30.916623788018661</v>
      </c>
      <c r="I29" s="76">
        <f>IF(I8&lt;DATEVALUE("3/31/2022"),"N/A",ADL0127_C5)</f>
        <v>3977253</v>
      </c>
      <c r="J29" s="102">
        <f t="shared" ref="J29:J35" si="11">IF(I29="N/A", " ", IF(G29="N/A", " ",IF(AND(G29=0,I29=0,),"N/A",IF(ABS(G29)=0, "N/A", ((I29-G29)/ABS(G29))*100))))</f>
        <v>-18.995894043511733</v>
      </c>
    </row>
    <row r="30" spans="1:10" ht="13.15" customHeight="1" x14ac:dyDescent="0.2">
      <c r="A30" s="127" t="s">
        <v>573</v>
      </c>
      <c r="B30" s="76">
        <f>IF(B8&lt;DATEVALUE("3/31/2022"),"N/A",ADL0128_C1)</f>
        <v>2539037</v>
      </c>
      <c r="C30" s="76">
        <f>IF(C8&lt;DATEVALUE("3/31/2022"),"N/A",ADL0128_C2)</f>
        <v>3892331</v>
      </c>
      <c r="D30" s="102">
        <f t="shared" si="8"/>
        <v>53.299498983275939</v>
      </c>
      <c r="E30" s="76">
        <f>IF(E8&lt;DATEVALUE("3/31/2022"),"N/A",ADL0128_C3)</f>
        <v>2473823</v>
      </c>
      <c r="F30" s="102">
        <f t="shared" si="9"/>
        <v>-36.443663193084042</v>
      </c>
      <c r="G30" s="76">
        <f>IF(G8&lt;DATEVALUE("3/31/2022"),"N/A",ADL0128_C4)</f>
        <v>1928407</v>
      </c>
      <c r="H30" s="102">
        <f t="shared" si="10"/>
        <v>-22.04749490970049</v>
      </c>
      <c r="I30" s="76">
        <f>IF(I8&lt;DATEVALUE("3/31/2022"),"N/A",ADL0128_C5)</f>
        <v>2743332</v>
      </c>
      <c r="J30" s="102">
        <f t="shared" si="11"/>
        <v>42.258973339134322</v>
      </c>
    </row>
    <row r="31" spans="1:10" ht="13.15" customHeight="1" x14ac:dyDescent="0.2">
      <c r="A31" s="127" t="s">
        <v>574</v>
      </c>
      <c r="B31" s="76">
        <f>IF(B8&lt;DATEVALUE("3/31/2022"),"N/A",ADL0129_C1)</f>
        <v>3791596</v>
      </c>
      <c r="C31" s="76">
        <f>IF(C8&lt;DATEVALUE("3/31/2022"),"N/A",ADL0129_C2)</f>
        <v>2716755</v>
      </c>
      <c r="D31" s="102">
        <f t="shared" si="8"/>
        <v>-28.347983276699313</v>
      </c>
      <c r="E31" s="76">
        <f>IF(E8&lt;DATEVALUE("3/31/2022"),"N/A",ADL0129_C3)</f>
        <v>4104285</v>
      </c>
      <c r="F31" s="102">
        <f t="shared" si="9"/>
        <v>51.073063268494955</v>
      </c>
      <c r="G31" s="76">
        <f>IF(G8&lt;DATEVALUE("3/31/2022"),"N/A",ADL0129_C4)</f>
        <v>3491998</v>
      </c>
      <c r="H31" s="102">
        <f t="shared" si="10"/>
        <v>-14.91823789039991</v>
      </c>
      <c r="I31" s="76">
        <f>IF(I8&lt;DATEVALUE("3/31/2022"),"N/A",ADL0129_C5)</f>
        <v>3661773</v>
      </c>
      <c r="J31" s="102">
        <f t="shared" si="11"/>
        <v>4.8618298177719463</v>
      </c>
    </row>
    <row r="32" spans="1:10" ht="13.15" customHeight="1" x14ac:dyDescent="0.2">
      <c r="A32" s="127" t="s">
        <v>535</v>
      </c>
      <c r="B32" s="76">
        <f>IF(B8&lt;DATEVALUE("3/31/2022"),"N/A",ADL0130_C1)</f>
        <v>817021</v>
      </c>
      <c r="C32" s="76">
        <f>IF(C8&lt;DATEVALUE("3/31/2022"),"N/A",ADL0130_C2)</f>
        <v>691373</v>
      </c>
      <c r="D32" s="102">
        <f t="shared" si="8"/>
        <v>-15.378796873030193</v>
      </c>
      <c r="E32" s="76">
        <f>IF(E8&lt;DATEVALUE("3/31/2022"),"N/A",ADL0130_C3)</f>
        <v>839696</v>
      </c>
      <c r="F32" s="102">
        <f t="shared" si="9"/>
        <v>21.453397804079707</v>
      </c>
      <c r="G32" s="76">
        <f>IF(G8&lt;DATEVALUE("3/31/2022"),"N/A",ADL0130_C4)</f>
        <v>1327316</v>
      </c>
      <c r="H32" s="102">
        <f t="shared" si="10"/>
        <v>58.071016177283205</v>
      </c>
      <c r="I32" s="76">
        <f>IF(I8&lt;DATEVALUE("3/31/2022"),"N/A",ADL0130_C5)</f>
        <v>1562431</v>
      </c>
      <c r="J32" s="102">
        <f t="shared" si="11"/>
        <v>17.713566324823933</v>
      </c>
    </row>
    <row r="33" spans="1:10" ht="13.15" customHeight="1" x14ac:dyDescent="0.2">
      <c r="A33" s="86" t="s">
        <v>480</v>
      </c>
      <c r="B33" s="76">
        <f>IF(B8&lt;DATEVALUE("3/31/2022"),"N/A",ADL0131_C1)</f>
        <v>2012220</v>
      </c>
      <c r="C33" s="76">
        <f>IF(C8&lt;DATEVALUE("3/31/2022"),"N/A",ADL0131_C2)</f>
        <v>1770431</v>
      </c>
      <c r="D33" s="102">
        <f t="shared" si="8"/>
        <v>-12.016032044209878</v>
      </c>
      <c r="E33" s="76">
        <f>IF(E8&lt;DATEVALUE("3/31/2022"),"N/A",ADL0131_C3)</f>
        <v>1717525</v>
      </c>
      <c r="F33" s="102">
        <f t="shared" si="9"/>
        <v>-2.9883118856368873</v>
      </c>
      <c r="G33" s="76">
        <f>IF(G8&lt;DATEVALUE("3/31/2022"),"N/A",ADL0131_C4)</f>
        <v>1785171</v>
      </c>
      <c r="H33" s="102">
        <f t="shared" si="10"/>
        <v>3.9385744021193285</v>
      </c>
      <c r="I33" s="76">
        <f>IF(I8&lt;DATEVALUE("3/31/2022"),"N/A",ADL0131_C5)</f>
        <v>1510327</v>
      </c>
      <c r="J33" s="102">
        <f t="shared" si="11"/>
        <v>-15.395948063238759</v>
      </c>
    </row>
    <row r="34" spans="1:10" ht="13.15" customHeight="1" x14ac:dyDescent="0.2">
      <c r="A34" s="144" t="s">
        <v>575</v>
      </c>
      <c r="B34" s="76">
        <f>IF(B8&lt;DATEVALUE("3/31/2022"),"N/A",ADL0132_C1)</f>
        <v>9159874</v>
      </c>
      <c r="C34" s="76">
        <f>IF(C8&lt;DATEVALUE("3/31/2022"),"N/A",ADL0132_C2)</f>
        <v>9070890</v>
      </c>
      <c r="D34" s="102">
        <f t="shared" si="8"/>
        <v>-0.97145441083578232</v>
      </c>
      <c r="E34" s="76">
        <f>IF(E8&lt;DATEVALUE("3/31/2022"),"N/A",ADL0132_C3)</f>
        <v>9135329</v>
      </c>
      <c r="F34" s="102">
        <f t="shared" si="9"/>
        <v>0.71039335721191632</v>
      </c>
      <c r="G34" s="76">
        <f>IF(G8&lt;DATEVALUE("3/31/2022"),"N/A",ADL0132_C4)</f>
        <v>8532892</v>
      </c>
      <c r="H34" s="102">
        <f t="shared" si="10"/>
        <v>-6.5945846066408773</v>
      </c>
      <c r="I34" s="76">
        <f>IF(I8&lt;DATEVALUE("3/31/2022"),"N/A",ADL0132_C5)</f>
        <v>9477863</v>
      </c>
      <c r="J34" s="102">
        <f t="shared" si="11"/>
        <v>11.074451663046949</v>
      </c>
    </row>
    <row r="35" spans="1:10" ht="26.45" customHeight="1" x14ac:dyDescent="0.2">
      <c r="A35" s="144" t="s">
        <v>576</v>
      </c>
      <c r="B35" s="131">
        <f>IF(B8&lt;DATEVALUE("3/31/2022"),"N/A",IF((A400C5_C1+A400C7_C1)=0,0,(ADL0132_C1/(A400C5_C1+A400C7_C1)))*100)</f>
        <v>1.7740076145753687</v>
      </c>
      <c r="C35" s="131">
        <f>IF(C8&lt;DATEVALUE("3/31/2022"),"N/A",IF((A400C5_C2+A400C7_C2)=0,0,(ADL0132_C2/(A400C5_C2+A400C7_C2)))*100)</f>
        <v>1.7530599388743044</v>
      </c>
      <c r="D35" s="102">
        <f t="shared" si="8"/>
        <v>-1.1808109237500852</v>
      </c>
      <c r="E35" s="131">
        <f>IF(E8&lt;DATEVALUE("3/31/2022"),"N/A",IF((A400C5_C3+A400C7_C3)=0,0,(ADL0132_C3/(A400C5_C3+A400C7_C3)))*100)</f>
        <v>1.700524243901226</v>
      </c>
      <c r="F35" s="102">
        <f t="shared" si="9"/>
        <v>-2.9967996990914787</v>
      </c>
      <c r="G35" s="131">
        <f>IF(G8&lt;DATEVALUE("3/31/2022"),"N/A",IF((A400C5_C4+A400C7_C4)=0,0,(ADL0132_C4/(A400C5_C4+A400C7_C4)))*100)</f>
        <v>1.6225797287877566</v>
      </c>
      <c r="H35" s="102">
        <f t="shared" si="10"/>
        <v>-4.5835580053039697</v>
      </c>
      <c r="I35" s="131">
        <f>IF(I8&lt;DATEVALUE("3/31/2022"),"N/A",IF((A400C5_C5+A400C7_C5)=0,0,(ADL0132_C5/(A400C5_C5+A400C7_C5)))*100)</f>
        <v>1.7109667693552206</v>
      </c>
      <c r="J35" s="102">
        <f t="shared" si="11"/>
        <v>5.4473157157891263</v>
      </c>
    </row>
    <row r="36" spans="1:10" ht="13.15" customHeight="1" x14ac:dyDescent="0.2">
      <c r="A36" s="145" t="s">
        <v>577</v>
      </c>
      <c r="B36" s="76"/>
      <c r="C36" s="76"/>
      <c r="D36" s="102"/>
      <c r="E36" s="76"/>
      <c r="F36" s="102"/>
      <c r="G36" s="76"/>
      <c r="H36" s="102"/>
      <c r="I36" s="76"/>
      <c r="J36" s="102"/>
    </row>
    <row r="37" spans="1:10" ht="13.15" customHeight="1" x14ac:dyDescent="0.2">
      <c r="A37" s="127" t="s">
        <v>446</v>
      </c>
      <c r="B37" s="76">
        <f>IF(B8&lt;DATEVALUE("3/31/2022"),"N/A",ADL0134_C1)</f>
        <v>3814754</v>
      </c>
      <c r="C37" s="76">
        <f>IF(C8&lt;DATEVALUE("3/31/2022"),"N/A",ADL0134_C2)</f>
        <v>5344513</v>
      </c>
      <c r="D37" s="102">
        <f t="shared" ref="D37:D45" si="12">IF(C37="N/A", " ", IF(B37="N/A", " ",IF(AND(B37=0,C37=0,),"N/A",IF(ABS(B37)=0, "N/A", ((C37-B37)/ABS(B37))*100))))</f>
        <v>40.101117922676011</v>
      </c>
      <c r="E37" s="76">
        <f>IF(E8&lt;DATEVALUE("3/31/2022"),"N/A",ADL0134_C3)</f>
        <v>5546228</v>
      </c>
      <c r="F37" s="102">
        <f t="shared" ref="F37:F45" si="13">IF(E37="N/A", " ", IF(C37="N/A", " ",IF(AND(C37=0,E37=0,),"N/A",IF(ABS(C37)=0, "N/A", ((E37-C37)/ABS(C37))*100))))</f>
        <v>3.7742447253847073</v>
      </c>
      <c r="G37" s="76">
        <f>IF(G8&lt;DATEVALUE("3/31/2022"),"N/A",ADL0134_C4)</f>
        <v>8847901</v>
      </c>
      <c r="H37" s="102">
        <f t="shared" ref="H37:H45" si="14">IF(G37="N/A", " ", IF(E37="N/A", " ",IF(AND(E37=0,G37=0,),"N/A",IF(ABS(E37)=0, "N/A", ((G37-E37)/ABS(E37))*100))))</f>
        <v>59.530062593892637</v>
      </c>
      <c r="I37" s="76">
        <f>IF(I8&lt;DATEVALUE("3/31/2022"),"N/A",ADL0134_C5)</f>
        <v>7293264</v>
      </c>
      <c r="J37" s="102">
        <f t="shared" ref="J37:J45" si="15">IF(I37="N/A", " ", IF(G37="N/A", " ",IF(AND(G37=0,I37=0,),"N/A",IF(ABS(G37)=0, "N/A", ((I37-G37)/ABS(G37))*100))))</f>
        <v>-17.570687104206975</v>
      </c>
    </row>
    <row r="38" spans="1:10" ht="13.15" customHeight="1" x14ac:dyDescent="0.2">
      <c r="A38" s="127" t="s">
        <v>578</v>
      </c>
      <c r="B38" s="76">
        <f>IF(B8&lt;DATEVALUE("3/31/2022"),"N/A",ADL0135_C1)</f>
        <v>4561293</v>
      </c>
      <c r="C38" s="76">
        <f>IF(C8&lt;DATEVALUE("3/31/2022"),"N/A",ADL0135_C2)</f>
        <v>4479209</v>
      </c>
      <c r="D38" s="102">
        <f t="shared" si="12"/>
        <v>-1.7995774443781622</v>
      </c>
      <c r="E38" s="76">
        <f>IF(E8&lt;DATEVALUE("3/31/2022"),"N/A",ADL0135_C3)</f>
        <v>3980124</v>
      </c>
      <c r="F38" s="102">
        <f t="shared" si="13"/>
        <v>-11.142257483408342</v>
      </c>
      <c r="G38" s="76">
        <f>IF(G8&lt;DATEVALUE("3/31/2022"),"N/A",ADL0135_C4)</f>
        <v>1836194</v>
      </c>
      <c r="H38" s="102">
        <f t="shared" si="14"/>
        <v>-53.865909705325763</v>
      </c>
      <c r="I38" s="76">
        <f>IF(I8&lt;DATEVALUE("3/31/2022"),"N/A",ADL0135_C5)</f>
        <v>4554097</v>
      </c>
      <c r="J38" s="102">
        <f t="shared" si="15"/>
        <v>148.01829218481271</v>
      </c>
    </row>
    <row r="39" spans="1:10" ht="13.15" customHeight="1" x14ac:dyDescent="0.2">
      <c r="A39" s="127" t="s">
        <v>579</v>
      </c>
      <c r="B39" s="76">
        <f>IF(B8&lt;DATEVALUE("3/31/2022"),"N/A",ADL0136_C1)</f>
        <v>4168578</v>
      </c>
      <c r="C39" s="76">
        <f>IF(C8&lt;DATEVALUE("3/31/2022"),"N/A",ADL0136_C2)</f>
        <v>4932461</v>
      </c>
      <c r="D39" s="102">
        <f t="shared" si="12"/>
        <v>18.324786054141246</v>
      </c>
      <c r="E39" s="76">
        <f>IF(E8&lt;DATEVALUE("3/31/2022"),"N/A",ADL0136_C3)</f>
        <v>4513296</v>
      </c>
      <c r="F39" s="102">
        <f t="shared" si="13"/>
        <v>-8.4980905069497759</v>
      </c>
      <c r="G39" s="76">
        <f>IF(G8&lt;DATEVALUE("3/31/2022"),"N/A",ADL0136_C4)</f>
        <v>3892685</v>
      </c>
      <c r="H39" s="102">
        <f t="shared" si="14"/>
        <v>-13.750726741609679</v>
      </c>
      <c r="I39" s="76">
        <f>IF(I8&lt;DATEVALUE("3/31/2022"),"N/A",ADL0136_C5)</f>
        <v>6137662</v>
      </c>
      <c r="J39" s="102">
        <f t="shared" si="15"/>
        <v>57.671684197411302</v>
      </c>
    </row>
    <row r="40" spans="1:10" ht="13.15" customHeight="1" x14ac:dyDescent="0.2">
      <c r="A40" s="127" t="s">
        <v>449</v>
      </c>
      <c r="B40" s="76">
        <f>IF(B8&lt;DATEVALUE("3/31/2022"),"N/A",ADL0137_C1)</f>
        <v>1148315</v>
      </c>
      <c r="C40" s="76">
        <f>IF(C8&lt;DATEVALUE("3/31/2022"),"N/A",ADL0137_C2)</f>
        <v>661070</v>
      </c>
      <c r="D40" s="102">
        <f t="shared" si="12"/>
        <v>-42.43130151569909</v>
      </c>
      <c r="E40" s="76">
        <f>IF(E8&lt;DATEVALUE("3/31/2022"),"N/A",ADL0137_C3)</f>
        <v>1111577</v>
      </c>
      <c r="F40" s="102">
        <f t="shared" si="13"/>
        <v>68.148153750737436</v>
      </c>
      <c r="G40" s="76">
        <f>IF(G8&lt;DATEVALUE("3/31/2022"),"N/A",ADL0137_C4)</f>
        <v>2183056</v>
      </c>
      <c r="H40" s="102">
        <f t="shared" si="14"/>
        <v>96.392692544016285</v>
      </c>
      <c r="I40" s="76">
        <f>IF(I8&lt;DATEVALUE("3/31/2022"),"N/A",ADL0137_C5)</f>
        <v>1884268</v>
      </c>
      <c r="J40" s="102">
        <f t="shared" si="15"/>
        <v>-13.686685087327122</v>
      </c>
    </row>
    <row r="41" spans="1:10" ht="13.15" customHeight="1" x14ac:dyDescent="0.2">
      <c r="A41" s="86" t="s">
        <v>480</v>
      </c>
      <c r="B41" s="76">
        <f>IF(B8&lt;DATEVALUE("3/31/2022"),"N/A",ADL0138_C1)</f>
        <v>533058</v>
      </c>
      <c r="C41" s="76">
        <f>IF(C8&lt;DATEVALUE("3/31/2022"),"N/A",ADL0138_C2)</f>
        <v>389577</v>
      </c>
      <c r="D41" s="102">
        <f t="shared" si="12"/>
        <v>-26.916583186069808</v>
      </c>
      <c r="E41" s="76">
        <f>IF(E8&lt;DATEVALUE("3/31/2022"),"N/A",ADL0138_C3)</f>
        <v>1630049</v>
      </c>
      <c r="F41" s="102">
        <f t="shared" si="13"/>
        <v>318.41510150753254</v>
      </c>
      <c r="G41" s="76">
        <f>IF(G8&lt;DATEVALUE("3/31/2022"),"N/A",ADL0138_C4)</f>
        <v>768241</v>
      </c>
      <c r="H41" s="102">
        <f t="shared" si="14"/>
        <v>-52.870067096142506</v>
      </c>
      <c r="I41" s="76">
        <f>IF(I8&lt;DATEVALUE("3/31/2022"),"N/A",ADL0138_C5)</f>
        <v>570488</v>
      </c>
      <c r="J41" s="102">
        <f t="shared" si="15"/>
        <v>-25.741010958800686</v>
      </c>
    </row>
    <row r="42" spans="1:10" ht="26.45" customHeight="1" x14ac:dyDescent="0.2">
      <c r="A42" s="144" t="s">
        <v>580</v>
      </c>
      <c r="B42" s="76">
        <f>IF(B8&lt;DATEVALUE("3/31/2022"),"N/A",ADL0139_C1)</f>
        <v>10411244</v>
      </c>
      <c r="C42" s="76">
        <f>IF(C8&lt;DATEVALUE("3/31/2022"),"N/A",ADL0139_C2)</f>
        <v>10462317</v>
      </c>
      <c r="D42" s="102">
        <f t="shared" si="12"/>
        <v>0.4905561717696752</v>
      </c>
      <c r="E42" s="76">
        <f>IF(E8&lt;DATEVALUE("3/31/2022"),"N/A",ADL0139_C3)</f>
        <v>11235046</v>
      </c>
      <c r="F42" s="102">
        <f t="shared" si="13"/>
        <v>7.3858305000699174</v>
      </c>
      <c r="G42" s="76">
        <f>IF(G8&lt;DATEVALUE("3/31/2022"),"N/A",ADL0139_C4)</f>
        <v>8680176</v>
      </c>
      <c r="H42" s="102">
        <f t="shared" si="14"/>
        <v>-22.740182817231013</v>
      </c>
      <c r="I42" s="76">
        <f>IF(I8&lt;DATEVALUE("3/31/2022"),"N/A",ADL0139_C5)</f>
        <v>13146515</v>
      </c>
      <c r="J42" s="102">
        <f t="shared" si="15"/>
        <v>51.454475116633581</v>
      </c>
    </row>
    <row r="43" spans="1:10" ht="40.15" customHeight="1" x14ac:dyDescent="0.2">
      <c r="A43" s="144" t="s">
        <v>581</v>
      </c>
      <c r="B43" s="131">
        <f>IF(B8&lt;DATEVALUE("3/31/2022"),"N/A",IF((A400C6_C1+A400C8_C1)=0,0,(ADL0139_C1/(A400C6_C1+A400C8_C1)))*100)</f>
        <v>2.0099785111285335</v>
      </c>
      <c r="C43" s="131">
        <f>IF(C8&lt;DATEVALUE("3/31/2022"),"N/A",IF((A400C6_C2+A400C8_C2)=0,0,(ADL0139_C2/(A400C6_C2+A400C8_C2)))*100)</f>
        <v>1.8602191104938219</v>
      </c>
      <c r="D43" s="102">
        <f t="shared" si="12"/>
        <v>-7.450796105806468</v>
      </c>
      <c r="E43" s="131">
        <f>IF(E8&lt;DATEVALUE("3/31/2022"),"N/A",IF((A400C6_C3+A400C8_C3)=0,0,(ADL0139_C3/(A400C6_C3+A400C8_C3)))*100)</f>
        <v>1.9313670828266933</v>
      </c>
      <c r="F43" s="102">
        <f t="shared" si="13"/>
        <v>3.8247092469652215</v>
      </c>
      <c r="G43" s="131">
        <f>IF(G8&lt;DATEVALUE("3/31/2022"),"N/A",IF((A400C6_C4+A400C8_C4)=0,0,(ADL0139_C4/(A400C6_C4+A400C8_C4)))*100)</f>
        <v>1.4628380226132713</v>
      </c>
      <c r="H43" s="102">
        <f t="shared" si="14"/>
        <v>-24.258933704497871</v>
      </c>
      <c r="I43" s="131">
        <f>IF(I8&lt;DATEVALUE("3/31/2022"),"N/A",IF((A400C6_C5+A400C8_C5)=0,0,(ADL0139_C5/(A400C6_C5+A400C8_C5)))*100)</f>
        <v>2.1345260375461117</v>
      </c>
      <c r="J43" s="102">
        <f t="shared" si="15"/>
        <v>45.916773050027132</v>
      </c>
    </row>
    <row r="44" spans="1:10" ht="40.15" customHeight="1" x14ac:dyDescent="0.2">
      <c r="A44" s="144" t="s">
        <v>582</v>
      </c>
      <c r="B44" s="76">
        <f>IF(B8&lt;DATEVALUE("3/31/2022"),"N/A",(ADL0083_C1 + ADL0090_C1 + ADL0097_C1 + ADL0104_C1 + ADL0111_C1 + ADL0118_C1 + ADL0125_C1 + ADL0132_C1 + ADL0139_C1))</f>
        <v>1517046736</v>
      </c>
      <c r="C44" s="76">
        <f>IF(C8&lt;DATEVALUE("3/31/2022"),"N/A",(ADL0083_C2 + ADL0090_C2 + ADL0097_C2 + ADL0104_C2 + ADL0111_C2 + ADL0118_C2 + ADL0125_C2 + ADL0132_C2 + ADL0139_C2))</f>
        <v>1483715076</v>
      </c>
      <c r="D44" s="102">
        <f t="shared" si="12"/>
        <v>-2.1971412751518553</v>
      </c>
      <c r="E44" s="76">
        <f>IF(E8&lt;DATEVALUE("3/31/2022"),"N/A",(ADL0083_C3 + ADL0090_C3 + ADL0097_C3 + ADL0104_C3 + ADL0111_C3 + ADL0118_C3 + ADL0125_C3 + ADL0132_C3 + ADL0139_C3))</f>
        <v>1649807471</v>
      </c>
      <c r="F44" s="102">
        <f t="shared" si="13"/>
        <v>11.194359192451852</v>
      </c>
      <c r="G44" s="76">
        <f>IF(G8&lt;DATEVALUE("3/31/2022"),"N/A",(ADL0083_C4 + ADL0090_C4 + ADL0097_C4 + ADL0104_C4 + ADL0111_C4 + ADL0118_C4 + ADL0125_C4 + ADL0132_C4 + ADL0139_C4))</f>
        <v>1924513882</v>
      </c>
      <c r="H44" s="102">
        <f t="shared" si="14"/>
        <v>16.650816281822983</v>
      </c>
      <c r="I44" s="76">
        <f>IF(I8&lt;DATEVALUE("3/31/2022"),"N/A",(ADL0083_C5 + ADL0090_C5 + ADL0097_C5 + ADL0104_C5 + ADL0111_C5 + ADL0118_C5 + ADL0125_C5 + ADL0132_C5 + ADL0139_C5))</f>
        <v>2055652854</v>
      </c>
      <c r="J44" s="102">
        <f t="shared" si="15"/>
        <v>6.8141348953906906</v>
      </c>
    </row>
    <row r="45" spans="1:10" ht="40.15" customHeight="1" x14ac:dyDescent="0.2">
      <c r="A45" s="144" t="s">
        <v>583</v>
      </c>
      <c r="B45" s="131">
        <f>IF(B8&lt;DATEVALUE("3/31/2022"),"N/A",IF((A718A5_C1 + A400P_C1)=0,0,((ADL0083_C1 + ADL0090_C1 + ADL0097_C1 + ADL0104_C1 + ADL0111_C1 + ADL0118_C1 + ADL0125_C1 + ADL0132_C1 + ADL0139_C1)/(A718A5_C1 + A400P_C1)))*100)</f>
        <v>0.90093729843399462</v>
      </c>
      <c r="C45" s="131">
        <f>IF(C8&lt;DATEVALUE("3/31/2022"),"N/A",IF((A718A5_C2 + A400P_C2)=0,0,((ADL0083_C2 + ADL0090_C2 + ADL0097_C2 + ADL0104_C2 + ADL0111_C2 + ADL0118_C2 + ADL0125_C2 + ADL0132_C2 + ADL0139_C2)/(A718A5_C2 + A400P_C2)))*100)</f>
        <v>0.85281061069927733</v>
      </c>
      <c r="D45" s="102">
        <f t="shared" si="12"/>
        <v>-5.3418465212141726</v>
      </c>
      <c r="E45" s="131">
        <f>IF(E8&lt;DATEVALUE("3/31/2022"),"N/A",IF((A718A5_C3 + A400P_C3)=0,0,((ADL0083_C3 + ADL0090_C3 + ADL0097_C3 + ADL0104_C3 + ADL0111_C3 + ADL0118_C3 + ADL0125_C3 + ADL0132_C3 + ADL0139_C3)/(A718A5_C3 + A400P_C3)))*100)</f>
        <v>0.92651787450781131</v>
      </c>
      <c r="F45" s="102">
        <f t="shared" si="13"/>
        <v>8.6428642988032713</v>
      </c>
      <c r="G45" s="131">
        <f>IF(G8&lt;DATEVALUE("3/31/2022"),"N/A",IF((A718A5_C4 + A400P_C4)=0,0,((ADL0083_C4 + ADL0090_C4 + ADL0097_C4 + ADL0104_C4 + ADL0111_C4 + ADL0118_C4 + ADL0125_C4 + ADL0132_C4 + ADL0139_C4)/(A718A5_C4 + A400P_C4)))*100)</f>
        <v>1.0502270222425141</v>
      </c>
      <c r="H45" s="102">
        <f t="shared" si="14"/>
        <v>13.352051928886969</v>
      </c>
      <c r="I45" s="131">
        <f>IF(I8&lt;DATEVALUE("3/31/2022"),"N/A",IF((A718A5_C5 + A400P_C5)=0,0,((ADL0083_C5 + ADL0090_C5 + ADL0097_C5 + ADL0104_C5 + ADL0111_C5 + ADL0118_C5 + ADL0125_C5 + ADL0132_C5 + ADL0139_C5)/(A718A5_C5 + A400P_C5)))*100)</f>
        <v>1.0934842392078112</v>
      </c>
      <c r="J45" s="102">
        <f t="shared" si="15"/>
        <v>4.1188444068913306</v>
      </c>
    </row>
    <row r="46" spans="1:10" ht="13.15" customHeight="1" x14ac:dyDescent="0.2">
      <c r="A46" s="223" t="s">
        <v>584</v>
      </c>
      <c r="B46" s="175"/>
      <c r="C46" s="175"/>
      <c r="D46" s="186"/>
      <c r="E46" s="175"/>
      <c r="F46" s="186"/>
      <c r="G46" s="175"/>
      <c r="H46" s="186"/>
      <c r="I46" s="175"/>
      <c r="J46" s="186"/>
    </row>
    <row r="47" spans="1:10" ht="13.15" customHeight="1" x14ac:dyDescent="0.2">
      <c r="A47" s="107" t="s">
        <v>585</v>
      </c>
      <c r="B47" s="107"/>
      <c r="C47" s="107"/>
      <c r="D47" s="102"/>
      <c r="E47" s="107"/>
      <c r="F47" s="102"/>
      <c r="G47" s="107"/>
      <c r="H47" s="102"/>
      <c r="I47" s="189" t="s">
        <v>586</v>
      </c>
      <c r="J47" s="102"/>
    </row>
    <row r="48" spans="1:10" x14ac:dyDescent="0.2">
      <c r="A48" s="107"/>
      <c r="B48" s="107"/>
      <c r="C48" s="107"/>
      <c r="D48" s="102"/>
      <c r="E48" s="107"/>
      <c r="F48" s="102"/>
      <c r="G48" s="107"/>
      <c r="H48" s="102"/>
      <c r="J48" s="102"/>
    </row>
    <row r="49" spans="1:10" ht="25.5" customHeight="1" x14ac:dyDescent="0.2">
      <c r="A49" s="110"/>
      <c r="B49" s="110"/>
      <c r="C49" s="110"/>
      <c r="D49" s="110"/>
      <c r="E49" s="110"/>
      <c r="F49" s="110"/>
      <c r="G49" s="110"/>
    </row>
    <row r="50" spans="1:10" ht="22.5" customHeight="1" x14ac:dyDescent="0.2">
      <c r="A50" s="44"/>
      <c r="B50" s="44"/>
      <c r="C50" s="44"/>
      <c r="D50" s="44"/>
      <c r="E50" s="44"/>
      <c r="F50" s="44"/>
      <c r="G50" s="44"/>
      <c r="H50" s="64"/>
      <c r="I50" s="29"/>
      <c r="J50" s="69"/>
    </row>
    <row r="51" spans="1:10" x14ac:dyDescent="0.2">
      <c r="A51" s="30"/>
      <c r="B51" s="30"/>
      <c r="C51" s="32"/>
      <c r="D51" s="64"/>
      <c r="E51" s="32"/>
      <c r="F51" s="64"/>
      <c r="G51" s="30"/>
      <c r="H51" s="64"/>
      <c r="J51" s="64"/>
    </row>
  </sheetData>
  <mergeCells count="1">
    <mergeCell ref="D5:J5"/>
  </mergeCells>
  <phoneticPr fontId="2" type="noConversion"/>
  <hyperlinks>
    <hyperlink ref="A2" location="'Cover Page'!A1" display="Return to cover" xr:uid="{00000000-0004-0000-0D00-000000000000}"/>
  </hyperlinks>
  <printOptions horizontalCentered="1" verticalCentered="1" gridLines="1"/>
  <pageMargins left="0.75" right="0.75" top="0.5" bottom="0.5" header="0.5" footer="0.5"/>
  <pageSetup orientation="landscape" r:id="rId1"/>
  <headerFooter alignWithMargins="0"/>
  <ignoredErrors>
    <ignoredError sqref="H29 H30 J30 H31 J31 H13 H15 H16 H17 H18 H32 H33 H34 D38 F38 H38 D39 F39 H39 D41 F41 H41 J13 J15 J16 J17 J18 J29 J32 J33 J34 J38 J39 J41" formula="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9">
    <pageSetUpPr fitToPage="1"/>
  </sheetPr>
  <dimension ref="A1:J60"/>
  <sheetViews>
    <sheetView workbookViewId="0"/>
  </sheetViews>
  <sheetFormatPr defaultRowHeight="12.75" x14ac:dyDescent="0.2"/>
  <cols>
    <col min="1" max="1" width="68.28515625" style="34" bestFit="1" customWidth="1"/>
    <col min="2" max="3" width="16.7109375" customWidth="1"/>
    <col min="4" max="4" width="6.7109375" customWidth="1"/>
    <col min="5" max="5" width="16.7109375" customWidth="1"/>
    <col min="6" max="6" width="6.7109375" customWidth="1"/>
    <col min="7" max="7" width="16.7109375" customWidth="1"/>
    <col min="8" max="8" width="6.7109375" customWidth="1"/>
    <col min="9" max="9" width="16.7109375" customWidth="1"/>
    <col min="10" max="10" width="6.7109375" customWidth="1"/>
  </cols>
  <sheetData>
    <row r="1" spans="1:10" x14ac:dyDescent="0.2">
      <c r="A1" s="72"/>
      <c r="B1" s="62"/>
      <c r="C1" s="85" t="s">
        <v>587</v>
      </c>
      <c r="D1" s="118"/>
      <c r="E1" s="62"/>
      <c r="F1" s="119"/>
      <c r="G1" s="62"/>
      <c r="H1" s="119"/>
      <c r="I1" s="62"/>
      <c r="J1" s="119"/>
    </row>
    <row r="2" spans="1:10" x14ac:dyDescent="0.2">
      <c r="A2" s="271" t="s">
        <v>49</v>
      </c>
      <c r="B2" s="62"/>
      <c r="C2" s="67" t="s">
        <v>50</v>
      </c>
      <c r="D2" s="87" t="str">
        <f>IF(CU_NUMBER="","N/A",CU_NUMBER)</f>
        <v>N/A</v>
      </c>
      <c r="E2" s="120"/>
      <c r="F2" s="119"/>
      <c r="G2" s="62"/>
      <c r="H2" s="119"/>
      <c r="I2" s="62"/>
      <c r="J2" s="119"/>
    </row>
    <row r="3" spans="1:10" x14ac:dyDescent="0.2">
      <c r="A3" s="121" t="str">
        <f>IF(Request_Date=0,"N/A",Request_Date)</f>
        <v>12/05/2025</v>
      </c>
      <c r="B3" s="62"/>
      <c r="C3" s="67" t="s">
        <v>42</v>
      </c>
      <c r="D3" s="75">
        <f>IF(CountCu_C5=0,"N/A",CountCu_C5)</f>
        <v>4331</v>
      </c>
      <c r="E3" s="120"/>
      <c r="F3" s="119"/>
      <c r="G3" s="62"/>
      <c r="H3" s="119"/>
      <c r="I3" s="62"/>
      <c r="J3" s="119"/>
    </row>
    <row r="4" spans="1:10" x14ac:dyDescent="0.2">
      <c r="A4" s="68" t="str">
        <f>"CU Name:      "&amp;IF(Cu_Name="","N/A",Cu_Name)</f>
        <v>CU Name:      N/A</v>
      </c>
      <c r="B4" s="62"/>
      <c r="C4" s="67" t="s">
        <v>43</v>
      </c>
      <c r="D4" s="89" t="str">
        <f>IF(AssetRange="","N/A",AssetRange)</f>
        <v>N/A</v>
      </c>
      <c r="E4" s="75"/>
      <c r="F4" s="119"/>
      <c r="G4" s="62"/>
      <c r="H4" s="119"/>
      <c r="I4" s="62"/>
      <c r="J4" s="119"/>
    </row>
    <row r="5" spans="1:10" x14ac:dyDescent="0.2">
      <c r="A5" s="68" t="str">
        <f>"Peer Group:      "&amp;IF(Peer_Group="","N/A",IF(Peer_Group="0","N/A",Peer_Group))</f>
        <v>Peer Group:      N/A</v>
      </c>
      <c r="B5" s="90"/>
      <c r="C5" s="67" t="s">
        <v>51</v>
      </c>
      <c r="D5" s="24" t="str">
        <f>IF(_xlnm.Criteria="","N/A",_xlnm.Criteria)</f>
        <v xml:space="preserve">Region: Nation * Peer Group: All * Types Included: All  Federally Insured Credit Unions  (FICUs) *  </v>
      </c>
      <c r="E5" s="23"/>
      <c r="F5" s="23"/>
      <c r="G5" s="23"/>
      <c r="H5" s="23"/>
      <c r="I5" s="23"/>
      <c r="J5" s="23"/>
    </row>
    <row r="6" spans="1:10" x14ac:dyDescent="0.2">
      <c r="A6" s="68"/>
      <c r="B6" s="67"/>
      <c r="C6" s="67" t="s">
        <v>45</v>
      </c>
      <c r="D6" s="75" t="str">
        <f>IF(NoCu_in_Peer_Group="","N/A",NoCu_in_Peer_Group)</f>
        <v>N/A</v>
      </c>
      <c r="E6" s="75" t="str">
        <f>IF(CU_NUMBER&gt;0,"",IF(RetPop=0,"Retroactive Population",""))</f>
        <v/>
      </c>
      <c r="F6" s="119"/>
      <c r="G6" s="62"/>
      <c r="H6" s="119"/>
      <c r="I6" s="62"/>
      <c r="J6" s="119"/>
    </row>
    <row r="7" spans="1:10" x14ac:dyDescent="0.2">
      <c r="A7" s="39"/>
      <c r="D7" s="54"/>
      <c r="E7" s="32"/>
      <c r="F7" s="54"/>
      <c r="G7" s="30"/>
      <c r="H7" s="54"/>
      <c r="I7" s="30"/>
      <c r="J7" s="54"/>
    </row>
    <row r="8" spans="1:10" ht="13.15" customHeight="1" x14ac:dyDescent="0.2">
      <c r="A8" s="153"/>
      <c r="B8" s="139">
        <f>(CycDat_C1)</f>
        <v>45565</v>
      </c>
      <c r="C8" s="139">
        <f>(CycDat_C2)</f>
        <v>45657</v>
      </c>
      <c r="D8" s="184" t="s">
        <v>52</v>
      </c>
      <c r="E8" s="139">
        <f>(CycDat_C3)</f>
        <v>45747</v>
      </c>
      <c r="F8" s="184" t="s">
        <v>52</v>
      </c>
      <c r="G8" s="139">
        <f>(CycDat_C4)</f>
        <v>45838</v>
      </c>
      <c r="H8" s="184" t="s">
        <v>52</v>
      </c>
      <c r="I8" s="139">
        <f>(CycDat_C5)</f>
        <v>45930</v>
      </c>
      <c r="J8" s="184" t="s">
        <v>52</v>
      </c>
    </row>
    <row r="9" spans="1:10" ht="13.15" customHeight="1" x14ac:dyDescent="0.2">
      <c r="A9" s="209" t="s">
        <v>588</v>
      </c>
      <c r="B9" s="86"/>
      <c r="C9" s="86"/>
      <c r="D9" s="102"/>
      <c r="E9" s="86"/>
      <c r="F9" s="102"/>
      <c r="G9" s="86"/>
      <c r="H9" s="102"/>
      <c r="I9" s="86"/>
      <c r="J9" s="102"/>
    </row>
    <row r="10" spans="1:10" ht="13.15" customHeight="1" x14ac:dyDescent="0.2">
      <c r="A10" s="183" t="s">
        <v>589</v>
      </c>
      <c r="B10" s="76">
        <f>A550_C1</f>
        <v>11328938532</v>
      </c>
      <c r="C10" s="76">
        <f>A550_C2</f>
        <v>15494498126</v>
      </c>
      <c r="D10" s="102">
        <f>IF(C10="N/A", " ", IF(B10="N/A", " ",IF(AND(B10=0,C10=0,),"N/A",IF(ABS(B10)=0, "N/A", ((C10*Anu_C2-B10*Anu_C1)/ABS(B10*Anu_C1))*100))))</f>
        <v>2.5768968705708217</v>
      </c>
      <c r="E10" s="76">
        <f>A550_C3</f>
        <v>4062821725</v>
      </c>
      <c r="F10" s="102">
        <f>IF(E10="N/A", " ", IF(C10="N/A", " ",IF(AND(C10=0,E10=0,),"N/A",IF(ABS(C10)=0, "N/A", ((E10*Anu_C3-C10*Anu_C2)/ABS(C10*Anu_C2))*100))))</f>
        <v>4.8842419279789198</v>
      </c>
      <c r="G10" s="76">
        <f>A550_C4</f>
        <v>7946675818</v>
      </c>
      <c r="H10" s="102">
        <f>IF(G10="N/A", " ", IF(E10="N/A", " ",IF(AND(E10=0,G10=0,),"N/A",IF(ABS(E10)=0, "N/A", ((G10*Anu_C4-E10*Anu_C3)/ABS(E10*Anu_C3))*100))))</f>
        <v>-2.202504122919644</v>
      </c>
      <c r="I10" s="76">
        <f>A550_C5</f>
        <v>11731989265</v>
      </c>
      <c r="J10" s="102">
        <f>IF(I10="N/A", " ", IF(G10="N/A", " ",IF(AND(G10=0,I10=0,),"N/A",IF(ABS(G10)=0, "N/A", ((I10*Anu_C5-G10*Anu_C4)/ABS(G10*Anu_C4))*100))))</f>
        <v>-1.5773846096679158</v>
      </c>
    </row>
    <row r="11" spans="1:10" ht="13.15" customHeight="1" x14ac:dyDescent="0.2">
      <c r="A11" s="183" t="s">
        <v>590</v>
      </c>
      <c r="B11" s="76">
        <f>A551_C1</f>
        <v>1864420726</v>
      </c>
      <c r="C11" s="76">
        <f>A551_C2</f>
        <v>2491216606</v>
      </c>
      <c r="D11" s="102">
        <f>IF(C11="N/A", " ", IF(B11="N/A", " ",IF(AND(B11=0,C11=0,),"N/A",IF(ABS(B11)=0, "N/A", ((C11*Anu_C2-B11*Anu_C1)/ABS(B11*Anu_C1))*100))))</f>
        <v>0.21410019982797804</v>
      </c>
      <c r="E11" s="76">
        <f>A551_C3</f>
        <v>667408264</v>
      </c>
      <c r="F11" s="102">
        <f>IF(E11="N/A", " ", IF(C11="N/A", " ",IF(AND(C11=0,E11=0,),"N/A",IF(ABS(C11)=0, "N/A", ((E11*Anu_C3-C11*Anu_C2)/ABS(C11*Anu_C2))*100))))</f>
        <v>7.1618200348492698</v>
      </c>
      <c r="G11" s="76">
        <f>A551_C4</f>
        <v>1375755642</v>
      </c>
      <c r="H11" s="102">
        <f>IF(G11="N/A", " ", IF(E11="N/A", " ",IF(AND(E11=0,G11=0,),"N/A",IF(ABS(E11)=0, "N/A", ((G11*Anu_C4-E11*Anu_C3)/ABS(E11*Anu_C3))*100))))</f>
        <v>3.067021807209747</v>
      </c>
      <c r="I11" s="76">
        <f>A551_C5</f>
        <v>2095122334</v>
      </c>
      <c r="J11" s="102">
        <f>IF(I11="N/A", " ", IF(G11="N/A", " ",IF(AND(G11=0,I11=0,),"N/A",IF(ABS(G11)=0, "N/A", ((I11*Anu_C5-G11*Anu_C4)/ABS(G11*Anu_C4))*100))))</f>
        <v>1.525894572102108</v>
      </c>
    </row>
    <row r="12" spans="1:10" ht="13.15" customHeight="1" x14ac:dyDescent="0.2">
      <c r="A12" s="210" t="s">
        <v>591</v>
      </c>
      <c r="B12" s="76">
        <f>(A550_C1-A551_C1)</f>
        <v>9464517806</v>
      </c>
      <c r="C12" s="76">
        <f>(A550_C2-A551_C2)</f>
        <v>13003281520</v>
      </c>
      <c r="D12" s="102">
        <f>IF(C12="N/A", " ", IF(B12="N/A", " ",IF(AND(B12=0,C12=0,),"N/A",IF(ABS(B12)=0, "N/A", ((C12*Anu_C2-B12*Anu_C1)/ABS(B12*Anu_C1))*100))))</f>
        <v>3.042345525700842</v>
      </c>
      <c r="E12" s="76">
        <f>(A550_C3-A551_C3)</f>
        <v>3395413461</v>
      </c>
      <c r="F12" s="102">
        <f>IF(E12="N/A", " ", IF(C12="N/A", " ",IF(AND(C12=0,E12=0,),"N/A",IF(ABS(C12)=0, "N/A", ((E12*Anu_C3-C12*Anu_C2)/ABS(C12*Anu_C2))*100))))</f>
        <v>4.4478951187084652</v>
      </c>
      <c r="G12" s="76">
        <f>(A550_C4-A551_C4)</f>
        <v>6570920176</v>
      </c>
      <c r="H12" s="102">
        <f>IF(G12="N/A", " ", IF(E12="N/A", " ",IF(AND(E12=0,G12=0,),"N/A",IF(ABS(E12)=0, "N/A", ((G12*Anu_C4-E12*Anu_C3)/ABS(E12*Anu_C3))*100))))</f>
        <v>-3.2382911319323417</v>
      </c>
      <c r="I12" s="76">
        <f>(A550_C5-A551_C5)</f>
        <v>9636866931</v>
      </c>
      <c r="J12" s="102">
        <f>IF(I12="N/A", " ", IF(G12="N/A", " ",IF(AND(G12=0,I12=0,),"N/A",IF(ABS(G12)=0, "N/A", ((I12*Anu_C5-G12*Anu_C4)/ABS(G12*Anu_C4))*100))))</f>
        <v>-2.22711915653014</v>
      </c>
    </row>
    <row r="13" spans="1:10" ht="13.15" customHeight="1" x14ac:dyDescent="0.2">
      <c r="A13" s="209" t="s">
        <v>592</v>
      </c>
      <c r="B13" s="131">
        <f>IF((A025B_C1+pA025B_C2)/2=0,0,(((A550_C1-A551_C1)/((A025B_C1+pA025B_C1)/2)*100)*Anu_C1))</f>
        <v>0.78060534770828416</v>
      </c>
      <c r="C13" s="131">
        <f>IF((A025B_C2+pA025B_C2)/2=0,0,(((A550_C2-A551_C2)/((A025B_C2+pA025B_C2)/2)*100)*Anu_C2))</f>
        <v>0.80069074459265066</v>
      </c>
      <c r="D13" s="102">
        <f>IF(C13="N/A", " ", IF(B13="N/A", " ",IF(AND(B13=0,C13=0,),"N/A",IF(ABS(B13)=0, "N/A", ((C13-B13)/ABS(B13))*100))))</f>
        <v>2.5730539693756374</v>
      </c>
      <c r="E13" s="131">
        <f>IF((A025B_C3+pA025B_C2)/2=0,0,(((A550_C3-A551_C3)/((A025B_C3+pA025B_C3)/2)*100)*Anu_C3))</f>
        <v>0.82339659616860761</v>
      </c>
      <c r="F13" s="102">
        <f>IF(E13="N/A", " ", IF(C13="N/A", " ",IF(AND(C13=0,E13=0,),"N/A",IF(ABS(C13)=0, "N/A", ((E13-C13)/ABS(C13))*100))))</f>
        <v>2.8357829448257816</v>
      </c>
      <c r="G13" s="131">
        <f>IF((A025B_C4+pA025B_C2)/2=0,0,(((A550_C4-A551_C4)/((A025B_C4+pA025B_C4)/2)*100)*Anu_C4))</f>
        <v>0.79014226155208911</v>
      </c>
      <c r="H13" s="102">
        <f>IF(G13="N/A", " ", IF(E13="N/A", " ",IF(AND(E13=0,G13=0,),"N/A",IF(ABS(E13)=0, "N/A", ((G13-E13)/ABS(E13))*100))))</f>
        <v>-4.0386776884014441</v>
      </c>
      <c r="I13" s="131">
        <f>IF((A025B_C5+pA025B_C2)/2=0,0,(((A550_C5-A551_C5)/((A025B_C5+pA025B_C5)/2)*100)*Anu_C5))</f>
        <v>0.76759033323320003</v>
      </c>
      <c r="J13" s="102">
        <f>IF(I13="N/A", " ", IF(G13="N/A", " ",IF(AND(G13=0,I13=0,),"N/A",IF(ABS(G13)=0, "N/A", ((I13-G13)/ABS(G13))*100))))</f>
        <v>-2.854160499476381</v>
      </c>
    </row>
    <row r="14" spans="1:10" ht="13.15" customHeight="1" x14ac:dyDescent="0.2">
      <c r="A14" s="209" t="s">
        <v>593</v>
      </c>
      <c r="B14" s="76">
        <f>(A041B_C1+A550_C1-A551_C1)</f>
        <v>24286169865</v>
      </c>
      <c r="C14" s="76">
        <f>(A041B_C2+A550_C2-A551_C2)</f>
        <v>29051563366</v>
      </c>
      <c r="D14" s="102">
        <f>IF(C14="N/A", " ", IF(B14="N/A", " ",IF(AND(B14=0,C14=0,),"N/A",IF(ABS(B14)=0, "N/A", ((C14-B14)/ABS(B14))*100))))</f>
        <v>19.62184044453895</v>
      </c>
      <c r="E14" s="76">
        <f>(A041B_C3+A550_C3-A551_C3)</f>
        <v>16567713327</v>
      </c>
      <c r="F14" s="102">
        <f>IF(E14="N/A", " ", IF(C14="N/A", " ",IF(AND(C14=0,E14=0,),"N/A",IF(ABS(C14)=0, "N/A", ((E14-C14)/ABS(C14))*100))))</f>
        <v>-42.97135366425843</v>
      </c>
      <c r="G14" s="76">
        <f>(A041B_C4+A550_C4-A551_C4)</f>
        <v>21800739618</v>
      </c>
      <c r="H14" s="102">
        <f>IF(G14="N/A", " ", IF(E14="N/A", " ",IF(AND(E14=0,G14=0,),"N/A",IF(ABS(E14)=0, "N/A", ((G14-E14)/ABS(E14))*100))))</f>
        <v>31.585688306616603</v>
      </c>
      <c r="I14" s="76">
        <f>(A041B_C5+A550_C5-A551_C5)</f>
        <v>25781254469</v>
      </c>
      <c r="J14" s="102">
        <f>IF(I14="N/A", " ", IF(G14="N/A", " ",IF(AND(G14=0,I14=0,),"N/A",IF(ABS(G14)=0, "N/A", ((I14-G14)/ABS(G14))*100))))</f>
        <v>18.258622967605408</v>
      </c>
    </row>
    <row r="15" spans="1:10" ht="13.15" customHeight="1" x14ac:dyDescent="0.2">
      <c r="A15" s="209" t="s">
        <v>594</v>
      </c>
      <c r="B15" s="131">
        <f>IF(A025B_C1=0,0,(A041B_C1/A025B_C1))*100 + (IF(((A025B_C1+pA025B_C1)/2)=0,0,((A550_C1-A551_C1)/((A025B_C1+pA025B_C1)/2)))*100*Anu_C1)</f>
        <v>1.6896857999556545</v>
      </c>
      <c r="C15" s="131">
        <f>IF(A025B_C2=0,0,(A041B_C2/A025B_C2))*100 + (IF(((A025B_C2+pA025B_C2)/2)=0,0,((A550_C2-A551_C2)/((A025B_C2+pA025B_C2)/2)))*100*Anu_C2)</f>
        <v>1.7761556809189192</v>
      </c>
      <c r="D15" s="102">
        <f>IF(C15="N/A", " ", IF(B15="N/A", " ",IF(AND(B15=0,C15=0,),"N/A",IF(ABS(B15)=0, "N/A", ((C15-B15)/ABS(B15))*100))))</f>
        <v>5.1175124372551437</v>
      </c>
      <c r="E15" s="131">
        <f>IF(A025B_C3=0,0,(A041B_C3/A025B_C3))*100 + (IF(((A025B_C3+pA025B_C3)/2)=0,0,((A550_C3-A551_C3)/((A025B_C3+pA025B_C3)/2)))*100*Anu_C3)</f>
        <v>1.6199120827569313</v>
      </c>
      <c r="F15" s="102">
        <f>IF(E15="N/A", " ", IF(C15="N/A", " ",IF(AND(C15=0,E15=0,),"N/A",IF(ABS(C15)=0, "N/A", ((E15-C15)/ABS(C15))*100))))</f>
        <v>-8.7967287913159176</v>
      </c>
      <c r="G15" s="131">
        <f>IF(A025B_C4=0,0,(A041B_C4/A025B_C4))*100 + (IF(((A025B_C4+pA025B_C4)/2)=0,0,((A550_C4-A551_C4)/((A025B_C4+pA025B_C4)/2)))*100*Anu_C4)</f>
        <v>1.6960018584176257</v>
      </c>
      <c r="H15" s="102">
        <f>IF(G15="N/A", " ", IF(E15="N/A", " ",IF(AND(E15=0,G15=0,),"N/A",IF(ABS(E15)=0, "N/A", ((G15-E15)/ABS(E15))*100))))</f>
        <v>4.6971546462692642</v>
      </c>
      <c r="I15" s="131">
        <f>IF(A025B_C5=0,0,(A041B_C5/A025B_C5))*100 + (IF(((A025B_C5+pA025B_C5)/2)=0,0,((A550_C5-A551_C5)/((A025B_C5+pA025B_C5)/2)))*100*Anu_C5)</f>
        <v>1.7157391917591633</v>
      </c>
      <c r="J15" s="102">
        <f>IF(I15="N/A", " ", IF(G15="N/A", " ",IF(AND(G15=0,I15=0,),"N/A",IF(ABS(G15)=0, "N/A", ((I15-G15)/ABS(G15))*100))))</f>
        <v>1.1637565869150983</v>
      </c>
    </row>
    <row r="16" spans="1:10" ht="13.15" customHeight="1" x14ac:dyDescent="0.2">
      <c r="A16" s="209" t="s">
        <v>595</v>
      </c>
      <c r="B16" s="76"/>
      <c r="C16" s="133"/>
      <c r="D16" s="102"/>
      <c r="E16" s="133"/>
      <c r="F16" s="102"/>
      <c r="G16" s="76"/>
      <c r="H16" s="102"/>
      <c r="I16" s="131"/>
      <c r="J16" s="102"/>
    </row>
    <row r="17" spans="1:10" ht="13.15" customHeight="1" x14ac:dyDescent="0.2">
      <c r="A17" s="86" t="s">
        <v>596</v>
      </c>
      <c r="B17" s="76">
        <f>A680_C1</f>
        <v>3418982363</v>
      </c>
      <c r="C17" s="76">
        <f>A680_C2</f>
        <v>4662648358</v>
      </c>
      <c r="D17" s="102">
        <f>IF(C17="N/A", " ", IF(B17="N/A", " ",IF(AND(B17=0,C17=0,),"N/A",IF(ABS(B17)=0, "N/A", ((C17*Anu_C2-B17*Anu_C1)/ABS(B17*Anu_C1))*100))))</f>
        <v>2.2814948197496885</v>
      </c>
      <c r="E17" s="76">
        <f>A680_C3</f>
        <v>1250189999</v>
      </c>
      <c r="F17" s="102">
        <f>IF(E17="N/A", " ", IF(C17="N/A", " ",IF(AND(C17=0,E17=0,),"N/A",IF(ABS(C17)=0, "N/A", ((E17*Anu_C3-C17*Anu_C2)/ABS(C17*Anu_C2))*100))))</f>
        <v>7.251493401167183</v>
      </c>
      <c r="G17" s="76">
        <f>A680_C4</f>
        <v>2450180837</v>
      </c>
      <c r="H17" s="102">
        <f>IF(G17="N/A", " ", IF(E17="N/A", " ",IF(AND(E17=0,G17=0,),"N/A",IF(ABS(E17)=0, "N/A", ((G17*Anu_C4-E17*Anu_C3)/ABS(E17*Anu_C3))*100))))</f>
        <v>-2.0076612770920108</v>
      </c>
      <c r="I17" s="76">
        <f>A680_C5</f>
        <v>3612308469</v>
      </c>
      <c r="J17" s="102">
        <f>IF(I17="N/A", " ", IF(G17="N/A", " ",IF(AND(G17=0,I17=0,),"N/A",IF(ABS(G17)=0, "N/A", ((I17*Anu_C5-G17*Anu_C4)/ABS(G17*Anu_C4))*100))))</f>
        <v>-1.7131466529382542</v>
      </c>
    </row>
    <row r="18" spans="1:10" ht="13.15" customHeight="1" x14ac:dyDescent="0.2">
      <c r="A18" s="86" t="s">
        <v>597</v>
      </c>
      <c r="B18" s="76">
        <f>A681_C1</f>
        <v>347520459</v>
      </c>
      <c r="C18" s="76">
        <f>A681_C2</f>
        <v>451766657</v>
      </c>
      <c r="D18" s="102">
        <f>IF(C18="N/A", " ", IF(B18="N/A", " ",IF(AND(B18=0,C18=0,),"N/A",IF(ABS(B18)=0, "N/A", ((C18*Anu_C2-B18*Anu_C1)/ABS(B18*Anu_C1))*100))))</f>
        <v>-2.5021451326985038</v>
      </c>
      <c r="E18" s="76">
        <f>A681_C3</f>
        <v>120463415</v>
      </c>
      <c r="F18" s="102">
        <f>IF(E18="N/A", " ", IF(C18="N/A", " ",IF(AND(C18=0,E18=0,),"N/A",IF(ABS(C18)=0, "N/A", ((E18*Anu_C3-C18*Anu_C2)/ABS(C18*Anu_C2))*100))))</f>
        <v>6.6598547134477881</v>
      </c>
      <c r="G18" s="76">
        <f>A681_C4</f>
        <v>246091895</v>
      </c>
      <c r="H18" s="102">
        <f>IF(G18="N/A", " ", IF(E18="N/A", " ",IF(AND(E18=0,G18=0,),"N/A",IF(ABS(E18)=0, "N/A", ((G18*Anu_C4-E18*Anu_C3)/ABS(E18*Anu_C3))*100))))</f>
        <v>2.1438313864836056</v>
      </c>
      <c r="I18" s="76">
        <f>A681_C5</f>
        <v>396115937</v>
      </c>
      <c r="J18" s="102">
        <f>IF(I18="N/A", " ", IF(G18="N/A", " ",IF(AND(G18=0,I18=0,),"N/A",IF(ABS(G18)=0, "N/A", ((I18*Anu_C5-G18*Anu_C4)/ABS(G18*Anu_C4))*100))))</f>
        <v>7.3084066150708917</v>
      </c>
    </row>
    <row r="19" spans="1:10" ht="13.15" customHeight="1" x14ac:dyDescent="0.2">
      <c r="A19" s="86" t="s">
        <v>598</v>
      </c>
      <c r="B19" s="76">
        <f>(A680_C1-A681_C1)</f>
        <v>3071461904</v>
      </c>
      <c r="C19" s="76">
        <f>(A680_C2-A681_C2)</f>
        <v>4210881701</v>
      </c>
      <c r="D19" s="102">
        <f>IF(C19="N/A", " ", IF(B19="N/A", " ",IF(AND(B19=0,C19=0,),"N/A",IF(ABS(B19)=0, "N/A", ((C19*Anu_C2-B19*Anu_C1)/ABS(B19*Anu_C1))*100))))</f>
        <v>2.8227396093401169</v>
      </c>
      <c r="E19" s="76">
        <f>(A680_C3-A681_C3)</f>
        <v>1129726584</v>
      </c>
      <c r="F19" s="102">
        <f>IF(E19="N/A", " ", IF(C19="N/A", " ",IF(AND(C19=0,E19=0,),"N/A",IF(ABS(C19)=0, "N/A", ((E19*Anu_C3-C19*Anu_C2)/ABS(C19*Anu_C2))*100))))</f>
        <v>7.3149676688103185</v>
      </c>
      <c r="G19" s="76">
        <f>(A680_C4-A681_C4)</f>
        <v>2204088942</v>
      </c>
      <c r="H19" s="102">
        <f>IF(G19="N/A", " ", IF(E19="N/A", " ",IF(AND(E19=0,G19=0,),"N/A",IF(ABS(E19)=0, "N/A", ((G19*Anu_C4-E19*Anu_C3)/ABS(E19*Anu_C3))*100))))</f>
        <v>-2.4503373995136508</v>
      </c>
      <c r="I19" s="76">
        <f>(A680_C5-A681_C5)</f>
        <v>3216192532</v>
      </c>
      <c r="J19" s="102">
        <f>IF(I19="N/A", " ", IF(G19="N/A", " ",IF(AND(G19=0,I19=0,),"N/A",IF(ABS(G19)=0, "N/A", ((I19*Anu_C5-G19*Anu_C4)/ABS(G19*Anu_C4))*100))))</f>
        <v>-2.720425033253195</v>
      </c>
    </row>
    <row r="20" spans="1:10" ht="13.15" customHeight="1" x14ac:dyDescent="0.2">
      <c r="A20" s="86" t="s">
        <v>599</v>
      </c>
      <c r="B20" s="131">
        <f>IF(((A396_C1+pA396_C1)/2)=0,0,((A680_C1-A681_C1)/((A396_C1+pA396_C1)/2)))*100*Anu_C1</f>
        <v>4.9624183225463536</v>
      </c>
      <c r="C20" s="131">
        <f>IF(((A396_C2+pA396_C2)/2)=0,0,((A680_C2-A681_C2)/((A396_C2+pA396_C2)/2)))*100*Anu_C2</f>
        <v>5.0368565401813692</v>
      </c>
      <c r="D20" s="102">
        <f>IF(C20="N/A", " ", IF(B20="N/A", " ",IF(AND(B20=0,C20=0,),"N/A",IF(ABS(B20)=0, "N/A", ((C20-B20)/ABS(B20))*100))))</f>
        <v>1.5000391502024615</v>
      </c>
      <c r="E20" s="131">
        <f>IF(((A396_C3+pA396_C3)/2)=0,0,((A680_C3-A681_C3)/((A396_C3+pA396_C3)/2)))*100*Anu_C3</f>
        <v>5.3465535287429997</v>
      </c>
      <c r="F20" s="102">
        <f>IF(E20="N/A", " ", IF(C20="N/A", " ",IF(AND(C20=0,E20=0,),"N/A",IF(ABS(C20)=0, "N/A", ((E20-C20)/ABS(C20))*100))))</f>
        <v>6.1486164255628939</v>
      </c>
      <c r="G20" s="131">
        <f>IF(((A396_C4+pA396_C4)/2)=0,0,((A680_C4-A681_C4)/((A396_C4+pA396_C4)/2)))*100*Anu_C4</f>
        <v>5.1782230628830055</v>
      </c>
      <c r="H20" s="102">
        <f>IF(G20="N/A", " ", IF(E20="N/A", " ",IF(AND(E20=0,G20=0,),"N/A",IF(ABS(E20)=0, "N/A", ((G20-E20)/ABS(E20))*100))))</f>
        <v>-3.1483920427440202</v>
      </c>
      <c r="I20" s="131">
        <f>IF(((A396_C5+pA396_C5)/2)=0,0,((A680_C5-A681_C5)/((A396_C5+pA396_C5)/2)))*100*Anu_C5</f>
        <v>5.0102772009030545</v>
      </c>
      <c r="J20" s="102">
        <f>IF(I20="N/A", " ", IF(G20="N/A", " ",IF(AND(G20=0,I20=0,),"N/A",IF(ABS(G20)=0, "N/A", ((I20-G20)/ABS(G20))*100))))</f>
        <v>-3.2433106867058399</v>
      </c>
    </row>
    <row r="21" spans="1:10" ht="13.15" customHeight="1" x14ac:dyDescent="0.2">
      <c r="A21" s="183" t="s">
        <v>600</v>
      </c>
      <c r="B21" s="76">
        <f>A136_C1</f>
        <v>13562354</v>
      </c>
      <c r="C21" s="76">
        <f>A136_C2</f>
        <v>19161991</v>
      </c>
      <c r="D21" s="102">
        <f>IF(C21="N/A", " ", IF(B21="N/A", " ",IF(AND(B21=0,C21=0,),"N/A",IF(ABS(B21)=0, "N/A", ((C21*Anu_C2-B21*Anu_C1)/ABS(B21*Anu_C1))*100))))</f>
        <v>5.9660679112195565</v>
      </c>
      <c r="E21" s="76">
        <f>A136_C3</f>
        <v>5243025</v>
      </c>
      <c r="F21" s="102">
        <f>IF(E21="N/A", " ", IF(C21="N/A", " ",IF(AND(C21=0,E21=0,),"N/A",IF(ABS(C21)=0, "N/A", ((E21*Anu_C3-C21*Anu_C2)/ABS(C21*Anu_C2))*100))))</f>
        <v>9.4463513734037345</v>
      </c>
      <c r="G21" s="76">
        <f>A136_C4</f>
        <v>9632383</v>
      </c>
      <c r="H21" s="102">
        <f>IF(G21="N/A", " ", IF(E21="N/A", " ",IF(AND(E21=0,G21=0,),"N/A",IF(ABS(E21)=0, "N/A", ((G21*Anu_C4-E21*Anu_C3)/ABS(E21*Anu_C3))*100))))</f>
        <v>-8.1409777752347168</v>
      </c>
      <c r="I21" s="76">
        <f>A136_C5</f>
        <v>14252194</v>
      </c>
      <c r="J21" s="102">
        <f>IF(I21="N/A", " ", IF(G21="N/A", " ",IF(AND(G21=0,I21=0,),"N/A",IF(ABS(G21)=0, "N/A", ((I21*Anu_C5-G21*Anu_C4)/ABS(G21*Anu_C4))*100))))</f>
        <v>-1.3591686847723348</v>
      </c>
    </row>
    <row r="22" spans="1:10" ht="13.15" customHeight="1" x14ac:dyDescent="0.2">
      <c r="A22" s="183" t="s">
        <v>601</v>
      </c>
      <c r="B22" s="76">
        <f>A137_C1</f>
        <v>1849136</v>
      </c>
      <c r="C22" s="76">
        <f>A137_C2</f>
        <v>2443783</v>
      </c>
      <c r="D22" s="102">
        <f>IF(C22="N/A", " ", IF(B22="N/A", " ",IF(AND(B22=0,C22=0,),"N/A",IF(ABS(B22)=0, "N/A", ((C22*Anu_C2-B22*Anu_C1)/ABS(B22*Anu_C1))*100))))</f>
        <v>-0.88142516288687722</v>
      </c>
      <c r="E22" s="76">
        <f>A137_C3</f>
        <v>815847</v>
      </c>
      <c r="F22" s="102">
        <f>IF(E22="N/A", " ", IF(C22="N/A", " ",IF(AND(C22=0,E22=0,),"N/A",IF(ABS(C22)=0, "N/A", ((E22*Anu_C3-C22*Anu_C2)/ABS(C22*Anu_C2))*100))))</f>
        <v>33.538370632744396</v>
      </c>
      <c r="G22" s="76">
        <f>A137_C4</f>
        <v>1538215</v>
      </c>
      <c r="H22" s="102">
        <f>IF(G22="N/A", " ", IF(E22="N/A", " ",IF(AND(E22=0,G22=0,),"N/A",IF(ABS(E22)=0, "N/A", ((G22*Anu_C4-E22*Anu_C3)/ABS(E22*Anu_C3))*100))))</f>
        <v>-5.7289540808509436</v>
      </c>
      <c r="I22" s="76">
        <f>A137_C5</f>
        <v>2175072</v>
      </c>
      <c r="J22" s="102">
        <f>IF(I22="N/A", " ", IF(G22="N/A", " ",IF(AND(G22=0,I22=0,),"N/A",IF(ABS(G22)=0, "N/A", ((I22*Anu_C5-G22*Anu_C4)/ABS(G22*Anu_C4))*100))))</f>
        <v>-5.7317735167060517</v>
      </c>
    </row>
    <row r="23" spans="1:10" ht="13.15" customHeight="1" x14ac:dyDescent="0.2">
      <c r="A23" s="183" t="s">
        <v>602</v>
      </c>
      <c r="B23" s="76">
        <f>A136_C1-A137_C1</f>
        <v>11713218</v>
      </c>
      <c r="C23" s="76">
        <f>A136_C2-A137_C2</f>
        <v>16718208</v>
      </c>
      <c r="D23" s="102">
        <f>IF(C23="N/A", " ", IF(B23="N/A", " ",IF(AND(B23=0,C23=0,),"N/A",IF(ABS(B23)=0, "N/A", ((C23*Anu_C2-B23*Anu_C1)/ABS(B23*Anu_C1))*100))))</f>
        <v>7.0470642653453552</v>
      </c>
      <c r="E23" s="76">
        <f>A136_C3-A137_C3</f>
        <v>4427178</v>
      </c>
      <c r="F23" s="102">
        <f>IF(E23="N/A", " ", IF(C23="N/A", " ",IF(AND(C23=0,E23=0,),"N/A",IF(ABS(C23)=0, "N/A", ((E23*Anu_C3-C23*Anu_C2)/ABS(C23*Anu_C2))*100))))</f>
        <v>5.9247019776282244</v>
      </c>
      <c r="G23" s="76">
        <f>A136_C4-A137_C4</f>
        <v>8094168</v>
      </c>
      <c r="H23" s="102">
        <f>IF(G23="N/A", " ", IF(E23="N/A", " ",IF(AND(E23=0,G23=0,),"N/A",IF(ABS(E23)=0, "N/A", ((G23*Anu_C4-E23*Anu_C3)/ABS(E23*Anu_C3))*100))))</f>
        <v>-8.5854691182509484</v>
      </c>
      <c r="I23" s="76">
        <f>A136_C5-A137_C5</f>
        <v>12077122</v>
      </c>
      <c r="J23" s="102">
        <f>IF(I23="N/A", " ", IF(G23="N/A", " ",IF(AND(G23=0,I23=0,),"N/A",IF(ABS(G23)=0, "N/A", ((I23*Anu_C5-G23*Anu_C4)/ABS(G23*Anu_C4))*100))))</f>
        <v>-0.52819923348927222</v>
      </c>
    </row>
    <row r="24" spans="1:10" ht="13.15" customHeight="1" x14ac:dyDescent="0.2">
      <c r="A24" s="183" t="s">
        <v>603</v>
      </c>
      <c r="B24" s="131">
        <f>IF((pA397A_C1+A397A_C1)/2=0,0,(((A136_C1-A137_C1)/((pA397A_C1+A397A_C1)/2))*100)*Anu_C1)</f>
        <v>12.409865845667555</v>
      </c>
      <c r="C24" s="131">
        <f>IF((pA397A_C2+A397A_C2)/2=0,0,(((A136_C2-A137_C2)/((pA397A_C2+A397A_C2)/2))*100)*Anu_C2)</f>
        <v>12.742011851447915</v>
      </c>
      <c r="D24" s="102">
        <f>IF(C24="N/A", " ", IF(B24="N/A", " ",IF(AND(B24=0,C24=0,),"N/A",IF(ABS(B24)=0, "N/A", ((C24-B24)/ABS(B24))*100))))</f>
        <v>2.6764673358359921</v>
      </c>
      <c r="E24" s="131">
        <f>IF((pA397A_C3+A397A_C3)/2=0,0,(((A136_C3-A137_C3)/((pA397A_C3+A397A_C3)/2))*100)*Anu_C3)</f>
        <v>13.381253189589634</v>
      </c>
      <c r="F24" s="102">
        <f>IF(E24="N/A", " ", IF(C24="N/A", " ",IF(AND(C24=0,E24=0,),"N/A",IF(ABS(C24)=0, "N/A", ((E24-C24)/ABS(C24))*100))))</f>
        <v>5.0168006873190931</v>
      </c>
      <c r="G24" s="131">
        <f>IF((pA397A_C4+A397A_C4)/2=0,0,(((A136_C4-A137_C4)/((pA397A_C4+A397A_C4)/2))*100)*Anu_C4)</f>
        <v>11.882704418764765</v>
      </c>
      <c r="H24" s="102">
        <f>IF(G24="N/A", " ", IF(E24="N/A", " ",IF(AND(E24=0,G24=0,),"N/A",IF(ABS(E24)=0, "N/A", ((G24-E24)/ABS(E24))*100))))</f>
        <v>-11.198867173298174</v>
      </c>
      <c r="I24" s="131">
        <f>IF((pA397A_C5+A397A_C5)/2=0,0,(((A136_C5-A137_C5)/((pA397A_C5+A397A_C5)/2))*100)*Anu_C5)</f>
        <v>11.504467952714494</v>
      </c>
      <c r="J24" s="102">
        <f>IF(I24="N/A", " ", IF(G24="N/A", " ",IF(AND(G24=0,I24=0,),"N/A",IF(ABS(G24)=0, "N/A", ((I24-G24)/ABS(G24))*100))))</f>
        <v>-3.1830840246516043</v>
      </c>
    </row>
    <row r="25" spans="1:10" ht="13.15" customHeight="1" x14ac:dyDescent="0.2">
      <c r="A25" s="183" t="s">
        <v>604</v>
      </c>
      <c r="B25" s="76">
        <f>A550T_C1</f>
        <v>55866126</v>
      </c>
      <c r="C25" s="76">
        <f>A550T_C2</f>
        <v>78287564</v>
      </c>
      <c r="D25" s="102">
        <f>IF(C25="N/A", " ", IF(B25="N/A", " ",IF(AND(B25=0,C25=0,),"N/A",IF(ABS(B25)=0, "N/A", ((C25*Anu_C2-B25*Anu_C1)/ABS(B25*Anu_C1))*100))))</f>
        <v>5.1006704850091085</v>
      </c>
      <c r="E25" s="76">
        <f>A550T_C3</f>
        <v>21714611</v>
      </c>
      <c r="F25" s="102">
        <f>IF(E25="N/A", " ", IF(C25="N/A", " ",IF(AND(C25=0,E25=0,),"N/A",IF(ABS(C25)=0, "N/A", ((E25*Anu_C3-C25*Anu_C2)/ABS(C25*Anu_C2))*100))))</f>
        <v>10.947945704377773</v>
      </c>
      <c r="G25" s="76">
        <f>A550T_C4</f>
        <v>39181484</v>
      </c>
      <c r="H25" s="102">
        <f>IF(G25="N/A", " ", IF(E25="N/A", " ",IF(AND(E25=0,G25=0,),"N/A",IF(ABS(E25)=0, "N/A", ((G25*Anu_C4-E25*Anu_C3)/ABS(E25*Anu_C3))*100))))</f>
        <v>-9.780829138500339</v>
      </c>
      <c r="I25" s="76">
        <f>A550T_C5</f>
        <v>56436338</v>
      </c>
      <c r="J25" s="102">
        <f>IF(I25="N/A", " ", IF(G25="N/A", " ",IF(AND(G25=0,I25=0,),"N/A",IF(ABS(G25)=0, "N/A", ((I25*Anu_C5-G25*Anu_C4)/ABS(G25*Anu_C4))*100))))</f>
        <v>-3.9744759710139403</v>
      </c>
    </row>
    <row r="26" spans="1:10" ht="13.15" customHeight="1" x14ac:dyDescent="0.2">
      <c r="A26" s="211" t="s">
        <v>605</v>
      </c>
      <c r="B26" s="76">
        <f>A551T_C1</f>
        <v>7008024</v>
      </c>
      <c r="C26" s="76">
        <f>A551T_C2</f>
        <v>10791199</v>
      </c>
      <c r="D26" s="102">
        <f>IF(C26="N/A", " ", IF(B26="N/A", " ",IF(AND(B26=0,C26=0,),"N/A",IF(ABS(B26)=0, "N/A", ((C26*Anu_C2-B26*Anu_C1)/ABS(B26*Anu_C1))*100))))</f>
        <v>15.487607491070236</v>
      </c>
      <c r="E26" s="76">
        <f>A551T_C3</f>
        <v>2369819</v>
      </c>
      <c r="F26" s="102">
        <f>IF(E26="N/A", " ", IF(C26="N/A", " ",IF(AND(C26=0,E26=0,),"N/A",IF(ABS(C26)=0, "N/A", ((E26*Anu_C3-C26*Anu_C2)/ABS(C26*Anu_C2))*100))))</f>
        <v>-12.157342293474525</v>
      </c>
      <c r="G26" s="76">
        <f>A551T_C4</f>
        <v>7323641</v>
      </c>
      <c r="H26" s="102">
        <f>IF(G26="N/A", " ", IF(E26="N/A", " ",IF(AND(E26=0,G26=0,),"N/A",IF(ABS(E26)=0, "N/A", ((G26*Anu_C4-E26*Anu_C3)/ABS(E26*Anu_C3))*100))))</f>
        <v>54.518994910581775</v>
      </c>
      <c r="I26" s="76">
        <f>A551T_C5</f>
        <v>10358693</v>
      </c>
      <c r="J26" s="102">
        <f>IF(I26="N/A", " ", IF(G26="N/A", " ",IF(AND(G26=0,I26=0,),"N/A",IF(ABS(G26)=0, "N/A", ((I26*Anu_C5-G26*Anu_C4)/ABS(G26*Anu_C4))*100))))</f>
        <v>-5.7054362258699873</v>
      </c>
    </row>
    <row r="27" spans="1:10" ht="13.15" customHeight="1" x14ac:dyDescent="0.2">
      <c r="A27" s="211" t="s">
        <v>606</v>
      </c>
      <c r="B27" s="76">
        <f>A550T_C1 - A551T_C1</f>
        <v>48858102</v>
      </c>
      <c r="C27" s="76">
        <f>A550T_C2 - A551T_C2</f>
        <v>67496365</v>
      </c>
      <c r="D27" s="102">
        <f>IF(C27="N/A", " ", IF(B27="N/A", " ",IF(AND(B27=0,C27=0,),"N/A",IF(ABS(B27)=0, "N/A", ((C27*Anu_C2-B27*Anu_C1)/ABS(B27*Anu_C1))*100))))</f>
        <v>3.610806965035195</v>
      </c>
      <c r="E27" s="76">
        <f>A550T_C3 - A551T_C3</f>
        <v>19344792</v>
      </c>
      <c r="F27" s="102">
        <f>IF(E27="N/A", " ", IF(C27="N/A", " ",IF(AND(C27=0,E27=0,),"N/A",IF(ABS(C27)=0, "N/A", ((E27*Anu_C3-C27*Anu_C2)/ABS(C27*Anu_C2))*100))))</f>
        <v>14.641978127266558</v>
      </c>
      <c r="G27" s="76">
        <f>A550T_C4 - A551T_C4</f>
        <v>31857843</v>
      </c>
      <c r="H27" s="102">
        <f>IF(G27="N/A", " ", IF(E27="N/A", " ",IF(AND(E27=0,G27=0,),"N/A",IF(ABS(E27)=0, "N/A", ((G27*Anu_C4-E27*Anu_C3)/ABS(E27*Anu_C3))*100))))</f>
        <v>-17.657830076436078</v>
      </c>
      <c r="I27" s="76">
        <f>A550T_C5 - A551T_C5</f>
        <v>46077645</v>
      </c>
      <c r="J27" s="102">
        <f>IF(I27="N/A", " ", IF(G27="N/A", " ",IF(AND(G27=0,I27=0,),"N/A",IF(ABS(G27)=0, "N/A", ((I27*Anu_C5-G27*Anu_C4)/ABS(G27*Anu_C4))*100))))</f>
        <v>-3.5765541314269145</v>
      </c>
    </row>
    <row r="28" spans="1:10" ht="24" customHeight="1" x14ac:dyDescent="0.2">
      <c r="A28" s="211" t="s">
        <v>607</v>
      </c>
      <c r="B28" s="131">
        <f>IF((A698A_C1+pA698A_C1)/2=0,0,(((A550T_C1-A551T_C1)/((A698A_C1+pA698A_C1)/2)*100)*Anu_C1))</f>
        <v>0.90378084071803544</v>
      </c>
      <c r="C28" s="131">
        <f>IF((A698A_C2+pA698A_C2)/2=0,0,(((A550T_C2-A551T_C2)/((A698A_C2+pA698A_C2)/2)*100)*Anu_C2))</f>
        <v>0.94643236916292228</v>
      </c>
      <c r="D28" s="102">
        <f>IF(C28="N/A", " ", IF(B28="N/A", " ",IF(AND(B28=0,C28=0,),"N/A",IF(ABS(B28)=0, "N/A", ((C28-B28)/ABS(B28))*100))))</f>
        <v>4.7192335269025039</v>
      </c>
      <c r="E28" s="131">
        <f>IF((A698A_C3+pA698A_C3)/2=0,0,(((A550T_C3-A551T_C3)/((A698A_C3+pA698A_C3)/2)*100)*Anu_C3))</f>
        <v>1.1155841524298951</v>
      </c>
      <c r="F28" s="102">
        <f>IF(E28="N/A", " ", IF(C28="N/A", " ",IF(AND(C28=0,E28=0,),"N/A",IF(ABS(C28)=0, "N/A", ((E28-C28)/ABS(C28))*100))))</f>
        <v>17.872569533582212</v>
      </c>
      <c r="G28" s="131">
        <f>IF((A698A_C4+pA698A_C4)/2=0,0,(((A550T_C4-A551T_C4)/((A698A_C4+pA698A_C4)/2)*100)*Anu_C4))</f>
        <v>0.93489792970489638</v>
      </c>
      <c r="H28" s="102">
        <f>IF(G28="N/A", " ", IF(E28="N/A", " ",IF(AND(E28=0,G28=0,),"N/A",IF(ABS(E28)=0, "N/A", ((G28-E28)/ABS(E28))*100))))</f>
        <v>-16.196556963581756</v>
      </c>
      <c r="I28" s="131">
        <f>IF((A698A_C5+pA698A_C5)/2=0,0,(((A550T_C5-A551T_C5)/((A698A_C5+pA698A_C5)/2)*100)*Anu_C5))</f>
        <v>0.9023783198191988</v>
      </c>
      <c r="J28" s="102">
        <f>IF(I28="N/A", " ", IF(G28="N/A", " ",IF(AND(G28=0,I28=0,),"N/A",IF(ABS(G28)=0, "N/A", ((I28-G28)/ABS(G28))*100))))</f>
        <v>-3.4784128675910639</v>
      </c>
    </row>
    <row r="29" spans="1:10" x14ac:dyDescent="0.2">
      <c r="A29" s="211" t="s">
        <v>608</v>
      </c>
      <c r="B29" s="76">
        <f t="array" ref="B29">IF(B8&lt;DATEVALUE("3/31/22"),"N/A",ACH0007_C1)</f>
        <v>3084208835</v>
      </c>
      <c r="C29" s="76">
        <f t="array" ref="C29">IF(C8&lt;DATEVALUE("3/31/22"),"N/A",ACH0007_C2)</f>
        <v>4119874081</v>
      </c>
      <c r="D29" s="102">
        <f>IF(C29="N/A", " ", IF(B29="N/A", " ",IF(AND(B29=0,C29=0,),"N/A",IF(ABS(B29)=0, "N/A", ((C29*Anu_C2-B29*Anu_C1)/ABS(B29*Anu_C1))*100))))</f>
        <v>0.18470622628898992</v>
      </c>
      <c r="E29" s="76">
        <f t="array" ref="E29">IF(E8&lt;DATEVALUE("3/31/22"),"N/A",ACH0007_C3)</f>
        <v>976747800</v>
      </c>
      <c r="F29" s="102">
        <f>IF(E29="N/A", " ", IF(C29="N/A", " ",IF(AND(C29=0,E29=0,),"N/A",IF(ABS(C29)=0, "N/A", ((E29*Anu_C3-C29*Anu_C2)/ABS(C29*Anu_C2))*100))))</f>
        <v>-5.1672181434323798</v>
      </c>
      <c r="G29" s="76">
        <f t="array" ref="G29">IF(G8&lt;DATEVALUE("3/31/22"),"N/A",ACH0007_C4)</f>
        <v>1887424731</v>
      </c>
      <c r="H29" s="102">
        <f>IF(G29="N/A", " ", IF(E29="N/A", " ",IF(AND(E29=0,G29=0,),"N/A",IF(ABS(E29)=0, "N/A", ((G29*Anu_C4-E29*Anu_C3)/ABS(E29*Anu_C3))*100))))</f>
        <v>-3.3821867323376615</v>
      </c>
      <c r="I29" s="76">
        <f t="array" ref="I29">IF(I8&lt;DATEVALUE("3/31/22"),"N/A",ACH0007_C5)</f>
        <v>2792883444</v>
      </c>
      <c r="J29" s="102">
        <f>IF(I29="N/A", " ", IF(G29="N/A", " ",IF(AND(G29=0,I29=0,),"N/A",IF(ABS(G29)=0, "N/A", ((I29*Anu_C5-G29*Anu_C4)/ABS(G29*Anu_C4))*100))))</f>
        <v>-1.3511762657940927</v>
      </c>
    </row>
    <row r="30" spans="1:10" x14ac:dyDescent="0.2">
      <c r="A30" s="211" t="s">
        <v>609</v>
      </c>
      <c r="B30" s="76">
        <f t="array" ref="B30">IF(B8&lt;DATEVALUE("3/31/22"),"N/A",ACH0008_C1)</f>
        <v>452744663</v>
      </c>
      <c r="C30" s="76">
        <f t="array" ref="C30">IF(C8&lt;DATEVALUE("3/31/22"),"N/A",ACH0008_C2)</f>
        <v>604441668</v>
      </c>
      <c r="D30" s="102">
        <f>IF(C30="N/A", " ", IF(B30="N/A", " ",IF(AND(B30=0,C30=0,),"N/A",IF(ABS(B30)=0, "N/A", ((C30*Anu_C2-B30*Anu_C1)/ABS(B30*Anu_C1))*100))))</f>
        <v>0.1295626537291793</v>
      </c>
      <c r="E30" s="76">
        <f t="array" ref="E30">IF(E8&lt;DATEVALUE("3/31/22"),"N/A",ACH0008_C3)</f>
        <v>162460730</v>
      </c>
      <c r="F30" s="102">
        <f>IF(E30="N/A", " ", IF(C30="N/A", " ",IF(AND(C30=0,E30=0,),"N/A",IF(ABS(C30)=0, "N/A", ((E30*Anu_C3-C30*Anu_C2)/ABS(C30*Anu_C2))*100))))</f>
        <v>7.5112710462575185</v>
      </c>
      <c r="G30" s="76">
        <f t="array" ref="G30">IF(G8&lt;DATEVALUE("3/31/22"),"N/A",ACH0008_C4)</f>
        <v>323934367</v>
      </c>
      <c r="H30" s="102">
        <f>IF(G30="N/A", " ", IF(E30="N/A", " ",IF(AND(E30=0,G30=0,),"N/A",IF(ABS(E30)=0, "N/A", ((G30*Anu_C4-E30*Anu_C3)/ABS(E30*Anu_C3))*100))))</f>
        <v>-0.30379433848413706</v>
      </c>
      <c r="I30" s="76">
        <f t="array" ref="I30">IF(I8&lt;DATEVALUE("3/31/22"),"N/A",ACH0008_C5)</f>
        <v>494003328</v>
      </c>
      <c r="J30" s="102">
        <f>IF(I30="N/A", " ", IF(G30="N/A", " ",IF(AND(G30=0,I30=0,),"N/A",IF(ABS(G30)=0, "N/A", ((I30*Anu_C5-G30*Anu_C4)/ABS(G30*Anu_C4))*100))))</f>
        <v>1.6673701682291708</v>
      </c>
    </row>
    <row r="31" spans="1:10" x14ac:dyDescent="0.2">
      <c r="A31" s="211" t="s">
        <v>610</v>
      </c>
      <c r="B31" s="76">
        <f t="array" ref="B31">IF(B8&lt;DATEVALUE("3/31/22"),"N/A",ACH0007_C1 - ACH0008_C1)</f>
        <v>2631464172</v>
      </c>
      <c r="C31" s="76">
        <f t="array" ref="C31">IF(C8&lt;DATEVALUE("3/31/22"),"N/A",ACH0007_C2 - ACH0008_C2)</f>
        <v>3515432413</v>
      </c>
      <c r="D31" s="102">
        <f>IF(C31="N/A", " ", IF(B31="N/A", " ",IF(AND(B31=0,C31=0,),"N/A",IF(ABS(B31)=0, "N/A", ((C31*Anu_C2-B31*Anu_C1)/ABS(B31*Anu_C1))*100))))</f>
        <v>0.19419370418849846</v>
      </c>
      <c r="E31" s="76">
        <f t="array" ref="E31">IF(E8&lt;DATEVALUE("3/31/22"),"N/A",ACH0007_C3 - ACH0008_C3)</f>
        <v>814287070</v>
      </c>
      <c r="F31" s="102">
        <f>IF(E31="N/A", " ", IF(C31="N/A", " ",IF(AND(C31=0,E31=0,),"N/A",IF(ABS(C31)=0, "N/A", ((E31*Anu_C3-C31*Anu_C2)/ABS(C31*Anu_C2))*100))))</f>
        <v>-7.3471511511605332</v>
      </c>
      <c r="G31" s="76">
        <f t="array" ref="G31">IF(G8&lt;DATEVALUE("3/31/22"),"N/A",ACH0007_C4 - ACH0008_C4)</f>
        <v>1563490364</v>
      </c>
      <c r="H31" s="102">
        <f>IF(G31="N/A", " ", IF(E31="N/A", " ",IF(AND(E31=0,G31=0,),"N/A",IF(ABS(E31)=0, "N/A", ((G31*Anu_C4-E31*Anu_C3)/ABS(E31*Anu_C3))*100))))</f>
        <v>-3.9963655569282217</v>
      </c>
      <c r="I31" s="76">
        <f t="array" ref="I31">IF(I8&lt;DATEVALUE("3/31/22"),"N/A",ACH0007_C5 - ACH0008_C5)</f>
        <v>2298880116</v>
      </c>
      <c r="J31" s="102">
        <f>IF(I31="N/A", " ", IF(G31="N/A", " ",IF(AND(G31=0,I31=0,),"N/A",IF(ABS(G31)=0, "N/A", ((I31*Anu_C5-G31*Anu_C4)/ABS(G31*Anu_C4))*100))))</f>
        <v>-1.9765788591710183</v>
      </c>
    </row>
    <row r="32" spans="1:10" ht="24" customHeight="1" x14ac:dyDescent="0.2">
      <c r="A32" s="211" t="s">
        <v>611</v>
      </c>
      <c r="B32" s="131">
        <f>IF(B8&lt;DATEVALUE("3/31/2022"),"N/A",IF((A397_C1+pA397_C1)/2=0,0,(((ACH0007_C1-ACH0008_C1)/((A397_C1+pA397_C1)/2))*100)*Anu_C1))</f>
        <v>5.0248319900065619</v>
      </c>
      <c r="C32" s="131">
        <f t="array" ref="C32">IF(C8&lt;DATEVALUE("3/31/2022"),"N/A",IF((A397_C2+pA397_C2)/2=0,0,(((ACH0007_C2-ACH0008_C2)/((A397_C2+pA397_C2)/2))*100)*Anu_C2))</f>
        <v>5.0196457667993997</v>
      </c>
      <c r="D32" s="102">
        <f>IF(C32="N/A", " ", IF(B32="N/A", " ",IF(AND(B32=0,C32=0,),"N/A",IF(ABS(B32)=0, "N/A", ((C32-B32)/ABS(B32))*100))))</f>
        <v>-0.10321187290394258</v>
      </c>
      <c r="E32" s="131">
        <f t="array" ref="E32">IF(E8&lt;DATEVALUE("3/31/2022"),"N/A",IF((A397_C3+pA397_C3)/2=0,0,(((ACH0007_C3-ACH0008_C3)/((A397_C3+pA397_C3)/2))*100)*Anu_C3))</f>
        <v>4.6377076294256323</v>
      </c>
      <c r="F32" s="102">
        <f>IF(E32="N/A", " ", IF(C32="N/A", " ",IF(AND(C32=0,E32=0,),"N/A",IF(ABS(C32)=0, "N/A", ((E32-C32)/ABS(C32))*100))))</f>
        <v>-7.6088663447121441</v>
      </c>
      <c r="G32" s="131">
        <f t="array" ref="G32">IF(G8&lt;DATEVALUE("3/31/2022"),"N/A",IF((A397_C4+pA397_C4)/2=0,0,(((ACH0007_C4-ACH0008_C4)/((A397_C4+pA397_C4)/2))*100)*Anu_C4))</f>
        <v>4.4211120631911767</v>
      </c>
      <c r="H32" s="102">
        <f>IF(G32="N/A", " ", IF(E32="N/A", " ",IF(AND(E32=0,G32=0,),"N/A",IF(ABS(E32)=0, "N/A", ((G32-E32)/ABS(E32))*100))))</f>
        <v>-4.6703152406629913</v>
      </c>
      <c r="I32" s="131">
        <f t="array" ref="I32">IF(I8&lt;DATEVALUE("3/31/2022"),"N/A",IF((A397_C5+pA397_C5)/2=0,0,(((ACH0007_C5-ACH0008_C5)/((A397_C5+pA397_C5)/2))*100)*Anu_C5))</f>
        <v>4.3136845895890019</v>
      </c>
      <c r="J32" s="102">
        <f>IF(I32="N/A", " ", IF(G32="N/A", " ",IF(AND(G32=0,I32=0,),"N/A",IF(ABS(G32)=0, "N/A", ((I32-G32)/ABS(G32))*100))))</f>
        <v>-2.4298744765278166</v>
      </c>
    </row>
    <row r="33" spans="1:10" ht="13.15" customHeight="1" x14ac:dyDescent="0.2">
      <c r="A33" s="211" t="s">
        <v>612</v>
      </c>
      <c r="B33" s="76">
        <f>A550C1_C1</f>
        <v>703404107</v>
      </c>
      <c r="C33" s="76">
        <f>A550C1_C2</f>
        <v>960019461</v>
      </c>
      <c r="D33" s="102">
        <f>IF(C33="N/A", " ", IF(B33="N/A", " ",IF(AND(B33=0,C33=0,),"N/A",IF(ABS(B33)=0, "N/A", ((C33*Anu_C2-B33*Anu_C1)/ABS(B33*Anu_C1))*100))))</f>
        <v>2.3614432421845426</v>
      </c>
      <c r="E33" s="76">
        <f>A550C1_C3</f>
        <v>268245415</v>
      </c>
      <c r="F33" s="102">
        <f>IF(E33="N/A", " ", IF(C33="N/A", " ",IF(AND(C33=0,E33=0,),"N/A",IF(ABS(C33)=0, "N/A", ((E33*Anu_C3-C33*Anu_C2)/ABS(C33*Anu_C2))*100))))</f>
        <v>11.766657196962802</v>
      </c>
      <c r="G33" s="76">
        <f>A550C1_C4</f>
        <v>519713479</v>
      </c>
      <c r="H33" s="102">
        <f>IF(G33="N/A", " ", IF(E33="N/A", " ",IF(AND(E33=0,G33=0,),"N/A",IF(ABS(E33)=0, "N/A", ((G33*Anu_C4-E33*Anu_C3)/ABS(E33*Anu_C3))*100))))</f>
        <v>-3.1272390993150809</v>
      </c>
      <c r="I33" s="76">
        <f>A550C1_C5</f>
        <v>770453649</v>
      </c>
      <c r="J33" s="102">
        <f>IF(I33="N/A", " ", IF(G33="N/A", " ",IF(AND(G33=0,I33=0,),"N/A",IF(ABS(G33)=0, "N/A", ((I33*Anu_C5-G33*Anu_C4)/ABS(G33*Anu_C4))*100))))</f>
        <v>-1.1694353226501559</v>
      </c>
    </row>
    <row r="34" spans="1:10" ht="13.15" customHeight="1" x14ac:dyDescent="0.2">
      <c r="A34" s="211" t="s">
        <v>613</v>
      </c>
      <c r="B34" s="76">
        <f>A551C1_C1</f>
        <v>183214812</v>
      </c>
      <c r="C34" s="76">
        <f>A551C1_C2</f>
        <v>252359490</v>
      </c>
      <c r="D34" s="102">
        <f>IF(C34="N/A", " ", IF(B34="N/A", " ",IF(AND(B34=0,C34=0,),"N/A",IF(ABS(B34)=0, "N/A", ((C34*Anu_C2-B34*Anu_C1)/ABS(B34*Anu_C1))*100))))</f>
        <v>3.3047576415382833</v>
      </c>
      <c r="E34" s="76">
        <f>A551C1_C3</f>
        <v>69209157</v>
      </c>
      <c r="F34" s="102">
        <f>IF(E34="N/A", " ", IF(C34="N/A", " ",IF(AND(C34=0,E34=0,),"N/A",IF(ABS(C34)=0, "N/A", ((E34*Anu_C3-C34*Anu_C2)/ABS(C34*Anu_C2))*100))))</f>
        <v>9.6993134674665882</v>
      </c>
      <c r="G34" s="76">
        <f>A551C1_C4</f>
        <v>145319632</v>
      </c>
      <c r="H34" s="102">
        <f>IF(G34="N/A", " ", IF(E34="N/A", " ",IF(AND(E34=0,G34=0,),"N/A",IF(ABS(E34)=0, "N/A", ((G34*Anu_C4-E34*Anu_C3)/ABS(E34*Anu_C3))*100))))</f>
        <v>4.985841685660179</v>
      </c>
      <c r="I34" s="76">
        <f>A551C1_C5</f>
        <v>217991406</v>
      </c>
      <c r="J34" s="102">
        <f>IF(I34="N/A", " ", IF(G34="N/A", " ",IF(AND(G34=0,I34=0,),"N/A",IF(ABS(G34)=0, "N/A", ((I34*Anu_C5-G34*Anu_C4)/ABS(G34*Anu_C4))*100))))</f>
        <v>5.4858382795794584E-3</v>
      </c>
    </row>
    <row r="35" spans="1:10" ht="13.15" customHeight="1" x14ac:dyDescent="0.2">
      <c r="A35" s="211" t="s">
        <v>614</v>
      </c>
      <c r="B35" s="76">
        <f>A550C1_C1 -A551C1_C1</f>
        <v>520189295</v>
      </c>
      <c r="C35" s="76">
        <f>A550C1_C2 -A551C1_C2</f>
        <v>707659971</v>
      </c>
      <c r="D35" s="102">
        <f>IF(C35="N/A", " ", IF(B35="N/A", " ",IF(AND(B35=0,C35=0,),"N/A",IF(ABS(B35)=0, "N/A", ((C35*Anu_C2-B35*Anu_C1)/ABS(B35*Anu_C1))*100))))</f>
        <v>2.029200399058583</v>
      </c>
      <c r="E35" s="76">
        <f>A550C1_C3 -A551C1_C3</f>
        <v>199036258</v>
      </c>
      <c r="F35" s="102">
        <f>IF(E35="N/A", " ", IF(C35="N/A", " ",IF(AND(C35=0,E35=0,),"N/A",IF(ABS(C35)=0, "N/A", ((E35*Anu_C3-C35*Anu_C2)/ABS(C35*Anu_C2))*100))))</f>
        <v>12.503895179341718</v>
      </c>
      <c r="G35" s="76">
        <f>A550C1_C4 -A551C1_C4</f>
        <v>374393847</v>
      </c>
      <c r="H35" s="102">
        <f>IF(G35="N/A", " ", IF(E35="N/A", " ",IF(AND(E35=0,G35=0,),"N/A",IF(ABS(E35)=0, "N/A", ((G35*Anu_C4-E35*Anu_C3)/ABS(E35*Anu_C3))*100))))</f>
        <v>-5.9483305298072882</v>
      </c>
      <c r="I35" s="76">
        <f>A550C1_C5 -A551C1_C5</f>
        <v>552462243</v>
      </c>
      <c r="J35" s="102">
        <f>IF(I35="N/A", " ", IF(G35="N/A", " ",IF(AND(G35=0,I35=0,),"N/A",IF(ABS(G35)=0, "N/A",((I35*Anu_C5-G35*Anu_C4)/ABS(G35*Anu_C4))*100))))</f>
        <v>-1.6254767669832995</v>
      </c>
    </row>
    <row r="36" spans="1:10" ht="13.15" customHeight="1" x14ac:dyDescent="0.2">
      <c r="A36" s="211" t="s">
        <v>615</v>
      </c>
      <c r="B36" s="131">
        <f>IF(pA385_C1+A385_C1=0,0,(((A550C1_C1-A551C1_C1)/((pA385_C1+A385_C1)/2))*100)*Anu_C1)</f>
        <v>0.40618835642613244</v>
      </c>
      <c r="C36" s="131">
        <f>IF(pA385_C2+A385_C2=0,0,(((A550C1_C2-A551C1_C2)/((pA385_C2+A385_C2)/2))*100)*Anu_C2)</f>
        <v>0.41665016980226383</v>
      </c>
      <c r="D36" s="102">
        <f>IF(C36="N/A", " ", IF(B36="N/A", " ",IF(AND(B36=0,C36=0,),"N/A",IF(ABS(B36)=0, "N/A", ((C36-B36)/ABS(B36))*100))))</f>
        <v>2.5756064177171778</v>
      </c>
      <c r="E36" s="131">
        <f>IF(pA385_C3+A385_C3=0,0,(((A550C1_C3-A551C1_C3)/((pA385_C3+A385_C3)/2))*100)*Anu_C3)</f>
        <v>0.48810979149282402</v>
      </c>
      <c r="F36" s="102">
        <f>IF(E36="N/A", " ", IF(C36="N/A", " ",IF(AND(C36=0,E36=0,),"N/A",IF(ABS(C36)=0, "N/A", ((E36-C36)/ABS(C36))*100))))</f>
        <v>17.150988255800758</v>
      </c>
      <c r="G36" s="131">
        <f>IF(pA385_C4+A385_C4=0,0,(((A550C1_C4-A551C1_C4)/((pA385_C4+A385_C4)/2))*100)*Anu_C4)</f>
        <v>0.45835585052865829</v>
      </c>
      <c r="H36" s="102">
        <f>IF(G36="N/A", " ", IF(E36="N/A", " ",IF(AND(E36=0,G36=0,),"N/A",IF(ABS(E36)=0, "N/A", ((G36-E36)/ABS(E36))*100))))</f>
        <v>-6.0957476130865853</v>
      </c>
      <c r="I36" s="131">
        <f>IF(pA385_C5+A385_C5=0,0,(((A550C1_C5-A551C1_C5)/((pA385_C5+A385_C5)/2))*100)*Anu_C5)</f>
        <v>0.45234119208208928</v>
      </c>
      <c r="J36" s="102">
        <f>IF(I36="N/A", " ", IF(G36="N/A", " ",IF(AND(G36=0,I36=0,),"N/A",IF(ABS(G36)=0, "N/A", ((I36-G36)/ABS(G36))*100))))</f>
        <v>-1.3122246480833233</v>
      </c>
    </row>
    <row r="37" spans="1:10" ht="13.15" customHeight="1" x14ac:dyDescent="0.2">
      <c r="A37" s="211" t="s">
        <v>616</v>
      </c>
      <c r="B37" s="76">
        <f>A550C2_C1</f>
        <v>3190368409</v>
      </c>
      <c r="C37" s="76">
        <f>A550C2_C2</f>
        <v>4377538704</v>
      </c>
      <c r="D37" s="102">
        <f>IF(C37="N/A", " ", IF(B37="N/A", " ",IF(AND(B37=0,C37=0,),"N/A",IF(ABS(B37)=0, "N/A", ((C37*Anu_C2-B37*Anu_C1)/ABS(B37*Anu_C1))*100))))</f>
        <v>2.9083042177277352</v>
      </c>
      <c r="E37" s="76">
        <f>A550C2_C3</f>
        <v>1179615422</v>
      </c>
      <c r="F37" s="102">
        <f>IF(E37="N/A", " ", IF(C37="N/A", " ",IF(AND(C37=0,E37=0,),"N/A",IF(ABS(C37)=0, "N/A", ((E37*Anu_C3-C37*Anu_C2)/ABS(C37*Anu_C2))*100))))</f>
        <v>7.7880061617383243</v>
      </c>
      <c r="G37" s="76">
        <f>A550C2_C4</f>
        <v>2290405335</v>
      </c>
      <c r="H37" s="102">
        <f>IF(G37="N/A", " ", IF(E37="N/A", " ",IF(AND(E37=0,G37=0,),"N/A",IF(ABS(E37)=0, "N/A", ((G37*Anu_C4-E37*Anu_C3)/ABS(E37*Anu_C3))*100))))</f>
        <v>-2.9172859101531818</v>
      </c>
      <c r="I37" s="76">
        <f>A550C2_C5</f>
        <v>3396692287</v>
      </c>
      <c r="J37" s="102">
        <f>IF(I37="N/A", " ", IF(G37="N/A", " ",IF(AND(G37=0,I37=0,),"N/A",IF(ABS(G37)=0, "N/A",((I37*Anu_C5-G37*Anu_C4)/ABS(G37*Anu_C4))*100))))</f>
        <v>-1.1327169884248236</v>
      </c>
    </row>
    <row r="38" spans="1:10" ht="13.15" customHeight="1" x14ac:dyDescent="0.2">
      <c r="A38" s="211" t="s">
        <v>617</v>
      </c>
      <c r="B38" s="76">
        <f>A551C2_C1</f>
        <v>707981424</v>
      </c>
      <c r="C38" s="76">
        <f>A551C2_C2</f>
        <v>944255045</v>
      </c>
      <c r="D38" s="102">
        <f>IF(C38="N/A", " ", IF(B38="N/A", " ",IF(AND(B38=0,C38=0,),"N/A",IF(ABS(B38)=0, "N/A", ((C38*Anu_C2-B38*Anu_C1)/ABS(B38*Anu_C1))*100))))</f>
        <v>2.9641985352429245E-2</v>
      </c>
      <c r="E38" s="76">
        <f>A551C2_C3</f>
        <v>246929317</v>
      </c>
      <c r="F38" s="102">
        <f>IF(E38="N/A", " ", IF(C38="N/A", " ",IF(AND(C38=0,E38=0,),"N/A",IF(ABS(C38)=0, "N/A", ((E38*Anu_C3-C38*Anu_C2)/ABS(C38*Anu_C2))*100))))</f>
        <v>4.6028054846135351</v>
      </c>
      <c r="G38" s="76">
        <f>A551C2_C4</f>
        <v>518457765</v>
      </c>
      <c r="H38" s="102">
        <f>IF(G38="N/A", " ", IF(E38="N/A", " ",IF(AND(E38=0,G38=0,),"N/A",IF(ABS(E38)=0, "N/A", ((G38*Anu_C4-E38*Anu_C3)/ABS(E38*Anu_C3))*100))))</f>
        <v>4.9810065687744967</v>
      </c>
      <c r="I38" s="76">
        <f>A551C2_C5</f>
        <v>773968301</v>
      </c>
      <c r="J38" s="102">
        <f>IF(I38="N/A", " ", IF(G38="N/A", " ",IF(AND(G38=0,I38=0,),"N/A",IF(ABS(G38)=0, "N/A",((I38*Anu_C5-G38*Anu_C4)/ABS(G38*Anu_C4))*100))))</f>
        <v>-0.4781291426248937</v>
      </c>
    </row>
    <row r="39" spans="1:10" ht="13.15" customHeight="1" x14ac:dyDescent="0.2">
      <c r="A39" s="211" t="s">
        <v>618</v>
      </c>
      <c r="B39" s="76">
        <f>A550C2_C1-A551C2_C1</f>
        <v>2482386985</v>
      </c>
      <c r="C39" s="76">
        <f>A550C2_C2-A551C2_C2</f>
        <v>3433283659</v>
      </c>
      <c r="D39" s="102">
        <f>IF(C39="N/A", " ", IF(B39="N/A", " ",IF(AND(B39=0,C39=0,),"N/A",IF(ABS(B39)=0, "N/A", ((C39*Anu_C2-B39*Anu_C1)/ABS(B39*Anu_C1))*100))))</f>
        <v>3.7293040855191339</v>
      </c>
      <c r="E39" s="76">
        <f>A550C2_C3-A551C2_C3</f>
        <v>932686105</v>
      </c>
      <c r="F39" s="102">
        <f>IF(E39="N/A", " ", IF(C39="N/A", " ",IF(AND(C39=0,E39=0,),"N/A",IF(ABS(C39)=0, "N/A", ((E39*Anu_C3-C39*Anu_C2)/ABS(C39*Anu_C2))*100))))</f>
        <v>8.6640310135819156</v>
      </c>
      <c r="G39" s="76">
        <f>A550C2_C4-A551C2_C4</f>
        <v>1771947570</v>
      </c>
      <c r="H39" s="102">
        <f>IF(G39="N/A", " ", IF(E39="N/A", " ",IF(AND(E39=0,G39=0,),"N/A",IF(ABS(E39)=0, "N/A", ((G39*Anu_C4-E39*Anu_C3)/ABS(E39*Anu_C3))*100))))</f>
        <v>-5.0083645236679057</v>
      </c>
      <c r="I39" s="76">
        <f>A550C2_C5-A551C2_C5</f>
        <v>2622723986</v>
      </c>
      <c r="J39" s="102">
        <f>IF(I39="N/A", " ", IF(G39="N/A", " ",IF(AND(G39=0,I39=0,),"N/A",IF(ABS(G39)=0, "N/A",((I39*Anu_C5-G39*Anu_C4)/ABS(G39*Anu_C4))*100))))</f>
        <v>-1.3242441855470219</v>
      </c>
    </row>
    <row r="40" spans="1:10" ht="13.15" customHeight="1" x14ac:dyDescent="0.2">
      <c r="A40" s="211" t="s">
        <v>619</v>
      </c>
      <c r="B40" s="131">
        <f>IF((pA370_C1+A370_C1)/2=0,0,(((A550C2_C1-A551C2_C1)/((pA370_C1+A370_C1)/2))*100)*Anu_C1)</f>
        <v>1.0306866394677878</v>
      </c>
      <c r="C40" s="131">
        <f>IF((pA370_C2+A370_C2)/2=0,0,(((A550C2_C2-A551C2_C2)/((pA370_C2+A370_C2)/2))*100)*Anu_C2)</f>
        <v>1.0734029869471897</v>
      </c>
      <c r="D40" s="102">
        <f>IF(C40="N/A", " ", IF(B40="N/A", " ",IF(AND(B40=0,C40=0,),"N/A",IF(ABS(B40)=0, "N/A", ((C40-B40)/ABS(B40))*100))))</f>
        <v>4.1444553410975802</v>
      </c>
      <c r="E40" s="131">
        <f>IF((pA370_C3+A370_C3)/2=0,0,(((A550C2_C3-A551C2_C3)/((pA370_C3+A370_C3)/2))*100)*Anu_C3)</f>
        <v>1.1749483699352781</v>
      </c>
      <c r="F40" s="102">
        <f>IF(E40="N/A", " ", IF(C40="N/A", " ",IF(AND(C40=0,E40=0,),"N/A",IF(ABS(C40)=0, "N/A", ((E40-C40)/ABS(C40))*100))))</f>
        <v>9.4601360554145995</v>
      </c>
      <c r="G40" s="131">
        <f>IF((pA370_C4+A370_C4)/2=0,0,(((A550C2_C4-A551C2_C4)/((pA370_C4+A370_C4)/2))*100)*Anu_C4)</f>
        <v>1.110833959549272</v>
      </c>
      <c r="H40" s="102">
        <f>IF(G40="N/A", " ", IF(E40="N/A", " ",IF(AND(E40=0,G40=0,),"N/A",IF(ABS(E40)=0, "N/A", ((G40-E40)/ABS(E40))*100))))</f>
        <v>-5.456785338536859</v>
      </c>
      <c r="I40" s="131">
        <f>IF((pA370_C5+A370_C5)/2=0,0,(((A550C2_C5-A551C2_C5)/((pA370_C5+A370_C5)/2))*100)*Anu_C5)</f>
        <v>1.0961483147247266</v>
      </c>
      <c r="J40" s="102">
        <f>IF(I40="N/A", " ", IF(G40="N/A", " ",IF(AND(G40=0,I40=0,),"N/A",IF(ABS(G40)=0, "N/A", ((I40-G40)/ABS(G40))*100))))</f>
        <v>-1.3220377985656981</v>
      </c>
    </row>
    <row r="41" spans="1:10" ht="13.15" customHeight="1" x14ac:dyDescent="0.2">
      <c r="A41" s="211" t="s">
        <v>620</v>
      </c>
      <c r="B41" s="131">
        <f>IF(pA385_C1+pA370_C1+A385_C1+A370_C1=0,0,(A550C1_C1+A550C2_C1-A551C1_C1-A551C2_C1)/((pA385_C1+pA370_C1+A385_C1+A370_C1)/2)*100*Anu_C1)</f>
        <v>0.81389618623185433</v>
      </c>
      <c r="C41" s="131">
        <f>IF(pA385_C2+pA370_C2+A385_C2+A370_C2=0,0,(A550C1_C2+A550C2_C2-A551C1_C2-A551C2_C2)/((pA385_C2+pA370_C2+A385_C2+A370_C2)/2)*100*Anu_C2)</f>
        <v>0.84561601046807489</v>
      </c>
      <c r="D41" s="102">
        <f>IF(C41="N/A", " ", IF(B41="N/A", " ",IF(AND(B41=0,C41=0,),"N/A",IF(ABS(B41)=0, "N/A", ((C41-B41)/ABS(B41))*100))))</f>
        <v>3.8972813453120834</v>
      </c>
      <c r="E41" s="131">
        <f>IF(pA385_C3+pA370_C3+A385_C3+A370_C3=0,0,(A550C1_C3+A550C2_C3-A551C1_C3-A551C2_C3)/((pA385_C3+pA370_C3+A385_C3+A370_C3)/2)*100*Anu_C3)</f>
        <v>0.94186206087963331</v>
      </c>
      <c r="F41" s="102">
        <f>IF(E41="N/A", " ", IF(C41="N/A", " ",IF(AND(C41=0,E41=0,),"N/A",IF(ABS(C41)=0, "N/A", ((E41-C41)/ABS(C41))*100))))</f>
        <v>11.381767755116561</v>
      </c>
      <c r="G41" s="131">
        <f>IF(pA385_C4+pA370_C4+A385_C4+A370_C4=0,0,(A550C1_C4+A550C2_C4-A551C1_C4-A551C2_C4)/((pA385_C4+pA370_C4+A385_C4+A370_C4)/2)*100*Anu_C4)</f>
        <v>0.88987073972281516</v>
      </c>
      <c r="H41" s="102">
        <f>IF(G41="N/A", " ", IF(E41="N/A", " ",IF(AND(E41=0,G41=0,),"N/A",IF(ABS(E41)=0, "N/A", ((G41-E41)/ABS(E41))*100))))</f>
        <v>-5.5200568444451292</v>
      </c>
      <c r="I41" s="131">
        <f>IF(pA385_C5+pA370_C5+A385_C5+A370_C5=0,0,(A550C1_C5+A550C2_C5-A551C1_C5-A551C2_C5)/((pA385_C5+pA370_C5+A385_C5+A370_C5)/2)*100*Anu_C5)</f>
        <v>0.87857650505255558</v>
      </c>
      <c r="J41" s="102">
        <f>IF(I41="N/A", " ", IF(G41="N/A", " ",IF(AND(G41=0,I41=0,),"N/A",IF(ABS(G41)=0, "N/A", ((I41-G41)/ABS(G41))*100))))</f>
        <v>-1.2691994652816219</v>
      </c>
    </row>
    <row r="42" spans="1:10" ht="13.15" customHeight="1" x14ac:dyDescent="0.2">
      <c r="A42" s="211" t="s">
        <v>621</v>
      </c>
      <c r="B42" s="76">
        <f>A550D_C1</f>
        <v>22586863</v>
      </c>
      <c r="C42" s="76">
        <f>A550D_C2</f>
        <v>25457893</v>
      </c>
      <c r="D42" s="102">
        <f>IF(C42="N/A", " ", IF(B42="N/A", " ",IF(AND(B42=0,C42=0,),"N/A",IF(ABS(B42)=0, "N/A", ((C42*Anu_C2-B42*Anu_C1)/ABS(B42*Anu_C1))*100))))</f>
        <v>-15.466704030568563</v>
      </c>
      <c r="E42" s="76">
        <f>A550D_C3</f>
        <v>7345646</v>
      </c>
      <c r="F42" s="102">
        <f>IF(E42="N/A", " ", IF(C42="N/A", " ",IF(AND(C42=0,E42=0,),"N/A",IF(ABS(C42)=0, "N/A", ((E42*Anu_C3-C42*Anu_C2)/ABS(C42*Anu_C2))*100))))</f>
        <v>15.41640150659758</v>
      </c>
      <c r="G42" s="76">
        <f>A550D_C4</f>
        <v>12935597</v>
      </c>
      <c r="H42" s="102">
        <f>IF(G42="N/A", " ", IF(E42="N/A", " ",IF(AND(E42=0,G42=0,),"N/A",IF(ABS(E42)=0, "N/A", ((G42*Anu_C4-E42*Anu_C3)/ABS(E42*Anu_C3))*100))))</f>
        <v>-11.950582698921238</v>
      </c>
      <c r="I42" s="76">
        <f>A550D_C5</f>
        <v>19191482</v>
      </c>
      <c r="J42" s="102">
        <f>IF(I42="N/A", " ", IF(G42="N/A", " ",IF(AND(G42=0,I42=0,),"N/A",IF(ABS(G42)=0, "N/A",((I42*Anu_C5-G42*Anu_C4)/ABS(G42*Anu_C4))*100))))</f>
        <v>-1.0921464750847443</v>
      </c>
    </row>
    <row r="43" spans="1:10" ht="13.15" customHeight="1" x14ac:dyDescent="0.2">
      <c r="A43" s="211" t="s">
        <v>622</v>
      </c>
      <c r="B43" s="76">
        <f>A551D_C1</f>
        <v>6622121</v>
      </c>
      <c r="C43" s="76">
        <f>A551D_C2</f>
        <v>7531329</v>
      </c>
      <c r="D43" s="102">
        <f>IF(C43="N/A", " ", IF(B43="N/A", " ",IF(AND(B43=0,C43=0,),"N/A",IF(ABS(B43)=0, "N/A", ((C43*Anu_C2-B43*Anu_C1)/ABS(B43*Anu_C1))*100))))</f>
        <v>-14.702604346855027</v>
      </c>
      <c r="E43" s="76">
        <f>A551D_C3</f>
        <v>1436795</v>
      </c>
      <c r="F43" s="102">
        <f>IF(E43="N/A", " ", IF(C43="N/A", " ",IF(AND(C43=0,E43=0,),"N/A",IF(ABS(C43)=0, "N/A", ((E43*Anu_C3-C43*Anu_C2)/ABS(C43*Anu_C2))*100))))</f>
        <v>-23.689696732143823</v>
      </c>
      <c r="G43" s="76">
        <f>A551D_C4</f>
        <v>2449371</v>
      </c>
      <c r="H43" s="102">
        <f>IF(G43="N/A", " ", IF(E43="N/A", " ",IF(AND(E43=0,G43=0,),"N/A",IF(ABS(E43)=0, "N/A", ((G43*Anu_C4-E43*Anu_C3)/ABS(E43*Anu_C3))*100))))</f>
        <v>-14.762683611788738</v>
      </c>
      <c r="I43" s="76">
        <f>A551D_C5</f>
        <v>4259243</v>
      </c>
      <c r="J43" s="102">
        <f>IF(I43="N/A", " ", IF(G43="N/A", " ",IF(AND(G43=0,I43=0,),"N/A",IF(ABS(G43)=0, "N/A",((I43*Anu_C5-G43*Anu_C4)/ABS(G43*Anu_C4))*100))))</f>
        <v>15.927531326750133</v>
      </c>
    </row>
    <row r="44" spans="1:10" ht="13.15" customHeight="1" x14ac:dyDescent="0.2">
      <c r="A44" s="211" t="s">
        <v>623</v>
      </c>
      <c r="B44" s="76">
        <f>A550D_C1-A551D_C1</f>
        <v>15964742</v>
      </c>
      <c r="C44" s="76">
        <f>A550D_C2-A551D_C2</f>
        <v>17926564</v>
      </c>
      <c r="D44" s="102">
        <f>IF(C44="N/A", " ", IF(B44="N/A", " ",IF(AND(B44=0,C44=0,),"N/A",IF(ABS(B44)=0, "N/A", ((C44*Anu_C2-B44*Anu_C1)/ABS(B44*Anu_C1))*100))))</f>
        <v>-15.783649995721813</v>
      </c>
      <c r="E44" s="76">
        <f>A550D_C3-A551D_C3</f>
        <v>5908851</v>
      </c>
      <c r="F44" s="102">
        <f>IF(E44="N/A", " ", IF(C44="N/A", " ",IF(AND(C44=0,E44=0,),"N/A",IF(ABS(C44)=0, "N/A", ((E44*Anu_C3-C44*Anu_C2)/ABS(C44*Anu_C2))*100))))</f>
        <v>31.845701161695011</v>
      </c>
      <c r="G44" s="76">
        <f>A550D_C4-A551D_C4</f>
        <v>10486226</v>
      </c>
      <c r="H44" s="102">
        <f>IF(G44="N/A", " ", IF(E44="N/A", " ",IF(AND(E44=0,G44=0,),"N/A",IF(ABS(E44)=0, "N/A", ((G44*Anu_C4-E44*Anu_C3)/ABS(E44*Anu_C3))*100))))</f>
        <v>-11.266792816403731</v>
      </c>
      <c r="I44" s="76">
        <f>A550D_C5-A551D_C5</f>
        <v>14932239</v>
      </c>
      <c r="J44" s="102">
        <f>IF(I44="N/A", " ", IF(G44="N/A", " ",IF(AND(G44=0,I44=0,),"N/A",IF(ABS(G44)=0, "N/A", ((I44*Anu_C5-G44*Anu_C4)/ABS(G44*Anu_C4))*100))))</f>
        <v>-5.0676001070356484</v>
      </c>
    </row>
    <row r="45" spans="1:10" ht="13.15" customHeight="1" x14ac:dyDescent="0.2">
      <c r="A45" s="211" t="s">
        <v>624</v>
      </c>
      <c r="B45" s="131">
        <f>IF((pA002_C1+A002_C1)/2=0,0,(((A550D_C1-A551D_C1)/((pA002_C1+A002_C1)/2))*100)*Anu_C1)</f>
        <v>0.32053289021905557</v>
      </c>
      <c r="C45" s="131">
        <f>IF((pA002_C2+A002_C2)/2=0,0,(((A550D_C2-A551D_C2)/((pA002_C2+A002_C2)/2))*100)*Anu_C2)</f>
        <v>0.27077689414701894</v>
      </c>
      <c r="D45" s="102">
        <f>IF(C45="N/A", " ", IF(B45="N/A", " ",IF(AND(B45=0,C45=0,),"N/A",IF(ABS(B45)=0, "N/A", ((C45-B45)/ABS(B45))*100))))</f>
        <v>-15.522898769618571</v>
      </c>
      <c r="E45" s="131">
        <f>IF((pA002_C3+A002_C3)/2=0,0,(((A550D_C3-A551D_C3)/((pA002_C3+A002_C3)/2))*100)*Anu_C3)</f>
        <v>0.37267639422046805</v>
      </c>
      <c r="F45" s="102">
        <f>IF(E45="N/A", " ", IF(C45="N/A", " ",IF(AND(C45=0,E45=0,),"N/A",IF(ABS(C45)=0, "N/A", ((E45-C45)/ABS(C45))*100))))</f>
        <v>37.63227301740249</v>
      </c>
      <c r="G45" s="131">
        <f>IF((pA002_C4+A002_C4)/2=0,0,(((A550D_C4-A551D_C4)/((pA002_C4+A002_C4)/2))*100)*Anu_C4)</f>
        <v>0.33397814446320168</v>
      </c>
      <c r="H45" s="102">
        <f>IF(G45="N/A", " ", IF(E45="N/A", " ",IF(AND(E45=0,G45=0,),"N/A",IF(ABS(E45)=0, "N/A", ((G45-E45)/ABS(E45))*100))))</f>
        <v>-10.383874685224429</v>
      </c>
      <c r="I45" s="131">
        <f>IF((pA002_C5+A002_C5)/2=0,0,(((A550D_C5-A551D_C5)/((pA002_C5+A002_C5)/2))*100)*Anu_C5)</f>
        <v>0.31754136915141284</v>
      </c>
      <c r="J45" s="102">
        <f>IF(I45="N/A", " ", IF(G45="N/A", " ",IF(AND(G45=0,I45=0,),"N/A",IF(ABS(G45)=0, "N/A", ((I45-G45)/ABS(G45))*100))))</f>
        <v>-4.921512255901483</v>
      </c>
    </row>
    <row r="46" spans="1:10" ht="13.15" customHeight="1" x14ac:dyDescent="0.2">
      <c r="A46" s="211" t="s">
        <v>625</v>
      </c>
      <c r="B46" s="76">
        <f t="array" ref="B46">IF(B8&lt;DATEVALUE("3/31/22"),"N/A",ACH0015_C1)</f>
        <v>602347458</v>
      </c>
      <c r="C46" s="76">
        <f t="array" ref="C46">IF(C8&lt;DATEVALUE("3/31/22"),"N/A",ACH0015_C2)</f>
        <v>801997156</v>
      </c>
      <c r="D46" s="102">
        <f>IF(C46="N/A", " ", IF(B46="N/A", " ",IF(AND(B46=0,C46=0,),"N/A",IF(ABS(B46)=0, "N/A", ((C46*Anu_C2-B46*Anu_C1)/ABS(B46*Anu_C1))*100))))</f>
        <v>-0.14104666479724728</v>
      </c>
      <c r="E46" s="76">
        <f t="array" ref="E46">IF(E8&lt;DATEVALUE("3/31/22"),"N/A",ACH0015_C3)</f>
        <v>255167148</v>
      </c>
      <c r="F46" s="102">
        <f>IF(E46="N/A", " ", IF(C46="N/A", " ",IF(AND(C46=0,E46=0,),"N/A",IF(ABS(C46)=0, "N/A", ((E46*Anu_C3-C46*Anu_C2)/ABS(C46*Anu_C2))*100))))</f>
        <v>27.265861775699364</v>
      </c>
      <c r="G46" s="76">
        <f t="array" ref="G46">IF(G8&lt;DATEVALUE("3/31/22"),"N/A",ACH0015_C4)</f>
        <v>489807251</v>
      </c>
      <c r="H46" s="102">
        <f>IF(G46="N/A", " ", IF(E46="N/A", " ",IF(AND(E46=0,G46=0,),"N/A",IF(ABS(E46)=0, "N/A", ((G46*Anu_C4-E46*Anu_C3)/ABS(E46*Anu_C3))*100))))</f>
        <v>-4.0222742545211974</v>
      </c>
      <c r="I46" s="76">
        <f t="array" ref="I46">IF(I8&lt;DATEVALUE("3/31/22"),"N/A",ACH0015_C5)</f>
        <v>708632771</v>
      </c>
      <c r="J46" s="102">
        <f>IF(I46="N/A", " ", IF(G46="N/A", " ",IF(AND(G46=0,I46=0,),"N/A",IF(ABS(G46)=0, "N/A", ((I46*Anu_C5-G46*Anu_C4)/ABS(G46*Anu_C4))*100))))</f>
        <v>-3.5494377903088017</v>
      </c>
    </row>
    <row r="47" spans="1:10" ht="13.15" customHeight="1" x14ac:dyDescent="0.2">
      <c r="A47" s="211" t="s">
        <v>626</v>
      </c>
      <c r="B47" s="76">
        <f t="array" ref="B47">IF(B8&lt;DATEVALUE("3/31/22"),"N/A",ACH0016_C1)</f>
        <v>99290892</v>
      </c>
      <c r="C47" s="76">
        <f t="array" ref="C47">IF(C8&lt;DATEVALUE("3/31/22"),"N/A",ACH0016_C2)</f>
        <v>134161063</v>
      </c>
      <c r="D47" s="102">
        <f>IF(C47="N/A", " ", IF(B47="N/A", " ",IF(AND(B47=0,C47=0,),"N/A",IF(ABS(B47)=0, "N/A", ((C47*Anu_C2-B47*Anu_C1)/ABS(B47*Anu_C1))*100))))</f>
        <v>1.3394030642810622</v>
      </c>
      <c r="E47" s="76">
        <f t="array" ref="E47">IF(E8&lt;DATEVALUE("3/31/22"),"N/A",ACH0016_C3)</f>
        <v>42250955</v>
      </c>
      <c r="F47" s="102">
        <f>IF(E47="N/A", " ", IF(C47="N/A", " ",IF(AND(C47=0,E47=0,),"N/A",IF(ABS(C47)=0, "N/A", ((E47*Anu_C3-C47*Anu_C2)/ABS(C47*Anu_C2))*100))))</f>
        <v>25.970841480288509</v>
      </c>
      <c r="G47" s="76">
        <f t="array" ref="G47">IF(G8&lt;DATEVALUE("3/31/22"),"N/A",ACH0016_C4)</f>
        <v>87387589</v>
      </c>
      <c r="H47" s="102">
        <f>IF(G47="N/A", " ", IF(E47="N/A", " ",IF(AND(E47=0,G47=0,),"N/A",IF(ABS(E47)=0, "N/A", ((G47*Anu_C4-E47*Anu_C3)/ABS(E47*Anu_C3))*100))))</f>
        <v>3.4149275442413076</v>
      </c>
      <c r="I47" s="76">
        <f t="array" ref="I47">IF(I8&lt;DATEVALUE("3/31/22"),"N/A",ACH0016_C5)</f>
        <v>132761715</v>
      </c>
      <c r="J47" s="102">
        <f>IF(I47="N/A", " ", IF(G47="N/A", " ",IF(AND(G47=0,I47=0,),"N/A",IF(ABS(G47)=0, "N/A", ((I47*Anu_C5-G47*Anu_C4)/ABS(G47*Anu_C4))*100))))</f>
        <v>1.2818994239559578</v>
      </c>
    </row>
    <row r="48" spans="1:10" ht="13.15" customHeight="1" x14ac:dyDescent="0.2">
      <c r="A48" s="211" t="s">
        <v>627</v>
      </c>
      <c r="B48" s="76">
        <f t="array" ref="B48">IF(B8&lt;DATEVALUE("3/31/22"),"N/A",ACH0015_C1-ACH0016_C1)</f>
        <v>503056566</v>
      </c>
      <c r="C48" s="76">
        <f t="array" ref="C48">IF(C8&lt;DATEVALUE("3/31/22"),"N/A",ACH0015_C2-ACH0016_C2)</f>
        <v>667836093</v>
      </c>
      <c r="D48" s="102">
        <f>IF(C48="N/A", " ", IF(B48="N/A", " ",IF(AND(B48=0,C48=0,),"N/A",IF(ABS(B48)=0, "N/A", ((C48*Anu_C2-B48*Anu_C1)/ABS(B48*Anu_C1))*100))))</f>
        <v>-0.43325073109173973</v>
      </c>
      <c r="E48" s="76">
        <f t="array" ref="E48">IF(E8&lt;DATEVALUE("3/31/22"),"N/A",ACH0015_C3-ACH0016_C3)</f>
        <v>212916193</v>
      </c>
      <c r="F48" s="102">
        <f>IF(E48="N/A", " ", IF(C48="N/A", " ",IF(AND(C48=0,E48=0,),"N/A",IF(ABS(C48)=0, "N/A", ((E48*Anu_C3-C48*Anu_C2)/ABS(C48*Anu_C2))*100))))</f>
        <v>27.526017375643697</v>
      </c>
      <c r="G48" s="76">
        <f t="array" ref="G48">IF(G8&lt;DATEVALUE("3/31/22"),"N/A",ACH0015_C4-ACH0016_C4)</f>
        <v>402419662</v>
      </c>
      <c r="H48" s="102">
        <f>IF(G48="N/A", " ", IF(E48="N/A", " ",IF(AND(E48=0,G48=0,),"N/A",IF(ABS(E48)=0, "N/A", ((G48*Anu_C4-E48*Anu_C3)/ABS(E48*Anu_C3))*100))))</f>
        <v>-5.4981078869844344</v>
      </c>
      <c r="I48" s="76">
        <f t="array" ref="I48">IF(I8&lt;DATEVALUE("3/31/22"),"N/A",ACH0015_C5-ACH0016_C5)</f>
        <v>575871056</v>
      </c>
      <c r="J48" s="102">
        <f>IF(I48="N/A", " ", IF(G48="N/A", " ",IF(AND(G48=0,I48=0,),"N/A",IF(ABS(G48)=0, "N/A", ((I48*Anu_C5-G48*Anu_C4)/ABS(G48*Anu_C4))*100))))</f>
        <v>-4.598588591495484</v>
      </c>
    </row>
    <row r="49" spans="1:10" ht="24" customHeight="1" x14ac:dyDescent="0.2">
      <c r="A49" s="144" t="s">
        <v>628</v>
      </c>
      <c r="B49" s="131">
        <f>IF(B8&lt;DATEVALUE("3/31/22"),"N/A",IF((A698C_C1+pA698C_C1)=0,0,((ACH0015_C1-ACH0016_C1)/((A698C_C1+pA698C_C1)/2))*100*Anu_C1))</f>
        <v>0.93997679676672474</v>
      </c>
      <c r="C49" s="131">
        <f>IF(C8&lt;DATEVALUE("3/31/22"),"N/A",IF((A698C_C2+pA698C_C2)=0,0,((ACH0015_C2-ACH0016_C2)/((A698C_C2+pA698C_C2)/2))*100*Anu_C2))</f>
        <v>0.94293448234793653</v>
      </c>
      <c r="D49" s="102">
        <f>IF(C49="N/A", " ", IF(B49="N/A", " ",IF(AND(B49=0,C49=0,),"N/A",IF(ABS(B49)=0, "N/A", ((C49-B49)/ABS(B49))*100))))</f>
        <v>0.3146551692962482</v>
      </c>
      <c r="E49" s="131">
        <f>IF(E8&lt;DATEVALUE("3/31/22"),"N/A",IF((A698C_C3+pA698C_C3)=0,0,((ACH0015_C3-ACH0016_C3)/((A698C_C3+pA698C_C3)/2))*100*Anu_C3))</f>
        <v>1.2186094891119013</v>
      </c>
      <c r="F49" s="102">
        <f>IF(E49="N/A", " ", IF(C49="N/A", " ",IF(AND(C49=0,E49=0,),"N/A",IF(ABS(C49)=0, "N/A", ((E49-C49)/ABS(C49))*100))))</f>
        <v>29.235860171061439</v>
      </c>
      <c r="G49" s="131">
        <f>IF(G8&lt;DATEVALUE("3/31/22"),"N/A",IF((A698C_C4+pA698C_C4)=0,0,((ACH0015_C4-ACH0016_C4)/((A698C_C4+pA698C_C4)/2))*100*Anu_C4))</f>
        <v>1.1489584957675518</v>
      </c>
      <c r="H49" s="102">
        <f>IF(G49="N/A", " ", IF(E49="N/A", " ",IF(AND(E49=0,G49=0,),"N/A",IF(ABS(E49)=0, "N/A", ((G49-E49)/ABS(E49))*100))))</f>
        <v>-5.715612258616968</v>
      </c>
      <c r="I49" s="131">
        <f>IF(I8&lt;DATEVALUE("3/31/22"),"N/A",IF((A698C_C5+pA698C_C5)=0,0,((ACH0015_C5-ACH0016_C5)/((A698C_C5+pA698C_C5)/2))*100*Anu_C5))</f>
        <v>1.0978168364634047</v>
      </c>
      <c r="J49" s="102">
        <f>IF(I49="N/A", " ", IF(G49="N/A", " ",IF(AND(G49=0,I49=0,),"N/A",IF(ABS(G49)=0, "N/A", ((I49-G49)/ABS(G49))*100))))</f>
        <v>-4.451132002812896</v>
      </c>
    </row>
    <row r="50" spans="1:10" x14ac:dyDescent="0.2">
      <c r="A50" s="153" t="s">
        <v>629</v>
      </c>
      <c r="B50" s="131"/>
      <c r="C50" s="131"/>
      <c r="D50" s="102"/>
      <c r="E50" s="131"/>
      <c r="F50" s="102"/>
      <c r="G50" s="131"/>
      <c r="H50" s="102"/>
      <c r="I50" s="131"/>
      <c r="J50" s="102"/>
    </row>
    <row r="51" spans="1:10" x14ac:dyDescent="0.2">
      <c r="A51" s="144" t="s">
        <v>630</v>
      </c>
      <c r="B51" s="76">
        <f t="array" ref="B51">IF(B8&lt;DATEVALUE("3/31/2022"),"N/A",AAS0022_C1)</f>
        <v>172567161</v>
      </c>
      <c r="C51" s="76">
        <f t="array" ref="C51">IF(C8&lt;DATEVALUE("3/31/2022"),"N/A",AAS0022_C2)</f>
        <v>192005152</v>
      </c>
      <c r="D51" s="102">
        <f>IF(C51="N/A", " ", IF(B51="N/A", " ",IF(AND(B51=0,C51=0,),"N/A",IF(ABS(B51)=0, "N/A", ((C51-B51)/ABS(B51))*100))))</f>
        <v>11.264015057882306</v>
      </c>
      <c r="E51" s="76">
        <f t="array" ref="E51">IF(E8&lt;DATEVALUE("3/31/2022"),"N/A",AAS0022_C3)</f>
        <v>192957100</v>
      </c>
      <c r="F51" s="102">
        <f>IF(E51="N/A", " ", IF(C51="N/A", " ",IF(AND(C51=0,E51=0,),"N/A",IF(ABS(C51)=0, "N/A", ((E51-C51)/ABS(C51))*100))))</f>
        <v>0.49579294622260967</v>
      </c>
      <c r="G51" s="76">
        <f t="array" ref="G51">IF(G8&lt;DATEVALUE("3/31/2022"),"N/A",AAS0022_C4)</f>
        <v>216750724</v>
      </c>
      <c r="H51" s="102">
        <f>IF(G51="N/A", " ", IF(E51="N/A", " ",IF(AND(E51=0,G51=0,),"N/A",IF(ABS(E51)=0, "N/A", ((G51-E51)/ABS(E51))*100))))</f>
        <v>12.331043532474318</v>
      </c>
      <c r="I51" s="76">
        <f t="array" ref="I51">IF(I8&lt;DATEVALUE("3/31/2022"),"N/A",AAS0022_C5)</f>
        <v>236486337</v>
      </c>
      <c r="J51" s="102">
        <f>IF(I51="N/A", " ", IF(G51="N/A", " ",IF(AND(G51=0,I51=0,),"N/A",IF(ABS(G51)=0, "N/A", ((I51-G51)/ABS(G51))*100))))</f>
        <v>9.1052120314947604</v>
      </c>
    </row>
    <row r="52" spans="1:10" x14ac:dyDescent="0.2">
      <c r="A52" s="144" t="s">
        <v>631</v>
      </c>
      <c r="B52" s="76">
        <f t="array" ref="B52">IF(B8&lt;DATEVALUE("3/31/2022"),"N/A",AAS0023_C1)</f>
        <v>117210101</v>
      </c>
      <c r="C52" s="76">
        <f t="array" ref="C52">IF(C8&lt;DATEVALUE("3/31/2022"),"N/A",AAS0023_C2)</f>
        <v>142193478</v>
      </c>
      <c r="D52" s="102">
        <f>IF(C52="N/A", " ", IF(B52="N/A", " ",IF(AND(B52=0,C52=0,),"N/A",IF(ABS(B52)=0, "N/A", ((C52-B52)/ABS(B52))*100))))</f>
        <v>21.31503751541004</v>
      </c>
      <c r="E52" s="76">
        <f t="array" ref="E52">IF(E8&lt;DATEVALUE("3/31/2022"),"N/A",AAS0023_C3)</f>
        <v>163754542</v>
      </c>
      <c r="F52" s="102">
        <f>IF(E52="N/A", " ", IF(C52="N/A", " ",IF(AND(C52=0,E52=0,),"N/A",IF(ABS(C52)=0, "N/A", ((E52-C52)/ABS(C52))*100))))</f>
        <v>15.163187723701363</v>
      </c>
      <c r="G52" s="76">
        <f t="array" ref="G52">IF(G8&lt;DATEVALUE("3/31/2022"),"N/A",AAS0023_C4)</f>
        <v>181827695</v>
      </c>
      <c r="H52" s="102">
        <f>IF(G52="N/A", " ", IF(E52="N/A", " ",IF(AND(E52=0,G52=0,),"N/A",IF(ABS(E52)=0, "N/A", ((G52-E52)/ABS(E52))*100))))</f>
        <v>11.036733869647414</v>
      </c>
      <c r="I52" s="76">
        <f t="array" ref="I52">IF(I8&lt;DATEVALUE("3/31/2022"),"N/A",AAS0023_C5)</f>
        <v>198928415</v>
      </c>
      <c r="J52" s="102">
        <f>IF(I52="N/A", " ", IF(G52="N/A", " ",IF(AND(G52=0,I52=0,),"N/A",IF(ABS(G52)=0, "N/A", ((I52-G52)/ABS(G52))*100))))</f>
        <v>9.4049039119150688</v>
      </c>
    </row>
    <row r="53" spans="1:10" x14ac:dyDescent="0.2">
      <c r="A53" s="144" t="s">
        <v>632</v>
      </c>
      <c r="B53" s="76">
        <f t="array" ref="B53">IF(B8&lt;DATEVALUE("3/31/2022"),"N/A",AAS0024_C1)</f>
        <v>566278272</v>
      </c>
      <c r="C53" s="76">
        <f t="array" ref="C53">IF(C8&lt;DATEVALUE("3/31/2022"),"N/A",AAS0024_C2)</f>
        <v>563942297</v>
      </c>
      <c r="D53" s="102">
        <f>IF(C53="N/A", " ", IF(B53="N/A", " ",IF(AND(B53=0,C53=0,),"N/A",IF(ABS(B53)=0, "N/A", ((C53-B53)/ABS(B53))*100))))</f>
        <v>-0.41251362015881832</v>
      </c>
      <c r="E53" s="76">
        <f t="array" ref="E53">IF(E8&lt;DATEVALUE("3/31/2022"),"N/A",AAS0024_C3)</f>
        <v>605703741</v>
      </c>
      <c r="F53" s="102">
        <f>IF(E53="N/A", " ", IF(C53="N/A", " ",IF(AND(C53=0,E53=0,),"N/A",IF(ABS(C53)=0, "N/A", ((E53-C53)/ABS(C53))*100))))</f>
        <v>7.4052689826881348</v>
      </c>
      <c r="G53" s="76">
        <f t="array" ref="G53">IF(G8&lt;DATEVALUE("3/31/2022"),"N/A",AAS0024_C4)</f>
        <v>553538008</v>
      </c>
      <c r="H53" s="102">
        <f>IF(G53="N/A", " ", IF(E53="N/A", " ",IF(AND(E53=0,G53=0,),"N/A",IF(ABS(E53)=0, "N/A", ((G53-E53)/ABS(E53))*100))))</f>
        <v>-8.6124171717803542</v>
      </c>
      <c r="I53" s="76">
        <f t="array" ref="I53">IF(I8&lt;DATEVALUE("3/31/2022"),"N/A",AAS0024_C5)</f>
        <v>588974189</v>
      </c>
      <c r="J53" s="102">
        <f>IF(I53="N/A", " ", IF(G53="N/A", " ",IF(AND(G53=0,I53=0,),"N/A",IF(ABS(G53)=0, "N/A", ((I53-G53)/ABS(G53))*100))))</f>
        <v>6.4017611235107807</v>
      </c>
    </row>
    <row r="54" spans="1:10" x14ac:dyDescent="0.2">
      <c r="A54" s="144" t="s">
        <v>633</v>
      </c>
      <c r="B54" s="76">
        <f t="array" ref="B54">IF(B8&lt;DATEVALUE("3/31/2022"),"N/A",AAS0025_C1)</f>
        <v>39704212</v>
      </c>
      <c r="C54" s="76">
        <f t="array" ref="C54">IF(C8&lt;DATEVALUE("3/31/2022"),"N/A",AAS0025_C2)</f>
        <v>40033566</v>
      </c>
      <c r="D54" s="102">
        <f>IF(C54="N/A", " ", IF(B54="N/A", " ",IF(AND(B54=0,C54=0,),"N/A",IF(ABS(B54)=0, "N/A", ((C54-B54)/ABS(B54))*100))))</f>
        <v>0.82951904447820302</v>
      </c>
      <c r="E54" s="76">
        <f t="array" ref="E54">IF(E8&lt;DATEVALUE("3/31/2022"),"N/A",AAS0025_C3)</f>
        <v>38250059</v>
      </c>
      <c r="F54" s="102">
        <f>IF(E54="N/A", " ", IF(C54="N/A", " ",IF(AND(C54=0,E54=0,),"N/A",IF(ABS(C54)=0, "N/A", ((E54-C54)/ABS(C54))*100))))</f>
        <v>-4.4550290623623185</v>
      </c>
      <c r="G54" s="76">
        <f t="array" ref="G54">IF(G8&lt;DATEVALUE("3/31/2022"),"N/A",AAS0025_C4)</f>
        <v>42350862</v>
      </c>
      <c r="H54" s="102">
        <f>IF(G54="N/A", " ", IF(E54="N/A", " ",IF(AND(E54=0,G54=0,),"N/A",IF(ABS(E54)=0, "N/A", ((G54-E54)/ABS(E54))*100))))</f>
        <v>10.721037057746759</v>
      </c>
      <c r="I54" s="76">
        <f t="array" ref="I54">IF(I8&lt;DATEVALUE("3/31/2022"),"N/A",AAS0025_C5)</f>
        <v>47309186</v>
      </c>
      <c r="J54" s="102">
        <f>IF(I54="N/A", " ", IF(G54="N/A", " ",IF(AND(G54=0,I54=0,),"N/A",IF(ABS(G54)=0, "N/A", ((I54-G54)/ABS(G54))*100))))</f>
        <v>11.707728640800747</v>
      </c>
    </row>
    <row r="55" spans="1:10" x14ac:dyDescent="0.2">
      <c r="A55" s="153" t="s">
        <v>634</v>
      </c>
      <c r="B55" s="76">
        <f>A798A_C1</f>
        <v>895759746</v>
      </c>
      <c r="C55" s="76">
        <f>A798A_C2</f>
        <v>938174493</v>
      </c>
      <c r="D55" s="102">
        <f>IF(C55="N/A", " ", IF(B55="N/A", " ",IF(AND(B55=0,C55=0,),"N/A",IF(ABS(B55)=0, "N/A", ((C55-B55)/ABS(B55))*100))))</f>
        <v>4.735058389194462</v>
      </c>
      <c r="E55" s="76">
        <f>A798A_C3</f>
        <v>1000665442</v>
      </c>
      <c r="F55" s="102">
        <f>IF(E55="N/A", " ", IF(C55="N/A", " ",IF(AND(C55=0,E55=0,),"N/A",IF(ABS(C55)=0, "N/A", ((E55-C55)/ABS(C55))*100))))</f>
        <v>6.6609089744246548</v>
      </c>
      <c r="G55" s="76">
        <f>A798A_C4</f>
        <v>994467289</v>
      </c>
      <c r="H55" s="102">
        <f>IF(G55="N/A", " ", IF(E55="N/A", " ",IF(AND(E55=0,G55=0,),"N/A",IF(ABS(E55)=0, "N/A", ((G55-E55)/ABS(E55))*100))))</f>
        <v>-0.6194031231469268</v>
      </c>
      <c r="I55" s="76">
        <f>A798A_C5</f>
        <v>1071698127</v>
      </c>
      <c r="J55" s="102">
        <f>IF(I55="N/A", " ", IF(G55="N/A", " ",IF(AND(G55=0,I55=0,),"N/A",IF(ABS(G55)=0, "N/A", ((I55-G55)/ABS(G55))*100))))</f>
        <v>7.7660511164384811</v>
      </c>
    </row>
    <row r="56" spans="1:10" ht="13.15" customHeight="1" x14ac:dyDescent="0.2">
      <c r="A56" s="234" t="s">
        <v>635</v>
      </c>
      <c r="B56" s="187"/>
      <c r="C56" s="175"/>
      <c r="D56" s="212"/>
      <c r="E56" s="175"/>
      <c r="F56" s="212"/>
      <c r="G56" s="175"/>
      <c r="H56" s="212"/>
      <c r="I56" s="175"/>
      <c r="J56" s="212"/>
    </row>
    <row r="57" spans="1:10" ht="16.5" customHeight="1" x14ac:dyDescent="0.2">
      <c r="A57" s="189" t="s">
        <v>636</v>
      </c>
      <c r="B57" s="76"/>
      <c r="C57" s="107"/>
      <c r="D57" s="188"/>
      <c r="E57" s="107"/>
      <c r="F57" s="188"/>
      <c r="G57" s="107"/>
      <c r="H57" s="188"/>
      <c r="I57" s="189" t="s">
        <v>637</v>
      </c>
      <c r="J57" s="188"/>
    </row>
    <row r="58" spans="1:10" x14ac:dyDescent="0.2">
      <c r="A58" s="81"/>
      <c r="B58" s="107"/>
      <c r="C58" s="107"/>
      <c r="D58" s="188"/>
      <c r="E58" s="107"/>
      <c r="F58" s="188"/>
      <c r="G58" s="107"/>
      <c r="H58" s="188"/>
      <c r="J58" s="188"/>
    </row>
    <row r="59" spans="1:10" x14ac:dyDescent="0.2">
      <c r="A59" s="11"/>
      <c r="B59" s="11"/>
      <c r="C59" s="11"/>
      <c r="D59" s="11"/>
      <c r="E59" s="11"/>
      <c r="F59" s="11"/>
      <c r="H59" s="54"/>
      <c r="J59" s="54"/>
    </row>
    <row r="60" spans="1:10" x14ac:dyDescent="0.2">
      <c r="A60" s="6"/>
      <c r="B60" s="6"/>
      <c r="C60" s="6"/>
      <c r="D60" s="6"/>
      <c r="E60" s="6"/>
      <c r="F60" s="6"/>
      <c r="G60" s="7"/>
      <c r="H60" s="7"/>
      <c r="I60" s="7"/>
      <c r="J60" s="7"/>
    </row>
  </sheetData>
  <mergeCells count="4">
    <mergeCell ref="D5:J5"/>
    <mergeCell ref="A59:F59"/>
    <mergeCell ref="A60:F60"/>
    <mergeCell ref="G60:J60"/>
  </mergeCells>
  <hyperlinks>
    <hyperlink ref="A2" location="'Cover Page'!A1" display="Return to cover" xr:uid="{00000000-0004-0000-0E00-000000000000}"/>
  </hyperlinks>
  <printOptions gridLines="1"/>
  <pageMargins left="0.7" right="0.7" top="0.75" bottom="0.75" header="0.3" footer="0.3"/>
  <pageSetup orientation="landscape" horizontalDpi="1200" verticalDpi="12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0">
    <pageSetUpPr fitToPage="1"/>
  </sheetPr>
  <dimension ref="A1:IV35"/>
  <sheetViews>
    <sheetView workbookViewId="0"/>
  </sheetViews>
  <sheetFormatPr defaultRowHeight="12.75" x14ac:dyDescent="0.2"/>
  <cols>
    <col min="1" max="1" width="72.7109375" style="34" customWidth="1"/>
    <col min="2" max="3" width="16.7109375" customWidth="1"/>
    <col min="4" max="4" width="6.7109375" customWidth="1"/>
    <col min="5" max="5" width="16.7109375" customWidth="1"/>
    <col min="6" max="6" width="6.7109375" customWidth="1"/>
    <col min="7" max="7" width="16.7109375" customWidth="1"/>
    <col min="8" max="8" width="6.7109375" customWidth="1"/>
    <col min="9" max="9" width="16.7109375" customWidth="1"/>
    <col min="10" max="10" width="6.7109375" customWidth="1"/>
  </cols>
  <sheetData>
    <row r="1" spans="1:256" x14ac:dyDescent="0.2">
      <c r="A1" s="72"/>
      <c r="B1" s="62"/>
      <c r="C1" s="85" t="s">
        <v>19</v>
      </c>
      <c r="D1" s="118"/>
      <c r="E1" s="62"/>
      <c r="F1" s="119"/>
      <c r="G1" s="62"/>
      <c r="H1" s="119"/>
      <c r="I1" s="62"/>
      <c r="J1" s="119"/>
    </row>
    <row r="2" spans="1:256" x14ac:dyDescent="0.2">
      <c r="A2" s="271" t="s">
        <v>49</v>
      </c>
      <c r="B2" s="62"/>
      <c r="C2" s="67" t="s">
        <v>50</v>
      </c>
      <c r="D2" s="87" t="str">
        <f>IF(CU_NUMBER="","N/A",CU_NUMBER)</f>
        <v>N/A</v>
      </c>
      <c r="E2" s="120"/>
      <c r="F2" s="119"/>
      <c r="G2" s="62"/>
      <c r="H2" s="119"/>
      <c r="I2" s="62"/>
      <c r="J2" s="119"/>
    </row>
    <row r="3" spans="1:256" x14ac:dyDescent="0.2">
      <c r="A3" s="121" t="str">
        <f>IF(Request_Date=0,"N/A",Request_Date)</f>
        <v>12/05/2025</v>
      </c>
      <c r="B3" s="62"/>
      <c r="C3" s="67" t="s">
        <v>42</v>
      </c>
      <c r="D3" s="75">
        <f>IF(CountCu_C5=0,"N/A",CountCu_C5)</f>
        <v>4331</v>
      </c>
      <c r="E3" s="120"/>
      <c r="F3" s="119"/>
      <c r="G3" s="62"/>
      <c r="H3" s="119"/>
      <c r="I3" s="62"/>
      <c r="J3" s="119"/>
    </row>
    <row r="4" spans="1:256" x14ac:dyDescent="0.2">
      <c r="A4" s="68" t="str">
        <f>"CU Name:      "&amp;IF(Cu_Name="","N/A",Cu_Name)</f>
        <v>CU Name:      N/A</v>
      </c>
      <c r="B4" s="62"/>
      <c r="C4" s="67" t="s">
        <v>43</v>
      </c>
      <c r="D4" s="89" t="str">
        <f>IF(AssetRange="","N/A",AssetRange)</f>
        <v>N/A</v>
      </c>
      <c r="E4" s="75"/>
      <c r="F4" s="119"/>
      <c r="G4" s="62"/>
      <c r="H4" s="119"/>
      <c r="I4" s="62"/>
      <c r="J4" s="119"/>
    </row>
    <row r="5" spans="1:256" x14ac:dyDescent="0.2">
      <c r="A5" s="68" t="str">
        <f>"Peer Group Number:      "&amp;IF(Peer_Group="","N/A",IF(Peer_Group="0","N/A",Peer_Group))</f>
        <v>Peer Group Number:      N/A</v>
      </c>
      <c r="B5" s="90"/>
      <c r="C5" s="67" t="s">
        <v>51</v>
      </c>
      <c r="D5" s="24" t="str">
        <f>IF(_xlnm.Criteria="","N/A",_xlnm.Criteria)</f>
        <v xml:space="preserve">Region: Nation * Peer Group: All * Types Included: All  Federally Insured Credit Unions  (FICUs) *  </v>
      </c>
      <c r="E5" s="23"/>
      <c r="F5" s="23"/>
      <c r="G5" s="23"/>
      <c r="H5" s="23"/>
      <c r="I5" s="23"/>
      <c r="J5" s="23"/>
    </row>
    <row r="6" spans="1:256" x14ac:dyDescent="0.2">
      <c r="A6" s="68"/>
      <c r="B6" s="67"/>
      <c r="C6" s="67" t="s">
        <v>45</v>
      </c>
      <c r="D6" s="75" t="str">
        <f>IF(NoCu_in_Peer_Group="","N/A",NoCu_in_Peer_Group)</f>
        <v>N/A</v>
      </c>
      <c r="E6" s="75" t="str">
        <f>IF(CU_NUMBER&gt;0,"",IF(RetPop=0,"Retroactive Population",""))</f>
        <v/>
      </c>
      <c r="F6" s="119"/>
      <c r="G6" s="62"/>
      <c r="H6" s="119"/>
      <c r="I6" s="62"/>
      <c r="J6" s="119"/>
    </row>
    <row r="7" spans="1:256" x14ac:dyDescent="0.2">
      <c r="A7" s="39"/>
      <c r="D7" s="54"/>
      <c r="E7" s="32"/>
      <c r="F7" s="54"/>
      <c r="G7" s="30"/>
      <c r="H7" s="54"/>
      <c r="I7" s="30"/>
      <c r="J7" s="54"/>
    </row>
    <row r="8" spans="1:256" x14ac:dyDescent="0.2">
      <c r="A8" s="153"/>
      <c r="B8" s="139">
        <f>(CycDat_C1)</f>
        <v>45565</v>
      </c>
      <c r="C8" s="139">
        <f>(CycDat_C2)</f>
        <v>45657</v>
      </c>
      <c r="D8" s="184" t="s">
        <v>52</v>
      </c>
      <c r="E8" s="139">
        <f>(CycDat_C3)</f>
        <v>45747</v>
      </c>
      <c r="F8" s="184" t="s">
        <v>52</v>
      </c>
      <c r="G8" s="139">
        <f>(CycDat_C4)</f>
        <v>45838</v>
      </c>
      <c r="H8" s="184" t="s">
        <v>52</v>
      </c>
      <c r="I8" s="139">
        <f>(CycDat_C5)</f>
        <v>45930</v>
      </c>
      <c r="J8" s="184" t="s">
        <v>52</v>
      </c>
    </row>
    <row r="9" spans="1:256" ht="13.5" customHeight="1" x14ac:dyDescent="0.2">
      <c r="A9" s="153" t="s">
        <v>638</v>
      </c>
      <c r="B9" s="130"/>
      <c r="C9" s="130"/>
      <c r="D9" s="102"/>
      <c r="E9" s="130"/>
      <c r="F9" s="102"/>
      <c r="G9" s="130"/>
      <c r="H9" s="102"/>
      <c r="I9" s="130"/>
      <c r="J9" s="102"/>
    </row>
    <row r="10" spans="1:256" ht="13.5" customHeight="1" x14ac:dyDescent="0.2">
      <c r="A10" s="124" t="s">
        <v>639</v>
      </c>
      <c r="B10" s="76">
        <f>IF(B8&lt;DATEVALUE("3/31/2022"),"N/A",AIN0002_C1)</f>
        <v>268256049574</v>
      </c>
      <c r="C10" s="76">
        <f>IF(C8&lt;DATEVALUE("3/31/2022"),"N/A",AIN0002_C2)</f>
        <v>265492516119</v>
      </c>
      <c r="D10" s="102">
        <f t="shared" ref="D10:D15" si="0">IF(C10="N/A", " ", IF(B10="N/A", " ",IF(AND(B10=0,C10=0,),"N/A",IF(ABS(B10)=0, "N/A", ((C10-B10)/ABS(B10))*100))))</f>
        <v>-1.0301849517983239</v>
      </c>
      <c r="E10" s="76">
        <f>IF(E8&lt;DATEVALUE("3/31/2022"),"N/A",AIN0002_C3)</f>
        <v>264985514231</v>
      </c>
      <c r="F10" s="102">
        <f t="shared" ref="F10:F15" si="1">IF(E10="N/A", " ", IF(C10="N/A", " ",IF(AND(C10=0,E10=0,),"N/A",IF(ABS(C10)=0, "N/A", ((E10-C10)/ABS(C10))*100))))</f>
        <v>-0.19096654602977575</v>
      </c>
      <c r="G10" s="76">
        <f>IF(G8&lt;DATEVALUE("3/31/2022"),"N/A",AIN0002_C4)</f>
        <v>267056113639</v>
      </c>
      <c r="H10" s="102">
        <f t="shared" ref="H10:H15" si="2">IF(G10="N/A", " ", IF(E10="N/A", " ",IF(AND(E10=0,G10=0,),"N/A",IF(ABS(E10)=0, "N/A", ((G10-E10)/ABS(E10))*100))))</f>
        <v>0.78140098110984424</v>
      </c>
      <c r="I10" s="76">
        <f>IF(I8&lt;DATEVALUE("3/31/2022"),"N/A",AIN0002_C5)</f>
        <v>266657698231</v>
      </c>
      <c r="J10" s="102">
        <f t="shared" ref="J10:J15" si="3">IF(I10="N/A", " ", IF(G10="N/A", " ",IF(AND(G10=0,I10=0,),"N/A",IF(ABS(G10)=0, "N/A", ((I10-G10)/ABS(G10))*100))))</f>
        <v>-0.14918790009000443</v>
      </c>
    </row>
    <row r="11" spans="1:256" ht="13.5" customHeight="1" x14ac:dyDescent="0.2">
      <c r="A11" s="124" t="s">
        <v>640</v>
      </c>
      <c r="B11" s="76">
        <f>IF(B8&lt;DATEVALUE("3/31/2022"),"N/A",AIN0004_C1)</f>
        <v>29705807877</v>
      </c>
      <c r="C11" s="76">
        <f>IF(C8&lt;DATEVALUE("3/31/2022"),"N/A",AIN0004_C2)</f>
        <v>29489449262</v>
      </c>
      <c r="D11" s="102">
        <f t="shared" si="0"/>
        <v>-0.72833775770669307</v>
      </c>
      <c r="E11" s="76">
        <f>IF(E8&lt;DATEVALUE("3/31/2022"),"N/A",AIN0004_C3)</f>
        <v>29575526732</v>
      </c>
      <c r="F11" s="102">
        <f t="shared" si="1"/>
        <v>0.29189242984920416</v>
      </c>
      <c r="G11" s="76">
        <f>IF(G8&lt;DATEVALUE("3/31/2022"),"N/A",AIN0004_C4)</f>
        <v>30026922334</v>
      </c>
      <c r="H11" s="102">
        <f t="shared" si="2"/>
        <v>1.5262470423277397</v>
      </c>
      <c r="I11" s="76">
        <f>IF(I8&lt;DATEVALUE("3/31/2022"),"N/A",AIN0004_C5)</f>
        <v>30234804225</v>
      </c>
      <c r="J11" s="102">
        <f t="shared" si="3"/>
        <v>0.69231834247831581</v>
      </c>
    </row>
    <row r="12" spans="1:256" ht="13.5" customHeight="1" x14ac:dyDescent="0.2">
      <c r="A12" s="124" t="s">
        <v>641</v>
      </c>
      <c r="B12" s="76">
        <f>IF(B8&lt;DATEVALUE("3/31/2022"),"N/A",AIN0006_C1)</f>
        <v>2206077599</v>
      </c>
      <c r="C12" s="76">
        <f>IF(C8&lt;DATEVALUE("3/31/2022"),"N/A",AIN0006_C2)</f>
        <v>2289026028</v>
      </c>
      <c r="D12" s="102">
        <f t="shared" si="0"/>
        <v>3.7599959782738357</v>
      </c>
      <c r="E12" s="76">
        <f>IF(E8&lt;DATEVALUE("3/31/2022"),"N/A",AIN0006_C3)</f>
        <v>2285739392</v>
      </c>
      <c r="F12" s="102">
        <f t="shared" si="1"/>
        <v>-0.14358229045004114</v>
      </c>
      <c r="G12" s="76">
        <f>IF(G8&lt;DATEVALUE("3/31/2022"),"N/A",AIN0006_C4)</f>
        <v>2771343249</v>
      </c>
      <c r="H12" s="102">
        <f t="shared" si="2"/>
        <v>21.244935389379684</v>
      </c>
      <c r="I12" s="76">
        <f>IF(I8&lt;DATEVALUE("3/31/2022"),"N/A",AIN0006_C5)</f>
        <v>2771959028</v>
      </c>
      <c r="J12" s="102">
        <f t="shared" si="3"/>
        <v>2.2219513956713774E-2</v>
      </c>
      <c r="K12" s="122"/>
      <c r="L12" s="122"/>
      <c r="M12" s="122"/>
      <c r="N12" s="122"/>
      <c r="O12" s="122"/>
      <c r="P12" s="122"/>
      <c r="Q12" s="122"/>
      <c r="R12" s="122"/>
      <c r="S12" s="122"/>
      <c r="T12" s="122"/>
      <c r="U12" s="122"/>
      <c r="V12" s="122"/>
      <c r="W12" s="122"/>
      <c r="X12" s="122"/>
      <c r="Y12" s="122"/>
      <c r="Z12" s="122"/>
      <c r="AA12" s="122"/>
      <c r="AB12" s="122"/>
      <c r="AC12" s="122"/>
      <c r="AD12" s="122"/>
      <c r="AE12" s="122"/>
      <c r="AF12" s="122"/>
      <c r="AG12" s="122"/>
      <c r="AH12" s="122"/>
      <c r="AI12" s="122"/>
      <c r="AJ12" s="122"/>
      <c r="AK12" s="122"/>
      <c r="AL12" s="122"/>
      <c r="AM12" s="122"/>
      <c r="AN12" s="122"/>
      <c r="AO12" s="122"/>
      <c r="AP12" s="122"/>
      <c r="AQ12" s="122"/>
      <c r="AR12" s="122"/>
      <c r="AS12" s="122"/>
      <c r="AT12" s="122"/>
      <c r="AU12" s="122"/>
      <c r="AV12" s="122"/>
      <c r="AW12" s="122"/>
      <c r="AX12" s="122"/>
      <c r="AY12" s="122"/>
      <c r="AZ12" s="122"/>
      <c r="BA12" s="122"/>
      <c r="BB12" s="122"/>
      <c r="BC12" s="122"/>
      <c r="BD12" s="122"/>
      <c r="BE12" s="122"/>
      <c r="BF12" s="122"/>
      <c r="BG12" s="122"/>
      <c r="BH12" s="122"/>
      <c r="BI12" s="122"/>
      <c r="BJ12" s="122"/>
      <c r="BK12" s="122"/>
      <c r="BL12" s="122"/>
      <c r="BM12" s="122"/>
      <c r="BN12" s="122"/>
      <c r="BO12" s="122"/>
      <c r="BP12" s="122"/>
      <c r="BQ12" s="122"/>
      <c r="BR12" s="122"/>
      <c r="BS12" s="122"/>
      <c r="BT12" s="122"/>
      <c r="BU12" s="122"/>
      <c r="BV12" s="122"/>
      <c r="BW12" s="122"/>
      <c r="BX12" s="122"/>
      <c r="BY12" s="122"/>
      <c r="BZ12" s="122"/>
      <c r="CA12" s="122"/>
      <c r="CB12" s="122"/>
      <c r="CC12" s="122"/>
      <c r="CD12" s="122"/>
      <c r="CE12" s="122"/>
      <c r="CF12" s="122"/>
      <c r="CG12" s="122"/>
      <c r="CH12" s="122"/>
      <c r="CI12" s="122"/>
      <c r="CJ12" s="122"/>
      <c r="CK12" s="122"/>
      <c r="CL12" s="122"/>
      <c r="CM12" s="122"/>
      <c r="CN12" s="122"/>
      <c r="CO12" s="122"/>
      <c r="CP12" s="122"/>
      <c r="CQ12" s="122"/>
      <c r="CR12" s="122"/>
      <c r="CS12" s="122"/>
      <c r="CT12" s="122"/>
      <c r="CU12" s="122"/>
      <c r="CV12" s="122"/>
      <c r="CW12" s="122"/>
      <c r="CX12" s="122"/>
      <c r="CY12" s="122"/>
      <c r="CZ12" s="122"/>
      <c r="DA12" s="122"/>
      <c r="DB12" s="122"/>
      <c r="DC12" s="122"/>
      <c r="DD12" s="122"/>
      <c r="DE12" s="122"/>
      <c r="DF12" s="122"/>
      <c r="DG12" s="122"/>
      <c r="DH12" s="122"/>
      <c r="DI12" s="122"/>
      <c r="DJ12" s="122"/>
      <c r="DK12" s="122"/>
      <c r="DL12" s="122"/>
      <c r="DM12" s="122"/>
      <c r="DN12" s="122"/>
      <c r="DO12" s="122"/>
      <c r="DP12" s="122"/>
      <c r="DQ12" s="122"/>
      <c r="DR12" s="122"/>
      <c r="DS12" s="122"/>
      <c r="DT12" s="122"/>
      <c r="DU12" s="122"/>
      <c r="DV12" s="122"/>
      <c r="DW12" s="122"/>
      <c r="DX12" s="122"/>
      <c r="DY12" s="122"/>
      <c r="DZ12" s="122"/>
      <c r="EA12" s="122"/>
      <c r="EB12" s="122"/>
      <c r="EC12" s="122"/>
      <c r="ED12" s="122"/>
      <c r="EE12" s="122"/>
      <c r="EF12" s="122"/>
      <c r="EG12" s="122"/>
      <c r="EH12" s="122"/>
      <c r="EI12" s="122"/>
      <c r="EJ12" s="122"/>
      <c r="EK12" s="122"/>
      <c r="EL12" s="122"/>
      <c r="EM12" s="122"/>
      <c r="EN12" s="122"/>
      <c r="EO12" s="122"/>
      <c r="EP12" s="122"/>
      <c r="EQ12" s="122"/>
      <c r="ER12" s="122"/>
      <c r="ES12" s="122"/>
      <c r="ET12" s="122"/>
      <c r="EU12" s="122"/>
      <c r="EV12" s="122"/>
      <c r="EW12" s="122"/>
      <c r="EX12" s="122"/>
      <c r="EY12" s="122"/>
      <c r="EZ12" s="122"/>
      <c r="FA12" s="122"/>
      <c r="FB12" s="122"/>
      <c r="FC12" s="122"/>
      <c r="FD12" s="122"/>
      <c r="FE12" s="122"/>
      <c r="FF12" s="122"/>
      <c r="FG12" s="122"/>
      <c r="FH12" s="122"/>
      <c r="FI12" s="122"/>
      <c r="FJ12" s="122"/>
      <c r="FK12" s="122"/>
      <c r="FL12" s="122"/>
      <c r="FM12" s="122"/>
      <c r="FN12" s="122"/>
      <c r="FO12" s="122"/>
      <c r="FP12" s="122"/>
      <c r="FQ12" s="122"/>
      <c r="FR12" s="122"/>
      <c r="FS12" s="122"/>
      <c r="FT12" s="122"/>
      <c r="FU12" s="122"/>
      <c r="FV12" s="122"/>
      <c r="FW12" s="122"/>
      <c r="FX12" s="122"/>
      <c r="FY12" s="122"/>
      <c r="FZ12" s="122"/>
      <c r="GA12" s="122"/>
      <c r="GB12" s="122"/>
      <c r="GC12" s="122"/>
      <c r="GD12" s="122"/>
      <c r="GE12" s="122"/>
      <c r="GF12" s="122"/>
      <c r="GG12" s="122"/>
      <c r="GH12" s="122"/>
      <c r="GI12" s="122"/>
      <c r="GJ12" s="122"/>
      <c r="GK12" s="122"/>
      <c r="GL12" s="122"/>
      <c r="GM12" s="122"/>
      <c r="GN12" s="122"/>
      <c r="GO12" s="122"/>
      <c r="GP12" s="122"/>
      <c r="GQ12" s="122"/>
      <c r="GR12" s="122"/>
      <c r="GS12" s="122"/>
      <c r="GT12" s="122"/>
      <c r="GU12" s="122"/>
      <c r="GV12" s="122"/>
      <c r="GW12" s="122"/>
      <c r="GX12" s="122"/>
      <c r="GY12" s="122"/>
      <c r="GZ12" s="122"/>
      <c r="HA12" s="122"/>
      <c r="HB12" s="122"/>
      <c r="HC12" s="122"/>
      <c r="HD12" s="122"/>
      <c r="HE12" s="122"/>
      <c r="HF12" s="122"/>
      <c r="HG12" s="122"/>
      <c r="HH12" s="122"/>
      <c r="HI12" s="122"/>
      <c r="HJ12" s="122"/>
      <c r="HK12" s="122"/>
      <c r="HL12" s="122"/>
      <c r="HM12" s="122"/>
      <c r="HN12" s="122"/>
      <c r="HO12" s="122"/>
      <c r="HP12" s="122"/>
      <c r="HQ12" s="122"/>
      <c r="HR12" s="122"/>
      <c r="HS12" s="122"/>
      <c r="HT12" s="122"/>
      <c r="HU12" s="122"/>
      <c r="HV12" s="122"/>
      <c r="HW12" s="122"/>
      <c r="HX12" s="122"/>
      <c r="HY12" s="122"/>
      <c r="HZ12" s="122"/>
      <c r="IA12" s="122"/>
      <c r="IB12" s="122"/>
      <c r="IC12" s="122"/>
      <c r="ID12" s="122"/>
      <c r="IE12" s="122"/>
      <c r="IF12" s="122"/>
      <c r="IG12" s="122"/>
      <c r="IH12" s="122"/>
      <c r="II12" s="122"/>
      <c r="IJ12" s="122"/>
      <c r="IK12" s="122"/>
      <c r="IL12" s="122"/>
      <c r="IM12" s="122"/>
      <c r="IN12" s="122"/>
      <c r="IO12" s="122"/>
      <c r="IP12" s="122"/>
      <c r="IQ12" s="122"/>
      <c r="IR12" s="122"/>
      <c r="IS12" s="122"/>
      <c r="IT12" s="122"/>
      <c r="IU12" s="122"/>
      <c r="IV12" s="122"/>
    </row>
    <row r="13" spans="1:256" ht="13.5" customHeight="1" x14ac:dyDescent="0.2">
      <c r="A13" s="124" t="s">
        <v>642</v>
      </c>
      <c r="B13" s="76">
        <f>IF(B8&lt;DATEVALUE("3/31/2022"),"N/A",AIN0008_C1)</f>
        <v>41093693967</v>
      </c>
      <c r="C13" s="76">
        <f>IF(C8&lt;DATEVALUE("3/31/2022"),"N/A",AIN0008_C2)</f>
        <v>41071490139</v>
      </c>
      <c r="D13" s="102">
        <f t="shared" si="0"/>
        <v>-5.4032202648490603E-2</v>
      </c>
      <c r="E13" s="76">
        <f>IF(E8&lt;DATEVALUE("3/31/2022"),"N/A",AIN0008_C3)</f>
        <v>41511271452</v>
      </c>
      <c r="F13" s="102">
        <f t="shared" si="1"/>
        <v>1.0707702873979719</v>
      </c>
      <c r="G13" s="76">
        <f>IF(G8&lt;DATEVALUE("3/31/2022"),"N/A",AIN0008_C4)</f>
        <v>41347719985</v>
      </c>
      <c r="H13" s="102">
        <f t="shared" si="2"/>
        <v>-0.39399291151348281</v>
      </c>
      <c r="I13" s="76">
        <f>IF(I8&lt;DATEVALUE("3/31/2022"),"N/A",AIN0008_C5)</f>
        <v>41449255845</v>
      </c>
      <c r="J13" s="102">
        <f t="shared" si="3"/>
        <v>0.24556580154077387</v>
      </c>
      <c r="K13" s="122"/>
      <c r="L13" s="122"/>
      <c r="M13" s="122"/>
      <c r="N13" s="122"/>
      <c r="O13" s="122"/>
      <c r="P13" s="122"/>
      <c r="Q13" s="122"/>
      <c r="R13" s="122"/>
      <c r="S13" s="122"/>
      <c r="T13" s="122"/>
      <c r="U13" s="122"/>
      <c r="V13" s="122"/>
      <c r="W13" s="122"/>
      <c r="X13" s="122"/>
      <c r="Y13" s="122"/>
      <c r="Z13" s="122"/>
      <c r="AA13" s="122"/>
      <c r="AB13" s="122"/>
      <c r="AC13" s="122"/>
      <c r="AD13" s="122"/>
      <c r="AE13" s="122"/>
      <c r="AF13" s="122"/>
      <c r="AG13" s="122"/>
      <c r="AH13" s="122"/>
      <c r="AI13" s="122"/>
      <c r="AJ13" s="122"/>
      <c r="AK13" s="122"/>
      <c r="AL13" s="122"/>
      <c r="AM13" s="122"/>
      <c r="AN13" s="122"/>
      <c r="AO13" s="122"/>
      <c r="AP13" s="122"/>
      <c r="AQ13" s="122"/>
      <c r="AR13" s="122"/>
      <c r="AS13" s="122"/>
      <c r="AT13" s="122"/>
      <c r="AU13" s="122"/>
      <c r="AV13" s="122"/>
      <c r="AW13" s="122"/>
      <c r="AX13" s="122"/>
      <c r="AY13" s="122"/>
      <c r="AZ13" s="122"/>
      <c r="BA13" s="122"/>
      <c r="BB13" s="122"/>
      <c r="BC13" s="122"/>
      <c r="BD13" s="122"/>
      <c r="BE13" s="122"/>
      <c r="BF13" s="122"/>
      <c r="BG13" s="122"/>
      <c r="BH13" s="122"/>
      <c r="BI13" s="122"/>
      <c r="BJ13" s="122"/>
      <c r="BK13" s="122"/>
      <c r="BL13" s="122"/>
      <c r="BM13" s="122"/>
      <c r="BN13" s="122"/>
      <c r="BO13" s="122"/>
      <c r="BP13" s="122"/>
      <c r="BQ13" s="122"/>
      <c r="BR13" s="122"/>
      <c r="BS13" s="122"/>
      <c r="BT13" s="122"/>
      <c r="BU13" s="122"/>
      <c r="BV13" s="122"/>
      <c r="BW13" s="122"/>
      <c r="BX13" s="122"/>
      <c r="BY13" s="122"/>
      <c r="BZ13" s="122"/>
      <c r="CA13" s="122"/>
      <c r="CB13" s="122"/>
      <c r="CC13" s="122"/>
      <c r="CD13" s="122"/>
      <c r="CE13" s="122"/>
      <c r="CF13" s="122"/>
      <c r="CG13" s="122"/>
      <c r="CH13" s="122"/>
      <c r="CI13" s="122"/>
      <c r="CJ13" s="122"/>
      <c r="CK13" s="122"/>
      <c r="CL13" s="122"/>
      <c r="CM13" s="122"/>
      <c r="CN13" s="122"/>
      <c r="CO13" s="122"/>
      <c r="CP13" s="122"/>
      <c r="CQ13" s="122"/>
      <c r="CR13" s="122"/>
      <c r="CS13" s="122"/>
      <c r="CT13" s="122"/>
      <c r="CU13" s="122"/>
      <c r="CV13" s="122"/>
      <c r="CW13" s="122"/>
      <c r="CX13" s="122"/>
      <c r="CY13" s="122"/>
      <c r="CZ13" s="122"/>
      <c r="DA13" s="122"/>
      <c r="DB13" s="122"/>
      <c r="DC13" s="122"/>
      <c r="DD13" s="122"/>
      <c r="DE13" s="122"/>
      <c r="DF13" s="122"/>
      <c r="DG13" s="122"/>
      <c r="DH13" s="122"/>
      <c r="DI13" s="122"/>
      <c r="DJ13" s="122"/>
      <c r="DK13" s="122"/>
      <c r="DL13" s="122"/>
      <c r="DM13" s="122"/>
      <c r="DN13" s="122"/>
      <c r="DO13" s="122"/>
      <c r="DP13" s="122"/>
      <c r="DQ13" s="122"/>
      <c r="DR13" s="122"/>
      <c r="DS13" s="122"/>
      <c r="DT13" s="122"/>
      <c r="DU13" s="122"/>
      <c r="DV13" s="122"/>
      <c r="DW13" s="122"/>
      <c r="DX13" s="122"/>
      <c r="DY13" s="122"/>
      <c r="DZ13" s="122"/>
      <c r="EA13" s="122"/>
      <c r="EB13" s="122"/>
      <c r="EC13" s="122"/>
      <c r="ED13" s="122"/>
      <c r="EE13" s="122"/>
      <c r="EF13" s="122"/>
      <c r="EG13" s="122"/>
      <c r="EH13" s="122"/>
      <c r="EI13" s="122"/>
      <c r="EJ13" s="122"/>
      <c r="EK13" s="122"/>
      <c r="EL13" s="122"/>
      <c r="EM13" s="122"/>
      <c r="EN13" s="122"/>
      <c r="EO13" s="122"/>
      <c r="EP13" s="122"/>
      <c r="EQ13" s="122"/>
      <c r="ER13" s="122"/>
      <c r="ES13" s="122"/>
      <c r="ET13" s="122"/>
      <c r="EU13" s="122"/>
      <c r="EV13" s="122"/>
      <c r="EW13" s="122"/>
      <c r="EX13" s="122"/>
      <c r="EY13" s="122"/>
      <c r="EZ13" s="122"/>
      <c r="FA13" s="122"/>
      <c r="FB13" s="122"/>
      <c r="FC13" s="122"/>
      <c r="FD13" s="122"/>
      <c r="FE13" s="122"/>
      <c r="FF13" s="122"/>
      <c r="FG13" s="122"/>
      <c r="FH13" s="122"/>
      <c r="FI13" s="122"/>
      <c r="FJ13" s="122"/>
      <c r="FK13" s="122"/>
      <c r="FL13" s="122"/>
      <c r="FM13" s="122"/>
      <c r="FN13" s="122"/>
      <c r="FO13" s="122"/>
      <c r="FP13" s="122"/>
      <c r="FQ13" s="122"/>
      <c r="FR13" s="122"/>
      <c r="FS13" s="122"/>
      <c r="FT13" s="122"/>
      <c r="FU13" s="122"/>
      <c r="FV13" s="122"/>
      <c r="FW13" s="122"/>
      <c r="FX13" s="122"/>
      <c r="FY13" s="122"/>
      <c r="FZ13" s="122"/>
      <c r="GA13" s="122"/>
      <c r="GB13" s="122"/>
      <c r="GC13" s="122"/>
      <c r="GD13" s="122"/>
      <c r="GE13" s="122"/>
      <c r="GF13" s="122"/>
      <c r="GG13" s="122"/>
      <c r="GH13" s="122"/>
      <c r="GI13" s="122"/>
      <c r="GJ13" s="122"/>
      <c r="GK13" s="122"/>
      <c r="GL13" s="122"/>
      <c r="GM13" s="122"/>
      <c r="GN13" s="122"/>
      <c r="GO13" s="122"/>
      <c r="GP13" s="122"/>
      <c r="GQ13" s="122"/>
      <c r="GR13" s="122"/>
      <c r="GS13" s="122"/>
      <c r="GT13" s="122"/>
      <c r="GU13" s="122"/>
      <c r="GV13" s="122"/>
      <c r="GW13" s="122"/>
      <c r="GX13" s="122"/>
      <c r="GY13" s="122"/>
      <c r="GZ13" s="122"/>
      <c r="HA13" s="122"/>
      <c r="HB13" s="122"/>
      <c r="HC13" s="122"/>
      <c r="HD13" s="122"/>
      <c r="HE13" s="122"/>
      <c r="HF13" s="122"/>
      <c r="HG13" s="122"/>
      <c r="HH13" s="122"/>
      <c r="HI13" s="122"/>
      <c r="HJ13" s="122"/>
      <c r="HK13" s="122"/>
      <c r="HL13" s="122"/>
      <c r="HM13" s="122"/>
      <c r="HN13" s="122"/>
      <c r="HO13" s="122"/>
      <c r="HP13" s="122"/>
      <c r="HQ13" s="122"/>
      <c r="HR13" s="122"/>
      <c r="HS13" s="122"/>
      <c r="HT13" s="122"/>
      <c r="HU13" s="122"/>
      <c r="HV13" s="122"/>
      <c r="HW13" s="122"/>
      <c r="HX13" s="122"/>
      <c r="HY13" s="122"/>
      <c r="HZ13" s="122"/>
      <c r="IA13" s="122"/>
      <c r="IB13" s="122"/>
      <c r="IC13" s="122"/>
      <c r="ID13" s="122"/>
      <c r="IE13" s="122"/>
      <c r="IF13" s="122"/>
      <c r="IG13" s="122"/>
      <c r="IH13" s="122"/>
      <c r="II13" s="122"/>
      <c r="IJ13" s="122"/>
      <c r="IK13" s="122"/>
      <c r="IL13" s="122"/>
      <c r="IM13" s="122"/>
      <c r="IN13" s="122"/>
      <c r="IO13" s="122"/>
      <c r="IP13" s="122"/>
      <c r="IQ13" s="122"/>
      <c r="IR13" s="122"/>
      <c r="IS13" s="122"/>
      <c r="IT13" s="122"/>
      <c r="IU13" s="122"/>
      <c r="IV13" s="122"/>
    </row>
    <row r="14" spans="1:256" ht="13.5" customHeight="1" x14ac:dyDescent="0.2">
      <c r="A14" s="93" t="s">
        <v>643</v>
      </c>
      <c r="B14" s="76">
        <f>A618A_C1</f>
        <v>341261629017</v>
      </c>
      <c r="C14" s="76">
        <f>A618A_C2</f>
        <v>338342481548</v>
      </c>
      <c r="D14" s="102">
        <f t="shared" si="0"/>
        <v>-0.85539867971930195</v>
      </c>
      <c r="E14" s="76">
        <f>A618A_C3</f>
        <v>338358051807</v>
      </c>
      <c r="F14" s="102">
        <f t="shared" si="1"/>
        <v>4.6019225634221983E-3</v>
      </c>
      <c r="G14" s="76">
        <f>A618A_C4</f>
        <v>341202099207</v>
      </c>
      <c r="H14" s="102">
        <f t="shared" si="2"/>
        <v>0.84054373312867081</v>
      </c>
      <c r="I14" s="76">
        <f>A618A_C5</f>
        <v>341113717329</v>
      </c>
      <c r="J14" s="102">
        <f t="shared" si="3"/>
        <v>-2.5903087409312978E-2</v>
      </c>
    </row>
    <row r="15" spans="1:256" ht="13.5" customHeight="1" x14ac:dyDescent="0.2">
      <c r="A15" s="144" t="s">
        <v>644</v>
      </c>
      <c r="B15" s="131">
        <f>IF((A025B_C1)=0,0,(A618A_C1/(A025B_C1))*100)</f>
        <v>20.931153612735649</v>
      </c>
      <c r="C15" s="131">
        <f>IF((A025B_C2)=0,0,(A618A_C2/(A025B_C2))*100)</f>
        <v>20.565517878286364</v>
      </c>
      <c r="D15" s="102">
        <f t="shared" si="0"/>
        <v>-1.7468494150595315</v>
      </c>
      <c r="E15" s="131">
        <f>IF((A025B_C3)=0,0,(A618A_C3/(A025B_C3))*100)</f>
        <v>20.460164968744412</v>
      </c>
      <c r="F15" s="102">
        <f t="shared" si="1"/>
        <v>-0.51227939002298228</v>
      </c>
      <c r="G15" s="131">
        <f>IF((A025B_C4)=0,0,(A618A_C4/(A025B_C4))*100)</f>
        <v>20.294475401655774</v>
      </c>
      <c r="H15" s="102">
        <f t="shared" si="2"/>
        <v>-0.80981540149725262</v>
      </c>
      <c r="I15" s="131">
        <f>IF((A025B_C5)=0,0,(A618A_C5/(A025B_C5))*100)</f>
        <v>20.033375744466692</v>
      </c>
      <c r="J15" s="102">
        <f t="shared" si="3"/>
        <v>-1.2865553409071078</v>
      </c>
    </row>
    <row r="16" spans="1:256" ht="13.5" customHeight="1" x14ac:dyDescent="0.2">
      <c r="A16" s="144"/>
      <c r="B16" s="131"/>
      <c r="C16" s="131"/>
      <c r="D16" s="102"/>
      <c r="E16" s="131"/>
      <c r="F16" s="102"/>
      <c r="G16" s="131"/>
      <c r="H16" s="102"/>
      <c r="I16" s="131"/>
      <c r="J16" s="102"/>
    </row>
    <row r="17" spans="1:256" ht="13.5" customHeight="1" x14ac:dyDescent="0.2">
      <c r="A17" s="153" t="s">
        <v>645</v>
      </c>
      <c r="B17" s="130"/>
      <c r="C17" s="130"/>
      <c r="D17" s="102"/>
      <c r="E17" s="130"/>
      <c r="F17" s="102"/>
      <c r="G17" s="130"/>
      <c r="H17" s="102"/>
      <c r="I17" s="130"/>
      <c r="J17" s="102"/>
    </row>
    <row r="18" spans="1:256" ht="13.5" customHeight="1" x14ac:dyDescent="0.2">
      <c r="A18" s="124" t="s">
        <v>639</v>
      </c>
      <c r="B18" s="76">
        <f>IF(B8&lt;DATEVALUE("3/31/2022"),"N/A",AIN0001_C1)</f>
        <v>17336703</v>
      </c>
      <c r="C18" s="76">
        <f>IF(C8&lt;DATEVALUE("3/31/2022"),"N/A",AIN0001_C2)</f>
        <v>17490992</v>
      </c>
      <c r="D18" s="102">
        <f>IF(C18="N/A", " ", IF(B18="N/A", " ",IF(AND(B18=0,C18=0,),"N/A",IF(ABS(B18)=0, "N/A", ((C18-B18)/ABS(B18))*100))))</f>
        <v>0.88995583531655353</v>
      </c>
      <c r="E18" s="76">
        <f>IF(E8&lt;DATEVALUE("3/31/2022"),"N/A",AIN0001_C3)</f>
        <v>17237640</v>
      </c>
      <c r="F18" s="102">
        <f>IF(E18="N/A", " ", IF(C18="N/A", " ",IF(AND(C18=0,E18=0,),"N/A",IF(ABS(C18)=0, "N/A", ((E18-C18)/ABS(C18))*100))))</f>
        <v>-1.4484713045435045</v>
      </c>
      <c r="G18" s="76">
        <f>IF(G8&lt;DATEVALUE("3/31/2022"),"N/A",AIN0001_C4)</f>
        <v>17305523</v>
      </c>
      <c r="H18" s="102">
        <f>IF(G18="N/A", " ", IF(E18="N/A", " ",IF(AND(E18=0,G18=0,),"N/A",IF(ABS(E18)=0, "N/A", ((G18-E18)/ABS(E18))*100))))</f>
        <v>0.39380680882069707</v>
      </c>
      <c r="I18" s="76">
        <f>IF(I8&lt;DATEVALUE("3/31/2022"),"N/A",AIN0001_C5)</f>
        <v>17277567</v>
      </c>
      <c r="J18" s="102">
        <f>IF(I18="N/A", " ", IF(G18="N/A", " ",IF(AND(G18=0,I18=0,),"N/A",IF(ABS(G18)=0, "N/A", ((I18-G18)/ABS(G18))*100))))</f>
        <v>-0.16154380309684949</v>
      </c>
    </row>
    <row r="19" spans="1:256" ht="13.5" customHeight="1" x14ac:dyDescent="0.2">
      <c r="A19" s="124" t="s">
        <v>640</v>
      </c>
      <c r="B19" s="76">
        <f>IF(B8&lt;DATEVALUE("3/31/2022"),"N/A",AIN0003_C1)</f>
        <v>142893</v>
      </c>
      <c r="C19" s="76">
        <f>IF(C8&lt;DATEVALUE("3/31/2022"),"N/A",AIN0003_C2)</f>
        <v>145899</v>
      </c>
      <c r="D19" s="102">
        <f>IF(C19="N/A", " ", IF(B19="N/A", " ",IF(AND(B19=0,C19=0,),"N/A",IF(ABS(B19)=0, "N/A", ((C19-B19)/ABS(B19))*100))))</f>
        <v>2.1036719783334381</v>
      </c>
      <c r="E19" s="76">
        <f>IF(E8&lt;DATEVALUE("3/31/2022"),"N/A",AIN0003_C3)</f>
        <v>147139</v>
      </c>
      <c r="F19" s="102">
        <f>IF(E19="N/A", " ", IF(C19="N/A", " ",IF(AND(C19=0,E19=0,),"N/A",IF(ABS(C19)=0, "N/A", ((E19-C19)/ABS(C19))*100))))</f>
        <v>0.84990301509948674</v>
      </c>
      <c r="G19" s="76">
        <f>IF(G8&lt;DATEVALUE("3/31/2022"),"N/A",AIN0003_C4)</f>
        <v>151630</v>
      </c>
      <c r="H19" s="102">
        <f>IF(G19="N/A", " ", IF(E19="N/A", " ",IF(AND(E19=0,G19=0,),"N/A",IF(ABS(E19)=0, "N/A", ((G19-E19)/ABS(E19))*100))))</f>
        <v>3.0522159318739424</v>
      </c>
      <c r="I19" s="76">
        <f>IF(I8&lt;DATEVALUE("3/31/2022"),"N/A",AIN0003_C5)</f>
        <v>153292</v>
      </c>
      <c r="J19" s="102">
        <f>IF(I19="N/A", " ", IF(G19="N/A", " ",IF(AND(G19=0,I19=0,),"N/A",IF(ABS(G19)=0, "N/A", ((I19-G19)/ABS(G19))*100))))</f>
        <v>1.0960891644133746</v>
      </c>
    </row>
    <row r="20" spans="1:256" ht="13.5" customHeight="1" x14ac:dyDescent="0.2">
      <c r="A20" s="124" t="s">
        <v>641</v>
      </c>
      <c r="B20" s="76">
        <f>IF(B8&lt;DATEVALUE("3/31/2022"),"N/A",AIN0005_C1)</f>
        <v>7114</v>
      </c>
      <c r="C20" s="76">
        <f>IF(C8&lt;DATEVALUE("3/31/2022"),"N/A",AIN0005_C2)</f>
        <v>7374</v>
      </c>
      <c r="D20" s="102">
        <f>IF(C20="N/A", " ", IF(B20="N/A", " ",IF(AND(B20=0,C20=0,),"N/A",IF(ABS(B20)=0, "N/A", ((C20-B20)/ABS(B20))*100))))</f>
        <v>3.6547652516165305</v>
      </c>
      <c r="E20" s="76">
        <f>IF(E8&lt;DATEVALUE("3/31/2022"),"N/A",AIN0005_C3)</f>
        <v>7293</v>
      </c>
      <c r="F20" s="102">
        <f>IF(E20="N/A", " ", IF(C20="N/A", " ",IF(AND(C20=0,E20=0,),"N/A",IF(ABS(C20)=0, "N/A", ((E20-C20)/ABS(C20))*100))))</f>
        <v>-1.0984540276647681</v>
      </c>
      <c r="G20" s="76">
        <f>IF(G8&lt;DATEVALUE("3/31/2022"),"N/A",AIN0005_C4)</f>
        <v>7409</v>
      </c>
      <c r="H20" s="102">
        <f>IF(G20="N/A", " ", IF(E20="N/A", " ",IF(AND(E20=0,G20=0,),"N/A",IF(ABS(E20)=0, "N/A", ((G20-E20)/ABS(E20))*100))))</f>
        <v>1.5905662964486496</v>
      </c>
      <c r="I20" s="76">
        <f>IF(I8&lt;DATEVALUE("3/31/2022"),"N/A",AIN0005_C5)</f>
        <v>7319</v>
      </c>
      <c r="J20" s="102">
        <f>IF(I20="N/A", " ", IF(G20="N/A", " ",IF(AND(G20=0,I20=0,),"N/A",IF(ABS(G20)=0, "N/A", ((I20-G20)/ABS(G20))*100))))</f>
        <v>-1.2147388311513023</v>
      </c>
      <c r="K20" s="122"/>
      <c r="L20" s="122"/>
      <c r="M20" s="122"/>
      <c r="N20" s="122"/>
      <c r="O20" s="122"/>
      <c r="P20" s="122"/>
      <c r="Q20" s="122"/>
      <c r="R20" s="122"/>
      <c r="S20" s="122"/>
      <c r="T20" s="122"/>
      <c r="U20" s="122"/>
      <c r="V20" s="122"/>
      <c r="W20" s="122"/>
      <c r="X20" s="122"/>
      <c r="Y20" s="122"/>
      <c r="Z20" s="122"/>
      <c r="AA20" s="122"/>
      <c r="AB20" s="122"/>
      <c r="AC20" s="122"/>
      <c r="AD20" s="122"/>
      <c r="AE20" s="122"/>
      <c r="AF20" s="122"/>
      <c r="AG20" s="122"/>
      <c r="AH20" s="122"/>
      <c r="AI20" s="122"/>
      <c r="AJ20" s="122"/>
      <c r="AK20" s="122"/>
      <c r="AL20" s="122"/>
      <c r="AM20" s="122"/>
      <c r="AN20" s="122"/>
      <c r="AO20" s="122"/>
      <c r="AP20" s="122"/>
      <c r="AQ20" s="122"/>
      <c r="AR20" s="122"/>
      <c r="AS20" s="122"/>
      <c r="AT20" s="122"/>
      <c r="AU20" s="122"/>
      <c r="AV20" s="122"/>
      <c r="AW20" s="122"/>
      <c r="AX20" s="122"/>
      <c r="AY20" s="122"/>
      <c r="AZ20" s="122"/>
      <c r="BA20" s="122"/>
      <c r="BB20" s="122"/>
      <c r="BC20" s="122"/>
      <c r="BD20" s="122"/>
      <c r="BE20" s="122"/>
      <c r="BF20" s="122"/>
      <c r="BG20" s="122"/>
      <c r="BH20" s="122"/>
      <c r="BI20" s="122"/>
      <c r="BJ20" s="122"/>
      <c r="BK20" s="122"/>
      <c r="BL20" s="122"/>
      <c r="BM20" s="122"/>
      <c r="BN20" s="122"/>
      <c r="BO20" s="122"/>
      <c r="BP20" s="122"/>
      <c r="BQ20" s="122"/>
      <c r="BR20" s="122"/>
      <c r="BS20" s="122"/>
      <c r="BT20" s="122"/>
      <c r="BU20" s="122"/>
      <c r="BV20" s="122"/>
      <c r="BW20" s="122"/>
      <c r="BX20" s="122"/>
      <c r="BY20" s="122"/>
      <c r="BZ20" s="122"/>
      <c r="CA20" s="122"/>
      <c r="CB20" s="122"/>
      <c r="CC20" s="122"/>
      <c r="CD20" s="122"/>
      <c r="CE20" s="122"/>
      <c r="CF20" s="122"/>
      <c r="CG20" s="122"/>
      <c r="CH20" s="122"/>
      <c r="CI20" s="122"/>
      <c r="CJ20" s="122"/>
      <c r="CK20" s="122"/>
      <c r="CL20" s="122"/>
      <c r="CM20" s="122"/>
      <c r="CN20" s="122"/>
      <c r="CO20" s="122"/>
      <c r="CP20" s="122"/>
      <c r="CQ20" s="122"/>
      <c r="CR20" s="122"/>
      <c r="CS20" s="122"/>
      <c r="CT20" s="122"/>
      <c r="CU20" s="122"/>
      <c r="CV20" s="122"/>
      <c r="CW20" s="122"/>
      <c r="CX20" s="122"/>
      <c r="CY20" s="122"/>
      <c r="CZ20" s="122"/>
      <c r="DA20" s="122"/>
      <c r="DB20" s="122"/>
      <c r="DC20" s="122"/>
      <c r="DD20" s="122"/>
      <c r="DE20" s="122"/>
      <c r="DF20" s="122"/>
      <c r="DG20" s="122"/>
      <c r="DH20" s="122"/>
      <c r="DI20" s="122"/>
      <c r="DJ20" s="122"/>
      <c r="DK20" s="122"/>
      <c r="DL20" s="122"/>
      <c r="DM20" s="122"/>
      <c r="DN20" s="122"/>
      <c r="DO20" s="122"/>
      <c r="DP20" s="122"/>
      <c r="DQ20" s="122"/>
      <c r="DR20" s="122"/>
      <c r="DS20" s="122"/>
      <c r="DT20" s="122"/>
      <c r="DU20" s="122"/>
      <c r="DV20" s="122"/>
      <c r="DW20" s="122"/>
      <c r="DX20" s="122"/>
      <c r="DY20" s="122"/>
      <c r="DZ20" s="122"/>
      <c r="EA20" s="122"/>
      <c r="EB20" s="122"/>
      <c r="EC20" s="122"/>
      <c r="ED20" s="122"/>
      <c r="EE20" s="122"/>
      <c r="EF20" s="122"/>
      <c r="EG20" s="122"/>
      <c r="EH20" s="122"/>
      <c r="EI20" s="122"/>
      <c r="EJ20" s="122"/>
      <c r="EK20" s="122"/>
      <c r="EL20" s="122"/>
      <c r="EM20" s="122"/>
      <c r="EN20" s="122"/>
      <c r="EO20" s="122"/>
      <c r="EP20" s="122"/>
      <c r="EQ20" s="122"/>
      <c r="ER20" s="122"/>
      <c r="ES20" s="122"/>
      <c r="ET20" s="122"/>
      <c r="EU20" s="122"/>
      <c r="EV20" s="122"/>
      <c r="EW20" s="122"/>
      <c r="EX20" s="122"/>
      <c r="EY20" s="122"/>
      <c r="EZ20" s="122"/>
      <c r="FA20" s="122"/>
      <c r="FB20" s="122"/>
      <c r="FC20" s="122"/>
      <c r="FD20" s="122"/>
      <c r="FE20" s="122"/>
      <c r="FF20" s="122"/>
      <c r="FG20" s="122"/>
      <c r="FH20" s="122"/>
      <c r="FI20" s="122"/>
      <c r="FJ20" s="122"/>
      <c r="FK20" s="122"/>
      <c r="FL20" s="122"/>
      <c r="FM20" s="122"/>
      <c r="FN20" s="122"/>
      <c r="FO20" s="122"/>
      <c r="FP20" s="122"/>
      <c r="FQ20" s="122"/>
      <c r="FR20" s="122"/>
      <c r="FS20" s="122"/>
      <c r="FT20" s="122"/>
      <c r="FU20" s="122"/>
      <c r="FV20" s="122"/>
      <c r="FW20" s="122"/>
      <c r="FX20" s="122"/>
      <c r="FY20" s="122"/>
      <c r="FZ20" s="122"/>
      <c r="GA20" s="122"/>
      <c r="GB20" s="122"/>
      <c r="GC20" s="122"/>
      <c r="GD20" s="122"/>
      <c r="GE20" s="122"/>
      <c r="GF20" s="122"/>
      <c r="GG20" s="122"/>
      <c r="GH20" s="122"/>
      <c r="GI20" s="122"/>
      <c r="GJ20" s="122"/>
      <c r="GK20" s="122"/>
      <c r="GL20" s="122"/>
      <c r="GM20" s="122"/>
      <c r="GN20" s="122"/>
      <c r="GO20" s="122"/>
      <c r="GP20" s="122"/>
      <c r="GQ20" s="122"/>
      <c r="GR20" s="122"/>
      <c r="GS20" s="122"/>
      <c r="GT20" s="122"/>
      <c r="GU20" s="122"/>
      <c r="GV20" s="122"/>
      <c r="GW20" s="122"/>
      <c r="GX20" s="122"/>
      <c r="GY20" s="122"/>
      <c r="GZ20" s="122"/>
      <c r="HA20" s="122"/>
      <c r="HB20" s="122"/>
      <c r="HC20" s="122"/>
      <c r="HD20" s="122"/>
      <c r="HE20" s="122"/>
      <c r="HF20" s="122"/>
      <c r="HG20" s="122"/>
      <c r="HH20" s="122"/>
      <c r="HI20" s="122"/>
      <c r="HJ20" s="122"/>
      <c r="HK20" s="122"/>
      <c r="HL20" s="122"/>
      <c r="HM20" s="122"/>
      <c r="HN20" s="122"/>
      <c r="HO20" s="122"/>
      <c r="HP20" s="122"/>
      <c r="HQ20" s="122"/>
      <c r="HR20" s="122"/>
      <c r="HS20" s="122"/>
      <c r="HT20" s="122"/>
      <c r="HU20" s="122"/>
      <c r="HV20" s="122"/>
      <c r="HW20" s="122"/>
      <c r="HX20" s="122"/>
      <c r="HY20" s="122"/>
      <c r="HZ20" s="122"/>
      <c r="IA20" s="122"/>
      <c r="IB20" s="122"/>
      <c r="IC20" s="122"/>
      <c r="ID20" s="122"/>
      <c r="IE20" s="122"/>
      <c r="IF20" s="122"/>
      <c r="IG20" s="122"/>
      <c r="IH20" s="122"/>
      <c r="II20" s="122"/>
      <c r="IJ20" s="122"/>
      <c r="IK20" s="122"/>
      <c r="IL20" s="122"/>
      <c r="IM20" s="122"/>
      <c r="IN20" s="122"/>
      <c r="IO20" s="122"/>
      <c r="IP20" s="122"/>
      <c r="IQ20" s="122"/>
      <c r="IR20" s="122"/>
      <c r="IS20" s="122"/>
      <c r="IT20" s="122"/>
      <c r="IU20" s="122"/>
      <c r="IV20" s="122"/>
    </row>
    <row r="21" spans="1:256" ht="13.5" customHeight="1" x14ac:dyDescent="0.2">
      <c r="A21" s="124" t="s">
        <v>642</v>
      </c>
      <c r="B21" s="76">
        <f>IF(B8&lt;DATEVALUE("3/31/2022"),"N/A",AIN0007_C1)</f>
        <v>2529598</v>
      </c>
      <c r="C21" s="76">
        <f>IF(C8&lt;DATEVALUE("3/31/2022"),"N/A",AIN0007_C2)</f>
        <v>2506224</v>
      </c>
      <c r="D21" s="102">
        <f>IF(C21="N/A", " ", IF(B21="N/A", " ",IF(AND(B21=0,C21=0,),"N/A",IF(ABS(B21)=0, "N/A", ((C21-B21)/ABS(B21))*100))))</f>
        <v>-0.92402033840950226</v>
      </c>
      <c r="E21" s="76">
        <f>IF(E8&lt;DATEVALUE("3/31/2022"),"N/A",AIN0007_C3)</f>
        <v>2487844</v>
      </c>
      <c r="F21" s="102">
        <f>IF(E21="N/A", " ", IF(C21="N/A", " ",IF(AND(C21=0,E21=0,),"N/A",IF(ABS(C21)=0, "N/A", ((E21-C21)/ABS(C21))*100))))</f>
        <v>-0.73337419161256134</v>
      </c>
      <c r="G21" s="76">
        <f>IF(G8&lt;DATEVALUE("3/31/2022"),"N/A",AIN0007_C4)</f>
        <v>2466058</v>
      </c>
      <c r="H21" s="102">
        <f>IF(G21="N/A", " ", IF(E21="N/A", " ",IF(AND(E21=0,G21=0,),"N/A",IF(ABS(E21)=0, "N/A", ((G21-E21)/ABS(E21))*100))))</f>
        <v>-0.87569799392566405</v>
      </c>
      <c r="I21" s="76">
        <f>IF(I8&lt;DATEVALUE("3/31/2022"),"N/A",AIN0007_C5)</f>
        <v>2439055</v>
      </c>
      <c r="J21" s="102">
        <f>IF(I21="N/A", " ", IF(G21="N/A", " ",IF(AND(G21=0,I21=0,),"N/A",IF(ABS(G21)=0, "N/A", ((I21-G21)/ABS(G21))*100))))</f>
        <v>-1.0949864115118135</v>
      </c>
      <c r="K21" s="122"/>
      <c r="L21" s="122"/>
      <c r="M21" s="122"/>
      <c r="N21" s="122"/>
      <c r="O21" s="122"/>
      <c r="P21" s="122"/>
      <c r="Q21" s="122"/>
      <c r="R21" s="122"/>
      <c r="S21" s="122"/>
      <c r="T21" s="122"/>
      <c r="U21" s="122"/>
      <c r="V21" s="122"/>
      <c r="W21" s="122"/>
      <c r="X21" s="122"/>
      <c r="Y21" s="122"/>
      <c r="Z21" s="122"/>
      <c r="AA21" s="122"/>
      <c r="AB21" s="122"/>
      <c r="AC21" s="122"/>
      <c r="AD21" s="122"/>
      <c r="AE21" s="122"/>
      <c r="AF21" s="122"/>
      <c r="AG21" s="122"/>
      <c r="AH21" s="122"/>
      <c r="AI21" s="122"/>
      <c r="AJ21" s="122"/>
      <c r="AK21" s="122"/>
      <c r="AL21" s="122"/>
      <c r="AM21" s="122"/>
      <c r="AN21" s="122"/>
      <c r="AO21" s="122"/>
      <c r="AP21" s="122"/>
      <c r="AQ21" s="122"/>
      <c r="AR21" s="122"/>
      <c r="AS21" s="122"/>
      <c r="AT21" s="122"/>
      <c r="AU21" s="122"/>
      <c r="AV21" s="122"/>
      <c r="AW21" s="122"/>
      <c r="AX21" s="122"/>
      <c r="AY21" s="122"/>
      <c r="AZ21" s="122"/>
      <c r="BA21" s="122"/>
      <c r="BB21" s="122"/>
      <c r="BC21" s="122"/>
      <c r="BD21" s="122"/>
      <c r="BE21" s="122"/>
      <c r="BF21" s="122"/>
      <c r="BG21" s="122"/>
      <c r="BH21" s="122"/>
      <c r="BI21" s="122"/>
      <c r="BJ21" s="122"/>
      <c r="BK21" s="122"/>
      <c r="BL21" s="122"/>
      <c r="BM21" s="122"/>
      <c r="BN21" s="122"/>
      <c r="BO21" s="122"/>
      <c r="BP21" s="122"/>
      <c r="BQ21" s="122"/>
      <c r="BR21" s="122"/>
      <c r="BS21" s="122"/>
      <c r="BT21" s="122"/>
      <c r="BU21" s="122"/>
      <c r="BV21" s="122"/>
      <c r="BW21" s="122"/>
      <c r="BX21" s="122"/>
      <c r="BY21" s="122"/>
      <c r="BZ21" s="122"/>
      <c r="CA21" s="122"/>
      <c r="CB21" s="122"/>
      <c r="CC21" s="122"/>
      <c r="CD21" s="122"/>
      <c r="CE21" s="122"/>
      <c r="CF21" s="122"/>
      <c r="CG21" s="122"/>
      <c r="CH21" s="122"/>
      <c r="CI21" s="122"/>
      <c r="CJ21" s="122"/>
      <c r="CK21" s="122"/>
      <c r="CL21" s="122"/>
      <c r="CM21" s="122"/>
      <c r="CN21" s="122"/>
      <c r="CO21" s="122"/>
      <c r="CP21" s="122"/>
      <c r="CQ21" s="122"/>
      <c r="CR21" s="122"/>
      <c r="CS21" s="122"/>
      <c r="CT21" s="122"/>
      <c r="CU21" s="122"/>
      <c r="CV21" s="122"/>
      <c r="CW21" s="122"/>
      <c r="CX21" s="122"/>
      <c r="CY21" s="122"/>
      <c r="CZ21" s="122"/>
      <c r="DA21" s="122"/>
      <c r="DB21" s="122"/>
      <c r="DC21" s="122"/>
      <c r="DD21" s="122"/>
      <c r="DE21" s="122"/>
      <c r="DF21" s="122"/>
      <c r="DG21" s="122"/>
      <c r="DH21" s="122"/>
      <c r="DI21" s="122"/>
      <c r="DJ21" s="122"/>
      <c r="DK21" s="122"/>
      <c r="DL21" s="122"/>
      <c r="DM21" s="122"/>
      <c r="DN21" s="122"/>
      <c r="DO21" s="122"/>
      <c r="DP21" s="122"/>
      <c r="DQ21" s="122"/>
      <c r="DR21" s="122"/>
      <c r="DS21" s="122"/>
      <c r="DT21" s="122"/>
      <c r="DU21" s="122"/>
      <c r="DV21" s="122"/>
      <c r="DW21" s="122"/>
      <c r="DX21" s="122"/>
      <c r="DY21" s="122"/>
      <c r="DZ21" s="122"/>
      <c r="EA21" s="122"/>
      <c r="EB21" s="122"/>
      <c r="EC21" s="122"/>
      <c r="ED21" s="122"/>
      <c r="EE21" s="122"/>
      <c r="EF21" s="122"/>
      <c r="EG21" s="122"/>
      <c r="EH21" s="122"/>
      <c r="EI21" s="122"/>
      <c r="EJ21" s="122"/>
      <c r="EK21" s="122"/>
      <c r="EL21" s="122"/>
      <c r="EM21" s="122"/>
      <c r="EN21" s="122"/>
      <c r="EO21" s="122"/>
      <c r="EP21" s="122"/>
      <c r="EQ21" s="122"/>
      <c r="ER21" s="122"/>
      <c r="ES21" s="122"/>
      <c r="ET21" s="122"/>
      <c r="EU21" s="122"/>
      <c r="EV21" s="122"/>
      <c r="EW21" s="122"/>
      <c r="EX21" s="122"/>
      <c r="EY21" s="122"/>
      <c r="EZ21" s="122"/>
      <c r="FA21" s="122"/>
      <c r="FB21" s="122"/>
      <c r="FC21" s="122"/>
      <c r="FD21" s="122"/>
      <c r="FE21" s="122"/>
      <c r="FF21" s="122"/>
      <c r="FG21" s="122"/>
      <c r="FH21" s="122"/>
      <c r="FI21" s="122"/>
      <c r="FJ21" s="122"/>
      <c r="FK21" s="122"/>
      <c r="FL21" s="122"/>
      <c r="FM21" s="122"/>
      <c r="FN21" s="122"/>
      <c r="FO21" s="122"/>
      <c r="FP21" s="122"/>
      <c r="FQ21" s="122"/>
      <c r="FR21" s="122"/>
      <c r="FS21" s="122"/>
      <c r="FT21" s="122"/>
      <c r="FU21" s="122"/>
      <c r="FV21" s="122"/>
      <c r="FW21" s="122"/>
      <c r="FX21" s="122"/>
      <c r="FY21" s="122"/>
      <c r="FZ21" s="122"/>
      <c r="GA21" s="122"/>
      <c r="GB21" s="122"/>
      <c r="GC21" s="122"/>
      <c r="GD21" s="122"/>
      <c r="GE21" s="122"/>
      <c r="GF21" s="122"/>
      <c r="GG21" s="122"/>
      <c r="GH21" s="122"/>
      <c r="GI21" s="122"/>
      <c r="GJ21" s="122"/>
      <c r="GK21" s="122"/>
      <c r="GL21" s="122"/>
      <c r="GM21" s="122"/>
      <c r="GN21" s="122"/>
      <c r="GO21" s="122"/>
      <c r="GP21" s="122"/>
      <c r="GQ21" s="122"/>
      <c r="GR21" s="122"/>
      <c r="GS21" s="122"/>
      <c r="GT21" s="122"/>
      <c r="GU21" s="122"/>
      <c r="GV21" s="122"/>
      <c r="GW21" s="122"/>
      <c r="GX21" s="122"/>
      <c r="GY21" s="122"/>
      <c r="GZ21" s="122"/>
      <c r="HA21" s="122"/>
      <c r="HB21" s="122"/>
      <c r="HC21" s="122"/>
      <c r="HD21" s="122"/>
      <c r="HE21" s="122"/>
      <c r="HF21" s="122"/>
      <c r="HG21" s="122"/>
      <c r="HH21" s="122"/>
      <c r="HI21" s="122"/>
      <c r="HJ21" s="122"/>
      <c r="HK21" s="122"/>
      <c r="HL21" s="122"/>
      <c r="HM21" s="122"/>
      <c r="HN21" s="122"/>
      <c r="HO21" s="122"/>
      <c r="HP21" s="122"/>
      <c r="HQ21" s="122"/>
      <c r="HR21" s="122"/>
      <c r="HS21" s="122"/>
      <c r="HT21" s="122"/>
      <c r="HU21" s="122"/>
      <c r="HV21" s="122"/>
      <c r="HW21" s="122"/>
      <c r="HX21" s="122"/>
      <c r="HY21" s="122"/>
      <c r="HZ21" s="122"/>
      <c r="IA21" s="122"/>
      <c r="IB21" s="122"/>
      <c r="IC21" s="122"/>
      <c r="ID21" s="122"/>
      <c r="IE21" s="122"/>
      <c r="IF21" s="122"/>
      <c r="IG21" s="122"/>
      <c r="IH21" s="122"/>
      <c r="II21" s="122"/>
      <c r="IJ21" s="122"/>
      <c r="IK21" s="122"/>
      <c r="IL21" s="122"/>
      <c r="IM21" s="122"/>
      <c r="IN21" s="122"/>
      <c r="IO21" s="122"/>
      <c r="IP21" s="122"/>
      <c r="IQ21" s="122"/>
      <c r="IR21" s="122"/>
      <c r="IS21" s="122"/>
      <c r="IT21" s="122"/>
      <c r="IU21" s="122"/>
      <c r="IV21" s="122"/>
    </row>
    <row r="22" spans="1:256" ht="13.5" customHeight="1" x14ac:dyDescent="0.2">
      <c r="A22" s="93" t="s">
        <v>646</v>
      </c>
      <c r="B22" s="76">
        <f>A617A_C1</f>
        <v>20016308</v>
      </c>
      <c r="C22" s="76">
        <f>A617A_C2</f>
        <v>20150489</v>
      </c>
      <c r="D22" s="102">
        <f>IF(C22="N/A", " ", IF(B22="N/A", " ",IF(AND(B22=0,C22=0,),"N/A",IF(ABS(B22)=0, "N/A", ((C22-B22)/ABS(B22))*100))))</f>
        <v>0.67035838976898232</v>
      </c>
      <c r="E22" s="76">
        <f>A617A_C3</f>
        <v>19879916</v>
      </c>
      <c r="F22" s="102">
        <f>IF(E22="N/A", " ", IF(C22="N/A", " ",IF(AND(C22=0,E22=0,),"N/A",IF(ABS(C22)=0, "N/A", ((E22-C22)/ABS(C22))*100))))</f>
        <v>-1.3427614585432641</v>
      </c>
      <c r="G22" s="76">
        <f>A617A_C4</f>
        <v>19930620</v>
      </c>
      <c r="H22" s="102">
        <f>IF(G22="N/A", " ", IF(E22="N/A", " ",IF(AND(E22=0,G22=0,),"N/A",IF(ABS(E22)=0, "N/A", ((G22-E22)/ABS(E22))*100))))</f>
        <v>0.25505137949275036</v>
      </c>
      <c r="I22" s="76">
        <f>A617A_C5</f>
        <v>19877233</v>
      </c>
      <c r="J22" s="102">
        <f>IF(I22="N/A", " ", IF(G22="N/A", " ",IF(AND(G22=0,I22=0,),"N/A",IF(ABS(G22)=0, "N/A", ((I22-G22)/ABS(G22))*100))))</f>
        <v>-0.26786422098258861</v>
      </c>
    </row>
    <row r="23" spans="1:256" ht="13.5" customHeight="1" x14ac:dyDescent="0.2">
      <c r="A23" s="144"/>
      <c r="B23" s="131"/>
      <c r="C23" s="131"/>
      <c r="D23" s="102"/>
      <c r="E23" s="131"/>
      <c r="F23" s="102"/>
      <c r="G23" s="131"/>
      <c r="H23" s="102"/>
      <c r="I23" s="131"/>
      <c r="J23" s="102"/>
    </row>
    <row r="24" spans="1:256" ht="13.5" customHeight="1" x14ac:dyDescent="0.2">
      <c r="A24" s="153" t="s">
        <v>647</v>
      </c>
      <c r="B24" s="76"/>
      <c r="C24" s="76"/>
      <c r="D24" s="102"/>
      <c r="E24" s="76"/>
      <c r="F24" s="102"/>
      <c r="G24" s="76"/>
      <c r="H24" s="102"/>
      <c r="I24" s="76"/>
      <c r="J24" s="102"/>
    </row>
    <row r="25" spans="1:256" ht="13.5" customHeight="1" x14ac:dyDescent="0.2">
      <c r="A25" s="144" t="s">
        <v>648</v>
      </c>
      <c r="B25" s="76">
        <f>A041E_C1</f>
        <v>3207622529</v>
      </c>
      <c r="C25" s="76">
        <f>A041E_C2</f>
        <v>3457996450</v>
      </c>
      <c r="D25" s="102">
        <f>IF(C25="N/A", " ", IF(B25="N/A", " ",IF(AND(B25=0,C25=0,),"N/A",IF(ABS(B25)=0, "N/A", ((C25-B25)/ABS(B25))*100))))</f>
        <v>7.8055917969268016</v>
      </c>
      <c r="E25" s="76">
        <f>A041E_C3</f>
        <v>2893254818</v>
      </c>
      <c r="F25" s="102">
        <f>IF(E25="N/A", " ", IF(C25="N/A", " ",IF(AND(C25=0,E25=0,),"N/A",IF(ABS(C25)=0, "N/A", ((E25-C25)/ABS(C25))*100))))</f>
        <v>-16.331469397546662</v>
      </c>
      <c r="G25" s="76">
        <f>A041E_C4</f>
        <v>2977885732</v>
      </c>
      <c r="H25" s="102">
        <f>IF(G25="N/A", " ", IF(E25="N/A", " ",IF(AND(E25=0,G25=0,),"N/A",IF(ABS(E25)=0, "N/A", ((G25-E25)/ABS(E25))*100))))</f>
        <v>2.925110967533175</v>
      </c>
      <c r="I25" s="76">
        <f>A041E_C5</f>
        <v>3114297844</v>
      </c>
      <c r="J25" s="102">
        <f>IF(I25="N/A", " ", IF(G25="N/A", " ",IF(AND(G25=0,I25=0,),"N/A",IF(ABS(G25)=0, "N/A", ((I25-G25)/ABS(G25))*100))))</f>
        <v>4.5808376907861827</v>
      </c>
    </row>
    <row r="26" spans="1:256" ht="13.5" customHeight="1" x14ac:dyDescent="0.2">
      <c r="A26" s="144" t="s">
        <v>649</v>
      </c>
      <c r="B26" s="131">
        <f>IF((A618A_C1)=0,0,(A041E_C1/(A618A_C1))*100)</f>
        <v>0.93993061518211651</v>
      </c>
      <c r="C26" s="131">
        <f>IF((A618A_C2)=0,0,(A041E_C2/(A618A_C2))*100)</f>
        <v>1.0220402812495837</v>
      </c>
      <c r="D26" s="102">
        <f>IF(C26="N/A", " ", IF(B26="N/A", " ",IF(AND(B26=0,C26=0,),"N/A",IF(ABS(B26)=0, "N/A", ((C26-B26)/ABS(B26))*100))))</f>
        <v>8.7357156731784915</v>
      </c>
      <c r="E26" s="131">
        <f>IF((A618A_C3)=0,0,(A041E_C3/(A618A_C3))*100)</f>
        <v>0.8550867350573107</v>
      </c>
      <c r="F26" s="102">
        <f>IF(E26="N/A", " ", IF(C26="N/A", " ",IF(AND(C26=0,E26=0,),"N/A",IF(ABS(C26)=0, "N/A", ((E26-C26)/ABS(C26))*100))))</f>
        <v>-16.335319581352458</v>
      </c>
      <c r="G26" s="131">
        <f>IF((A618A_C4)=0,0,(A041E_C4/(A618A_C4))*100)</f>
        <v>0.87276301608958762</v>
      </c>
      <c r="H26" s="102">
        <f>IF(G26="N/A", " ", IF(E26="N/A", " ",IF(AND(E26=0,G26=0,),"N/A",IF(ABS(E26)=0, "N/A", ((G26-E26)/ABS(E26))*100))))</f>
        <v>2.0671915850843128</v>
      </c>
      <c r="I26" s="131">
        <f>IF((A618A_C5)=0,0,(A041E_C5/(A618A_C5))*100)</f>
        <v>0.91297936312432082</v>
      </c>
      <c r="J26" s="102">
        <f>IF(I26="N/A", " ", IF(G26="N/A", " ",IF(AND(G26=0,I26=0,),"N/A",IF(ABS(G26)=0, "N/A", ((I26-G26)/ABS(G26))*100))))</f>
        <v>4.6079343754645379</v>
      </c>
    </row>
    <row r="27" spans="1:256" ht="13.5" customHeight="1" x14ac:dyDescent="0.2">
      <c r="A27" s="144"/>
      <c r="B27" s="131"/>
      <c r="C27" s="131"/>
      <c r="D27" s="102"/>
      <c r="E27" s="131"/>
      <c r="F27" s="102"/>
      <c r="G27" s="131"/>
      <c r="H27" s="102"/>
      <c r="I27" s="131"/>
      <c r="J27" s="102"/>
    </row>
    <row r="28" spans="1:256" ht="13.5" customHeight="1" x14ac:dyDescent="0.2">
      <c r="A28" s="153" t="s">
        <v>650</v>
      </c>
      <c r="B28" s="76"/>
      <c r="C28" s="76"/>
      <c r="D28" s="102"/>
      <c r="E28" s="76"/>
      <c r="F28" s="102"/>
      <c r="G28" s="76"/>
      <c r="H28" s="102"/>
      <c r="I28" s="76"/>
      <c r="J28" s="102"/>
    </row>
    <row r="29" spans="1:256" ht="13.5" customHeight="1" x14ac:dyDescent="0.2">
      <c r="A29" s="144" t="s">
        <v>651</v>
      </c>
      <c r="B29" s="76">
        <f>A550E_C1</f>
        <v>3139083209</v>
      </c>
      <c r="C29" s="76">
        <f>A550E_C2</f>
        <v>4238714637</v>
      </c>
      <c r="D29" s="102">
        <f>IF(C29="N/A", " ", IF(B29="N/A", " ",IF(AND(B29=0,C29=0,),"N/A",IF(ABS(B29)=0, "N/A", ((C29*Anu_C2-B29*Anu_C1)/ABS(B29*Anu_C1))*100))))</f>
        <v>1.2727527781185402</v>
      </c>
      <c r="E29" s="76">
        <f>A550E_C3</f>
        <v>1124061296</v>
      </c>
      <c r="F29" s="102">
        <f>IF(E29="N/A", " ", IF(C29="N/A", " ",IF(AND(C29=0,E29=0,),"N/A",IF(ABS(C29)=0, "N/A", ((E29*Anu_C3-C29*Anu_C2)/ABS(C29*Anu_C2))*100))))</f>
        <v>6.0756755067208363</v>
      </c>
      <c r="G29" s="76">
        <f>A550E_C4</f>
        <v>2159177135</v>
      </c>
      <c r="H29" s="102">
        <f>IF(G29="N/A", " ", IF(E29="N/A", " ",IF(AND(E29=0,G29=0,),"N/A",IF(ABS(E29)=0, "N/A", ((G29*Anu_C4-E29*Anu_C3)/ABS(E29*Anu_C3))*100))))</f>
        <v>-3.956432683720835</v>
      </c>
      <c r="I29" s="76">
        <f>A550E_C5</f>
        <v>3148105216</v>
      </c>
      <c r="J29" s="102">
        <f>IF(I29="N/A", " ", IF(G29="N/A", " ",IF(AND(G29=0,I29=0,),"N/A",IF(ABS(G29)=0, "N/A", ((I29*Anu_C5-G29*Anu_C4)/ABS(G29*Anu_C4))*100))))</f>
        <v>-2.7992295469233697</v>
      </c>
    </row>
    <row r="30" spans="1:256" ht="13.5" customHeight="1" x14ac:dyDescent="0.2">
      <c r="A30" s="144" t="s">
        <v>652</v>
      </c>
      <c r="B30" s="76">
        <f>A551E_C1</f>
        <v>686076626</v>
      </c>
      <c r="C30" s="76">
        <f>A551E_C2</f>
        <v>916596908</v>
      </c>
      <c r="D30" s="102">
        <f>IF(C30="N/A", " ", IF(B30="N/A", " ",IF(AND(B30=0,C30=0,),"N/A",IF(ABS(B30)=0, "N/A", ((C30*Anu_C2-B30*Anu_C1)/ABS(B30*Anu_C1))*100))))</f>
        <v>0.19983992283684501</v>
      </c>
      <c r="E30" s="76">
        <f>A551E_C3</f>
        <v>234045242</v>
      </c>
      <c r="F30" s="102">
        <f>IF(E30="N/A", " ", IF(C30="N/A", " ",IF(AND(C30=0,E30=0,),"N/A",IF(ABS(C30)=0, "N/A", ((E30*Anu_C3-C30*Anu_C2)/ABS(C30*Anu_C2))*100))))</f>
        <v>2.1366055055468287</v>
      </c>
      <c r="G30" s="76">
        <f>A551E_C4</f>
        <v>493908497</v>
      </c>
      <c r="H30" s="102">
        <f>IF(G30="N/A", " ", IF(E30="N/A", " ",IF(AND(E30=0,G30=0,),"N/A",IF(ABS(E30)=0, "N/A", ((G30*Anu_C4-E30*Anu_C3)/ABS(E30*Anu_C3))*100))))</f>
        <v>5.5156030473800444</v>
      </c>
      <c r="I30" s="76">
        <f>A551E_C5</f>
        <v>732268659</v>
      </c>
      <c r="J30" s="102">
        <f>IF(I30="N/A", " ", IF(G30="N/A", " ",IF(AND(G30=0,I30=0,),"N/A",IF(ABS(G30)=0, "N/A", ((I30*Anu_C5-G30*Anu_C4)/ABS(G30*Anu_C4))*100))))</f>
        <v>-1.1600106162984274</v>
      </c>
    </row>
    <row r="31" spans="1:256" ht="13.5" customHeight="1" x14ac:dyDescent="0.2">
      <c r="A31" s="144" t="s">
        <v>653</v>
      </c>
      <c r="B31" s="76">
        <f>A550E_C1-A551E_C1</f>
        <v>2453006583</v>
      </c>
      <c r="C31" s="76">
        <f>A550E_C2-A551E_C2</f>
        <v>3322117729</v>
      </c>
      <c r="D31" s="102">
        <f>IF(C31="N/A", " ", IF(B31="N/A", " ",IF(AND(B31=0,C31=0,),"N/A",IF(ABS(B31)=0, "N/A", ((C31*Anu_C2-B31*Anu_C1)/ABS(B31*Anu_C1))*100))))</f>
        <v>1.5728336816289743</v>
      </c>
      <c r="E31" s="76">
        <f>A550E_C3-A551E_C3</f>
        <v>890016054</v>
      </c>
      <c r="F31" s="102">
        <f>IF(E31="N/A", " ", IF(C31="N/A", " ",IF(AND(C31=0,E31=0,),"N/A",IF(ABS(C31)=0, "N/A", ((E31*Anu_C3-C31*Anu_C2)/ABS(C31*Anu_C2))*100))))</f>
        <v>7.1624941200270147</v>
      </c>
      <c r="G31" s="76">
        <f>A550E_C4-A551E_C4</f>
        <v>1665268638</v>
      </c>
      <c r="H31" s="102">
        <f>IF(G31="N/A", " ", IF(E31="N/A", " ",IF(AND(E31=0,G31=0,),"N/A",IF(ABS(E31)=0, "N/A", ((G31*Anu_C4-E31*Anu_C3)/ABS(E31*Anu_C3))*100))))</f>
        <v>-6.4472696579021482</v>
      </c>
      <c r="I31" s="76">
        <f>A550E_C5-A551E_C5</f>
        <v>2415836557</v>
      </c>
      <c r="J31" s="102">
        <f>IF(I31="N/A", " ", IF(G31="N/A", " ",IF(AND(G31=0,I31=0,),"N/A",IF(ABS(G31)=0, "N/A", ((I31*Anu_C5-G31*Anu_C4)/ABS(G31*Anu_C4))*100))))</f>
        <v>-3.2854118599772426</v>
      </c>
    </row>
    <row r="32" spans="1:256" ht="13.5" customHeight="1" x14ac:dyDescent="0.2">
      <c r="A32" s="144" t="s">
        <v>654</v>
      </c>
      <c r="B32" s="131">
        <f>IF((pA618A_C1+A618A_C1)/2=0, 0, (((A550E_C1-A551E_C1)/((pA618A_C1+A618A_C1)/2))*100)*Anu_C1)</f>
        <v>0.94402895010625554</v>
      </c>
      <c r="C32" s="131">
        <f>IF((pA618A_C2+A618A_C2)/2=0, 0, (((A550E_C2-A551E_C2)/((pA618A_C2+A618A_C2)/2))*100)*Anu_C2)</f>
        <v>0.96293363078269678</v>
      </c>
      <c r="D32" s="102">
        <f>IF(C32="N/A", " ", IF(B32="N/A", " ",IF(AND(B32=0,C32=0,),"N/A",IF(ABS(B32)=0, "N/A", ((C32-B32)/ABS(B32))*100))))</f>
        <v>2.0025530651696029</v>
      </c>
      <c r="E32" s="131">
        <f>IF((pA618A_C3+A618A_C3)/2=0, 0, (((A550E_C3-A551E_C3)/((pA618A_C3+A618A_C3)/2))*100)*Anu_C3)</f>
        <v>1.052183067848234</v>
      </c>
      <c r="F32" s="102">
        <f>IF(E32="N/A", " ", IF(C32="N/A", " ",IF(AND(C32=0,E32=0,),"N/A",IF(ABS(C32)=0, "N/A", ((E32-C32)/ABS(C32))*100))))</f>
        <v>9.2684930936510153</v>
      </c>
      <c r="G32" s="131">
        <f>IF((pA618A_C4+A618A_C4)/2=0, 0, (((A550E_C4-A551E_C4)/((pA618A_C4+A618A_C4)/2))*100)*Anu_C4)</f>
        <v>0.98022627810515262</v>
      </c>
      <c r="H32" s="102">
        <f>IF(G32="N/A", " ", IF(E32="N/A", " ",IF(AND(E32=0,G32=0,),"N/A",IF(ABS(E32)=0, "N/A", ((G32-E32)/ABS(E32))*100))))</f>
        <v>-6.8388089432228334</v>
      </c>
      <c r="I32" s="131">
        <f>IF((pA618A_C5+A618A_C5)/2=0, 0, (((A550E_C5-A551E_C5)/((pA618A_C5+A618A_C5)/2))*100)*Anu_C5)</f>
        <v>0.94814512389677752</v>
      </c>
      <c r="J32" s="102">
        <f>IF(I32="N/A", " ", IF(G32="N/A", " ",IF(AND(G32=0,I32=0,),"N/A",IF(ABS(G32)=0, "N/A", ((I32-G32)/ABS(G32))*100))))</f>
        <v>-3.2728314803384237</v>
      </c>
    </row>
    <row r="33" spans="1:10" ht="13.15" customHeight="1" x14ac:dyDescent="0.2">
      <c r="A33" s="144"/>
      <c r="B33" s="131"/>
      <c r="C33" s="131"/>
      <c r="D33" s="102"/>
      <c r="E33" s="131"/>
      <c r="F33" s="102"/>
      <c r="G33" s="131"/>
      <c r="H33" s="102"/>
      <c r="I33" s="131"/>
      <c r="J33" s="102"/>
    </row>
    <row r="34" spans="1:10" ht="12.75" customHeight="1" x14ac:dyDescent="0.2">
      <c r="A34" s="234" t="s">
        <v>655</v>
      </c>
      <c r="B34" s="234"/>
      <c r="C34" s="234"/>
      <c r="D34" s="234"/>
      <c r="E34" s="234"/>
      <c r="F34" s="234"/>
      <c r="G34" s="234"/>
      <c r="H34" s="234"/>
      <c r="I34" s="234"/>
      <c r="J34" s="234"/>
    </row>
    <row r="35" spans="1:10" ht="12.75" customHeight="1" x14ac:dyDescent="0.2">
      <c r="A35" s="189" t="s">
        <v>636</v>
      </c>
      <c r="B35" s="29"/>
      <c r="C35" s="29"/>
      <c r="D35" s="29"/>
      <c r="E35" s="29"/>
      <c r="F35" s="29"/>
      <c r="G35" s="29"/>
      <c r="H35" s="29"/>
      <c r="I35" s="29" t="s">
        <v>656</v>
      </c>
      <c r="J35" s="29"/>
    </row>
  </sheetData>
  <mergeCells count="1">
    <mergeCell ref="D5:J5"/>
  </mergeCells>
  <hyperlinks>
    <hyperlink ref="A2" location="'Cover Page'!A1" display="Return to cover" xr:uid="{00000000-0004-0000-0F00-000000000000}"/>
  </hyperlinks>
  <printOptions gridLines="1"/>
  <pageMargins left="0.7" right="0.7" top="0.75" bottom="0.75" header="0.3" footer="0.3"/>
  <pageSetup orientation="landscape" horizontalDpi="1200" verticalDpi="12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88524-5975-4071-81F2-41878F75D97A}">
  <sheetPr>
    <pageSetUpPr fitToPage="1"/>
  </sheetPr>
  <dimension ref="A1:IV56"/>
  <sheetViews>
    <sheetView workbookViewId="0"/>
  </sheetViews>
  <sheetFormatPr defaultRowHeight="12.75" x14ac:dyDescent="0.2"/>
  <cols>
    <col min="1" max="1" width="81" style="34" customWidth="1"/>
    <col min="2" max="3" width="16.7109375" customWidth="1"/>
    <col min="4" max="4" width="6.7109375" customWidth="1"/>
    <col min="5" max="5" width="16.7109375" customWidth="1"/>
    <col min="6" max="6" width="6.7109375" customWidth="1"/>
    <col min="7" max="7" width="16.7109375" customWidth="1"/>
    <col min="8" max="8" width="6.7109375" customWidth="1"/>
    <col min="9" max="9" width="16.7109375" customWidth="1"/>
    <col min="10" max="10" width="6.7109375" customWidth="1"/>
  </cols>
  <sheetData>
    <row r="1" spans="1:256" x14ac:dyDescent="0.2">
      <c r="A1" s="72"/>
      <c r="B1" s="62"/>
      <c r="C1" s="85" t="s">
        <v>657</v>
      </c>
      <c r="D1" s="118"/>
      <c r="E1" s="62"/>
      <c r="F1" s="119"/>
      <c r="G1" s="62"/>
      <c r="H1" s="119"/>
      <c r="I1" s="62"/>
      <c r="J1" s="119"/>
    </row>
    <row r="2" spans="1:256" x14ac:dyDescent="0.2">
      <c r="A2" s="271" t="s">
        <v>49</v>
      </c>
      <c r="B2" s="62"/>
      <c r="C2" s="67" t="s">
        <v>50</v>
      </c>
      <c r="D2" s="87" t="str">
        <f>IF(CU_NUMBER="","N/A",CU_NUMBER)</f>
        <v>N/A</v>
      </c>
      <c r="E2" s="120"/>
      <c r="F2" s="119"/>
      <c r="G2" s="62"/>
      <c r="H2" s="119"/>
      <c r="I2" s="62"/>
      <c r="J2" s="119"/>
    </row>
    <row r="3" spans="1:256" x14ac:dyDescent="0.2">
      <c r="A3" s="121" t="str">
        <f>IF(Request_Date=0,"N/A",Request_Date)</f>
        <v>12/05/2025</v>
      </c>
      <c r="B3" s="62"/>
      <c r="C3" s="67" t="s">
        <v>42</v>
      </c>
      <c r="D3" s="75">
        <f>IF(CountCu_C5=0,"N/A",CountCu_C5)</f>
        <v>4331</v>
      </c>
      <c r="E3" s="120"/>
      <c r="F3" s="119"/>
      <c r="G3" s="62"/>
      <c r="H3" s="119"/>
      <c r="I3" s="62"/>
      <c r="J3" s="119"/>
    </row>
    <row r="4" spans="1:256" x14ac:dyDescent="0.2">
      <c r="A4" s="68" t="str">
        <f>"CU Name:      "&amp;IF(Cu_Name="","N/A",Cu_Name)</f>
        <v>CU Name:      N/A</v>
      </c>
      <c r="B4" s="62"/>
      <c r="C4" s="67" t="s">
        <v>43</v>
      </c>
      <c r="D4" s="89" t="str">
        <f>IF(AssetRange="","N/A",AssetRange)</f>
        <v>N/A</v>
      </c>
      <c r="E4" s="75"/>
      <c r="F4" s="119"/>
      <c r="G4" s="62"/>
      <c r="H4" s="119"/>
      <c r="I4" s="62"/>
      <c r="J4" s="119"/>
    </row>
    <row r="5" spans="1:256" x14ac:dyDescent="0.2">
      <c r="A5" s="68" t="str">
        <f>"Peer Group Number:      "&amp;IF(Peer_Group="","N/A",IF(Peer_Group="0","N/A",Peer_Group))</f>
        <v>Peer Group Number:      N/A</v>
      </c>
      <c r="B5" s="90"/>
      <c r="C5" s="67" t="s">
        <v>51</v>
      </c>
      <c r="D5" s="24" t="str">
        <f>IF(_xlnm.Criteria="","N/A",_xlnm.Criteria)</f>
        <v xml:space="preserve">Region: Nation * Peer Group: All * Types Included: All  Federally Insured Credit Unions  (FICUs) *  </v>
      </c>
      <c r="E5" s="23"/>
      <c r="F5" s="23"/>
      <c r="G5" s="23"/>
      <c r="H5" s="23"/>
      <c r="I5" s="23"/>
      <c r="J5" s="23"/>
    </row>
    <row r="6" spans="1:256" x14ac:dyDescent="0.2">
      <c r="A6" s="68"/>
      <c r="B6" s="67"/>
      <c r="C6" s="67" t="s">
        <v>45</v>
      </c>
      <c r="D6" s="75" t="str">
        <f>IF(NoCu_in_Peer_Group="","N/A",NoCu_in_Peer_Group)</f>
        <v>N/A</v>
      </c>
      <c r="E6" s="75" t="str">
        <f>IF(CU_NUMBER&gt;0,"",IF(RetPop=0,"Retroactive Population",""))</f>
        <v/>
      </c>
      <c r="F6" s="119"/>
      <c r="G6" s="62"/>
      <c r="H6" s="119"/>
      <c r="I6" s="62"/>
      <c r="J6" s="119"/>
    </row>
    <row r="7" spans="1:256" x14ac:dyDescent="0.2">
      <c r="A7" s="39"/>
      <c r="D7" s="54"/>
      <c r="E7" s="32"/>
      <c r="F7" s="54"/>
      <c r="G7" s="30"/>
      <c r="H7" s="54"/>
      <c r="I7" s="30"/>
      <c r="J7" s="54"/>
    </row>
    <row r="8" spans="1:256" x14ac:dyDescent="0.2">
      <c r="A8" s="153"/>
      <c r="B8" s="139">
        <f>(CycDat_C1)</f>
        <v>45565</v>
      </c>
      <c r="C8" s="139">
        <f>(CycDat_C2)</f>
        <v>45657</v>
      </c>
      <c r="D8" s="184" t="s">
        <v>52</v>
      </c>
      <c r="E8" s="139">
        <f>(CycDat_C3)</f>
        <v>45747</v>
      </c>
      <c r="F8" s="184" t="s">
        <v>52</v>
      </c>
      <c r="G8" s="139">
        <f>(CycDat_C4)</f>
        <v>45838</v>
      </c>
      <c r="H8" s="184" t="s">
        <v>52</v>
      </c>
      <c r="I8" s="139">
        <f>(CycDat_C5)</f>
        <v>45930</v>
      </c>
      <c r="J8" s="184" t="s">
        <v>52</v>
      </c>
    </row>
    <row r="9" spans="1:256" ht="13.15" customHeight="1" x14ac:dyDescent="0.2">
      <c r="A9" s="153" t="s">
        <v>658</v>
      </c>
      <c r="B9" s="130"/>
      <c r="C9" s="130"/>
      <c r="D9" s="102"/>
      <c r="E9" s="130"/>
      <c r="F9" s="102"/>
      <c r="G9" s="130"/>
      <c r="H9" s="102"/>
      <c r="I9" s="130"/>
      <c r="J9" s="102"/>
    </row>
    <row r="10" spans="1:256" ht="13.15" customHeight="1" x14ac:dyDescent="0.2">
      <c r="A10" s="124" t="s">
        <v>659</v>
      </c>
      <c r="B10" s="76">
        <f>IF(B8&lt;=DATEVALUE("6/30/2021"),A615_C1,IF(B8&lt;=DATEVALUE("9/30/2021"),"N/A",ASL0015_C1))</f>
        <v>1493977036</v>
      </c>
      <c r="C10" s="76">
        <f>IF(C8&lt;=DATEVALUE("6/30/2021"),A615_C2,IF(C8&lt;=DATEVALUE("9/30/2021"),"N/A",ASL0015_C2))</f>
        <v>2416435335</v>
      </c>
      <c r="D10" s="102">
        <f>IF(C10="N/A", " ", IF(B10="N/A", " ",IF(AND(B10=0,C10=0,),"N/A",IF(ABS(B10)=0, "N/A", ((C10*Anu_C2-B10*Anu_C1)/ABS(B10*Anu_C1))*100))))</f>
        <v>21.308859345144583</v>
      </c>
      <c r="E10" s="76">
        <f>IF(E8&lt;=DATEVALUE("6/30/2021"),A615_C3,IF(B8&lt;=DATEVALUE("9/30/2021"),"N/A",ASL0015_C3))</f>
        <v>715979426</v>
      </c>
      <c r="F10" s="102">
        <f>IF(E10="N/A", " ", IF(C10="N/A", " ",IF(AND(C10=0,E10=0,),"N/A",IF(ABS(C10)=0, "N/A", ((E10*Anu_C3-C10*Anu_C2)/ABS(C10*Anu_C2))*100))))</f>
        <v>18.518284454733816</v>
      </c>
      <c r="G10" s="76">
        <f>IF(G8&lt;=DATEVALUE("6/30/2021"),A615_C4,IF(B8&lt;=DATEVALUE("9/30/2021"),"N/A",ASL0015_C4))</f>
        <v>1662079327</v>
      </c>
      <c r="H10" s="102">
        <f>IF(G10="N/A", " ", IF(E10="N/A", " ",IF(AND(E10=0,G10=0,),"N/A",IF(ABS(E10)=0, "N/A", ((G10*Anu_C4-E10*Anu_C3)/ABS(E10*Anu_C3))*100))))</f>
        <v>16.07032734764644</v>
      </c>
      <c r="I10" s="76">
        <f>IF(I8&lt;=DATEVALUE("6/30/2021"),A615_C5,IF(B8&lt;=DATEVALUE("9/30/2021"),"N/A",ASL0015_C5))</f>
        <v>2438609015</v>
      </c>
      <c r="J10" s="102">
        <f>IF(I10="N/A", " ", IF(G10="N/A", " ",IF(AND(G10=0,I10=0,),"N/A",IF(ABS(G10)=0, "N/A", ((I10*Anu_C5-G10*Anu_C4)/ABS(G10*Anu_C4))*100))))</f>
        <v>-2.1864169222451766</v>
      </c>
    </row>
    <row r="11" spans="1:256" ht="13.15" customHeight="1" x14ac:dyDescent="0.2">
      <c r="A11" s="124" t="s">
        <v>660</v>
      </c>
      <c r="B11" s="76">
        <f>IF(B8&lt;=DATEVALUE("6/30/2021"),A613_C1,IF(B8&lt;=DATEVALUE("9/30/2021"),"N/A",ASL0013_C1))</f>
        <v>3528992645</v>
      </c>
      <c r="C11" s="76">
        <f>IF(C8&lt;=DATEVALUE("6/30/2021"),A613_C2,IF(C8&lt;=DATEVALUE("9/30/2021"),"N/A",ASL0013_C2))</f>
        <v>5391091529</v>
      </c>
      <c r="D11" s="102">
        <f>IF(C11="N/A", " ", IF(B11="N/A", " ",IF(AND(B11=0,C11=0,),"N/A",IF(ABS(B11)=0, "N/A", ((C11*Anu_C2-B11*Anu_C1)/ABS(B11*Anu_C1))*100))))</f>
        <v>14.574300756299834</v>
      </c>
      <c r="E11" s="76">
        <f>IF(E8&lt;=DATEVALUE("6/30/2021"),A613_C3,IF(B8&lt;=DATEVALUE("9/30/2021"),"N/A",ASL0013_C3))</f>
        <v>1719612525</v>
      </c>
      <c r="F11" s="102">
        <f>IF(E11="N/A", " ", IF(C11="N/A", " ",IF(AND(C11=0,E11=0,),"N/A",IF(ABS(C11)=0, "N/A", ((E11*Anu_C3-C11*Anu_C2)/ABS(C11*Anu_C2))*100))))</f>
        <v>27.589191595044056</v>
      </c>
      <c r="G11" s="76">
        <f>IF(G8&lt;=DATEVALUE("6/30/2021"),A613_C4,IF(B8&lt;=DATEVALUE("9/30/2021"),"N/A",ASL0013_C4))</f>
        <v>3641972824</v>
      </c>
      <c r="H11" s="102">
        <f>IF(G11="N/A", " ", IF(E11="N/A", " ",IF(AND(E11=0,G11=0,),"N/A",IF(ABS(E11)=0, "N/A", ((G11*Anu_C4-E11*Anu_C3)/ABS(E11*Anu_C3))*100))))</f>
        <v>5.8951586782609642</v>
      </c>
      <c r="I11" s="76">
        <f>IF(I8&lt;=DATEVALUE("6/30/2021"),A613_C5,IF(B8&lt;=DATEVALUE("9/30/2021"),"N/A",ASL0013_C5))</f>
        <v>5711154328</v>
      </c>
      <c r="J11" s="102">
        <f>IF(I11="N/A", " ", IF(G11="N/A", " ",IF(AND(G11=0,I11=0,),"N/A",IF(ABS(G11)=0, "N/A", ((I11*Anu_C5-G11*Anu_C4)/ABS(G11*Anu_C4))*100))))</f>
        <v>4.5432352920452903</v>
      </c>
    </row>
    <row r="12" spans="1:256" ht="13.15" customHeight="1" x14ac:dyDescent="0.2">
      <c r="A12" t="s">
        <v>661</v>
      </c>
      <c r="B12">
        <f>IF(A031B_C1 = 0,0,((ASL0015_C1+ASL0013_C1)/A031B_C1)*100)</f>
        <v>1.2954702640831144</v>
      </c>
      <c r="C12">
        <f>IF(A031B_C2 = 0,0,((ASL0015_C2+ASL0013_C2)/A031B_C2)*100)</f>
        <v>1.4871426805556298</v>
      </c>
      <c r="D12" s="266">
        <f>IF(C12="N/A", " ", IF(B12="N/A", " ",IF(AND(B12=0,C12=0,),"N/A",IF(ABS(B12)=0, "N/A", ((C12-B12)/ABS(B12))*100))))</f>
        <v>14.79558595721022</v>
      </c>
      <c r="E12">
        <f>IF(A031B_C3 = 0,0,((ASL0015_C3+ASL0013_C3)/A031B_C3)*100)</f>
        <v>1.8302616481027059</v>
      </c>
      <c r="F12" s="266">
        <f>IF(E12="N/A", " ", IF(C12="N/A", " ",IF(AND(C12=0,E12=0,),"N/A",IF(ABS(C12)=0, "N/A", ((E12-C12)/ABS(C12))*100))))</f>
        <v>23.072363669831539</v>
      </c>
      <c r="G12">
        <f>IF(A031B_C4 = 0,0,((ASL0015_C4+ASL0013_C4)/A031B_C4)*100)</f>
        <v>1.8216360697583323</v>
      </c>
      <c r="H12" s="266">
        <f>IF(G12="N/A", " ", IF(E12="N/A", " ",IF(AND(E12=0,G12=0,),"N/A",IF(ABS(E12)=0, "N/A", ((G12-E12)/ABS(E12))*100))))</f>
        <v>-0.47127569729252067</v>
      </c>
      <c r="I12">
        <f>IF(A031B_C5 = 0,0,((ASL0015_C5+ASL0013_C5)/A031B_C5)*100)</f>
        <v>1.8058986846960814</v>
      </c>
      <c r="J12" s="266">
        <f>IF(I12="N/A", " ", IF(G12="N/A", " ",IF(AND(G12=0,I12=0,),"N/A",IF(ABS(G12)=0, "N/A", ((I12-G12)/ABS(G12))*100))))</f>
        <v>-0.86391487978928017</v>
      </c>
    </row>
    <row r="13" spans="1:256" ht="13.15" customHeight="1" x14ac:dyDescent="0.2">
      <c r="A13" s="124" t="s">
        <v>662</v>
      </c>
      <c r="B13" s="76">
        <f>IF(B8&lt;=DATEVALUE("6/30/2021"),A615_C1,ASL0014_C1)</f>
        <v>118773</v>
      </c>
      <c r="C13" s="76">
        <f>IF(B8&lt;=DATEVALUE("6/30/2021"),A615_C2,ASL0014_C2)</f>
        <v>237006</v>
      </c>
      <c r="D13" s="102">
        <f>IF(C13="N/A", " ", IF(B13="N/A", " ",IF(AND(B13=0,C13=0,),"N/A",IF(ABS(B13)=0, "N/A", ((C13*Anu_C2-B13*Anu_C1)/ABS(B13*Anu_C1))*100))))</f>
        <v>49.659013412139124</v>
      </c>
      <c r="E13" s="76">
        <f>IF(B8&lt;=DATEVALUE("6/30/2021"),A615_C3,ASL0014_C3)</f>
        <v>94127</v>
      </c>
      <c r="F13" s="102">
        <f>IF(E13="N/A", " ", IF(C13="N/A", " ",IF(AND(C13=0,E13=0,),"N/A",IF(ABS(C13)=0, "N/A", ((E13*Anu_C3-C13*Anu_C2)/ABS(C13*Anu_C2))*100))))</f>
        <v>58.860113246078157</v>
      </c>
      <c r="G13" s="76">
        <f>IF(B8&lt;=DATEVALUE("6/30/2021"),A615_C4,ASL0014_C4)</f>
        <v>138764</v>
      </c>
      <c r="H13" s="102">
        <f>IF(G13="N/A", " ", IF(E13="N/A", " ",IF(AND(E13=0,G13=0,),"N/A",IF(ABS(E13)=0, "N/A", ((G13*Anu_C4-E13*Anu_C3)/ABS(E13*Anu_C3))*100))))</f>
        <v>-26.288950035590215</v>
      </c>
      <c r="I13" s="76">
        <f>IF(B8&lt;=DATEVALUE("6/30/2021"),A615_C5,ASL0014_C5)</f>
        <v>177422</v>
      </c>
      <c r="J13" s="102">
        <f>IF(I13="N/A", " ", IF(G13="N/A", " ",IF(AND(G13=0,I13=0,),"N/A",IF(ABS(G13)=0, "N/A", ((I13*Anu_C5-G13*Anu_C4)/ABS(G13*Anu_C4))*100))))</f>
        <v>-14.760792904980161</v>
      </c>
      <c r="K13" s="122"/>
      <c r="L13" s="122"/>
      <c r="M13" s="122"/>
      <c r="N13" s="122"/>
      <c r="O13" s="122"/>
      <c r="P13" s="122"/>
      <c r="Q13" s="122"/>
      <c r="R13" s="122"/>
      <c r="S13" s="122"/>
      <c r="T13" s="122"/>
      <c r="U13" s="122"/>
      <c r="V13" s="122"/>
      <c r="W13" s="122"/>
      <c r="X13" s="122"/>
      <c r="Y13" s="122"/>
      <c r="Z13" s="122"/>
      <c r="AA13" s="122"/>
      <c r="AB13" s="122"/>
      <c r="AC13" s="122"/>
      <c r="AD13" s="122"/>
      <c r="AE13" s="122"/>
      <c r="AF13" s="122"/>
      <c r="AG13" s="122"/>
      <c r="AH13" s="122"/>
      <c r="AI13" s="122"/>
      <c r="AJ13" s="122"/>
      <c r="AK13" s="122"/>
      <c r="AL13" s="122"/>
      <c r="AM13" s="122"/>
      <c r="AN13" s="122"/>
      <c r="AO13" s="122"/>
      <c r="AP13" s="122"/>
      <c r="AQ13" s="122"/>
      <c r="AR13" s="122"/>
      <c r="AS13" s="122"/>
      <c r="AT13" s="122"/>
      <c r="AU13" s="122"/>
      <c r="AV13" s="122"/>
      <c r="AW13" s="122"/>
      <c r="AX13" s="122"/>
      <c r="AY13" s="122"/>
      <c r="AZ13" s="122"/>
      <c r="BA13" s="122"/>
      <c r="BB13" s="122"/>
      <c r="BC13" s="122"/>
      <c r="BD13" s="122"/>
      <c r="BE13" s="122"/>
      <c r="BF13" s="122"/>
      <c r="BG13" s="122"/>
      <c r="BH13" s="122"/>
      <c r="BI13" s="122"/>
      <c r="BJ13" s="122"/>
      <c r="BK13" s="122"/>
      <c r="BL13" s="122"/>
      <c r="BM13" s="122"/>
      <c r="BN13" s="122"/>
      <c r="BO13" s="122"/>
      <c r="BP13" s="122"/>
      <c r="BQ13" s="122"/>
      <c r="BR13" s="122"/>
      <c r="BS13" s="122"/>
      <c r="BT13" s="122"/>
      <c r="BU13" s="122"/>
      <c r="BV13" s="122"/>
      <c r="BW13" s="122"/>
      <c r="BX13" s="122"/>
      <c r="BY13" s="122"/>
      <c r="BZ13" s="122"/>
      <c r="CA13" s="122"/>
      <c r="CB13" s="122"/>
      <c r="CC13" s="122"/>
      <c r="CD13" s="122"/>
      <c r="CE13" s="122"/>
      <c r="CF13" s="122"/>
      <c r="CG13" s="122"/>
      <c r="CH13" s="122"/>
      <c r="CI13" s="122"/>
      <c r="CJ13" s="122"/>
      <c r="CK13" s="122"/>
      <c r="CL13" s="122"/>
      <c r="CM13" s="122"/>
      <c r="CN13" s="122"/>
      <c r="CO13" s="122"/>
      <c r="CP13" s="122"/>
      <c r="CQ13" s="122"/>
      <c r="CR13" s="122"/>
      <c r="CS13" s="122"/>
      <c r="CT13" s="122"/>
      <c r="CU13" s="122"/>
      <c r="CV13" s="122"/>
      <c r="CW13" s="122"/>
      <c r="CX13" s="122"/>
      <c r="CY13" s="122"/>
      <c r="CZ13" s="122"/>
      <c r="DA13" s="122"/>
      <c r="DB13" s="122"/>
      <c r="DC13" s="122"/>
      <c r="DD13" s="122"/>
      <c r="DE13" s="122"/>
      <c r="DF13" s="122"/>
      <c r="DG13" s="122"/>
      <c r="DH13" s="122"/>
      <c r="DI13" s="122"/>
      <c r="DJ13" s="122"/>
      <c r="DK13" s="122"/>
      <c r="DL13" s="122"/>
      <c r="DM13" s="122"/>
      <c r="DN13" s="122"/>
      <c r="DO13" s="122"/>
      <c r="DP13" s="122"/>
      <c r="DQ13" s="122"/>
      <c r="DR13" s="122"/>
      <c r="DS13" s="122"/>
      <c r="DT13" s="122"/>
      <c r="DU13" s="122"/>
      <c r="DV13" s="122"/>
      <c r="DW13" s="122"/>
      <c r="DX13" s="122"/>
      <c r="DY13" s="122"/>
      <c r="DZ13" s="122"/>
      <c r="EA13" s="122"/>
      <c r="EB13" s="122"/>
      <c r="EC13" s="122"/>
      <c r="ED13" s="122"/>
      <c r="EE13" s="122"/>
      <c r="EF13" s="122"/>
      <c r="EG13" s="122"/>
      <c r="EH13" s="122"/>
      <c r="EI13" s="122"/>
      <c r="EJ13" s="122"/>
      <c r="EK13" s="122"/>
      <c r="EL13" s="122"/>
      <c r="EM13" s="122"/>
      <c r="EN13" s="122"/>
      <c r="EO13" s="122"/>
      <c r="EP13" s="122"/>
      <c r="EQ13" s="122"/>
      <c r="ER13" s="122"/>
      <c r="ES13" s="122"/>
      <c r="ET13" s="122"/>
      <c r="EU13" s="122"/>
      <c r="EV13" s="122"/>
      <c r="EW13" s="122"/>
      <c r="EX13" s="122"/>
      <c r="EY13" s="122"/>
      <c r="EZ13" s="122"/>
      <c r="FA13" s="122"/>
      <c r="FB13" s="122"/>
      <c r="FC13" s="122"/>
      <c r="FD13" s="122"/>
      <c r="FE13" s="122"/>
      <c r="FF13" s="122"/>
      <c r="FG13" s="122"/>
      <c r="FH13" s="122"/>
      <c r="FI13" s="122"/>
      <c r="FJ13" s="122"/>
      <c r="FK13" s="122"/>
      <c r="FL13" s="122"/>
      <c r="FM13" s="122"/>
      <c r="FN13" s="122"/>
      <c r="FO13" s="122"/>
      <c r="FP13" s="122"/>
      <c r="FQ13" s="122"/>
      <c r="FR13" s="122"/>
      <c r="FS13" s="122"/>
      <c r="FT13" s="122"/>
      <c r="FU13" s="122"/>
      <c r="FV13" s="122"/>
      <c r="FW13" s="122"/>
      <c r="FX13" s="122"/>
      <c r="FY13" s="122"/>
      <c r="FZ13" s="122"/>
      <c r="GA13" s="122"/>
      <c r="GB13" s="122"/>
      <c r="GC13" s="122"/>
      <c r="GD13" s="122"/>
      <c r="GE13" s="122"/>
      <c r="GF13" s="122"/>
      <c r="GG13" s="122"/>
      <c r="GH13" s="122"/>
      <c r="GI13" s="122"/>
      <c r="GJ13" s="122"/>
      <c r="GK13" s="122"/>
      <c r="GL13" s="122"/>
      <c r="GM13" s="122"/>
      <c r="GN13" s="122"/>
      <c r="GO13" s="122"/>
      <c r="GP13" s="122"/>
      <c r="GQ13" s="122"/>
      <c r="GR13" s="122"/>
      <c r="GS13" s="122"/>
      <c r="GT13" s="122"/>
      <c r="GU13" s="122"/>
      <c r="GV13" s="122"/>
      <c r="GW13" s="122"/>
      <c r="GX13" s="122"/>
      <c r="GY13" s="122"/>
      <c r="GZ13" s="122"/>
      <c r="HA13" s="122"/>
      <c r="HB13" s="122"/>
      <c r="HC13" s="122"/>
      <c r="HD13" s="122"/>
      <c r="HE13" s="122"/>
      <c r="HF13" s="122"/>
      <c r="HG13" s="122"/>
      <c r="HH13" s="122"/>
      <c r="HI13" s="122"/>
      <c r="HJ13" s="122"/>
      <c r="HK13" s="122"/>
      <c r="HL13" s="122"/>
      <c r="HM13" s="122"/>
      <c r="HN13" s="122"/>
      <c r="HO13" s="122"/>
      <c r="HP13" s="122"/>
      <c r="HQ13" s="122"/>
      <c r="HR13" s="122"/>
      <c r="HS13" s="122"/>
      <c r="HT13" s="122"/>
      <c r="HU13" s="122"/>
      <c r="HV13" s="122"/>
      <c r="HW13" s="122"/>
      <c r="HX13" s="122"/>
      <c r="HY13" s="122"/>
      <c r="HZ13" s="122"/>
      <c r="IA13" s="122"/>
      <c r="IB13" s="122"/>
      <c r="IC13" s="122"/>
      <c r="ID13" s="122"/>
      <c r="IE13" s="122"/>
      <c r="IF13" s="122"/>
      <c r="IG13" s="122"/>
      <c r="IH13" s="122"/>
      <c r="II13" s="122"/>
      <c r="IJ13" s="122"/>
      <c r="IK13" s="122"/>
      <c r="IL13" s="122"/>
      <c r="IM13" s="122"/>
      <c r="IN13" s="122"/>
      <c r="IO13" s="122"/>
      <c r="IP13" s="122"/>
      <c r="IQ13" s="122"/>
      <c r="IR13" s="122"/>
      <c r="IS13" s="122"/>
      <c r="IT13" s="122"/>
      <c r="IU13" s="122"/>
      <c r="IV13" s="122"/>
    </row>
    <row r="14" spans="1:256" ht="13.15" customHeight="1" x14ac:dyDescent="0.2">
      <c r="A14" s="124" t="s">
        <v>663</v>
      </c>
      <c r="B14" s="76">
        <f>IF(B8&lt;=DATEVALUE("6/30/2021"),A613_C1,ASL0012_C1)</f>
        <v>422375</v>
      </c>
      <c r="C14" s="76">
        <f>IF(B8&lt;=DATEVALUE("6/30/2021"),A613_C2,ASL0012_C2)</f>
        <v>529852</v>
      </c>
      <c r="D14" s="102">
        <f>IF(C14="N/A", " ", IF(B14="N/A", " ",IF(AND(B14=0,C14=0,),"N/A",IF(ABS(B14)=0, "N/A", ((C14*Anu_C2-B14*Anu_C1)/ABS(B14*Anu_C1))*100))))</f>
        <v>-5.915596330275223</v>
      </c>
      <c r="E14" s="76">
        <f>IF(B8&lt;=DATEVALUE("6/30/2021"),A613_C3,ASL0012_C3)</f>
        <v>281670</v>
      </c>
      <c r="F14" s="102">
        <f>IF(E14="N/A", " ", IF(C14="N/A", " ",IF(AND(C14=0,E14=0,),"N/A",IF(ABS(C14)=0, "N/A", ((E14*Anu_C3-C14*Anu_C2)/ABS(C14*Anu_C2))*100))))</f>
        <v>112.64051093512906</v>
      </c>
      <c r="G14" s="76">
        <f>IF(B8&lt;=DATEVALUE("6/30/2021"),A613_C4,ASL0012_C4)</f>
        <v>463191</v>
      </c>
      <c r="H14" s="102">
        <f>IF(G14="N/A", " ", IF(E14="N/A", " ",IF(AND(E14=0,G14=0,),"N/A",IF(ABS(E14)=0, "N/A", ((G14*Anu_C4-E14*Anu_C3)/ABS(E14*Anu_C3))*100))))</f>
        <v>-17.777718606880391</v>
      </c>
      <c r="I14" s="76">
        <f>IF(B8&lt;=DATEVALUE("6/30/2021"),A613_C5,ASL0012_C5)</f>
        <v>653845</v>
      </c>
      <c r="J14" s="102">
        <f>IF(I14="N/A", " ", IF(G14="N/A", " ",IF(AND(G14=0,I14=0,),"N/A",IF(ABS(G14)=0, "N/A", ((I14*Anu_C5-G14*Anu_C4)/ABS(G14*Anu_C4))*100))))</f>
        <v>-5.8926735047385144</v>
      </c>
      <c r="K14" s="122"/>
      <c r="L14" s="122"/>
      <c r="M14" s="122"/>
      <c r="N14" s="122"/>
      <c r="O14" s="122"/>
      <c r="P14" s="122"/>
      <c r="Q14" s="122"/>
      <c r="R14" s="122"/>
      <c r="S14" s="122"/>
      <c r="T14" s="122"/>
      <c r="U14" s="122"/>
      <c r="V14" s="122"/>
      <c r="W14" s="122"/>
      <c r="X14" s="122"/>
      <c r="Y14" s="122"/>
      <c r="Z14" s="122"/>
      <c r="AA14" s="122"/>
      <c r="AB14" s="122"/>
      <c r="AC14" s="122"/>
      <c r="AD14" s="122"/>
      <c r="AE14" s="122"/>
      <c r="AF14" s="122"/>
      <c r="AG14" s="122"/>
      <c r="AH14" s="122"/>
      <c r="AI14" s="122"/>
      <c r="AJ14" s="122"/>
      <c r="AK14" s="122"/>
      <c r="AL14" s="122"/>
      <c r="AM14" s="122"/>
      <c r="AN14" s="122"/>
      <c r="AO14" s="122"/>
      <c r="AP14" s="122"/>
      <c r="AQ14" s="122"/>
      <c r="AR14" s="122"/>
      <c r="AS14" s="122"/>
      <c r="AT14" s="122"/>
      <c r="AU14" s="122"/>
      <c r="AV14" s="122"/>
      <c r="AW14" s="122"/>
      <c r="AX14" s="122"/>
      <c r="AY14" s="122"/>
      <c r="AZ14" s="122"/>
      <c r="BA14" s="122"/>
      <c r="BB14" s="122"/>
      <c r="BC14" s="122"/>
      <c r="BD14" s="122"/>
      <c r="BE14" s="122"/>
      <c r="BF14" s="122"/>
      <c r="BG14" s="122"/>
      <c r="BH14" s="122"/>
      <c r="BI14" s="122"/>
      <c r="BJ14" s="122"/>
      <c r="BK14" s="122"/>
      <c r="BL14" s="122"/>
      <c r="BM14" s="122"/>
      <c r="BN14" s="122"/>
      <c r="BO14" s="122"/>
      <c r="BP14" s="122"/>
      <c r="BQ14" s="122"/>
      <c r="BR14" s="122"/>
      <c r="BS14" s="122"/>
      <c r="BT14" s="122"/>
      <c r="BU14" s="122"/>
      <c r="BV14" s="122"/>
      <c r="BW14" s="122"/>
      <c r="BX14" s="122"/>
      <c r="BY14" s="122"/>
      <c r="BZ14" s="122"/>
      <c r="CA14" s="122"/>
      <c r="CB14" s="122"/>
      <c r="CC14" s="122"/>
      <c r="CD14" s="122"/>
      <c r="CE14" s="122"/>
      <c r="CF14" s="122"/>
      <c r="CG14" s="122"/>
      <c r="CH14" s="122"/>
      <c r="CI14" s="122"/>
      <c r="CJ14" s="122"/>
      <c r="CK14" s="122"/>
      <c r="CL14" s="122"/>
      <c r="CM14" s="122"/>
      <c r="CN14" s="122"/>
      <c r="CO14" s="122"/>
      <c r="CP14" s="122"/>
      <c r="CQ14" s="122"/>
      <c r="CR14" s="122"/>
      <c r="CS14" s="122"/>
      <c r="CT14" s="122"/>
      <c r="CU14" s="122"/>
      <c r="CV14" s="122"/>
      <c r="CW14" s="122"/>
      <c r="CX14" s="122"/>
      <c r="CY14" s="122"/>
      <c r="CZ14" s="122"/>
      <c r="DA14" s="122"/>
      <c r="DB14" s="122"/>
      <c r="DC14" s="122"/>
      <c r="DD14" s="122"/>
      <c r="DE14" s="122"/>
      <c r="DF14" s="122"/>
      <c r="DG14" s="122"/>
      <c r="DH14" s="122"/>
      <c r="DI14" s="122"/>
      <c r="DJ14" s="122"/>
      <c r="DK14" s="122"/>
      <c r="DL14" s="122"/>
      <c r="DM14" s="122"/>
      <c r="DN14" s="122"/>
      <c r="DO14" s="122"/>
      <c r="DP14" s="122"/>
      <c r="DQ14" s="122"/>
      <c r="DR14" s="122"/>
      <c r="DS14" s="122"/>
      <c r="DT14" s="122"/>
      <c r="DU14" s="122"/>
      <c r="DV14" s="122"/>
      <c r="DW14" s="122"/>
      <c r="DX14" s="122"/>
      <c r="DY14" s="122"/>
      <c r="DZ14" s="122"/>
      <c r="EA14" s="122"/>
      <c r="EB14" s="122"/>
      <c r="EC14" s="122"/>
      <c r="ED14" s="122"/>
      <c r="EE14" s="122"/>
      <c r="EF14" s="122"/>
      <c r="EG14" s="122"/>
      <c r="EH14" s="122"/>
      <c r="EI14" s="122"/>
      <c r="EJ14" s="122"/>
      <c r="EK14" s="122"/>
      <c r="EL14" s="122"/>
      <c r="EM14" s="122"/>
      <c r="EN14" s="122"/>
      <c r="EO14" s="122"/>
      <c r="EP14" s="122"/>
      <c r="EQ14" s="122"/>
      <c r="ER14" s="122"/>
      <c r="ES14" s="122"/>
      <c r="ET14" s="122"/>
      <c r="EU14" s="122"/>
      <c r="EV14" s="122"/>
      <c r="EW14" s="122"/>
      <c r="EX14" s="122"/>
      <c r="EY14" s="122"/>
      <c r="EZ14" s="122"/>
      <c r="FA14" s="122"/>
      <c r="FB14" s="122"/>
      <c r="FC14" s="122"/>
      <c r="FD14" s="122"/>
      <c r="FE14" s="122"/>
      <c r="FF14" s="122"/>
      <c r="FG14" s="122"/>
      <c r="FH14" s="122"/>
      <c r="FI14" s="122"/>
      <c r="FJ14" s="122"/>
      <c r="FK14" s="122"/>
      <c r="FL14" s="122"/>
      <c r="FM14" s="122"/>
      <c r="FN14" s="122"/>
      <c r="FO14" s="122"/>
      <c r="FP14" s="122"/>
      <c r="FQ14" s="122"/>
      <c r="FR14" s="122"/>
      <c r="FS14" s="122"/>
      <c r="FT14" s="122"/>
      <c r="FU14" s="122"/>
      <c r="FV14" s="122"/>
      <c r="FW14" s="122"/>
      <c r="FX14" s="122"/>
      <c r="FY14" s="122"/>
      <c r="FZ14" s="122"/>
      <c r="GA14" s="122"/>
      <c r="GB14" s="122"/>
      <c r="GC14" s="122"/>
      <c r="GD14" s="122"/>
      <c r="GE14" s="122"/>
      <c r="GF14" s="122"/>
      <c r="GG14" s="122"/>
      <c r="GH14" s="122"/>
      <c r="GI14" s="122"/>
      <c r="GJ14" s="122"/>
      <c r="GK14" s="122"/>
      <c r="GL14" s="122"/>
      <c r="GM14" s="122"/>
      <c r="GN14" s="122"/>
      <c r="GO14" s="122"/>
      <c r="GP14" s="122"/>
      <c r="GQ14" s="122"/>
      <c r="GR14" s="122"/>
      <c r="GS14" s="122"/>
      <c r="GT14" s="122"/>
      <c r="GU14" s="122"/>
      <c r="GV14" s="122"/>
      <c r="GW14" s="122"/>
      <c r="GX14" s="122"/>
      <c r="GY14" s="122"/>
      <c r="GZ14" s="122"/>
      <c r="HA14" s="122"/>
      <c r="HB14" s="122"/>
      <c r="HC14" s="122"/>
      <c r="HD14" s="122"/>
      <c r="HE14" s="122"/>
      <c r="HF14" s="122"/>
      <c r="HG14" s="122"/>
      <c r="HH14" s="122"/>
      <c r="HI14" s="122"/>
      <c r="HJ14" s="122"/>
      <c r="HK14" s="122"/>
      <c r="HL14" s="122"/>
      <c r="HM14" s="122"/>
      <c r="HN14" s="122"/>
      <c r="HO14" s="122"/>
      <c r="HP14" s="122"/>
      <c r="HQ14" s="122"/>
      <c r="HR14" s="122"/>
      <c r="HS14" s="122"/>
      <c r="HT14" s="122"/>
      <c r="HU14" s="122"/>
      <c r="HV14" s="122"/>
      <c r="HW14" s="122"/>
      <c r="HX14" s="122"/>
      <c r="HY14" s="122"/>
      <c r="HZ14" s="122"/>
      <c r="IA14" s="122"/>
      <c r="IB14" s="122"/>
      <c r="IC14" s="122"/>
      <c r="ID14" s="122"/>
      <c r="IE14" s="122"/>
      <c r="IF14" s="122"/>
      <c r="IG14" s="122"/>
      <c r="IH14" s="122"/>
      <c r="II14" s="122"/>
      <c r="IJ14" s="122"/>
      <c r="IK14" s="122"/>
      <c r="IL14" s="122"/>
      <c r="IM14" s="122"/>
      <c r="IN14" s="122"/>
      <c r="IO14" s="122"/>
      <c r="IP14" s="122"/>
      <c r="IQ14" s="122"/>
      <c r="IR14" s="122"/>
      <c r="IS14" s="122"/>
      <c r="IT14" s="122"/>
      <c r="IU14" s="122"/>
      <c r="IV14" s="122"/>
    </row>
    <row r="15" spans="1:256" ht="13.15" customHeight="1" x14ac:dyDescent="0.2">
      <c r="A15" s="124"/>
      <c r="B15" s="76"/>
      <c r="C15" s="76"/>
      <c r="D15" s="102"/>
      <c r="E15" s="76"/>
      <c r="F15" s="102"/>
      <c r="G15" s="76"/>
      <c r="H15" s="102"/>
      <c r="I15" s="76"/>
      <c r="J15" s="102"/>
      <c r="K15" s="122"/>
      <c r="L15" s="122"/>
      <c r="M15" s="122"/>
      <c r="N15" s="122"/>
      <c r="O15" s="122"/>
      <c r="P15" s="122"/>
      <c r="Q15" s="122"/>
      <c r="R15" s="122"/>
      <c r="S15" s="122"/>
      <c r="T15" s="122"/>
      <c r="U15" s="122"/>
      <c r="V15" s="122"/>
      <c r="W15" s="122"/>
      <c r="X15" s="122"/>
      <c r="Y15" s="122"/>
      <c r="Z15" s="122"/>
      <c r="AA15" s="122"/>
      <c r="AB15" s="122"/>
      <c r="AC15" s="122"/>
      <c r="AD15" s="122"/>
      <c r="AE15" s="122"/>
      <c r="AF15" s="122"/>
      <c r="AG15" s="122"/>
      <c r="AH15" s="122"/>
      <c r="AI15" s="122"/>
      <c r="AJ15" s="122"/>
      <c r="AK15" s="122"/>
      <c r="AL15" s="122"/>
      <c r="AM15" s="122"/>
      <c r="AN15" s="122"/>
      <c r="AO15" s="122"/>
      <c r="AP15" s="122"/>
      <c r="AQ15" s="122"/>
      <c r="AR15" s="122"/>
      <c r="AS15" s="122"/>
      <c r="AT15" s="122"/>
      <c r="AU15" s="122"/>
      <c r="AV15" s="122"/>
      <c r="AW15" s="122"/>
      <c r="AX15" s="122"/>
      <c r="AY15" s="122"/>
      <c r="AZ15" s="122"/>
      <c r="BA15" s="122"/>
      <c r="BB15" s="122"/>
      <c r="BC15" s="122"/>
      <c r="BD15" s="122"/>
      <c r="BE15" s="122"/>
      <c r="BF15" s="122"/>
      <c r="BG15" s="122"/>
      <c r="BH15" s="122"/>
      <c r="BI15" s="122"/>
      <c r="BJ15" s="122"/>
      <c r="BK15" s="122"/>
      <c r="BL15" s="122"/>
      <c r="BM15" s="122"/>
      <c r="BN15" s="122"/>
      <c r="BO15" s="122"/>
      <c r="BP15" s="122"/>
      <c r="BQ15" s="122"/>
      <c r="BR15" s="122"/>
      <c r="BS15" s="122"/>
      <c r="BT15" s="122"/>
      <c r="BU15" s="122"/>
      <c r="BV15" s="122"/>
      <c r="BW15" s="122"/>
      <c r="BX15" s="122"/>
      <c r="BY15" s="122"/>
      <c r="BZ15" s="122"/>
      <c r="CA15" s="122"/>
      <c r="CB15" s="122"/>
      <c r="CC15" s="122"/>
      <c r="CD15" s="122"/>
      <c r="CE15" s="122"/>
      <c r="CF15" s="122"/>
      <c r="CG15" s="122"/>
      <c r="CH15" s="122"/>
      <c r="CI15" s="122"/>
      <c r="CJ15" s="122"/>
      <c r="CK15" s="122"/>
      <c r="CL15" s="122"/>
      <c r="CM15" s="122"/>
      <c r="CN15" s="122"/>
      <c r="CO15" s="122"/>
      <c r="CP15" s="122"/>
      <c r="CQ15" s="122"/>
      <c r="CR15" s="122"/>
      <c r="CS15" s="122"/>
      <c r="CT15" s="122"/>
      <c r="CU15" s="122"/>
      <c r="CV15" s="122"/>
      <c r="CW15" s="122"/>
      <c r="CX15" s="122"/>
      <c r="CY15" s="122"/>
      <c r="CZ15" s="122"/>
      <c r="DA15" s="122"/>
      <c r="DB15" s="122"/>
      <c r="DC15" s="122"/>
      <c r="DD15" s="122"/>
      <c r="DE15" s="122"/>
      <c r="DF15" s="122"/>
      <c r="DG15" s="122"/>
      <c r="DH15" s="122"/>
      <c r="DI15" s="122"/>
      <c r="DJ15" s="122"/>
      <c r="DK15" s="122"/>
      <c r="DL15" s="122"/>
      <c r="DM15" s="122"/>
      <c r="DN15" s="122"/>
      <c r="DO15" s="122"/>
      <c r="DP15" s="122"/>
      <c r="DQ15" s="122"/>
      <c r="DR15" s="122"/>
      <c r="DS15" s="122"/>
      <c r="DT15" s="122"/>
      <c r="DU15" s="122"/>
      <c r="DV15" s="122"/>
      <c r="DW15" s="122"/>
      <c r="DX15" s="122"/>
      <c r="DY15" s="122"/>
      <c r="DZ15" s="122"/>
      <c r="EA15" s="122"/>
      <c r="EB15" s="122"/>
      <c r="EC15" s="122"/>
      <c r="ED15" s="122"/>
      <c r="EE15" s="122"/>
      <c r="EF15" s="122"/>
      <c r="EG15" s="122"/>
      <c r="EH15" s="122"/>
      <c r="EI15" s="122"/>
      <c r="EJ15" s="122"/>
      <c r="EK15" s="122"/>
      <c r="EL15" s="122"/>
      <c r="EM15" s="122"/>
      <c r="EN15" s="122"/>
      <c r="EO15" s="122"/>
      <c r="EP15" s="122"/>
      <c r="EQ15" s="122"/>
      <c r="ER15" s="122"/>
      <c r="ES15" s="122"/>
      <c r="ET15" s="122"/>
      <c r="EU15" s="122"/>
      <c r="EV15" s="122"/>
      <c r="EW15" s="122"/>
      <c r="EX15" s="122"/>
      <c r="EY15" s="122"/>
      <c r="EZ15" s="122"/>
      <c r="FA15" s="122"/>
      <c r="FB15" s="122"/>
      <c r="FC15" s="122"/>
      <c r="FD15" s="122"/>
      <c r="FE15" s="122"/>
      <c r="FF15" s="122"/>
      <c r="FG15" s="122"/>
      <c r="FH15" s="122"/>
      <c r="FI15" s="122"/>
      <c r="FJ15" s="122"/>
      <c r="FK15" s="122"/>
      <c r="FL15" s="122"/>
      <c r="FM15" s="122"/>
      <c r="FN15" s="122"/>
      <c r="FO15" s="122"/>
      <c r="FP15" s="122"/>
      <c r="FQ15" s="122"/>
      <c r="FR15" s="122"/>
      <c r="FS15" s="122"/>
      <c r="FT15" s="122"/>
      <c r="FU15" s="122"/>
      <c r="FV15" s="122"/>
      <c r="FW15" s="122"/>
      <c r="FX15" s="122"/>
      <c r="FY15" s="122"/>
      <c r="FZ15" s="122"/>
      <c r="GA15" s="122"/>
      <c r="GB15" s="122"/>
      <c r="GC15" s="122"/>
      <c r="GD15" s="122"/>
      <c r="GE15" s="122"/>
      <c r="GF15" s="122"/>
      <c r="GG15" s="122"/>
      <c r="GH15" s="122"/>
      <c r="GI15" s="122"/>
      <c r="GJ15" s="122"/>
      <c r="GK15" s="122"/>
      <c r="GL15" s="122"/>
      <c r="GM15" s="122"/>
      <c r="GN15" s="122"/>
      <c r="GO15" s="122"/>
      <c r="GP15" s="122"/>
      <c r="GQ15" s="122"/>
      <c r="GR15" s="122"/>
      <c r="GS15" s="122"/>
      <c r="GT15" s="122"/>
      <c r="GU15" s="122"/>
      <c r="GV15" s="122"/>
      <c r="GW15" s="122"/>
      <c r="GX15" s="122"/>
      <c r="GY15" s="122"/>
      <c r="GZ15" s="122"/>
      <c r="HA15" s="122"/>
      <c r="HB15" s="122"/>
      <c r="HC15" s="122"/>
      <c r="HD15" s="122"/>
      <c r="HE15" s="122"/>
      <c r="HF15" s="122"/>
      <c r="HG15" s="122"/>
      <c r="HH15" s="122"/>
      <c r="HI15" s="122"/>
      <c r="HJ15" s="122"/>
      <c r="HK15" s="122"/>
      <c r="HL15" s="122"/>
      <c r="HM15" s="122"/>
      <c r="HN15" s="122"/>
      <c r="HO15" s="122"/>
      <c r="HP15" s="122"/>
      <c r="HQ15" s="122"/>
      <c r="HR15" s="122"/>
      <c r="HS15" s="122"/>
      <c r="HT15" s="122"/>
      <c r="HU15" s="122"/>
      <c r="HV15" s="122"/>
      <c r="HW15" s="122"/>
      <c r="HX15" s="122"/>
      <c r="HY15" s="122"/>
      <c r="HZ15" s="122"/>
      <c r="IA15" s="122"/>
      <c r="IB15" s="122"/>
      <c r="IC15" s="122"/>
      <c r="ID15" s="122"/>
      <c r="IE15" s="122"/>
      <c r="IF15" s="122"/>
      <c r="IG15" s="122"/>
      <c r="IH15" s="122"/>
      <c r="II15" s="122"/>
      <c r="IJ15" s="122"/>
      <c r="IK15" s="122"/>
      <c r="IL15" s="122"/>
      <c r="IM15" s="122"/>
      <c r="IN15" s="122"/>
      <c r="IO15" s="122"/>
      <c r="IP15" s="122"/>
      <c r="IQ15" s="122"/>
      <c r="IR15" s="122"/>
      <c r="IS15" s="122"/>
      <c r="IT15" s="122"/>
      <c r="IU15" s="122"/>
      <c r="IV15" s="122"/>
    </row>
    <row r="16" spans="1:256" ht="13.15" customHeight="1" x14ac:dyDescent="0.2">
      <c r="A16" s="93" t="s">
        <v>664</v>
      </c>
      <c r="B16" s="76"/>
      <c r="C16" s="76"/>
      <c r="D16" s="102"/>
      <c r="E16" s="76"/>
      <c r="F16" s="102"/>
      <c r="G16" s="76"/>
      <c r="H16" s="102"/>
      <c r="I16" s="76"/>
      <c r="J16" s="102"/>
    </row>
    <row r="17" spans="1:10" ht="13.15" customHeight="1" x14ac:dyDescent="0.2">
      <c r="A17" s="144" t="s">
        <v>665</v>
      </c>
      <c r="B17" s="76">
        <f>IF(B8&lt;DATEVALUE("3/31/2022"),"N/A",ASL0019_C1)</f>
        <v>10477176519</v>
      </c>
      <c r="C17" s="76">
        <f>IF(C8&lt;DATEVALUE("3/31/2022"),"N/A",ASL0019_C2)</f>
        <v>11130762672</v>
      </c>
      <c r="D17" s="102">
        <f>IF(C17="N/A", " ", IF(B17="N/A", " ",IF(AND(B17=0,C17=0,),"N/A",IF(ABS(B17)=0, "N/A", ((C17-B17)/ABS(B17))*100))))</f>
        <v>6.2381897624302116</v>
      </c>
      <c r="E17" s="76">
        <f>IF(E8&lt;DATEVALUE("3/31/2022"),"N/A",ASL0019_C3)</f>
        <v>10801470506</v>
      </c>
      <c r="F17" s="102">
        <f>IF(E17="N/A", " ", IF(C17="N/A", " ",IF(AND(C17=0,E17=0,),"N/A",IF(ABS(C17)=0, "N/A", ((E17-C17)/ABS(C17))*100))))</f>
        <v>-2.9583971530392184</v>
      </c>
      <c r="G17" s="76">
        <f>IF(G8&lt;DATEVALUE("3/31/2022"),"N/A",ASL0019_C4)</f>
        <v>11018976512</v>
      </c>
      <c r="H17" s="102">
        <f>IF(G17="N/A", " ", IF(E17="N/A", " ",IF(AND(E17=0,G17=0,),"N/A",IF(ABS(E17)=0, "N/A", ((G17-E17)/ABS(E17))*100))))</f>
        <v>2.0136703227507753</v>
      </c>
      <c r="I17" s="76">
        <f>IF(I8&lt;DATEVALUE("3/31/2022"),"N/A",ASL0019_C5)</f>
        <v>11357257191</v>
      </c>
      <c r="J17" s="102">
        <f>IF(I17="N/A", " ", IF(G17="N/A", " ",IF(AND(G17=0,I17=0,),"N/A",IF(ABS(G17)=0, "N/A", ((I17-G17)/ABS(G17))*100))))</f>
        <v>3.0699827577597798</v>
      </c>
    </row>
    <row r="18" spans="1:10" ht="13.15" customHeight="1" x14ac:dyDescent="0.2">
      <c r="A18" s="144" t="s">
        <v>666</v>
      </c>
      <c r="B18" s="76">
        <f>IF(B8&lt;DATEVALUE("3/31/2022"),"N/A",ASL0021_C1)</f>
        <v>20137562673</v>
      </c>
      <c r="C18" s="76">
        <f>IF(C8&lt;DATEVALUE("3/31/2022"),"N/A",ASL0021_C2)</f>
        <v>20600017646</v>
      </c>
      <c r="D18" s="102">
        <f>IF(C18="N/A", " ", IF(B18="N/A", " ",IF(AND(B18=0,C18=0,),"N/A",IF(ABS(B18)=0, "N/A", ((C18-B18)/ABS(B18))*100))))</f>
        <v>2.2964793729483928</v>
      </c>
      <c r="E18" s="76">
        <f>IF(E8&lt;DATEVALUE("3/31/2022"),"N/A",ASL0021_C3)</f>
        <v>21242886280</v>
      </c>
      <c r="F18" s="102">
        <f>IF(E18="N/A", " ", IF(C18="N/A", " ",IF(AND(C18=0,E18=0,),"N/A",IF(ABS(C18)=0, "N/A", ((E18-C18)/ABS(C18))*100))))</f>
        <v>3.1207188510580171</v>
      </c>
      <c r="G18" s="76">
        <f>IF(G8&lt;DATEVALUE("3/31/2022"),"N/A",ASL0021_C4)</f>
        <v>21799479237</v>
      </c>
      <c r="H18" s="102">
        <f>IF(G18="N/A", " ", IF(E18="N/A", " ",IF(AND(E18=0,G18=0,),"N/A",IF(ABS(E18)=0, "N/A", ((G18-E18)/ABS(E18))*100))))</f>
        <v>2.6201381001791062</v>
      </c>
      <c r="I18" s="76">
        <f>IF(I8&lt;DATEVALUE("3/31/2022"),"N/A",ASL0021_C5)</f>
        <v>22025504313</v>
      </c>
      <c r="J18" s="102">
        <f>IF(I18="N/A", " ", IF(G18="N/A", " ",IF(AND(G18=0,I18=0,),"N/A",IF(ABS(G18)=0, "N/A", ((I18-G18)/ABS(G18))*100))))</f>
        <v>1.0368370434114329</v>
      </c>
    </row>
    <row r="19" spans="1:10" ht="13.15" customHeight="1" x14ac:dyDescent="0.2">
      <c r="A19" s="144" t="s">
        <v>667</v>
      </c>
      <c r="B19" s="76" cm="1">
        <f t="array" ref="B19">IF(B8&lt;DATEVALUE("3/31/2022"),"N/A",ASL0018_C1)</f>
        <v>814141</v>
      </c>
      <c r="C19" s="76" cm="1">
        <f t="array" ref="C19">IF(C8&lt;DATEVALUE("3/31/2022"),"N/A",ASL0018_C2)</f>
        <v>893727</v>
      </c>
      <c r="D19" s="102">
        <f>IF(C19="N/A", " ", IF(B19="N/A", " ",IF(AND(B19=0,C19=0,),"N/A",IF(ABS(B19)=0, "N/A", ((C19-B19)/ABS(B19))*100))))</f>
        <v>9.7754565855300246</v>
      </c>
      <c r="E19" s="76" cm="1">
        <f t="array" ref="E19">IF(E8&lt;DATEVALUE("3/31/2022"),"N/A",ASL0018_C3)</f>
        <v>751786</v>
      </c>
      <c r="F19" s="102">
        <f>IF(E19="N/A", " ", IF(C19="N/A", " ",IF(AND(C19=0,E19=0,),"N/A",IF(ABS(C19)=0, "N/A", ((E19-C19)/ABS(C19))*100))))</f>
        <v>-15.881919199039526</v>
      </c>
      <c r="G19" s="76" cm="1">
        <f t="array" ref="G19">IF(G8&lt;DATEVALUE("3/31/2022"),"N/A",ASL0018_C4)</f>
        <v>747088</v>
      </c>
      <c r="H19" s="102">
        <f>IF(G19="N/A", " ", IF(E19="N/A", " ",IF(AND(E19=0,G19=0,),"N/A",IF(ABS(E19)=0, "N/A", ((G19-E19)/ABS(E19))*100))))</f>
        <v>-0.62491187651805169</v>
      </c>
      <c r="I19" s="76" cm="1">
        <f t="array" ref="I19">IF(I8&lt;DATEVALUE("3/31/2022"),"N/A",ASL0018_C5)</f>
        <v>621356</v>
      </c>
      <c r="J19" s="102">
        <f>IF(I19="N/A", " ", IF(G19="N/A", " ",IF(AND(G19=0,I19=0,),"N/A",IF(ABS(G19)=0, "N/A", ((I19-G19)/ABS(G19))*100))))</f>
        <v>-16.82961043411218</v>
      </c>
    </row>
    <row r="20" spans="1:10" ht="13.15" customHeight="1" x14ac:dyDescent="0.2">
      <c r="A20" s="144" t="s">
        <v>668</v>
      </c>
      <c r="B20" s="76">
        <f>IF(B8&lt;DATEVALUE("3/31/2022"),"N/A",ASL0020_C1)</f>
        <v>2588206</v>
      </c>
      <c r="C20" s="76">
        <f>IF(C8&lt;DATEVALUE("3/31/2022"),"N/A",ASL0020_C2)</f>
        <v>2538621</v>
      </c>
      <c r="D20" s="102">
        <f>IF(C20="N/A", " ", IF(B20="N/A", " ",IF(AND(B20=0,C20=0,),"N/A",IF(ABS(B20)=0, "N/A", ((C20-B20)/ABS(B20))*100))))</f>
        <v>-1.915805774347173</v>
      </c>
      <c r="E20" s="76">
        <f>IF(E8&lt;DATEVALUE("3/31/2022"),"N/A",ASL0020_C3)</f>
        <v>2981731</v>
      </c>
      <c r="F20" s="102">
        <f>IF(E20="N/A", " ", IF(C20="N/A", " ",IF(AND(C20=0,E20=0,),"N/A",IF(ABS(C20)=0, "N/A", ((E20-C20)/ABS(C20))*100))))</f>
        <v>17.454752009063188</v>
      </c>
      <c r="G20" s="76">
        <f>IF(G8&lt;DATEVALUE("3/31/2022"),"N/A",ASL0020_C4)</f>
        <v>2815556</v>
      </c>
      <c r="H20" s="102">
        <f>IF(G20="N/A", " ", IF(E20="N/A", " ",IF(AND(E20=0,G20=0,),"N/A",IF(ABS(E20)=0, "N/A", ((G20-E20)/ABS(E20))*100))))</f>
        <v>-5.5731050185278281</v>
      </c>
      <c r="I20" s="76">
        <f>IF(I8&lt;DATEVALUE("3/31/2022"),"N/A",ASL0020_C5)</f>
        <v>2794753</v>
      </c>
      <c r="J20" s="102">
        <f>IF(I20="N/A", " ", IF(G20="N/A", " ",IF(AND(G20=0,I20=0,),"N/A",IF(ABS(G20)=0, "N/A", ((I20-G20)/ABS(G20))*100))))</f>
        <v>-0.73885939402377365</v>
      </c>
    </row>
    <row r="21" spans="1:10" ht="13.15" customHeight="1" x14ac:dyDescent="0.2">
      <c r="A21" s="144"/>
      <c r="B21" s="131"/>
      <c r="C21" s="131"/>
      <c r="D21" s="102"/>
      <c r="E21" s="131"/>
      <c r="F21" s="102"/>
      <c r="G21" s="131"/>
      <c r="H21" s="102"/>
      <c r="I21" s="131"/>
      <c r="J21" s="102"/>
    </row>
    <row r="22" spans="1:10" ht="13.15" customHeight="1" x14ac:dyDescent="0.2">
      <c r="A22" s="153" t="s">
        <v>669</v>
      </c>
      <c r="B22" s="76"/>
      <c r="C22" s="76"/>
      <c r="D22" s="102"/>
      <c r="E22" s="76"/>
      <c r="F22" s="102"/>
      <c r="G22" s="76"/>
      <c r="H22" s="102"/>
      <c r="I22" s="76"/>
      <c r="J22" s="102"/>
    </row>
    <row r="23" spans="1:10" ht="13.15" customHeight="1" x14ac:dyDescent="0.2">
      <c r="A23" s="144" t="s">
        <v>670</v>
      </c>
      <c r="B23" s="76">
        <f>IF(B8&lt;DATEVALUE("3/31/2022"),"N/A",ADL0144_C1)</f>
        <v>234655728</v>
      </c>
      <c r="C23" s="76">
        <f>IF(C8&lt;DATEVALUE("3/31/2022"),"N/A",ADL0144_C2)</f>
        <v>229806612</v>
      </c>
      <c r="D23" s="102">
        <f>IF(C23="N/A", " ", IF(B23="N/A", " ",IF(AND(B23=0,C23=0,),"N/A",IF(ABS(B23)=0, "N/A", ((C23-B23)/ABS(B23))*100))))</f>
        <v>-2.0664809852841097</v>
      </c>
      <c r="E23" s="76">
        <f>IF(E8&lt;DATEVALUE("3/31/2022"),"N/A",ADL0144_C3)</f>
        <v>196615361</v>
      </c>
      <c r="F23" s="102">
        <f>IF(E23="N/A", " ", IF(C23="N/A", " ",IF(AND(C23=0,E23=0,),"N/A",IF(ABS(C23)=0, "N/A", ((E23-C23)/ABS(C23))*100))))</f>
        <v>-14.443122724423613</v>
      </c>
      <c r="G23" s="76">
        <f>IF(G8&lt;DATEVALUE("3/31/2022"),"N/A",ADL0144_C4)</f>
        <v>184875341</v>
      </c>
      <c r="H23" s="102">
        <f>IF(G23="N/A", " ", IF(E23="N/A", " ",IF(AND(E23=0,G23=0,),"N/A",IF(ABS(E23)=0, "N/A", ((G23-E23)/ABS(E23))*100))))</f>
        <v>-5.9710594026272439</v>
      </c>
      <c r="I23" s="76">
        <f>IF(I8&lt;DATEVALUE("3/31/2022"),"N/A",ADL0144_C5)</f>
        <v>201871769</v>
      </c>
      <c r="J23" s="102">
        <f>IF(I23="N/A", " ", IF(G23="N/A", " ",IF(AND(G23=0,I23=0,),"N/A",IF(ABS(G23)=0, "N/A", ((I23-G23)/ABS(G23))*100))))</f>
        <v>9.1934532253276551</v>
      </c>
    </row>
    <row r="24" spans="1:10" ht="24" customHeight="1" x14ac:dyDescent="0.2">
      <c r="A24" s="144" t="s">
        <v>671</v>
      </c>
      <c r="B24" s="131">
        <f>IF(B8&lt;DATEVALUE("3/31/2022"),"N/A",IF(ASL0019_C1+ASL0021_C1 = 0,0,(ADL0144_C1/(ASL0019_C1+ASL0021_C1))*100))</f>
        <v>0.76647959183437486</v>
      </c>
      <c r="C24" s="76">
        <f>IF(C8&lt;DATEVALUE("3/31/2022"),"N/A",IF(ASL0019_C2+ASL0021_C2 = 0,0,(ADL0144_C2/(ASL0019_C2+ASL0021_C2))*100))</f>
        <v>0.72423876657592634</v>
      </c>
      <c r="D24" s="102">
        <f>IF(C24="N/A", " ", IF(B24="N/A", " ",IF(AND(B24=0,C24=0,),"N/A",IF(ABS(B24)=0, "N/A", ((C24-B24)/ABS(B24))*100))))</f>
        <v>-5.5110176067905217</v>
      </c>
      <c r="E24" s="76">
        <f>IF(E8&lt;DATEVALUE("3/31/2022"),"N/A",IF(ASL0019_C3+ASL0021_C3 = 0,0,(ADL0144_C3/(ASL0019_C3+ASL0021_C3))*100))</f>
        <v>0.61357249987273932</v>
      </c>
      <c r="F24" s="102">
        <f>IF(E24="N/A", " ", IF(C24="N/A", " ",IF(AND(C24=0,E24=0,),"N/A",IF(ABS(C24)=0, "N/A", ((E24-C24)/ABS(C24))*100))))</f>
        <v>-15.280356673862915</v>
      </c>
      <c r="G24" s="76">
        <f>IF(G8&lt;DATEVALUE("3/31/2022"),"N/A",IF(ASL0019_C4+ASL0021_C4 = 0,0,(ADL0144_C4/(ASL0019_C4+ASL0021_C4))*100))</f>
        <v>0.56332736193912247</v>
      </c>
      <c r="H24" s="102">
        <f>IF(G24="N/A", " ", IF(E24="N/A", " ",IF(AND(E24=0,G24=0,),"N/A",IF(ABS(E24)=0, "N/A", ((G24-E24)/ABS(E24))*100))))</f>
        <v>-8.1889488111084106</v>
      </c>
      <c r="I24" s="76">
        <f>IF(I8&lt;DATEVALUE("3/31/2022"),"N/A",IF(ASL0019_C5+ASL0021_C5 = 0,0,(ADL0144_C5/(ASL0019_C5+ASL0021_C5))*100))</f>
        <v>0.60471860297061186</v>
      </c>
      <c r="J24" s="102">
        <f>IF(I24="N/A", " ", IF(G24="N/A", " ",IF(AND(G24=0,I24=0,),"N/A",IF(ABS(G24)=0, "N/A", ((I24-G24)/ABS(G24))*100))))</f>
        <v>7.347635465284295</v>
      </c>
    </row>
    <row r="25" spans="1:10" ht="13.15" customHeight="1" x14ac:dyDescent="0.2">
      <c r="A25" s="144"/>
      <c r="B25" s="131"/>
      <c r="C25" s="131"/>
      <c r="D25" s="102"/>
      <c r="E25" s="131"/>
      <c r="F25" s="102"/>
      <c r="G25" s="131"/>
      <c r="H25" s="102"/>
      <c r="I25" s="131"/>
      <c r="J25" s="102"/>
    </row>
    <row r="26" spans="1:10" ht="13.15" customHeight="1" x14ac:dyDescent="0.2">
      <c r="A26" s="93" t="s">
        <v>672</v>
      </c>
      <c r="B26" s="131"/>
      <c r="C26" s="131"/>
      <c r="D26" s="102"/>
      <c r="E26" s="131"/>
      <c r="F26" s="102"/>
      <c r="G26" s="131"/>
      <c r="H26" s="102"/>
      <c r="I26" s="131"/>
      <c r="J26" s="102"/>
    </row>
    <row r="27" spans="1:10" ht="13.15" customHeight="1" x14ac:dyDescent="0.2">
      <c r="A27" s="144" t="s">
        <v>673</v>
      </c>
      <c r="B27" s="76">
        <f>IF(B8&lt;DATEVALUE("3/31/2022"),"N/A",ACH0047_C1)</f>
        <v>237666475</v>
      </c>
      <c r="C27" s="76">
        <f>IF(C8&lt;DATEVALUE("3/31/2022"),"N/A",ACH0047_C2)</f>
        <v>302158523</v>
      </c>
      <c r="D27" s="102">
        <f>IF(C27="N/A", " ", IF(B27="N/A", " ",IF(AND(B27=0,C27=0,),"N/A",IF(ABS(B27)=0, "N/A", ((C27*Anu_C2-B27*Anu_C1)/ABS(B27*Anu_C1))*100))))</f>
        <v>-4.6483555368926082</v>
      </c>
      <c r="E27" s="76">
        <f>IF(E8&lt;DATEVALUE("3/31/2022"),"N/A",ACH0047_C3)</f>
        <v>61459747</v>
      </c>
      <c r="F27" s="102">
        <f>IF(E27="N/A", " ", IF(C27="N/A", " ",IF(AND(C27=0,E27=0,),"N/A",IF(ABS(C27)=0, "N/A", ((E27*Anu_C3-C27*Anu_C2)/ABS(C27*Anu_C2))*100))))</f>
        <v>-18.639068804291185</v>
      </c>
      <c r="G27" s="76">
        <f>IF(G8&lt;DATEVALUE("3/31/2022"),"N/A",ACH0047_C4)</f>
        <v>112092909</v>
      </c>
      <c r="H27" s="102">
        <f>IF(G27="N/A", " ", IF(E27="N/A", " ",IF(AND(E27=0,G27=0,),"N/A",IF(ABS(E27)=0, "N/A", ((G27*Anu_C4-E27*Anu_C3)/ABS(E27*Anu_C3))*100))))</f>
        <v>-8.8078665536973322</v>
      </c>
      <c r="I27" s="76">
        <f>IF(I8&lt;DATEVALUE("3/31/2022"),"N/A",ACH0047_C5)</f>
        <v>166105631</v>
      </c>
      <c r="J27" s="102">
        <f>IF(I27="N/A", " ", IF(G27="N/A", " ",IF(AND(G27=0,I27=0,),"N/A",IF(ABS(G27)=0, "N/A", ((I27*Anu_C5-G27*Anu_C4)/ABS(G27*Anu_C4))*100))))</f>
        <v>-1.2095516824054158</v>
      </c>
    </row>
    <row r="28" spans="1:10" ht="13.15" customHeight="1" x14ac:dyDescent="0.2">
      <c r="A28" s="124" t="s">
        <v>674</v>
      </c>
      <c r="B28" s="76">
        <f t="array" ref="B28">IF(B8&lt;DATEVALUE("3/31/2022"),"N/A",ACH0048_C1)</f>
        <v>29827794</v>
      </c>
      <c r="C28" s="76">
        <f>IF(C8&lt;DATEVALUE("3/31/2022"),"N/A",ACH0048_C2)</f>
        <v>38683922</v>
      </c>
      <c r="D28" s="102">
        <f>IF(C28="N/A", " ", IF(B28="N/A", " ",IF(AND(B28=0,C28=0,),"N/A",IF(ABS(B28)=0, "N/A", ((C28*Anu_C2-B28*Anu_C1)/ABS(B28*Anu_C1))*100))))</f>
        <v>-2.7318564021194458</v>
      </c>
      <c r="E28" s="76">
        <f>IF(E8&lt;DATEVALUE("3/31/2022"),"N/A",ACH0048_C3)</f>
        <v>9486199</v>
      </c>
      <c r="F28" s="102">
        <f>IF(E28="N/A", " ", IF(C28="N/A", " ",IF(AND(C28=0,E28=0,),"N/A",IF(ABS(C28)=0, "N/A", ((E28*Anu_C3-C28*Anu_C2)/ABS(C28*Anu_C2))*100))))</f>
        <v>-1.9106801011541694</v>
      </c>
      <c r="G28" s="76">
        <f>IF(G8&lt;DATEVALUE("3/31/2022"),"N/A",ACH0048_C4)</f>
        <v>20507385</v>
      </c>
      <c r="H28" s="102">
        <f>IF(G28="N/A", " ", IF(E28="N/A", " ",IF(AND(E28=0,G28=0,),"N/A",IF(ABS(E28)=0, "N/A", ((G28*Anu_C4-E28*Anu_C3)/ABS(E28*Anu_C3))*100))))</f>
        <v>8.0906325072876921</v>
      </c>
      <c r="I28" s="76">
        <f>IF(I8&lt;DATEVALUE("3/31/2022"),"N/A",ACH0048_C5)</f>
        <v>31362167</v>
      </c>
      <c r="J28" s="102">
        <f>IF(I28="N/A", " ", IF(G28="N/A", " ",IF(AND(G28=0,I28=0,),"N/A",IF(ABS(G28)=0, "N/A", ((I28*Anu_C5-G28*Anu_C4)/ABS(G28*Anu_C4))*100))))</f>
        <v>1.9540586639073294</v>
      </c>
    </row>
    <row r="29" spans="1:10" ht="13.15" customHeight="1" x14ac:dyDescent="0.2">
      <c r="A29" s="124" t="s">
        <v>675</v>
      </c>
      <c r="B29" s="76">
        <f t="array" ref="B29">IF(B8&lt;DATEVALUE("3/31/2022"),"N/A",ACH0047_C1-ACH0048_C1)</f>
        <v>207838681</v>
      </c>
      <c r="C29" s="76">
        <f>IF(C8&lt;DATEVALUE("3/31/2022"),"N/A",ACH0047_C2-ACH0048_C2)</f>
        <v>263474601</v>
      </c>
      <c r="D29" s="102">
        <f>IF(C29="N/A", " ", IF(B29="N/A", " ",IF(AND(B29=0,C29=0,),"N/A",IF(ABS(B29)=0, "N/A", ((C29*Anu_C2-B29*Anu_C1)/ABS(B29*Anu_C1))*100))))</f>
        <v>-4.9234003029493749</v>
      </c>
      <c r="E29" s="76">
        <f>IF(E8&lt;DATEVALUE("3/31/2022"),"N/A",ACH0047_C3-ACH0048_C3)</f>
        <v>51973548</v>
      </c>
      <c r="F29" s="102">
        <f>IF(E29="N/A", " ", IF(C29="N/A", " ",IF(AND(C29=0,E29=0,),"N/A",IF(ABS(C29)=0, "N/A", ((E29*Anu_C3-C29*Anu_C2)/ABS(C29*Anu_C2))*100))))</f>
        <v>-21.095167727381813</v>
      </c>
      <c r="G29" s="76">
        <f>IF(G8&lt;DATEVALUE("3/31/2022"),"N/A",ACH0047_C4-ACH0048_C4)</f>
        <v>91585524</v>
      </c>
      <c r="H29" s="102">
        <f>IF(G29="N/A", " ", IF(E29="N/A", " ",IF(AND(E29=0,G29=0,),"N/A",IF(ABS(E29)=0, "N/A", ((G29*Anu_C4-E29*Anu_C3)/ABS(E29*Anu_C3))*100))))</f>
        <v>-11.892176381724026</v>
      </c>
      <c r="I29" s="76">
        <f>IF(I8&lt;DATEVALUE("3/31/2022"),"N/A",ACH0047_C5-ACH0048_C5)</f>
        <v>134743464</v>
      </c>
      <c r="J29" s="102">
        <f>IF(I29="N/A", " ", IF(G29="N/A", " ",IF(AND(G29=0,I29=0,),"N/A",IF(ABS(G29)=0, "N/A", ((I29*Anu_C5-G29*Anu_C4)/ABS(G29*Anu_C4))*100))))</f>
        <v>-1.9179319212062378</v>
      </c>
    </row>
    <row r="30" spans="1:10" ht="30.75" customHeight="1" x14ac:dyDescent="0.2">
      <c r="A30" s="233" t="s">
        <v>676</v>
      </c>
      <c r="B30" s="131">
        <f>IF(B8&lt;DATEVALUE("3/31/2023"),"N/A",IF(ASL0019_C1+ASL0021_C1+pASL0019_C1+pASL0021_C1=0,0,(((ACH0047_C1-ACH0048_C1)/((ASL0019_C1+ASL0021_C1+pASL0019_C1+pASL0021_C1)/2))*100)*Anu_C1))</f>
        <v>0.89738474461027418</v>
      </c>
      <c r="C30" s="131">
        <f>IF(C8&lt;DATEVALUE("3/31/2023"),"N/A",IF(ASL0019_C2+ASL0021_C2+pASL0019_C2+pASL0021_C2=0,0,(((ACH0047_C2-ACH0048_C2)/((ASL0019_C2+ASL0021_C2+pASL0019_C2+pASL0021_C2)/2))*100)*Anu_C2))</f>
        <v>0.83805897969535836</v>
      </c>
      <c r="D30" s="102">
        <f>IF(C30="N/A", " ", IF(B30="N/A", " ",IF(AND(B30=0,C30=0,),"N/A",IF(ABS(B30)=0, "N/A", ((C30-B30)/ABS(B30))*100))))</f>
        <v>-6.6109620506954831</v>
      </c>
      <c r="E30" s="131">
        <f>IF(E8&lt;DATEVALUE("3/31/2023"),"N/A",IF(ASL0019_C3+ASL0021_C3+pASL0019_C3+pASL0021_C3=0,0,(((ACH0047_C3-ACH0048_C3)/((ASL0019_C3+ASL0021_C3+pASL0019_C3+pASL0021_C3)/2))*100)*Anu_C3))</f>
        <v>0.65196000021444345</v>
      </c>
      <c r="F30" s="102">
        <f>IF(E30="N/A", " ", IF(C30="N/A", " ",IF(AND(C30=0,E30=0,),"N/A",IF(ABS(C30)=0, "N/A", ((E30-C30)/ABS(C30))*100))))</f>
        <v>-22.205952562976357</v>
      </c>
      <c r="G30" s="131">
        <f>IF(G8&lt;DATEVALUE("3/31/2023"),"N/A",IF(ASL0019_C4+ASL0021_C4+pASL0019_C4+pASL0021_C4=0,0,(((ACH0047_C4-ACH0048_C4)/((ASL0019_C4+ASL0021_C4+pASL0019_C4+pASL0021_C4)/2))*100)*Anu_C4))</f>
        <v>0.56753901102679027</v>
      </c>
      <c r="H30" s="102">
        <f>IF(G30="N/A", " ", IF(E30="N/A", " ",IF(AND(E30=0,G30=0,),"N/A",IF(ABS(E30)=0, "N/A", ((G30-E30)/ABS(E30))*100))))</f>
        <v>-12.948798877214143</v>
      </c>
      <c r="I30" s="131">
        <f>IF(I8&lt;DATEVALUE("3/31/2023"),"N/A",IF(ASL0019_C5+ASL0021_C5+pASL0019_C5+pASL0021_C5=0,0,(((ACH0047_C5-ACH0048_C5)/((ASL0019_C5+ASL0021_C5+pASL0019_C5+pASL0021_C5)/2))*100)*Anu_C5))</f>
        <v>0.55182976374139958</v>
      </c>
      <c r="J30" s="102">
        <f>IF(I30="N/A", " ", IF(G30="N/A", " ",IF(AND(G30=0,I30=0,),"N/A",IF(ABS(G30)=0, "N/A", ((I30-G30)/ABS(G30))*100))))</f>
        <v>-2.7679590266349372</v>
      </c>
    </row>
    <row r="31" spans="1:10" ht="13.35" customHeight="1" x14ac:dyDescent="0.2">
      <c r="A31" s="233"/>
      <c r="B31" s="131"/>
      <c r="C31" s="131"/>
      <c r="D31" s="102"/>
      <c r="E31" s="131"/>
      <c r="F31" s="102"/>
      <c r="G31" s="131"/>
      <c r="H31" s="102"/>
      <c r="I31" s="131"/>
      <c r="J31" s="102"/>
    </row>
    <row r="32" spans="1:10" ht="15.75" customHeight="1" x14ac:dyDescent="0.2">
      <c r="A32" s="93" t="s">
        <v>677</v>
      </c>
      <c r="B32" s="76"/>
      <c r="C32" s="76"/>
      <c r="D32" s="102"/>
      <c r="E32" s="76"/>
      <c r="F32" s="102"/>
      <c r="G32" s="76"/>
      <c r="H32" s="102"/>
      <c r="I32" s="76"/>
      <c r="J32" s="102"/>
    </row>
    <row r="33" spans="1:10" ht="13.15" customHeight="1" x14ac:dyDescent="0.2">
      <c r="A33" s="124" t="s">
        <v>678</v>
      </c>
      <c r="B33" s="76">
        <f>IF(B8&lt;=DATEVALUE("6/30/2021"),A616A_C1,IF(B8&lt;=DATEVALUE("12/31/2021"),ASL0017_C1,ASL0023_C1))</f>
        <v>31456003655</v>
      </c>
      <c r="C33" s="76">
        <f>IF(C8&lt;=DATEVALUE("6/30/2021"),A616A_C2,IF(C8&lt;=DATEVALUE("12/31/2021"),ASL0017_C2,ASL0023_C2))</f>
        <v>42251065065</v>
      </c>
      <c r="D33" s="102">
        <f>IF(C33="N/A", " ", IF(B33="N/A", " ",IF(AND(B33=0,C33=0,),"N/A",IF(ABS(B33)=0, "N/A", ((C33-B33)/ABS(B33))*100))))</f>
        <v>34.317968450147042</v>
      </c>
      <c r="E33" s="76">
        <f>IF(E8&lt;=DATEVALUE("6/30/2021"),A616A_C3,IF(E8&lt;=DATEVALUE("12/31/2021"),ASL0017_C3,ASL0023_C3))</f>
        <v>7728897668</v>
      </c>
      <c r="F33" s="102">
        <f>IF(E33="N/A", " ", IF(C33="N/A", " ",IF(AND(C33=0,E33=0,),"N/A",IF(ABS(C33)=0, "N/A", ((E33-C33)/ABS(C33))*100))))</f>
        <v>-81.707212217941276</v>
      </c>
      <c r="G33" s="76">
        <f>IF(G8&lt;=DATEVALUE("6/30/2021"),A616A_C4,IF(G8&lt;=DATEVALUE("12/31/2021"),ASL0017_C4,ASL0023_C4))</f>
        <v>17307429704</v>
      </c>
      <c r="H33" s="102">
        <f>IF(G33="N/A", " ", IF(E33="N/A", " ",IF(AND(E33=0,G33=0,),"N/A",IF(ABS(E33)=0, "N/A", ((G33-E33)/ABS(E33))*100))))</f>
        <v>123.93141231068503</v>
      </c>
      <c r="I33" s="76">
        <f>IF(I8&lt;=DATEVALUE("6/30/2021"),A616A_C5,IF(I8&lt;=DATEVALUE("12/31/2021"),ASL0017_C5,ASL0023_C5))</f>
        <v>29964869952</v>
      </c>
      <c r="J33" s="102">
        <f>IF(I33="N/A", " ", IF(G33="N/A", " ",IF(AND(G33=0,I33=0,),"N/A",IF(ABS(G33)=0, "N/A", ((I33-G33)/ABS(G33))*100))))</f>
        <v>73.132986610222545</v>
      </c>
    </row>
    <row r="34" spans="1:10" ht="13.15" customHeight="1" x14ac:dyDescent="0.2">
      <c r="A34" s="124" t="s">
        <v>679</v>
      </c>
      <c r="B34" s="76">
        <f>A736_C1</f>
        <v>25542343143</v>
      </c>
      <c r="C34" s="76">
        <f>A736_C2</f>
        <v>34676579029</v>
      </c>
      <c r="D34" s="102">
        <f>IF(C34="N/A", " ", IF(B34="N/A", " ",IF(AND(B34=0,C34=0,),"N/A",IF(ABS(B34)=0, "N/A", ((C34-B34)/ABS(B34))*100))))</f>
        <v>35.76115094398957</v>
      </c>
      <c r="E34" s="76">
        <f>A736_C3</f>
        <v>6663243138</v>
      </c>
      <c r="F34" s="102">
        <f>IF(E34="N/A", " ", IF(C34="N/A", " ",IF(AND(C34=0,E34=0,),"N/A",IF(ABS(C34)=0, "N/A", ((E34-C34)/ABS(C34))*100))))</f>
        <v>-80.784600659633881</v>
      </c>
      <c r="G34" s="76">
        <f>A736_C4</f>
        <v>15203437206</v>
      </c>
      <c r="H34" s="102">
        <f>IF(G34="N/A", " ", IF(E34="N/A", " ",IF(AND(E34=0,G34=0,),"N/A",IF(ABS(E34)=0, "N/A", ((G34-E34)/ABS(E34))*100))))</f>
        <v>128.16872941789987</v>
      </c>
      <c r="I34" s="76">
        <f>A736_C5</f>
        <v>24739796878</v>
      </c>
      <c r="J34" s="102">
        <f>IF(I34="N/A", " ", IF(G34="N/A", " ",IF(AND(G34=0,I34=0,),"N/A",IF(ABS(G34)=0, "N/A", ((I34-G34)/ABS(G34))*100))))</f>
        <v>62.725024234891421</v>
      </c>
    </row>
    <row r="35" spans="1:10" ht="13.15" customHeight="1" x14ac:dyDescent="0.2">
      <c r="A35" s="124" t="s">
        <v>680</v>
      </c>
      <c r="B35" s="76">
        <f>A819_C1</f>
        <v>423696294</v>
      </c>
      <c r="C35" s="76">
        <f>A819_C2</f>
        <v>786214848</v>
      </c>
      <c r="D35" s="102">
        <f>IF(C35="N/A", " ", IF(B35="N/A", " ",IF(AND(B35=0,C35=0,),"N/A",IF(ABS(B35)=0, "N/A", ((C35-B35)/ABS(B35))*100))))</f>
        <v>85.560945217991446</v>
      </c>
      <c r="E35" s="76">
        <f>A819_C3</f>
        <v>130283810</v>
      </c>
      <c r="F35" s="102">
        <f>IF(E35="N/A", " ", IF(C35="N/A", " ",IF(AND(C35=0,E35=0,),"N/A",IF(ABS(C35)=0, "N/A", ((E35-C35)/ABS(C35))*100))))</f>
        <v>-83.428981234401718</v>
      </c>
      <c r="G35" s="76">
        <f>A819_C4</f>
        <v>372468786</v>
      </c>
      <c r="H35" s="102">
        <f>IF(G35="N/A", " ", IF(E35="N/A", " ",IF(AND(E35=0,G35=0,),"N/A",IF(ABS(E35)=0, "N/A", ((G35-E35)/ABS(E35))*100))))</f>
        <v>185.89030824321148</v>
      </c>
      <c r="I35" s="76">
        <f>A819_C5</f>
        <v>746904725</v>
      </c>
      <c r="J35" s="102">
        <f>IF(I35="N/A", " ", IF(G35="N/A", " ",IF(AND(G35=0,I35=0,),"N/A",IF(ABS(G35)=0, "N/A", ((I35-G35)/ABS(G35))*100))))</f>
        <v>100.52813902102389</v>
      </c>
    </row>
    <row r="36" spans="1:10" x14ac:dyDescent="0.2">
      <c r="A36" s="124" t="s">
        <v>681</v>
      </c>
      <c r="B36" s="76">
        <f>IF(B8&lt;DATEVALUE("3/31/2022"),"N/A",ASL0029_C1)</f>
        <v>20897980979</v>
      </c>
      <c r="C36" s="76">
        <f>IF(C8&lt;DATEVALUE("3/31/2022"),"N/A",ASL0029_C2)</f>
        <v>28116940645</v>
      </c>
      <c r="D36" s="102">
        <f>IF(C36="N/A", " ", IF(B36="N/A", " ",IF(AND(B36=0,C36=0,),"N/A",IF(ABS(B36)=0, "N/A", ((C36-B36)/ABS(B36))*100))))</f>
        <v>34.543813937117662</v>
      </c>
      <c r="E36" s="76">
        <f>IF(E8&lt;DATEVALUE("3/31/2022"),"N/A",ASL0029_C3)</f>
        <v>5495660573</v>
      </c>
      <c r="F36" s="102">
        <f>IF(E36="N/A", " ", IF(C36="N/A", " ",IF(AND(C36=0,E36=0,),"N/A",IF(ABS(C36)=0, "N/A", ((E36-C36)/ABS(C36))*100))))</f>
        <v>-80.454272595346225</v>
      </c>
      <c r="G36" s="76">
        <f>IF(G8&lt;DATEVALUE("3/31/2022"),"N/A",ASL0029_C4)</f>
        <v>12004409102</v>
      </c>
      <c r="H36" s="102">
        <f>IF(G36="N/A", " ", IF(E36="N/A", " ",IF(AND(E36=0,G36=0,),"N/A",IF(ABS(E36)=0, "N/A", ((G36-E36)/ABS(E36))*100))))</f>
        <v>118.43432545629307</v>
      </c>
      <c r="I36" s="76">
        <f>IF(I8&lt;DATEVALUE("3/31/2022"),"N/A",ASL0029_C5)</f>
        <v>19473598950</v>
      </c>
      <c r="J36" s="102">
        <f>IF(I36="N/A", " ", IF(G36="N/A", " ",IF(AND(G36=0,I36=0,),"N/A",IF(ABS(G36)=0, "N/A", ((I36-G36)/ABS(G36))*100))))</f>
        <v>62.220387397123879</v>
      </c>
    </row>
    <row r="37" spans="1:10" x14ac:dyDescent="0.2">
      <c r="A37" s="124" t="s">
        <v>682</v>
      </c>
      <c r="B37" s="76">
        <f>IF(B8&lt;DATEVALUE("3/31/2022"),"N/A",ASL0033_C1)</f>
        <v>2326963538</v>
      </c>
      <c r="C37" s="76">
        <f>IF(C8&lt;DATEVALUE("3/31/2022"),"N/A",ASL0033_C2)</f>
        <v>2639472340</v>
      </c>
      <c r="D37" s="102">
        <f>IF(C37="N/A", " ", IF(B37="N/A", " ",IF(AND(B37=0,C37=0,),"N/A",IF(ABS(B37)=0, "N/A", ((C37-B37)/ABS(B37))*100))))</f>
        <v>13.42989681173079</v>
      </c>
      <c r="E37" s="76">
        <f>IF(E8&lt;DATEVALUE("3/31/2022"),"N/A",ASL0033_C3)</f>
        <v>306296193</v>
      </c>
      <c r="F37" s="102">
        <f>IF(E37="N/A", " ", IF(C37="N/A", " ",IF(AND(C37=0,E37=0,),"N/A",IF(ABS(C37)=0, "N/A", ((E37-C37)/ABS(C37))*100))))</f>
        <v>-88.395552082201405</v>
      </c>
      <c r="G37" s="76">
        <f>IF(G8&lt;DATEVALUE("3/31/2022"),"N/A",ASL0033_C4)</f>
        <v>460954636</v>
      </c>
      <c r="H37" s="102">
        <f>IF(G37="N/A", " ", IF(E37="N/A", " ",IF(AND(E37=0,G37=0,),"N/A",IF(ABS(E37)=0, "N/A", ((G37-E37)/ABS(E37))*100))))</f>
        <v>50.493099990962023</v>
      </c>
      <c r="I37" s="76">
        <f>IF(I8&lt;DATEVALUE("3/31/2022"),"N/A",ASL0033_C5)</f>
        <v>2382224119</v>
      </c>
      <c r="J37" s="102">
        <f>IF(I37="N/A", " ", IF(G37="N/A", " ",IF(AND(G37=0,I37=0,),"N/A",IF(ABS(G37)=0, "N/A", ((I37-G37)/ABS(G37))*100))))</f>
        <v>416.80229093085853</v>
      </c>
    </row>
    <row r="38" spans="1:10" x14ac:dyDescent="0.2">
      <c r="A38" s="233"/>
      <c r="B38" s="131"/>
      <c r="C38" s="131"/>
      <c r="D38" s="102"/>
      <c r="E38" s="131"/>
      <c r="F38" s="102"/>
      <c r="G38" s="131"/>
      <c r="H38" s="102"/>
      <c r="I38" s="131"/>
      <c r="J38" s="102"/>
    </row>
    <row r="39" spans="1:10" ht="13.15" customHeight="1" x14ac:dyDescent="0.2">
      <c r="A39" s="153" t="s">
        <v>683</v>
      </c>
      <c r="B39" s="76"/>
      <c r="C39" s="76"/>
      <c r="D39" s="102"/>
      <c r="E39" s="76"/>
      <c r="F39" s="102"/>
      <c r="G39" s="131"/>
      <c r="H39" s="102"/>
      <c r="I39" s="131"/>
      <c r="J39" s="102"/>
    </row>
    <row r="40" spans="1:10" ht="13.15" customHeight="1" x14ac:dyDescent="0.2">
      <c r="A40" s="124" t="s">
        <v>678</v>
      </c>
      <c r="B40" s="76" cm="1">
        <f t="array" ref="B40">IF(B8&lt;DATEVALUE("3/31/2022"),"N/A",ASL0022_C1)</f>
        <v>269014</v>
      </c>
      <c r="C40" s="76">
        <f>IF(C8&lt;DATEVALUE("3/31/2022"),"N/A",ASL0022_C2)</f>
        <v>362428</v>
      </c>
      <c r="D40" s="102">
        <f>IF(C40="N/A", " ", IF(B40="N/A", " ",IF(AND(B40=0,C40=0,),"N/A",IF(ABS(B40)=0, "N/A", ((C40-B40)/ABS(B40))*100))))</f>
        <v>34.724586824477541</v>
      </c>
      <c r="E40" s="76">
        <f>IF(E8&lt;DATEVALUE("3/31/2022"),"N/A",ASL0022_C3)</f>
        <v>37313</v>
      </c>
      <c r="F40" s="102">
        <f>IF(E40="N/A", " ", IF(C40="N/A", " ",IF(AND(C40=0,E40=0,),"N/A",IF(ABS(C40)=0, "N/A", ((E40-C40)/ABS(C40))*100))))</f>
        <v>-89.704713763837233</v>
      </c>
      <c r="G40" s="76">
        <f>IF(G8&lt;DATEVALUE("3/31/2022"),"N/A",ASL0022_C4)</f>
        <v>90255</v>
      </c>
      <c r="H40" s="102">
        <f>IF(G40="N/A", " ", IF(E40="N/A", " ",IF(AND(E40=0,G40=0,),"N/A",IF(ABS(E40)=0, "N/A", ((G40-E40)/ABS(E40))*100))))</f>
        <v>141.88620587998821</v>
      </c>
      <c r="I40" s="76">
        <f>IF(I8&lt;DATEVALUE("3/31/2022"),"N/A",ASL0022_C5)</f>
        <v>225650</v>
      </c>
      <c r="J40" s="102">
        <f>IF(I40="N/A", " ", IF(G40="N/A", " ",IF(AND(G40=0,I40=0,),"N/A",IF(ABS(G40)=0, "N/A", ((I40-G40)/ABS(G40))*100))))</f>
        <v>150.01384964821892</v>
      </c>
    </row>
    <row r="41" spans="1:10" ht="17.25" customHeight="1" x14ac:dyDescent="0.2">
      <c r="A41" s="124" t="s">
        <v>679</v>
      </c>
      <c r="B41" s="76">
        <f>IF(B8&lt;DATEVALUE("3/31/2022"),"N/A",ASL0024_C1)</f>
        <v>85035</v>
      </c>
      <c r="C41" s="76">
        <f>IF(C8&lt;DATEVALUE("3/31/2022"),"N/A",ASL0024_C2)</f>
        <v>116082</v>
      </c>
      <c r="D41" s="102">
        <f>IF(C41="N/A", " ", IF(B41="N/A", " ",IF(AND(B41=0,C41=0,),"N/A",IF(ABS(B41)=0, "N/A", ((C41-B41)/ABS(B41))*100))))</f>
        <v>36.510848474157697</v>
      </c>
      <c r="E41" s="76">
        <f>IF(E8&lt;DATEVALUE("3/31/2022"),"N/A",ASL0024_C3)</f>
        <v>22642</v>
      </c>
      <c r="F41" s="102">
        <f>IF(E41="N/A", " ", IF(C41="N/A", " ",IF(AND(C41=0,E41=0,),"N/A",IF(ABS(C41)=0, "N/A", ((E41-C41)/ABS(C41))*100))))</f>
        <v>-80.494822625385495</v>
      </c>
      <c r="G41" s="76">
        <f>IF(G8&lt;DATEVALUE("3/31/2022"),"N/A",ASL0024_C4)</f>
        <v>51232</v>
      </c>
      <c r="H41" s="102">
        <f>IF(G41="N/A", " ", IF(E41="N/A", " ",IF(AND(E41=0,G41=0,),"N/A",IF(ABS(E41)=0, "N/A", ((G41-E41)/ABS(E41))*100))))</f>
        <v>126.26976415510998</v>
      </c>
      <c r="I41" s="76">
        <f>IF(I8&lt;DATEVALUE("3/31/2022"),"N/A",ASL0024_C5)</f>
        <v>83961</v>
      </c>
      <c r="J41" s="102">
        <f>IF(I41="N/A", " ", IF(G41="N/A", " ",IF(AND(G41=0,I41=0,),"N/A",IF(ABS(G41)=0, "N/A", ((I41-G41)/ABS(G41))*100))))</f>
        <v>63.883900687070586</v>
      </c>
    </row>
    <row r="42" spans="1:10" x14ac:dyDescent="0.2">
      <c r="A42" s="124" t="s">
        <v>680</v>
      </c>
      <c r="B42" s="76">
        <f>IF(B8&lt;DATEVALUE("3/31/2022"),"N/A",ASL0026_C1)</f>
        <v>1948</v>
      </c>
      <c r="C42" s="76">
        <f>IF(C8&lt;DATEVALUE("3/31/2022"),"N/A",ASL0026_C2)</f>
        <v>3496</v>
      </c>
      <c r="D42" s="102">
        <f>IF(C42="N/A", " ", IF(B42="N/A", " ",IF(AND(B42=0,C42=0,),"N/A",IF(ABS(B42)=0, "N/A", ((C42-B42)/ABS(B42))*100))))</f>
        <v>79.466119096509232</v>
      </c>
      <c r="E42" s="76">
        <f>IF(E8&lt;DATEVALUE("3/31/2022"),"N/A",ASL0026_C3)</f>
        <v>376</v>
      </c>
      <c r="F42" s="102">
        <f>IF(E42="N/A", " ", IF(C42="N/A", " ",IF(AND(C42=0,E42=0,),"N/A",IF(ABS(C42)=0, "N/A", ((E42-C42)/ABS(C42))*100))))</f>
        <v>-89.244851258581235</v>
      </c>
      <c r="G42" s="76">
        <f>IF(G8&lt;DATEVALUE("3/31/2022"),"N/A",ASL0026_C4)</f>
        <v>7969</v>
      </c>
      <c r="H42" s="102">
        <f>IF(G42="N/A", " ", IF(E42="N/A", " ",IF(AND(E42=0,G42=0,),"N/A",IF(ABS(E42)=0, "N/A", ((G42-E42)/ABS(E42))*100))))</f>
        <v>2019.4148936170211</v>
      </c>
      <c r="I42" s="76">
        <f>IF(I8&lt;DATEVALUE("3/31/2022"),"N/A",ASL0026_C5)</f>
        <v>9323</v>
      </c>
      <c r="J42" s="102">
        <f>IF(I42="N/A", " ", IF(G42="N/A", " ",IF(AND(G42=0,I42=0,),"N/A",IF(ABS(G42)=0, "N/A", ((I42-G42)/ABS(G42))*100))))</f>
        <v>16.990839503074415</v>
      </c>
    </row>
    <row r="43" spans="1:10" x14ac:dyDescent="0.2">
      <c r="A43" s="124" t="s">
        <v>681</v>
      </c>
      <c r="B43" s="76">
        <f>IF(B8&lt;DATEVALUE("3/31/2022"),"N/A",ASL0028_C1)</f>
        <v>68488</v>
      </c>
      <c r="C43" s="76">
        <f>IF(C8&lt;DATEVALUE("3/31/2022"),"N/A",ASL0028_C2)</f>
        <v>92137</v>
      </c>
      <c r="D43" s="102">
        <f>IF(C43="N/A", " ", IF(B43="N/A", " ",IF(AND(B43=0,C43=0,),"N/A",IF(ABS(B43)=0, "N/A", ((C43-B43)/ABS(B43))*100))))</f>
        <v>34.530136666277308</v>
      </c>
      <c r="E43" s="76">
        <f>IF(E8&lt;DATEVALUE("3/31/2022"),"N/A",ASL0028_C3)</f>
        <v>18476</v>
      </c>
      <c r="F43" s="102">
        <f>IF(E43="N/A", " ", IF(C43="N/A", " ",IF(AND(C43=0,E43=0,),"N/A",IF(ABS(C43)=0, "N/A", ((E43-C43)/ABS(C43))*100))))</f>
        <v>-79.947252461009143</v>
      </c>
      <c r="G43" s="76">
        <f>IF(G8&lt;DATEVALUE("3/31/2022"),"N/A",ASL0028_C4)</f>
        <v>39677</v>
      </c>
      <c r="H43" s="102">
        <f>IF(G43="N/A", " ", IF(E43="N/A", " ",IF(AND(E43=0,G43=0,),"N/A",IF(ABS(E43)=0, "N/A", ((G43-E43)/ABS(E43))*100))))</f>
        <v>114.74886339034423</v>
      </c>
      <c r="I43" s="76">
        <f>IF(I8&lt;DATEVALUE("3/31/2022"),"N/A",ASL0028_C5)</f>
        <v>65107</v>
      </c>
      <c r="J43" s="102">
        <f>IF(I43="N/A", " ", IF(G43="N/A", " ",IF(AND(G43=0,I43=0,),"N/A",IF(ABS(G43)=0, "N/A", ((I43-G43)/ABS(G43))*100))))</f>
        <v>64.092547319605814</v>
      </c>
    </row>
    <row r="44" spans="1:10" x14ac:dyDescent="0.2">
      <c r="A44" s="124" t="s">
        <v>682</v>
      </c>
      <c r="B44" s="76">
        <f>IF(B8&lt;DATEVALUE("3/31/2022"),"N/A",ASL0032_C1)</f>
        <v>89767</v>
      </c>
      <c r="C44" s="76">
        <f>IF(C8&lt;DATEVALUE("3/31/2022"),"N/A",ASL0032_C2)</f>
        <v>114100</v>
      </c>
      <c r="D44" s="102">
        <f>IF(C44="N/A", " ", IF(B44="N/A", " ",IF(AND(B44=0,C44=0,),"N/A",IF(ABS(B44)=0, "N/A", ((C44-B44)/ABS(B44))*100))))</f>
        <v>27.10684327202647</v>
      </c>
      <c r="E44" s="76">
        <f>IF(E8&lt;DATEVALUE("3/31/2022"),"N/A",ASL0032_C3)</f>
        <v>8168</v>
      </c>
      <c r="F44" s="102">
        <f>IF(E44="N/A", " ", IF(C44="N/A", " ",IF(AND(C44=0,E44=0,),"N/A",IF(ABS(C44)=0, "N/A", ((E44-C44)/ABS(C44))*100))))</f>
        <v>-92.841367221735311</v>
      </c>
      <c r="G44" s="76">
        <f>IF(G8&lt;DATEVALUE("3/31/2022"),"N/A",ASL0032_C4)</f>
        <v>12425</v>
      </c>
      <c r="H44" s="102">
        <f>IF(G44="N/A", " ", IF(E44="N/A", " ",IF(AND(E44=0,G44=0,),"N/A",IF(ABS(E44)=0, "N/A", ((G44-E44)/ABS(E44))*100))))</f>
        <v>52.118021547502444</v>
      </c>
      <c r="I44" s="76">
        <f>IF(I8&lt;DATEVALUE("3/31/2022"),"N/A",ASL0032_C5)</f>
        <v>84348</v>
      </c>
      <c r="J44" s="102">
        <f>IF(I44="N/A", " ", IF(G44="N/A", " ",IF(AND(G44=0,I44=0,),"N/A",IF(ABS(G44)=0, "N/A", ((I44-G44)/ABS(G44))*100))))</f>
        <v>578.85714285714278</v>
      </c>
    </row>
    <row r="45" spans="1:10" x14ac:dyDescent="0.2">
      <c r="A45" s="124"/>
      <c r="B45" s="131"/>
      <c r="C45" s="131"/>
      <c r="D45" s="102"/>
      <c r="E45" s="131"/>
      <c r="F45" s="102"/>
      <c r="G45" s="131"/>
      <c r="H45" s="102"/>
      <c r="I45" s="131"/>
      <c r="J45" s="102"/>
    </row>
    <row r="46" spans="1:10" x14ac:dyDescent="0.2">
      <c r="A46" s="93" t="s">
        <v>684</v>
      </c>
      <c r="B46" s="131"/>
      <c r="C46" s="131"/>
      <c r="D46" s="102"/>
      <c r="E46" s="131"/>
      <c r="F46" s="102"/>
      <c r="G46" s="131"/>
      <c r="H46" s="102"/>
      <c r="I46" s="131"/>
      <c r="J46" s="102"/>
    </row>
    <row r="47" spans="1:10" ht="13.15" customHeight="1" x14ac:dyDescent="0.2">
      <c r="A47" s="144" t="s">
        <v>685</v>
      </c>
      <c r="B47" s="76">
        <f>IF(B8&lt;DATEVALUE("3/31/2022"),"N/A",A779A_C1)</f>
        <v>262425907694</v>
      </c>
      <c r="C47" s="76">
        <f>IF(C8&lt;DATEVALUE("3/31/2022"),"N/A",A779A_C2)</f>
        <v>261944013027</v>
      </c>
      <c r="D47" s="102">
        <f>IF(C47="N/A", " ", IF(B47="N/A", " ",IF(AND(B47=0,C47=0,),"N/A",IF(ABS(B47)=0, "N/A", ((C47-B47)/ABS(B47))*100))))</f>
        <v>-0.18363075171751339</v>
      </c>
      <c r="E47" s="76">
        <f>IF(E8&lt;DATEVALUE("3/31/2022"),"N/A",A779A_C3)</f>
        <v>262119972536</v>
      </c>
      <c r="F47" s="102">
        <f>IF(E47="N/A", " ", IF(C47="N/A", " ",IF(AND(C47=0,E47=0,),"N/A",IF(ABS(C47)=0, "N/A", ((E47-C47)/ABS(C47))*100))))</f>
        <v>6.7174472501443608E-2</v>
      </c>
      <c r="G47" s="76">
        <f>IF(G8&lt;DATEVALUE("3/31/2022"),"N/A",A779A_C4)</f>
        <v>262587956506</v>
      </c>
      <c r="H47" s="102">
        <f>IF(G47="N/A", " ", IF(E47="N/A", " ",IF(AND(E47=0,G47=0,),"N/A",IF(ABS(E47)=0, "N/A", ((G47-E47)/ABS(E47))*100))))</f>
        <v>0.17853808142594946</v>
      </c>
      <c r="I47" s="76">
        <f>IF(I8&lt;DATEVALUE("3/31/2022"),"N/A",A779A_C5)</f>
        <v>263736556031</v>
      </c>
      <c r="J47" s="102">
        <f>IF(I47="N/A", " ", IF(G47="N/A", " ",IF(AND(G47=0,I47=0,),"N/A",IF(ABS(G47)=0, "N/A", ((I47-G47)/ABS(G47))*100))))</f>
        <v>0.43741515806104958</v>
      </c>
    </row>
    <row r="48" spans="1:10" ht="13.15" customHeight="1" x14ac:dyDescent="0.2">
      <c r="A48" s="124" t="s">
        <v>686</v>
      </c>
      <c r="B48" s="76">
        <f>IF(B8&lt;DATEVALUE("3/31/2022"),"N/A",ASL0035_C1)</f>
        <v>4525117590</v>
      </c>
      <c r="C48" s="76">
        <f>IF(C8&lt;DATEVALUE("3/31/2022"),"N/A",ASL0035_C2)</f>
        <v>4712771585</v>
      </c>
      <c r="D48" s="102">
        <f>IF(C48="N/A", " ", IF(B48="N/A", " ",IF(AND(B48=0,C48=0,),"N/A",IF(ABS(B48)=0, "N/A", ((C48-B48)/ABS(B48))*100))))</f>
        <v>4.1469418477587014</v>
      </c>
      <c r="E48" s="76">
        <f>IF(E8&lt;DATEVALUE("3/31/2022"),"N/A",ASL0035_C3)</f>
        <v>4371846583</v>
      </c>
      <c r="F48" s="102">
        <f>IF(E48="N/A", " ", IF(C48="N/A", " ",IF(AND(C48=0,E48=0,),"N/A",IF(ABS(C48)=0, "N/A", ((E48-C48)/ABS(C48))*100))))</f>
        <v>-7.2340658962787394</v>
      </c>
      <c r="G48" s="76">
        <f>IF(G8&lt;DATEVALUE("3/31/2022"),"N/A",ASL0035_C4)</f>
        <v>4169771251</v>
      </c>
      <c r="H48" s="102">
        <f>IF(G48="N/A", " ", IF(E48="N/A", " ",IF(AND(E48=0,G48=0,),"N/A",IF(ABS(E48)=0, "N/A", ((G48-E48)/ABS(E48))*100))))</f>
        <v>-4.6221963228484135</v>
      </c>
      <c r="I48" s="76">
        <f>IF(I8&lt;DATEVALUE("3/31/2022"),"N/A",ASL0035_C5)</f>
        <v>5463842053</v>
      </c>
      <c r="J48" s="102">
        <f>IF(I48="N/A", " ", IF(G48="N/A", " ",IF(AND(G48=0,I48=0,),"N/A",IF(ABS(G48)=0, "N/A", ((I48-G48)/ABS(G48))*100))))</f>
        <v>31.034575378437228</v>
      </c>
    </row>
    <row r="49" spans="1:10" ht="13.15" customHeight="1" x14ac:dyDescent="0.2">
      <c r="A49" s="34" t="s">
        <v>687</v>
      </c>
      <c r="B49" s="76" cm="1">
        <f t="array" ref="B49">IF(B8&lt;DATEVALUE("3/31/2022"),"N/A",ASL0030_C1)</f>
        <v>1450325</v>
      </c>
      <c r="C49" s="76" cm="1">
        <f t="array" ref="C49">IF(C8&lt;DATEVALUE("3/31/2022"),"N/A",ASL0030_C2)</f>
        <v>1447122</v>
      </c>
      <c r="D49" s="57">
        <f>IF(C49="N/A", " ", IF(B49="N/A", " ",IF(AND(B49=0,C49=0,),"N/A",IF(ABS(B49)=0, "N/A", ((C49-B49)/ABS(B49))*100))))</f>
        <v>-0.22084705152293449</v>
      </c>
      <c r="E49" s="76" cm="1">
        <f t="array" ref="E49">IF(E8&lt;DATEVALUE("3/31/2022"),"N/A",ASL0030_C3)</f>
        <v>1450618</v>
      </c>
      <c r="F49" s="102">
        <f>IF(E49="N/A", " ", IF(C49="N/A", " ",IF(AND(C49=0,E49=0,),"N/A",IF(ABS(C49)=0, "N/A", ((E49-C49)/ABS(C49))*100))))</f>
        <v>0.2415829487769518</v>
      </c>
      <c r="G49" s="76" cm="1">
        <f t="array" ref="G49">IF(G8&lt;DATEVALUE("3/31/2022"),"N/A",ASL0030_C4)</f>
        <v>1441899</v>
      </c>
      <c r="H49" s="102">
        <f>IF(G49="N/A", " ", IF(E49="N/A", " ",IF(AND(E49=0,G49=0,),"N/A",IF(ABS(E49)=0, "N/A", ((G49-E49)/ABS(E49))*100))))</f>
        <v>-0.60105417139453665</v>
      </c>
      <c r="I49" s="76" cm="1">
        <f t="array" ref="I49">IF(I8&lt;DATEVALUE("3/31/2022"),"N/A",ASL0030_C5)</f>
        <v>1444366</v>
      </c>
      <c r="J49" s="102">
        <f>IF(I49="N/A", " ", IF(G49="N/A", " ",IF(AND(G49=0,I49=0,),"N/A",IF(ABS(G49)=0, "N/A", ((I49-G49)/ABS(G49))*100))))</f>
        <v>0.17109381447660341</v>
      </c>
    </row>
    <row r="50" spans="1:10" ht="13.15" customHeight="1" x14ac:dyDescent="0.2">
      <c r="A50" s="34" t="s">
        <v>688</v>
      </c>
      <c r="B50" s="76">
        <f>IF(B8&lt;DATEVALUE("3/31/2022"),"N/A",ASL0034_C1)</f>
        <v>204086</v>
      </c>
      <c r="C50" s="76">
        <f>IF(C8&lt;DATEVALUE("3/31/2022"),"N/A",ASL0034_C2)</f>
        <v>212404</v>
      </c>
      <c r="D50" s="102">
        <f>IF(C50="N/A", " ", IF(B50="N/A", " ",IF(AND(B50=0,C50=0,),"N/A",IF(ABS(B50)=0, "N/A", ((C50-B50)/ABS(B50))*100))))</f>
        <v>4.075732779318523</v>
      </c>
      <c r="E50" s="76">
        <f>IF(E8&lt;DATEVALUE("3/31/2022"),"N/A",ASL0034_C3)</f>
        <v>201198</v>
      </c>
      <c r="F50" s="102">
        <f>IF(E50="N/A", " ", IF(C50="N/A", " ",IF(AND(C50=0,E50=0,),"N/A",IF(ABS(C50)=0, "N/A", ((E50-C50)/ABS(C50))*100))))</f>
        <v>-5.2757951827649201</v>
      </c>
      <c r="G50" s="76">
        <f>IF(G8&lt;DATEVALUE("3/31/2022"),"N/A",ASL0034_C4)</f>
        <v>178935</v>
      </c>
      <c r="H50" s="102">
        <f>IF(G50="N/A", " ", IF(E50="N/A", " ",IF(AND(E50=0,G50=0,),"N/A",IF(ABS(E50)=0, "N/A", ((G50-E50)/ABS(E50))*100))))</f>
        <v>-11.065219336176305</v>
      </c>
      <c r="I50" s="76">
        <f>IF(I8&lt;DATEVALUE("3/31/2022"),"N/A",ASL0034_C5)</f>
        <v>234308</v>
      </c>
      <c r="J50" s="102">
        <f>IF(I50="N/A", " ", IF(G50="N/A", " ",IF(AND(G50=0,I50=0,),"N/A",IF(ABS(G50)=0, "N/A", ((I50-G50)/ABS(G50))*100))))</f>
        <v>30.945874200128536</v>
      </c>
    </row>
    <row r="52" spans="1:10" x14ac:dyDescent="0.2">
      <c r="A52" s="234" t="s">
        <v>655</v>
      </c>
      <c r="B52" s="175"/>
      <c r="C52" s="175"/>
      <c r="D52" s="186"/>
      <c r="E52" s="175"/>
      <c r="F52" s="186"/>
      <c r="G52" s="175"/>
      <c r="H52" s="186"/>
      <c r="I52" s="175"/>
      <c r="J52" s="186"/>
    </row>
    <row r="53" spans="1:10" x14ac:dyDescent="0.2">
      <c r="A53" s="189" t="s">
        <v>636</v>
      </c>
      <c r="B53" s="107"/>
      <c r="C53" s="107"/>
      <c r="D53" s="102"/>
      <c r="E53" s="107"/>
      <c r="F53" s="102"/>
      <c r="G53" s="107"/>
      <c r="H53" s="213"/>
      <c r="I53" s="100"/>
      <c r="J53" s="184" t="s">
        <v>689</v>
      </c>
    </row>
    <row r="54" spans="1:10" x14ac:dyDescent="0.2">
      <c r="A54" s="81"/>
      <c r="B54" s="107"/>
      <c r="C54" s="107"/>
      <c r="D54" s="102"/>
      <c r="E54" s="107"/>
      <c r="F54" s="102"/>
      <c r="G54" s="107"/>
      <c r="H54" s="102"/>
      <c r="I54" s="107"/>
      <c r="J54" s="102"/>
    </row>
    <row r="55" spans="1:10" x14ac:dyDescent="0.2">
      <c r="A55" s="10"/>
      <c r="B55" s="10"/>
      <c r="C55" s="10"/>
      <c r="D55" s="10"/>
      <c r="E55" s="10"/>
      <c r="F55" s="10"/>
      <c r="G55" s="10"/>
      <c r="I55" s="83"/>
      <c r="J55" s="188"/>
    </row>
    <row r="56" spans="1:10" x14ac:dyDescent="0.2">
      <c r="A56" s="6"/>
      <c r="B56" s="6"/>
      <c r="C56" s="6"/>
      <c r="D56" s="6"/>
      <c r="E56" s="6"/>
      <c r="F56" s="6"/>
      <c r="G56" s="6"/>
      <c r="H56" s="64"/>
      <c r="I56" s="29"/>
      <c r="J56" s="69"/>
    </row>
  </sheetData>
  <mergeCells count="3">
    <mergeCell ref="D5:J5"/>
    <mergeCell ref="A55:G55"/>
    <mergeCell ref="A56:G56"/>
  </mergeCells>
  <hyperlinks>
    <hyperlink ref="A2" location="'Cover Page'!A1" display="Return to cover" xr:uid="{00000000-0004-0000-1000-000000000000}"/>
  </hyperlinks>
  <printOptions gridLines="1"/>
  <pageMargins left="0.7" right="0.7" top="0.75" bottom="0.75" header="0.3" footer="0.3"/>
  <pageSetup orientation="landscape" horizontalDpi="1200" verticalDpi="12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7">
    <pageSetUpPr fitToPage="1"/>
  </sheetPr>
  <dimension ref="A1:J58"/>
  <sheetViews>
    <sheetView workbookViewId="0"/>
  </sheetViews>
  <sheetFormatPr defaultRowHeight="12.75" x14ac:dyDescent="0.2"/>
  <cols>
    <col min="1" max="1" width="72.7109375" customWidth="1"/>
    <col min="2" max="3" width="16.7109375" customWidth="1"/>
    <col min="4" max="4" width="6.7109375" customWidth="1"/>
    <col min="5" max="5" width="16.7109375" customWidth="1"/>
    <col min="6" max="6" width="6.7109375" customWidth="1"/>
    <col min="7" max="7" width="16.7109375" customWidth="1"/>
    <col min="8" max="8" width="6.7109375" customWidth="1"/>
    <col min="9" max="9" width="16.7109375" customWidth="1"/>
    <col min="10" max="10" width="6.7109375" customWidth="1"/>
  </cols>
  <sheetData>
    <row r="1" spans="1:10" x14ac:dyDescent="0.2">
      <c r="A1" s="72"/>
      <c r="B1" s="62"/>
      <c r="C1" s="85" t="s">
        <v>690</v>
      </c>
      <c r="D1" s="118"/>
      <c r="E1" s="62"/>
      <c r="F1" s="119"/>
      <c r="G1" s="62"/>
      <c r="H1" s="119"/>
      <c r="I1" s="62"/>
      <c r="J1" s="119"/>
    </row>
    <row r="2" spans="1:10" ht="15.75" customHeight="1" x14ac:dyDescent="0.2">
      <c r="A2" s="271" t="s">
        <v>49</v>
      </c>
      <c r="B2" s="62"/>
      <c r="C2" s="67" t="s">
        <v>50</v>
      </c>
      <c r="D2" s="87" t="str">
        <f>IF(CU_NUMBER="","N/A",CU_NUMBER)</f>
        <v>N/A</v>
      </c>
      <c r="E2" s="120"/>
      <c r="F2" s="119"/>
      <c r="G2" s="62"/>
      <c r="H2" s="119"/>
      <c r="I2" s="62"/>
      <c r="J2" s="119"/>
    </row>
    <row r="3" spans="1:10" x14ac:dyDescent="0.2">
      <c r="A3" s="121" t="str">
        <f>IF(Request_Date=0,"N/A",Request_Date)</f>
        <v>12/05/2025</v>
      </c>
      <c r="B3" s="62"/>
      <c r="C3" s="67" t="s">
        <v>42</v>
      </c>
      <c r="D3" s="75">
        <f>IF(CountCu_C5=0,"N/A",CountCu_C5)</f>
        <v>4331</v>
      </c>
      <c r="E3" s="120"/>
      <c r="F3" s="119"/>
      <c r="G3" s="62"/>
      <c r="H3" s="119"/>
      <c r="I3" s="62"/>
      <c r="J3" s="119"/>
    </row>
    <row r="4" spans="1:10" ht="15.75" customHeight="1" x14ac:dyDescent="0.2">
      <c r="A4" s="68" t="str">
        <f>"CU Name:      "&amp;IF(Cu_Name="","N/A",Cu_Name)</f>
        <v>CU Name:      N/A</v>
      </c>
      <c r="B4" s="62"/>
      <c r="C4" s="67" t="s">
        <v>43</v>
      </c>
      <c r="D4" s="89" t="str">
        <f>IF(AssetRange="","N/A",AssetRange)</f>
        <v>N/A</v>
      </c>
      <c r="E4" s="75"/>
      <c r="F4" s="119"/>
      <c r="G4" s="62"/>
      <c r="H4" s="119"/>
      <c r="I4" s="62"/>
      <c r="J4" s="119"/>
    </row>
    <row r="5" spans="1:10" ht="12" customHeight="1" x14ac:dyDescent="0.2">
      <c r="A5" s="68" t="str">
        <f>"Peer Group:      "&amp;IF(Peer_Group="","N/A",IF(Peer_Group="0","N/A",Peer_Group))</f>
        <v>Peer Group:      N/A</v>
      </c>
      <c r="B5" s="90"/>
      <c r="C5" s="67" t="s">
        <v>51</v>
      </c>
      <c r="D5" s="24" t="str">
        <f>IF(_xlnm.Criteria="","N/A",_xlnm.Criteria)</f>
        <v xml:space="preserve">Region: Nation * Peer Group: All * Types Included: All  Federally Insured Credit Unions  (FICUs) *  </v>
      </c>
      <c r="E5" s="23"/>
      <c r="F5" s="23"/>
      <c r="G5" s="23"/>
      <c r="H5" s="23"/>
      <c r="I5" s="23"/>
      <c r="J5" s="23"/>
    </row>
    <row r="6" spans="1:10" x14ac:dyDescent="0.2">
      <c r="A6" s="68"/>
      <c r="B6" s="67"/>
      <c r="C6" s="67" t="s">
        <v>45</v>
      </c>
      <c r="D6" s="75" t="str">
        <f>IF(NoCu_in_Peer_Group="","N/A",NoCu_in_Peer_Group)</f>
        <v>N/A</v>
      </c>
      <c r="E6" s="75" t="str">
        <f>IF(CU_NUMBER&gt;0,"",IF(RetPop=0,"Retroactive Population",""))</f>
        <v/>
      </c>
      <c r="F6" s="119"/>
      <c r="G6" s="62"/>
      <c r="H6" s="119"/>
      <c r="I6" s="62"/>
      <c r="J6" s="119"/>
    </row>
    <row r="7" spans="1:10" x14ac:dyDescent="0.2">
      <c r="A7" s="39"/>
      <c r="D7" s="54"/>
      <c r="E7" s="32"/>
      <c r="F7" s="54"/>
      <c r="G7" s="30"/>
      <c r="H7" s="54"/>
      <c r="I7" s="30"/>
      <c r="J7" s="54"/>
    </row>
    <row r="8" spans="1:10" x14ac:dyDescent="0.2">
      <c r="A8" s="153"/>
      <c r="B8" s="139">
        <f>(CycDat_C1)</f>
        <v>45565</v>
      </c>
      <c r="C8" s="139">
        <f>(CycDat_C2)</f>
        <v>45657</v>
      </c>
      <c r="D8" s="184" t="s">
        <v>52</v>
      </c>
      <c r="E8" s="139">
        <f>(CycDat_C3)</f>
        <v>45747</v>
      </c>
      <c r="F8" s="184" t="s">
        <v>52</v>
      </c>
      <c r="G8" s="139">
        <f>(CycDat_C4)</f>
        <v>45838</v>
      </c>
      <c r="H8" s="184" t="s">
        <v>52</v>
      </c>
      <c r="I8" s="139">
        <f>(CycDat_C5)</f>
        <v>45930</v>
      </c>
      <c r="J8" s="184" t="s">
        <v>52</v>
      </c>
    </row>
    <row r="9" spans="1:10" x14ac:dyDescent="0.2">
      <c r="A9" s="153" t="s">
        <v>691</v>
      </c>
      <c r="B9" s="76"/>
      <c r="C9" s="76"/>
      <c r="D9" s="102"/>
      <c r="E9" s="76"/>
      <c r="F9" s="102"/>
      <c r="G9" s="131"/>
      <c r="H9" s="102"/>
      <c r="I9" s="131"/>
      <c r="J9" s="102"/>
    </row>
    <row r="10" spans="1:10" x14ac:dyDescent="0.2">
      <c r="A10" s="144" t="s">
        <v>692</v>
      </c>
      <c r="B10" s="76">
        <f>IF(B8&lt;DATEVALUE("3/31/2022"),"N/A",ASL0036_C1)</f>
        <v>12271319004</v>
      </c>
      <c r="C10" s="76">
        <f>IF(C8&lt;DATEVALUE("3/31/2022"),"N/A",ASL0036_C2)</f>
        <v>12492243484</v>
      </c>
      <c r="D10" s="102">
        <f t="shared" ref="D10:D17" si="0">IF(C10="N/A", " ", IF(B10="N/A", " ",IF(AND(B10=0,C10=0,),"N/A",IF(ABS(B10)=0, "N/A", ((C10-B10)/ABS(B10))*100))))</f>
        <v>1.8003319767662034</v>
      </c>
      <c r="E10" s="76">
        <f>IF(E8&lt;DATEVALUE("3/31/2022"),"N/A",ASL0036_C3)</f>
        <v>12509702960</v>
      </c>
      <c r="F10" s="102">
        <f t="shared" ref="F10:F17" si="1">IF(E10="N/A", " ", IF(C10="N/A", " ",IF(AND(C10=0,E10=0,),"N/A",IF(ABS(C10)=0, "N/A", ((E10-C10)/ABS(C10))*100))))</f>
        <v>0.13976253362626179</v>
      </c>
      <c r="G10" s="76">
        <f>IF(G8&lt;DATEVALUE("3/31/2022"),"N/A",ASL0036_C4)</f>
        <v>12730111867</v>
      </c>
      <c r="H10" s="102">
        <f t="shared" ref="H10:H17" si="2">IF(G10="N/A", " ", IF(E10="N/A", " ",IF(AND(E10=0,G10=0,),"N/A",IF(ABS(E10)=0, "N/A", ((G10-E10)/ABS(E10))*100))))</f>
        <v>1.761903601586396</v>
      </c>
      <c r="I10" s="76">
        <f>IF(I8&lt;DATEVALUE("3/31/2022"),"N/A",ASL0036_C5)</f>
        <v>13031823998</v>
      </c>
      <c r="J10" s="102">
        <f t="shared" ref="J10:J17" si="3">IF(I10="N/A", " ", IF(G10="N/A", " ",IF(AND(G10=0,I10=0,),"N/A",IF(ABS(G10)=0, "N/A", ((I10-G10)/ABS(G10))*100))))</f>
        <v>2.370066611764206</v>
      </c>
    </row>
    <row r="11" spans="1:10" x14ac:dyDescent="0.2">
      <c r="A11" s="144" t="s">
        <v>693</v>
      </c>
      <c r="B11" s="76">
        <f>IF(B8&lt;DATEVALUE("3/31/2011"),"N/A",A691L7_C1)</f>
        <v>690895457</v>
      </c>
      <c r="C11" s="76">
        <f>IF(C8&lt;DATEVALUE("3/31/2011"),"N/A",A691L7_C2)</f>
        <v>667732048</v>
      </c>
      <c r="D11" s="102">
        <f t="shared" si="0"/>
        <v>-3.3526648301582336</v>
      </c>
      <c r="E11" s="76">
        <f>IF(E8&lt;DATEVALUE("3/31/2011"),"N/A",A691L7_C3)</f>
        <v>661749398</v>
      </c>
      <c r="F11" s="102">
        <f t="shared" si="1"/>
        <v>-0.89596568233010732</v>
      </c>
      <c r="G11" s="76">
        <f>IF(G8&lt;DATEVALUE("3/31/2011"),"N/A",A691L7_C4)</f>
        <v>648031834</v>
      </c>
      <c r="H11" s="102">
        <f t="shared" si="2"/>
        <v>-2.0729242884781591</v>
      </c>
      <c r="I11" s="76">
        <f>IF(I8&lt;DATEVALUE("3/31/2011"),"N/A",A691L7_C5)</f>
        <v>639634445</v>
      </c>
      <c r="J11" s="102">
        <f t="shared" si="3"/>
        <v>-1.2958297045635569</v>
      </c>
    </row>
    <row r="12" spans="1:10" x14ac:dyDescent="0.2">
      <c r="A12" s="144" t="s">
        <v>694</v>
      </c>
      <c r="B12" s="76">
        <f>IF(B8&lt;DATEVALUE("3/31/2009"),"N/A",A691L2_C1)</f>
        <v>19926995375</v>
      </c>
      <c r="C12" s="76">
        <f>IF(C8&lt;DATEVALUE("3/31/2011"),"N/A",A691L2_C2)</f>
        <v>20411503495</v>
      </c>
      <c r="D12" s="102">
        <f t="shared" si="0"/>
        <v>2.4314158300445734</v>
      </c>
      <c r="E12" s="76">
        <f>IF(E8&lt;DATEVALUE("3/31/2009"),"N/A",A691L2_C3)</f>
        <v>20878906492</v>
      </c>
      <c r="F12" s="102">
        <f t="shared" si="1"/>
        <v>2.289899894510441</v>
      </c>
      <c r="G12" s="76">
        <f>IF(G8&lt;DATEVALUE("3/31/2009"),"N/A",A691L2_C4)</f>
        <v>21755926351</v>
      </c>
      <c r="H12" s="102">
        <f t="shared" si="2"/>
        <v>4.2005066660748751</v>
      </c>
      <c r="I12" s="76">
        <f>IF(I8&lt;DATEVALUE("3/31/2009"),"N/A",A691L2_C5)</f>
        <v>22591303791</v>
      </c>
      <c r="J12" s="102">
        <f t="shared" si="3"/>
        <v>3.8397695713913023</v>
      </c>
    </row>
    <row r="13" spans="1:10" x14ac:dyDescent="0.2">
      <c r="A13" s="144" t="s">
        <v>695</v>
      </c>
      <c r="B13" s="76">
        <f>A691L8_C1</f>
        <v>17935714538</v>
      </c>
      <c r="C13" s="76">
        <f>A691L8_C2</f>
        <v>18439188171</v>
      </c>
      <c r="D13" s="102">
        <f t="shared" si="0"/>
        <v>2.8071010604751852</v>
      </c>
      <c r="E13" s="76">
        <f>A691L8_C3</f>
        <v>19051722738</v>
      </c>
      <c r="F13" s="102">
        <f t="shared" si="1"/>
        <v>3.3219172195626054</v>
      </c>
      <c r="G13" s="76">
        <f>A691L8_C4</f>
        <v>19579838824</v>
      </c>
      <c r="H13" s="102">
        <f t="shared" si="2"/>
        <v>2.7720122388020867</v>
      </c>
      <c r="I13" s="76">
        <f>A691L8_C5</f>
        <v>19889809711</v>
      </c>
      <c r="J13" s="102">
        <f t="shared" si="3"/>
        <v>1.5831125566777036</v>
      </c>
    </row>
    <row r="14" spans="1:10" x14ac:dyDescent="0.2">
      <c r="A14" s="144" t="s">
        <v>696</v>
      </c>
      <c r="B14" s="76">
        <f>A691L9_C1</f>
        <v>1872534697</v>
      </c>
      <c r="C14" s="76">
        <f>A691L9_C2</f>
        <v>1931998022</v>
      </c>
      <c r="D14" s="102">
        <f t="shared" si="0"/>
        <v>3.1755526397063067</v>
      </c>
      <c r="E14" s="76">
        <f>A691L9_C3</f>
        <v>1914248169</v>
      </c>
      <c r="F14" s="102">
        <f t="shared" si="1"/>
        <v>-0.91873039195068085</v>
      </c>
      <c r="G14" s="76">
        <f>A691L9_C4</f>
        <v>1853611814</v>
      </c>
      <c r="H14" s="102">
        <f t="shared" si="2"/>
        <v>-3.1676329110282668</v>
      </c>
      <c r="I14" s="76">
        <f>A691L9_C5</f>
        <v>1871990281</v>
      </c>
      <c r="J14" s="102">
        <f t="shared" si="3"/>
        <v>0.99149492149276952</v>
      </c>
    </row>
    <row r="15" spans="1:10" x14ac:dyDescent="0.2">
      <c r="A15" s="144" t="s">
        <v>697</v>
      </c>
      <c r="B15" s="76">
        <f>IF(B8&lt;DATEVALUE("3/31/2022"),A691L6_C1,ASL0056_C1)</f>
        <v>7709829057</v>
      </c>
      <c r="C15" s="76">
        <f>IF(C8&lt;DATEVALUE("3/31/2022"),A691L6_C2,ASL0056_C2)</f>
        <v>7548016056</v>
      </c>
      <c r="D15" s="102">
        <f t="shared" si="0"/>
        <v>-2.0987884401027648</v>
      </c>
      <c r="E15" s="76">
        <f>IF(E8&lt;DATEVALUE("3/31/2022"),A691L6_C3,ASL0056_C3)</f>
        <v>7578863530</v>
      </c>
      <c r="F15" s="102">
        <f t="shared" si="1"/>
        <v>0.40868320590652435</v>
      </c>
      <c r="G15" s="76">
        <f>IF(G8&lt;DATEVALUE("3/31/2022"),A691L6_C4,ASL0056_C4)</f>
        <v>7898684091</v>
      </c>
      <c r="H15" s="102">
        <f t="shared" si="2"/>
        <v>4.2199013049124003</v>
      </c>
      <c r="I15" s="76">
        <f>IF(I8&lt;DATEVALUE("3/31/2022"),A691L6_C5,ASL0056_C5)</f>
        <v>7907667385</v>
      </c>
      <c r="J15" s="102">
        <f t="shared" si="3"/>
        <v>0.11373152662524937</v>
      </c>
    </row>
    <row r="16" spans="1:10" x14ac:dyDescent="0.2">
      <c r="A16" s="153" t="s">
        <v>698</v>
      </c>
      <c r="B16" s="76">
        <f>IF(B8&lt;DATEVALUE("3/31/2009"),A619_C1,A691L_C1)</f>
        <v>60407288128</v>
      </c>
      <c r="C16" s="76">
        <f>IF(C8&lt;DATEVALUE("3/31/2009"),A619_C2,A691L_C2)</f>
        <v>61490681276</v>
      </c>
      <c r="D16" s="102">
        <f t="shared" si="0"/>
        <v>1.7934808556615629</v>
      </c>
      <c r="E16" s="76">
        <f>IF(E8&lt;DATEVALUE("3/31/2009"),A619_C3,A691L_C3)</f>
        <v>62595193287</v>
      </c>
      <c r="F16" s="102">
        <f t="shared" si="1"/>
        <v>1.7962266608210347</v>
      </c>
      <c r="G16" s="76">
        <f>IF(I8&lt;DATEVALUE("3/31/2009"),A619_C4,A691L_C4)</f>
        <v>64466204781</v>
      </c>
      <c r="H16" s="102">
        <f t="shared" si="2"/>
        <v>2.9890657664740825</v>
      </c>
      <c r="I16" s="76">
        <f>IF(I8&lt;DATEVALUE("3/31/2009"),A619_C5,A691L_C5)</f>
        <v>65932229611</v>
      </c>
      <c r="J16" s="102">
        <f t="shared" si="3"/>
        <v>2.2740982426067662</v>
      </c>
    </row>
    <row r="17" spans="1:10" x14ac:dyDescent="0.2">
      <c r="A17" s="144" t="s">
        <v>699</v>
      </c>
      <c r="B17" s="131">
        <f>IF(A025B_C1=0, 0, (A691L_C1/A025B_C1)*100)</f>
        <v>3.7050582884985426</v>
      </c>
      <c r="C17" s="131">
        <f>IF(A025B_C2=0, 0, (A691L_C2/A025B_C2)*100)</f>
        <v>3.7375965895378762</v>
      </c>
      <c r="D17" s="102">
        <f t="shared" si="0"/>
        <v>0.8782129323131278</v>
      </c>
      <c r="E17" s="131">
        <f>IF(A025B_C3=0, 0, (A691L_C3/A025B_C3)*100)</f>
        <v>3.7850672506915268</v>
      </c>
      <c r="F17" s="102">
        <f t="shared" si="1"/>
        <v>1.2700852009157035</v>
      </c>
      <c r="G17" s="131">
        <f>IF(A025B_C4=0, 0, (A691L_C4/A025B_C4)*100)</f>
        <v>3.834407262460557</v>
      </c>
      <c r="H17" s="102">
        <f t="shared" si="2"/>
        <v>1.3035438606808316</v>
      </c>
      <c r="I17" s="131">
        <f>IF(A025B_C5=0, 0, (A691L_C5/A025B_C5)*100)</f>
        <v>3.8721548339074179</v>
      </c>
      <c r="J17" s="102">
        <f t="shared" si="3"/>
        <v>0.98444345796064769</v>
      </c>
    </row>
    <row r="18" spans="1:10" x14ac:dyDescent="0.2">
      <c r="A18" s="144"/>
      <c r="B18" s="131"/>
      <c r="C18" s="131"/>
      <c r="D18" s="102"/>
      <c r="E18" s="131"/>
      <c r="F18" s="102"/>
      <c r="G18" s="131"/>
      <c r="H18" s="102"/>
      <c r="I18" s="131"/>
      <c r="J18" s="102"/>
    </row>
    <row r="19" spans="1:10" x14ac:dyDescent="0.2">
      <c r="A19" s="153" t="s">
        <v>700</v>
      </c>
      <c r="B19" s="131"/>
      <c r="C19" s="131"/>
      <c r="D19" s="102"/>
      <c r="E19" s="131"/>
      <c r="F19" s="102"/>
      <c r="G19" s="131"/>
      <c r="H19" s="102"/>
      <c r="I19" s="278"/>
      <c r="J19" s="102"/>
    </row>
    <row r="20" spans="1:10" x14ac:dyDescent="0.2">
      <c r="A20" s="144" t="s">
        <v>701</v>
      </c>
      <c r="B20" s="76" cm="1">
        <f t="array" ref="B20">IF(B8&lt;DATEVALUE("3/31/2022"),"N/A",ASL0037_C1)</f>
        <v>4094470574</v>
      </c>
      <c r="C20" s="76">
        <f>IF(C8&lt;DATEVALUE("3/31/2022"),"N/A",ASL0037_C2)</f>
        <v>5742198709</v>
      </c>
      <c r="D20" s="102">
        <f t="shared" ref="D20:D27" si="4">IF(C20="N/A", " ", IF(B20="N/A", " ",IF(AND(B20=0,C20=0,),"N/A",IF(ABS(B20)=0, "N/A", ((C20-B20)/ABS(B20))*100))))</f>
        <v>40.24276411859249</v>
      </c>
      <c r="E20" s="76" cm="1">
        <f t="array" ref="E20">IF(E8&lt;DATEVALUE("3/31/2022"),"N/A",ASL0037_C3)</f>
        <v>1410231815</v>
      </c>
      <c r="F20" s="102">
        <f t="shared" ref="F20:F27" si="5">IF(E20="N/A", " ", IF(C20="N/A", " ",IF(AND(C20=0,E20=0,),"N/A",IF(ABS(C20)=0, "N/A", ((E20-C20)/ABS(C20))*100))))</f>
        <v>-75.440908849258705</v>
      </c>
      <c r="G20" s="76">
        <f>IF(G8&lt;DATEVALUE("3/31/2022"),"N/A",ASL0037_C4)</f>
        <v>3189797928</v>
      </c>
      <c r="H20" s="102">
        <f t="shared" ref="H20:H27" si="6">IF(G20="N/A", " ", IF(E20="N/A", " ",IF(AND(E20=0,G20=0,),"N/A",IF(ABS(E20)=0, "N/A", ((G20-E20)/ABS(E20))*100))))</f>
        <v>126.18961606677411</v>
      </c>
      <c r="I20" s="76">
        <f>IF(I8&lt;DATEVALUE("3/31/2022"),"N/A",ASL0037_C5)</f>
        <v>5053827810</v>
      </c>
      <c r="J20" s="102">
        <f t="shared" ref="J20:J27" si="7">IF(I20="N/A", " ", IF(G20="N/A", " ",IF(AND(G20=0,I20=0,),"N/A",IF(ABS(G20)=0, "N/A", ((I20-G20)/ABS(G20))*100))))</f>
        <v>58.437240354242284</v>
      </c>
    </row>
    <row r="21" spans="1:10" x14ac:dyDescent="0.2">
      <c r="A21" s="144" t="s">
        <v>702</v>
      </c>
      <c r="B21" s="76">
        <f>IF(B8&lt;DATEVALUE("3/31/2022"),"N/A",ASL0041_C1)</f>
        <v>85767069</v>
      </c>
      <c r="C21" s="76">
        <f>IF(C8&lt;DATEVALUE("3/31/2022"),"N/A",ASL0041_C2)</f>
        <v>105973994</v>
      </c>
      <c r="D21" s="102">
        <f t="shared" si="4"/>
        <v>23.560237321389636</v>
      </c>
      <c r="E21" s="76">
        <f>IF(E8&lt;DATEVALUE("3/31/2022"),"N/A",ASL0041_C3)</f>
        <v>22793076</v>
      </c>
      <c r="F21" s="102">
        <f t="shared" si="5"/>
        <v>-78.491821304762752</v>
      </c>
      <c r="G21" s="76">
        <f>IF(G8&lt;DATEVALUE("3/31/2022"),"N/A",ASL0041_C4)</f>
        <v>40099841</v>
      </c>
      <c r="H21" s="102">
        <f t="shared" si="6"/>
        <v>75.929922753734516</v>
      </c>
      <c r="I21" s="76">
        <f>IF(I8&lt;DATEVALUE("3/31/2022"),"N/A",ASL0041_C5)</f>
        <v>74420569</v>
      </c>
      <c r="J21" s="102">
        <f t="shared" si="7"/>
        <v>85.588189738707442</v>
      </c>
    </row>
    <row r="22" spans="1:10" x14ac:dyDescent="0.2">
      <c r="A22" s="144" t="s">
        <v>703</v>
      </c>
      <c r="B22" s="76">
        <f>IF(B8&lt;DATEVALUE("3/31/2022"),"N/A",ASL0045_C1)</f>
        <v>2585733418</v>
      </c>
      <c r="C22" s="76">
        <f>IF(C8&lt;DATEVALUE("3/31/2022"),"N/A",ASL0045_C2)</f>
        <v>3704095528</v>
      </c>
      <c r="D22" s="102">
        <f t="shared" si="4"/>
        <v>43.251253289096795</v>
      </c>
      <c r="E22" s="76">
        <f>IF(E8&lt;DATEVALUE("3/31/2022"),"N/A",ASL0045_C3)</f>
        <v>917500854</v>
      </c>
      <c r="F22" s="102">
        <f t="shared" si="5"/>
        <v>-75.230097413405588</v>
      </c>
      <c r="G22" s="76">
        <f>IF(G8&lt;DATEVALUE("3/31/2022"),"N/A",ASL0045_C4)</f>
        <v>2313677698</v>
      </c>
      <c r="H22" s="102">
        <f t="shared" si="6"/>
        <v>152.17172146632137</v>
      </c>
      <c r="I22" s="76">
        <f>IF(I8&lt;DATEVALUE("3/31/2022"),"N/A",ASL0045_C5)</f>
        <v>4065277230</v>
      </c>
      <c r="J22" s="102">
        <f t="shared" si="7"/>
        <v>75.706289320855959</v>
      </c>
    </row>
    <row r="23" spans="1:10" x14ac:dyDescent="0.2">
      <c r="A23" s="144" t="s">
        <v>704</v>
      </c>
      <c r="B23" s="76">
        <f>IF(B8&lt;DATEVALUE("3/31/2022"),"N/A",ASL0049_C1)</f>
        <v>1648849961</v>
      </c>
      <c r="C23" s="76">
        <f>IF(C8&lt;DATEVALUE("3/31/2022"),"N/A",ASL0049_C2)</f>
        <v>2600260233</v>
      </c>
      <c r="D23" s="102">
        <f t="shared" si="4"/>
        <v>57.701446129336439</v>
      </c>
      <c r="E23" s="76">
        <f>IF(E8&lt;DATEVALUE("3/31/2022"),"N/A",ASL0049_C3)</f>
        <v>896239902</v>
      </c>
      <c r="F23" s="102">
        <f t="shared" si="5"/>
        <v>-65.53268435882741</v>
      </c>
      <c r="G23" s="76">
        <f>IF(G8&lt;DATEVALUE("3/31/2022"),"N/A",ASL0049_C4)</f>
        <v>1921405797</v>
      </c>
      <c r="H23" s="102">
        <f t="shared" si="6"/>
        <v>114.38521011085265</v>
      </c>
      <c r="I23" s="76">
        <f>IF(I8&lt;DATEVALUE("3/31/2022"),"N/A",ASL0049_C5)</f>
        <v>2778447978</v>
      </c>
      <c r="J23" s="102">
        <f t="shared" si="7"/>
        <v>44.604954473341792</v>
      </c>
    </row>
    <row r="24" spans="1:10" x14ac:dyDescent="0.2">
      <c r="A24" s="144" t="s">
        <v>705</v>
      </c>
      <c r="B24" s="76">
        <f>IF(B8&lt;DATEVALUE("3/31/2022"),"N/A",ASL0053_C1)</f>
        <v>504619694</v>
      </c>
      <c r="C24" s="76">
        <f>IF(C8&lt;DATEVALUE("3/31/2022"),"N/A",ASL0053_C2)</f>
        <v>750696815</v>
      </c>
      <c r="D24" s="102">
        <f t="shared" si="4"/>
        <v>48.764866676012055</v>
      </c>
      <c r="E24" s="76">
        <f>IF(E8&lt;DATEVALUE("3/31/2022"),"N/A",ASL0053_C3)</f>
        <v>158744670</v>
      </c>
      <c r="F24" s="102">
        <f t="shared" si="5"/>
        <v>-78.853690753969701</v>
      </c>
      <c r="G24" s="76">
        <f>IF(G8&lt;DATEVALUE("3/31/2022"),"N/A",ASL0053_C4)</f>
        <v>313837140</v>
      </c>
      <c r="H24" s="102">
        <f t="shared" si="6"/>
        <v>97.699324330070425</v>
      </c>
      <c r="I24" s="76">
        <f>IF(I8&lt;DATEVALUE("3/31/2022"),"N/A",ASL0053_C5)</f>
        <v>472885200</v>
      </c>
      <c r="J24" s="102">
        <f t="shared" si="7"/>
        <v>50.678533458468301</v>
      </c>
    </row>
    <row r="25" spans="1:10" x14ac:dyDescent="0.2">
      <c r="A25" s="144" t="s">
        <v>706</v>
      </c>
      <c r="B25" s="76">
        <f>IF(B8&lt;DATEVALUE("3/31/2022"),"N/A",ASL0057_C1)</f>
        <v>1457376045</v>
      </c>
      <c r="C25" s="76">
        <f>IF(C8&lt;DATEVALUE("3/31/2022"),"N/A",ASL0057_C2)</f>
        <v>1840733038</v>
      </c>
      <c r="D25" s="102">
        <f t="shared" si="4"/>
        <v>26.304603696158598</v>
      </c>
      <c r="E25" s="76">
        <f>IF(E8&lt;DATEVALUE("3/31/2022"),"N/A",ASL0057_C3)</f>
        <v>336877566</v>
      </c>
      <c r="F25" s="102">
        <f t="shared" si="5"/>
        <v>-81.698727678293565</v>
      </c>
      <c r="G25" s="76">
        <f>IF(G8&lt;DATEVALUE("3/31/2022"),"N/A",ASL0057_C4)</f>
        <v>972299960</v>
      </c>
      <c r="H25" s="102">
        <f t="shared" si="6"/>
        <v>188.62116630229986</v>
      </c>
      <c r="I25" s="76">
        <f>IF(I8&lt;DATEVALUE("3/31/2022"),"N/A",ASL0057_C5)</f>
        <v>1459247556</v>
      </c>
      <c r="J25" s="102">
        <f t="shared" si="7"/>
        <v>50.08203394351677</v>
      </c>
    </row>
    <row r="26" spans="1:10" x14ac:dyDescent="0.2">
      <c r="A26" s="153" t="s">
        <v>707</v>
      </c>
      <c r="B26" s="76">
        <f>IF(B8&lt;DATEVALUE("06/30/2006"),"N/A",A690_C1)</f>
        <v>10376816761</v>
      </c>
      <c r="C26" s="76">
        <f>IF(C8&lt;DATEVALUE("06/30/2006"),"N/A",A690_C2)</f>
        <v>14743958317</v>
      </c>
      <c r="D26" s="102">
        <f t="shared" si="4"/>
        <v>42.085561078936742</v>
      </c>
      <c r="E26" s="76">
        <f>IF(E8&lt;DATEVALUE("06/30/2006"),"N/A",A690_C3)</f>
        <v>3742387883</v>
      </c>
      <c r="F26" s="102">
        <f t="shared" si="5"/>
        <v>-74.617481937093018</v>
      </c>
      <c r="G26" s="76">
        <f>IF(G8&lt;DATEVALUE("06/30/2006"),"N/A",A690_C4)</f>
        <v>8751118364</v>
      </c>
      <c r="H26" s="102">
        <f t="shared" si="6"/>
        <v>133.83782327193902</v>
      </c>
      <c r="I26" s="76">
        <f>IF(I8&lt;DATEVALUE("06/30/2006"),"N/A",A690_C5)</f>
        <v>13904106343</v>
      </c>
      <c r="J26" s="102">
        <f t="shared" si="7"/>
        <v>58.883765076223348</v>
      </c>
    </row>
    <row r="27" spans="1:10" x14ac:dyDescent="0.2">
      <c r="A27" s="144" t="s">
        <v>708</v>
      </c>
      <c r="B27" s="131">
        <f>IF((A031B_C1)=0,0,(A690_C1/A031B_C1)*100)</f>
        <v>2.67627686477265</v>
      </c>
      <c r="C27" s="131">
        <f>IF((A031B_C2)=0,0,(A690_C2/A031B_C2)*100)</f>
        <v>2.8083630162894377</v>
      </c>
      <c r="D27" s="102">
        <f t="shared" si="4"/>
        <v>4.9354442081614911</v>
      </c>
      <c r="E27" s="131">
        <f>IF((A031B_C3)=0,0,(A690_C3/A031B_C3)*100)</f>
        <v>2.8122728077529175</v>
      </c>
      <c r="F27" s="102">
        <f t="shared" si="5"/>
        <v>0.13921958951893745</v>
      </c>
      <c r="G27" s="131">
        <f>IF((A031B_C4)=0,0,(A690_C4/A031B_C4)*100)</f>
        <v>3.0055045479862827</v>
      </c>
      <c r="H27" s="102">
        <f t="shared" si="6"/>
        <v>6.8710169120385798</v>
      </c>
      <c r="I27" s="131">
        <f>IF((A031B_C5)=0,0,(A690_C5/A031B_C5)*100)</f>
        <v>3.0809983431316601</v>
      </c>
      <c r="J27" s="102">
        <f t="shared" si="7"/>
        <v>2.511850970112786</v>
      </c>
    </row>
    <row r="28" spans="1:10" x14ac:dyDescent="0.2">
      <c r="A28" s="144"/>
      <c r="B28" s="131"/>
      <c r="C28" s="131"/>
      <c r="D28" s="102"/>
      <c r="E28" s="131"/>
      <c r="F28" s="102"/>
      <c r="G28" s="131"/>
      <c r="H28" s="102"/>
      <c r="I28" s="131"/>
      <c r="J28" s="102"/>
    </row>
    <row r="29" spans="1:10" x14ac:dyDescent="0.2">
      <c r="A29" s="153" t="s">
        <v>709</v>
      </c>
      <c r="B29" s="76"/>
      <c r="C29" s="76"/>
      <c r="D29" s="102"/>
      <c r="E29" s="76"/>
      <c r="F29" s="102"/>
      <c r="G29" s="76"/>
      <c r="H29" s="102"/>
      <c r="I29" s="76"/>
      <c r="J29" s="102"/>
    </row>
    <row r="30" spans="1:10" x14ac:dyDescent="0.2">
      <c r="A30" s="144" t="s">
        <v>710</v>
      </c>
      <c r="B30" s="76">
        <f>IF(B8&lt;DATEVALUE("3/31/2022"),A041F_C1,ADL0142_C1)</f>
        <v>558764045</v>
      </c>
      <c r="C30" s="76">
        <f>IF(C8&lt;DATEVALUE("3/31/2022"),A041F_C2,ADL0142_C2)</f>
        <v>582923990</v>
      </c>
      <c r="D30" s="102">
        <f>IF(C30="N/A", " ", IF(B30="N/A", " ",IF(AND(B30=0,C30=0,),"N/A",IF(ABS(B30)=0, "N/A", ((C30-B30)/ABS(B30))*100))))</f>
        <v>4.3238188312564025</v>
      </c>
      <c r="E30" s="76">
        <f>IF(E8&lt;DATEVALUE("3/31/2022"),A041F_C3,ADL0142_C3)</f>
        <v>616273012</v>
      </c>
      <c r="F30" s="102">
        <f>IF(E30="N/A", " ", IF(C30="N/A", " ",IF(AND(C30=0,E30=0,),"N/A",IF(ABS(C30)=0, "N/A", ((E30-C30)/ABS(C30))*100))))</f>
        <v>5.7209897983440348</v>
      </c>
      <c r="G30" s="76">
        <f>IF(G8&lt;DATEVALUE("3/31/2022"),A041F_C4,ADL0142_C4)</f>
        <v>663864251</v>
      </c>
      <c r="H30" s="102">
        <f>IF(G30="N/A", " ", IF(E30="N/A", " ",IF(AND(E30=0,G30=0,),"N/A",IF(ABS(E30)=0, "N/A", ((G30-E30)/ABS(E30))*100))))</f>
        <v>7.7224278969399363</v>
      </c>
      <c r="I30" s="76">
        <f>IF(I8&lt;DATEVALUE("3/31/2022"),A041F_C5,ADL0142_C5)</f>
        <v>736492081</v>
      </c>
      <c r="J30" s="102">
        <f>IF(I30="N/A", " ", IF(G30="N/A", " ",IF(AND(G30=0,I30=0,),"N/A",IF(ABS(G30)=0, "N/A", ((I30-G30)/ABS(G30))*100))))</f>
        <v>10.940162825547297</v>
      </c>
    </row>
    <row r="31" spans="1:10" ht="24" customHeight="1" x14ac:dyDescent="0.2">
      <c r="A31" s="144" t="s">
        <v>711</v>
      </c>
      <c r="B31" s="131">
        <f>IF(B8&lt;DATEVALUE("03/31/2022"),"N/A",IF(A691L_C1=0,0,(ADL0142_C1/A691L_C1))*100)</f>
        <v>0.92499442089836437</v>
      </c>
      <c r="C31" s="131">
        <f>IF(C8&lt;DATEVALUE("3/31/2022"),"N/A",IF(A691L_C2=0,0,(ADL0142_C2/A691L_C2))*100)</f>
        <v>0.94798752901037875</v>
      </c>
      <c r="D31" s="102">
        <f>IF(C31="N/A", " ", IF(B31="N/A", " ",IF(AND(B31=0,C31=0,),"N/A",IF(ABS(B31)=0, "N/A", ((C31-B31)/ABS(B31))*100))))</f>
        <v>2.4857564102584782</v>
      </c>
      <c r="E31" s="131">
        <f>IF(E8&lt;DATEVALUE("3/31/2022"),"N/A",IF(A691L_C3=0,0,(ADL0142_C3/A691L_C3))*100)</f>
        <v>0.98453727776568722</v>
      </c>
      <c r="F31" s="102">
        <f>IF(E31="N/A", " ", IF(C31="N/A", " ",IF(AND(C31=0,E31=0,),"N/A",IF(ABS(C31)=0, "N/A", ((E31-C31)/ABS(C31))*100))))</f>
        <v>3.8555094488915289</v>
      </c>
      <c r="G31" s="131">
        <f>IF(G8&lt;DATEVALUE("3/31/2022"),"N/A",IF(A691L_C4=0,0,(ADL0142_C4/A691L_C4))*100)</f>
        <v>1.0297864644820218</v>
      </c>
      <c r="H31" s="102">
        <f>IF(G31="N/A", " ", IF(E31="N/A", " ",IF(AND(E31=0,G31=0,),"N/A",IF(ABS(E31)=0, "N/A", ((G31-E31)/ABS(E31))*100))))</f>
        <v>4.5959851128261269</v>
      </c>
      <c r="I31" s="131">
        <f>IF(I8&lt;DATEVALUE("3/31/2022"),"N/A",IF(A691L_C5=0,0,(ADL0142_C5/A691L_C5))*100)</f>
        <v>1.1170441002000109</v>
      </c>
      <c r="J31" s="102">
        <f>IF(I31="N/A", " ", IF(G31="N/A", " ",IF(AND(G31=0,I31=0,),"N/A",IF(ABS(G31)=0, "N/A", ((I31-G31)/ABS(G31))*100))))</f>
        <v>8.4733717841085898</v>
      </c>
    </row>
    <row r="32" spans="1:10" x14ac:dyDescent="0.2">
      <c r="A32" s="144"/>
      <c r="B32" s="131"/>
      <c r="C32" s="131"/>
      <c r="D32" s="102"/>
      <c r="E32" s="131"/>
      <c r="F32" s="102"/>
      <c r="G32" s="131"/>
      <c r="H32" s="102"/>
      <c r="I32" s="131"/>
      <c r="J32" s="102"/>
    </row>
    <row r="33" spans="1:10" x14ac:dyDescent="0.2">
      <c r="A33" s="153" t="s">
        <v>712</v>
      </c>
      <c r="B33" s="76"/>
      <c r="C33" s="76"/>
      <c r="D33" s="102"/>
      <c r="E33" s="76"/>
      <c r="F33" s="102"/>
      <c r="G33" s="76"/>
      <c r="H33" s="102"/>
      <c r="I33" s="76"/>
      <c r="J33" s="102"/>
    </row>
    <row r="34" spans="1:10" x14ac:dyDescent="0.2">
      <c r="A34" s="144" t="s">
        <v>713</v>
      </c>
      <c r="B34" s="76">
        <f>A550F_C1</f>
        <v>376650272</v>
      </c>
      <c r="C34" s="76">
        <f>A550F_C2</f>
        <v>480307999</v>
      </c>
      <c r="D34" s="102">
        <f>IF(C34="N/A", " ", IF(B34="N/A", " ",IF(AND(B34=0,C34=0,),"N/A",IF(ABS(B34)=0, "N/A", ((C34*Anu_C2-B34*Anu_C1)/ABS(B34*Anu_C1))*100))))</f>
        <v>-4.3592887011110326</v>
      </c>
      <c r="E34" s="76">
        <f>A550F_C3</f>
        <v>113730945</v>
      </c>
      <c r="F34" s="102">
        <f>IF(E34="N/A", " ", IF(C34="N/A", " ",IF(AND(C34=0,E34=0,),"N/A",IF(ABS(C34)=0, "N/A", ((E34*Anu_C3-C34*Anu_C2)/ABS(C34*Anu_C2))*100))))</f>
        <v>-5.2849877688587066</v>
      </c>
      <c r="G34" s="76">
        <f>A550F_C4</f>
        <v>223080461</v>
      </c>
      <c r="H34" s="102">
        <f>IF(G34="N/A", " ", IF(E34="N/A", " ",IF(AND(E34=0,G34=0,),"N/A",IF(ABS(E34)=0, "N/A", ((G34*Anu_C4-E34*Anu_C3)/ABS(E34*Anu_C3))*100))))</f>
        <v>-1.9262255316703822</v>
      </c>
      <c r="I34" s="76">
        <f>A550F_C5</f>
        <v>326690418</v>
      </c>
      <c r="J34" s="102">
        <f>IF(I34="N/A", " ", IF(G34="N/A", " ",IF(AND(G34=0,I34=0,),"N/A",IF(ABS(G34)=0, "N/A", ((I34*Anu_C5-G34*Anu_C4)/ABS(G34*Anu_C4))*100))))</f>
        <v>-2.3699292068434445</v>
      </c>
    </row>
    <row r="35" spans="1:10" x14ac:dyDescent="0.2">
      <c r="A35" s="144" t="s">
        <v>714</v>
      </c>
      <c r="B35" s="76">
        <f>A551F_C1</f>
        <v>66235754</v>
      </c>
      <c r="C35" s="76">
        <f>A551F_C2</f>
        <v>88623679</v>
      </c>
      <c r="D35" s="102">
        <f>IF(C35="N/A", " ", IF(B35="N/A", " ",IF(AND(B35=0,C35=0,),"N/A",IF(ABS(B35)=0, "N/A", ((C35*Anu_C2-B35*Anu_C1)/ABS(B35*Anu_C1))*100))))</f>
        <v>0.35027192413331243</v>
      </c>
      <c r="E35" s="76">
        <f>A551F_C3</f>
        <v>23483092</v>
      </c>
      <c r="F35" s="102">
        <f>IF(E35="N/A", " ", IF(C35="N/A", " ",IF(AND(C35=0,E35=0,),"N/A",IF(ABS(C35)=0, "N/A", ((E35*Anu_C3-C35*Anu_C2)/ABS(C35*Anu_C2))*100))))</f>
        <v>5.9901473961603422</v>
      </c>
      <c r="G35" s="76">
        <f>A551F_C4</f>
        <v>50875315</v>
      </c>
      <c r="H35" s="102">
        <f>IF(G35="N/A", " ", IF(E35="N/A", " ",IF(AND(E35=0,G35=0,),"N/A",IF(ABS(E35)=0, "N/A", ((G35*Anu_C4-E35*Anu_C3)/ABS(E35*Anu_C3))*100))))</f>
        <v>8.3232885175427498</v>
      </c>
      <c r="I35" s="76">
        <f>A551F_C5</f>
        <v>77658720</v>
      </c>
      <c r="J35" s="102">
        <f>IF(I35="N/A", " ", IF(G35="N/A", " ",IF(AND(G35=0,I35=0,),"N/A",IF(ABS(G35)=0, "N/A", ((I35*Anu_C5-G35*Anu_C4)/ABS(G35*Anu_C4))*100))))</f>
        <v>1.7634583687589946</v>
      </c>
    </row>
    <row r="36" spans="1:10" x14ac:dyDescent="0.2">
      <c r="A36" s="144" t="s">
        <v>715</v>
      </c>
      <c r="B36" s="76">
        <f>A550F_C1-A551F_C1</f>
        <v>310414518</v>
      </c>
      <c r="C36" s="76">
        <f>A550F_C2-A551F_C2</f>
        <v>391684320</v>
      </c>
      <c r="D36" s="102">
        <f>IF(C36="N/A", " ", IF(B36="N/A", " ",IF(AND(B36=0,C36=0,),"N/A",IF(ABS(B36)=0, "N/A", ((C36*Anu_C2-B36*Anu_C1)/ABS(B36*Anu_C1))*100))))</f>
        <v>-5.3642072243541135</v>
      </c>
      <c r="E36" s="76">
        <f>A550F_C3-A551F_C3</f>
        <v>90247853</v>
      </c>
      <c r="F36" s="102">
        <f>IF(E36="N/A", " ", IF(C36="N/A", " ",IF(AND(C36=0,E36=0,),"N/A",IF(ABS(C36)=0, "N/A", ((E36*Anu_C3-C36*Anu_C2)/ABS(C36*Anu_C2))*100))))</f>
        <v>-7.8361339560388839</v>
      </c>
      <c r="G36" s="76">
        <f>A550F_C4-A551F_C4</f>
        <v>172205146</v>
      </c>
      <c r="H36" s="102">
        <f>IF(G36="N/A", " ", IF(E36="N/A", " ",IF(AND(E36=0,G36=0,),"N/A",IF(ABS(E36)=0, "N/A", ((G36*Anu_C4-E36*Anu_C3)/ABS(E36*Anu_C3))*100))))</f>
        <v>-4.593217303463164</v>
      </c>
      <c r="I36" s="76">
        <f>A550F_C5-A551F_C5</f>
        <v>249031698</v>
      </c>
      <c r="J36" s="102">
        <f>IF(I36="N/A", " ", IF(G36="N/A", " ",IF(AND(G36=0,I36=0,),"N/A",IF(ABS(G36)=0, "N/A", ((I36*Anu_C5-G36*Anu_C4)/ABS(G36*Anu_C4))*100))))</f>
        <v>-3.5910738695346534</v>
      </c>
    </row>
    <row r="37" spans="1:10" x14ac:dyDescent="0.2">
      <c r="A37" s="144" t="s">
        <v>716</v>
      </c>
      <c r="B37" s="131">
        <f>IF(B8&lt;DATEVALUE("3/31/2010"),"N/A",IF(pA691L_C1+A691L_C1=0,0,((A550F_C1-A551F_C1)/((pA691L_C1+A691L_C1)/2))*100*Anu_C1))</f>
        <v>0.69946820359370343</v>
      </c>
      <c r="C37" s="131">
        <f>IF(C8&lt;DATEVALUE("3/31/2010"),"N/A",IF(pA691L_C2+A691L_C2=0,0,((A550F_C2-A551F_C2)/((pA691L_C2+A691L_C2)/2))*100*Anu_C2))</f>
        <v>0.65594233561921877</v>
      </c>
      <c r="D37" s="102">
        <f>IF(C37="N/A", " ", IF(B37="N/A", " ",IF(AND(B37=0,C37=0,),"N/A",IF(ABS(B37)=0, "N/A", ((C37-B37)/ABS(B37))*100))))</f>
        <v>-6.2227085878756121</v>
      </c>
      <c r="E37" s="131">
        <f>IF(E8&lt;DATEVALUE("3/31/2010"),"N/A",IF(pA691L_C3+A691L_C3=0,0,((A550F_C3-A551F_C3)/((pA691L_C3+A691L_C3)/2))*100*Anu_C3))</f>
        <v>0.58184126641541289</v>
      </c>
      <c r="F37" s="102">
        <f>IF(E37="N/A", " ", IF(C37="N/A", " ",IF(AND(C37=0,E37=0,),"N/A",IF(ABS(C37)=0, "N/A", ((E37-C37)/ABS(C37))*100))))</f>
        <v>-11.296887726244019</v>
      </c>
      <c r="G37" s="131">
        <f>IF(G8&lt;DATEVALUE("3/31/2010"),"N/A",IF(pA691L_C4+A691L_C4=0,0,((A550F_C4-A551F_C4)/((pA691L_C4+A691L_C4)/2))*100*Anu_C4))</f>
        <v>0.54687012799624468</v>
      </c>
      <c r="H37" s="102">
        <f>IF(G37="N/A", " ", IF(E37="N/A", " ",IF(AND(E37=0,G37=0,),"N/A",IF(ABS(E37)=0, "N/A", ((G37-E37)/ABS(E37))*100))))</f>
        <v>-6.0104259422191149</v>
      </c>
      <c r="I37" s="131">
        <f>IF(I8&lt;DATEVALUE("3/31/2010"),"N/A",IF(pA691L_C5+A691L_C5=0,0,((A550F_C5-A551F_C5)/((pA691L_C5+A691L_C5)/2))*100*Anu_C5))</f>
        <v>0.52116571766981301</v>
      </c>
      <c r="J37" s="102">
        <f>IF(I37="N/A", " ", IF(G37="N/A", " ",IF(AND(G37=0,I37=0,),"N/A",IF(ABS(G37)=0, "N/A", ((I37-G37)/ABS(G37))*100))))</f>
        <v>-4.700276904978101</v>
      </c>
    </row>
    <row r="38" spans="1:10" x14ac:dyDescent="0.2">
      <c r="A38" s="144"/>
      <c r="B38" s="76"/>
      <c r="C38" s="131"/>
      <c r="D38" s="102"/>
      <c r="E38" s="131"/>
      <c r="F38" s="102"/>
      <c r="G38" s="131"/>
      <c r="H38" s="102"/>
      <c r="I38" s="131"/>
      <c r="J38" s="102"/>
    </row>
    <row r="39" spans="1:10" x14ac:dyDescent="0.2">
      <c r="A39" s="153" t="s">
        <v>717</v>
      </c>
      <c r="B39" s="131"/>
      <c r="C39" s="131"/>
      <c r="D39" s="102"/>
      <c r="E39" s="131"/>
      <c r="F39" s="102"/>
      <c r="G39" s="131"/>
      <c r="H39" s="102"/>
      <c r="I39" s="131"/>
      <c r="J39" s="102"/>
    </row>
    <row r="40" spans="1:10" x14ac:dyDescent="0.2">
      <c r="A40" s="144" t="s">
        <v>692</v>
      </c>
      <c r="B40" s="76" cm="1">
        <f t="array" ref="B40">IF(B8&lt;DATEVALUE("3/31/2022"),"N/A",ASL0039_C1)</f>
        <v>3299311480</v>
      </c>
      <c r="C40" s="76">
        <f>IF(C8&lt;DATEVALUE("3/31/2022"),"N/A",ASL0039_C2)</f>
        <v>4625690895</v>
      </c>
      <c r="D40" s="102">
        <f t="shared" ref="D40:D47" si="8">IF(C40="N/A", " ", IF(B40="N/A", " ",IF(AND(B40=0,C40=0,),"N/A",IF(ABS(B40)=0, "N/A", ((C40-B40)/ABS(B40))*100))))</f>
        <v>40.201703386913927</v>
      </c>
      <c r="E40" s="76">
        <f>IF(E8&lt;DATEVALUE("3/31/2022"),"N/A",ASL0039_C3)</f>
        <v>1080654660</v>
      </c>
      <c r="F40" s="102">
        <f t="shared" ref="F40:F47" si="9">IF(E40="N/A", " ", IF(C40="N/A", " ",IF(AND(C40=0,E40=0,),"N/A",IF(ABS(C40)=0, "N/A", ((E40-C40)/ABS(C40))*100))))</f>
        <v>-76.637983718970474</v>
      </c>
      <c r="G40" s="76">
        <f>IF(G8&lt;DATEVALUE("3/31/2022"),"N/A",ASL0039_C4)</f>
        <v>2526945993</v>
      </c>
      <c r="H40" s="102">
        <f t="shared" ref="H40:H47" si="10">IF(G40="N/A", " ", IF(E40="N/A", " ",IF(AND(E40=0,G40=0,),"N/A",IF(ABS(E40)=0, "N/A", ((G40-E40)/ABS(E40))*100))))</f>
        <v>133.83473800964316</v>
      </c>
      <c r="I40" s="76">
        <f>IF(I8&lt;DATEVALUE("3/31/2022"),"N/A",ASL0039_C5)</f>
        <v>4141238396</v>
      </c>
      <c r="J40" s="102">
        <f t="shared" ref="J40:J47" si="11">IF(I40="N/A", " ", IF(G40="N/A", " ",IF(AND(G40=0,I40=0,),"N/A",IF(ABS(G40)=0, "N/A", ((I40-G40)/ABS(G40))*100))))</f>
        <v>63.883138281222465</v>
      </c>
    </row>
    <row r="41" spans="1:10" x14ac:dyDescent="0.2">
      <c r="A41" s="144" t="s">
        <v>693</v>
      </c>
      <c r="B41" s="76">
        <f>IF(B8&lt;DATEVALUE("3/31/2022"),"N/A",ASL0043_C1)</f>
        <v>80692540</v>
      </c>
      <c r="C41" s="76">
        <f>IF(C8&lt;DATEVALUE("3/31/2022"),"N/A",ASL0043_C2)</f>
        <v>99851180</v>
      </c>
      <c r="D41" s="102">
        <f t="shared" si="8"/>
        <v>23.742764820638936</v>
      </c>
      <c r="E41" s="76">
        <f>IF(E8&lt;DATEVALUE("3/31/2022"),"N/A",ASL0043_C3)</f>
        <v>27588699</v>
      </c>
      <c r="F41" s="102">
        <f t="shared" si="9"/>
        <v>-72.37018230530677</v>
      </c>
      <c r="G41" s="76">
        <f>IF(G8&lt;DATEVALUE("3/31/2022"),"N/A",ASL0043_C4)</f>
        <v>44592510</v>
      </c>
      <c r="H41" s="102">
        <f t="shared" si="10"/>
        <v>61.633247004507176</v>
      </c>
      <c r="I41" s="76">
        <f>IF(I8&lt;DATEVALUE("3/31/2022"),"N/A",ASL0043_C5)</f>
        <v>72711088</v>
      </c>
      <c r="J41" s="102">
        <f t="shared" si="11"/>
        <v>63.056728585136831</v>
      </c>
    </row>
    <row r="42" spans="1:10" x14ac:dyDescent="0.2">
      <c r="A42" s="144" t="s">
        <v>694</v>
      </c>
      <c r="B42" s="76">
        <f>IF(B8&lt;DATEVALUE("3/31/2022"),"N/A",ASL0047_C1)</f>
        <v>2649851619</v>
      </c>
      <c r="C42" s="76">
        <f>IF(C8&lt;DATEVALUE("3/31/2022"),"N/A",ASL0047_C2)</f>
        <v>3888825618</v>
      </c>
      <c r="D42" s="102">
        <f t="shared" si="8"/>
        <v>46.756353831901102</v>
      </c>
      <c r="E42" s="76">
        <f>IF(E8&lt;DATEVALUE("3/31/2022"),"N/A",ASL0047_C3)</f>
        <v>835224313</v>
      </c>
      <c r="F42" s="102">
        <f t="shared" si="9"/>
        <v>-78.522453947689456</v>
      </c>
      <c r="G42" s="76">
        <f>IF(G8&lt;DATEVALUE("3/31/2022"),"N/A",ASL0047_C4)</f>
        <v>2287485936</v>
      </c>
      <c r="H42" s="102">
        <f t="shared" si="10"/>
        <v>173.87683768252563</v>
      </c>
      <c r="I42" s="76">
        <f>IF(I8&lt;DATEVALUE("3/31/2022"),"N/A",ASL0047_C5)</f>
        <v>3857537193</v>
      </c>
      <c r="J42" s="102">
        <f t="shared" si="11"/>
        <v>68.636542515555817</v>
      </c>
    </row>
    <row r="43" spans="1:10" x14ac:dyDescent="0.2">
      <c r="A43" s="144" t="s">
        <v>695</v>
      </c>
      <c r="B43" s="76">
        <f>IF(B8&lt;DATEVALUE("3/31/2022"),"N/A",ASL0051_C1)</f>
        <v>1380129403</v>
      </c>
      <c r="C43" s="76">
        <f>IF(C8&lt;DATEVALUE("3/31/2022"),"N/A",ASL0051_C2)</f>
        <v>1953881387</v>
      </c>
      <c r="D43" s="102">
        <f t="shared" si="8"/>
        <v>41.572332474971553</v>
      </c>
      <c r="E43" s="76">
        <f>IF(E8&lt;DATEVALUE("3/31/2022"),"N/A",ASL0051_C3)</f>
        <v>645939872</v>
      </c>
      <c r="F43" s="102">
        <f t="shared" si="9"/>
        <v>-66.94068144065902</v>
      </c>
      <c r="G43" s="76">
        <f>IF(G8&lt;DATEVALUE("3/31/2022"),"N/A",ASL0051_C4)</f>
        <v>1402992893</v>
      </c>
      <c r="H43" s="102">
        <f t="shared" si="10"/>
        <v>117.20177896062746</v>
      </c>
      <c r="I43" s="76">
        <f>IF(I8&lt;DATEVALUE("3/31/2022"),"N/A",ASL0051_C5)</f>
        <v>2180566684</v>
      </c>
      <c r="J43" s="102">
        <f t="shared" si="11"/>
        <v>55.422503911429288</v>
      </c>
    </row>
    <row r="44" spans="1:10" x14ac:dyDescent="0.2">
      <c r="A44" s="144" t="s">
        <v>696</v>
      </c>
      <c r="B44" s="76">
        <f>IF(B8&lt;DATEVALUE("3/31/2022"),"N/A",ASL0055_C1)</f>
        <v>306740617</v>
      </c>
      <c r="C44" s="76">
        <f>IF(C8&lt;DATEVALUE("3/31/2022"),"N/A",ASL0055_C2)</f>
        <v>489053642</v>
      </c>
      <c r="D44" s="102">
        <f t="shared" si="8"/>
        <v>59.435567021761585</v>
      </c>
      <c r="E44" s="76">
        <f>IF(E8&lt;DATEVALUE("3/31/2022"),"N/A",ASL0055_C3)</f>
        <v>97554900</v>
      </c>
      <c r="F44" s="102">
        <f t="shared" si="9"/>
        <v>-80.052310907849247</v>
      </c>
      <c r="G44" s="76">
        <f>IF(G8&lt;DATEVALUE("3/31/2022"),"N/A",ASL0055_C4)</f>
        <v>178600831</v>
      </c>
      <c r="H44" s="102">
        <f t="shared" si="10"/>
        <v>83.077252910925026</v>
      </c>
      <c r="I44" s="76">
        <f>IF(I8&lt;DATEVALUE("3/31/2022"),"N/A",ASL0055_C5)</f>
        <v>380478788</v>
      </c>
      <c r="J44" s="102">
        <f t="shared" si="11"/>
        <v>113.03304462228398</v>
      </c>
    </row>
    <row r="45" spans="1:10" x14ac:dyDescent="0.2">
      <c r="A45" s="144" t="s">
        <v>697</v>
      </c>
      <c r="B45" s="76">
        <f>IF(B8&lt;DATEVALUE("3/31/2022"),"N/A",ASL0059_C1)</f>
        <v>1495277823</v>
      </c>
      <c r="C45" s="76">
        <f>IF(C8&lt;DATEVALUE("3/31/2022"),"N/A",ASL0059_C2)</f>
        <v>1844838051</v>
      </c>
      <c r="D45" s="102">
        <f t="shared" si="8"/>
        <v>23.377610676969159</v>
      </c>
      <c r="E45" s="76">
        <f>IF(E8&lt;DATEVALUE("3/31/2022"),"N/A",ASL0059_C3)</f>
        <v>389321759</v>
      </c>
      <c r="F45" s="102">
        <f t="shared" si="9"/>
        <v>-78.89669725811612</v>
      </c>
      <c r="G45" s="76">
        <f>IF(G8&lt;DATEVALUE("3/31/2022"),"N/A",ASL0059_C4)</f>
        <v>862363847</v>
      </c>
      <c r="H45" s="102">
        <f t="shared" si="10"/>
        <v>121.50414844909811</v>
      </c>
      <c r="I45" s="76">
        <f>IF(I8&lt;DATEVALUE("3/31/2022"),"N/A",ASL0059_C5)</f>
        <v>1310328712</v>
      </c>
      <c r="J45" s="102">
        <f t="shared" si="11"/>
        <v>51.946155507142912</v>
      </c>
    </row>
    <row r="46" spans="1:10" x14ac:dyDescent="0.2">
      <c r="A46" s="144" t="s">
        <v>718</v>
      </c>
      <c r="B46" s="76">
        <f>IF(B8&lt;DATEVALUE("06/30/2006"),"N/A",A691_C1)</f>
        <v>9212003482</v>
      </c>
      <c r="C46" s="76">
        <f>IF(C8&lt;DATEVALUE("06/30/2006"),"N/A",A691_C2)</f>
        <v>12902140773</v>
      </c>
      <c r="D46" s="102">
        <f t="shared" si="8"/>
        <v>40.057923319399805</v>
      </c>
      <c r="E46" s="76">
        <f>IF(E8&lt;DATEVALUE("06/30/2006"),"N/A",A691_C3)</f>
        <v>3076284203</v>
      </c>
      <c r="F46" s="102">
        <f t="shared" si="9"/>
        <v>-76.156792449221555</v>
      </c>
      <c r="G46" s="76">
        <f>IF(G8&lt;DATEVALUE("06/30/2006"),"N/A",A691_C4)</f>
        <v>7302982010</v>
      </c>
      <c r="H46" s="102">
        <f t="shared" si="10"/>
        <v>137.39620685494901</v>
      </c>
      <c r="I46" s="76">
        <f>IF(B8&lt;DATEVALUE("06/30/2006"),"N/A",A691_C5)</f>
        <v>11942860861</v>
      </c>
      <c r="J46" s="102">
        <f t="shared" si="11"/>
        <v>63.534030956759814</v>
      </c>
    </row>
    <row r="47" spans="1:10" x14ac:dyDescent="0.2">
      <c r="A47" s="144" t="s">
        <v>719</v>
      </c>
      <c r="B47" s="131">
        <f>(A691_C1/A010_C1)*100*Anu_C1</f>
        <v>0.53138019008483139</v>
      </c>
      <c r="C47" s="131">
        <f>(A691_C2/A010_C2)*100*Anu_C2</f>
        <v>0.5591612054450481</v>
      </c>
      <c r="D47" s="102">
        <f t="shared" si="8"/>
        <v>5.2280863830813207</v>
      </c>
      <c r="E47" s="131">
        <f>(A691_C3/A010_C3)*100*Anu_C3</f>
        <v>0.51981593329062392</v>
      </c>
      <c r="F47" s="102">
        <f t="shared" si="9"/>
        <v>-7.0364810311023733</v>
      </c>
      <c r="G47" s="131">
        <f>(A691_C4/A010_C4)*100*Anu_C4</f>
        <v>0.61396136064551166</v>
      </c>
      <c r="H47" s="102">
        <f t="shared" si="10"/>
        <v>18.111300813523151</v>
      </c>
      <c r="I47" s="131">
        <f>(A691_C5/A010_C5)*100*Anu_C5</f>
        <v>0.66411223446571888</v>
      </c>
      <c r="J47" s="102">
        <f t="shared" si="11"/>
        <v>8.1684088014071747</v>
      </c>
    </row>
    <row r="48" spans="1:10" x14ac:dyDescent="0.2">
      <c r="A48" s="144"/>
      <c r="B48" s="131"/>
      <c r="C48" s="131"/>
      <c r="D48" s="102"/>
      <c r="E48" s="131"/>
      <c r="F48" s="102"/>
      <c r="G48" s="131"/>
      <c r="H48" s="102"/>
      <c r="I48" s="131"/>
      <c r="J48" s="102"/>
    </row>
    <row r="49" spans="1:10" x14ac:dyDescent="0.2">
      <c r="A49" s="153" t="s">
        <v>720</v>
      </c>
      <c r="B49" s="131"/>
      <c r="C49" s="131"/>
      <c r="D49" s="102"/>
      <c r="E49" s="131"/>
      <c r="F49" s="102"/>
      <c r="G49" s="131"/>
      <c r="H49" s="102"/>
      <c r="I49" s="131"/>
      <c r="J49" s="102"/>
    </row>
    <row r="50" spans="1:10" x14ac:dyDescent="0.2">
      <c r="A50" s="144" t="s">
        <v>701</v>
      </c>
      <c r="B50" s="76">
        <f>IF(B8&lt;DATEVALUE("3/31/2022"),"N/A",ASL0038_C1)</f>
        <v>1310109866</v>
      </c>
      <c r="C50" s="76">
        <f>IF(C8&lt;DATEVALUE("3/31/2022"),"N/A",ASL0038_C2)</f>
        <v>1218161199</v>
      </c>
      <c r="D50" s="102">
        <f t="shared" ref="D50:D56" si="12">IF(C50="N/A", " ", IF(B50="N/A", " ",IF(AND(B50=0,C50=0,),"N/A",IF(ABS(B50)=0, "N/A", ((C50-B50)/ABS(B50))*100))))</f>
        <v>-7.0183936008920949</v>
      </c>
      <c r="E50" s="76">
        <f>IF(E8&lt;DATEVALUE("3/31/2022"),"N/A",ASL0038_C3)</f>
        <v>2027310508</v>
      </c>
      <c r="F50" s="102">
        <f t="shared" ref="F50:F56" si="13">IF(E50="N/A", " ", IF(C50="N/A", " ",IF(AND(C50=0,E50=0,),"N/A",IF(ABS(C50)=0, "N/A", ((E50-C50)/ABS(C50))*100))))</f>
        <v>66.423828772763272</v>
      </c>
      <c r="G50" s="76">
        <f>IF(G8&lt;DATEVALUE("3/31/2022"),"N/A",ASL0038_C4)</f>
        <v>1199211343</v>
      </c>
      <c r="H50" s="102">
        <f t="shared" ref="H50:H56" si="14">IF(G50="N/A", " ", IF(E50="N/A", " ",IF(AND(E50=0,G50=0,),"N/A",IF(ABS(E50)=0, "N/A", ((G50-E50)/ABS(E50))*100))))</f>
        <v>-40.847179636874849</v>
      </c>
      <c r="I50" s="76">
        <f>IF(I8&lt;DATEVALUE("3/31/2022"),"N/A",ASL0038_C5)</f>
        <v>1266706637</v>
      </c>
      <c r="J50" s="102">
        <f t="shared" ref="J50:J56" si="15">IF(I50="N/A", " ", IF(G50="N/A", " ",IF(AND(G50=0,I50=0,),"N/A",IF(ABS(G50)=0, "N/A", ((I50-G50)/ABS(G50))*100))))</f>
        <v>5.62830683632051</v>
      </c>
    </row>
    <row r="51" spans="1:10" x14ac:dyDescent="0.2">
      <c r="A51" s="144" t="s">
        <v>721</v>
      </c>
      <c r="B51" s="76">
        <f>IF(B8&lt;DATEVALUE("3/31/2011"),"N/A",A691N7_C1)</f>
        <v>81890694</v>
      </c>
      <c r="C51" s="76">
        <f>IF(C8&lt;DATEVALUE("3/31/2011"),"N/A",A691N7_C2)</f>
        <v>80407768</v>
      </c>
      <c r="D51" s="102">
        <f t="shared" si="12"/>
        <v>-1.8108602181341873</v>
      </c>
      <c r="E51" s="76">
        <f>IF(E8&lt;DATEVALUE("3/31/2011"),"N/A",A691N7_C3)</f>
        <v>80362572</v>
      </c>
      <c r="F51" s="102">
        <f t="shared" si="13"/>
        <v>-5.6208499656401352E-2</v>
      </c>
      <c r="G51" s="76">
        <f>IF(G8&lt;DATEVALUE("3/31/2011"),"N/A",A691N7_C4)</f>
        <v>83419982</v>
      </c>
      <c r="H51" s="102">
        <f t="shared" si="14"/>
        <v>3.8045198453827487</v>
      </c>
      <c r="I51" s="76">
        <f>IF(I8&lt;DATEVALUE("3/31/2011"),"N/A",A691N7_C5)</f>
        <v>78058123</v>
      </c>
      <c r="J51" s="102">
        <f t="shared" si="15"/>
        <v>-6.4275475389098018</v>
      </c>
    </row>
    <row r="52" spans="1:10" x14ac:dyDescent="0.2">
      <c r="A52" s="144" t="s">
        <v>722</v>
      </c>
      <c r="B52" s="76">
        <f>IF(B8&lt;DATEVALUE("3/31/2009"),"N/A",A691N2_C1)</f>
        <v>3022833163</v>
      </c>
      <c r="C52" s="76">
        <f>IF(C8&lt;DATEVALUE("3/31/2009"),"N/A",A691N2_C2)</f>
        <v>3040332055</v>
      </c>
      <c r="D52" s="102">
        <f t="shared" si="12"/>
        <v>0.57889043345790503</v>
      </c>
      <c r="E52" s="76">
        <f>IF(E8&lt;DATEVALUE("3/31/2009"),"N/A",A691N2_C3)</f>
        <v>3009173714</v>
      </c>
      <c r="F52" s="102">
        <f t="shared" si="13"/>
        <v>-1.0248334864857385</v>
      </c>
      <c r="G52" s="76">
        <f>IF(G8&lt;DATEVALUE("3/31/2009"),"N/A",A691N2_C4)</f>
        <v>3074814318</v>
      </c>
      <c r="H52" s="102">
        <f t="shared" si="14"/>
        <v>2.1813497736807625</v>
      </c>
      <c r="I52" s="76">
        <f>IF(I8&lt;DATEVALUE("3/31/2009"),"N/A",A691N2_C5)</f>
        <v>2907200048</v>
      </c>
      <c r="J52" s="102">
        <f t="shared" si="15"/>
        <v>-5.4511997364778759</v>
      </c>
    </row>
    <row r="53" spans="1:10" ht="12.75" customHeight="1" x14ac:dyDescent="0.2">
      <c r="A53" s="144" t="s">
        <v>723</v>
      </c>
      <c r="B53" s="76">
        <f>IF(B8&lt;DATEVALUE("09/30/2017"),"N/A",A691N8_C1)</f>
        <v>9004520362</v>
      </c>
      <c r="C53" s="76">
        <f>IF(C8&lt;DATEVALUE("09/30/2017"),"N/A",A691N8_C2)</f>
        <v>9165511025</v>
      </c>
      <c r="D53" s="102">
        <f t="shared" si="12"/>
        <v>1.7878871558711458</v>
      </c>
      <c r="E53" s="76">
        <f>IF(E8&lt;DATEVALUE("09/30/2017"),"N/A",A691N8_C3)</f>
        <v>9382378434</v>
      </c>
      <c r="F53" s="102">
        <f t="shared" si="13"/>
        <v>2.3661245773254636</v>
      </c>
      <c r="G53" s="76">
        <f>IF(G8&lt;DATEVALUE("09/30/2017"),"N/A",A691N8_C4)</f>
        <v>9713182197</v>
      </c>
      <c r="H53" s="102">
        <f t="shared" si="14"/>
        <v>3.5257985523289967</v>
      </c>
      <c r="I53" s="76">
        <f>IF(I8&lt;DATEVALUE("09/30/2017"),"N/A",A691N8_C5)</f>
        <v>9893525453</v>
      </c>
      <c r="J53" s="102">
        <f t="shared" si="15"/>
        <v>1.8566856087153454</v>
      </c>
    </row>
    <row r="54" spans="1:10" x14ac:dyDescent="0.2">
      <c r="A54" s="144" t="s">
        <v>724</v>
      </c>
      <c r="B54" s="76">
        <f>IF(B8&lt;DATEVALUE("09/30/2017"),"N/A",A691N9_C1)</f>
        <v>976513412</v>
      </c>
      <c r="C54" s="76">
        <f>IF(C8&lt;DATEVALUE("3/31/2022"),"N/A",A691N9_C2)</f>
        <v>1001748728</v>
      </c>
      <c r="D54" s="102">
        <f t="shared" si="12"/>
        <v>2.5842262574064878</v>
      </c>
      <c r="E54" s="76">
        <f>IF(E8&lt;DATEVALUE("3/31/2022"),"N/A",A691N9_C3)</f>
        <v>943442370</v>
      </c>
      <c r="F54" s="102">
        <f t="shared" si="13"/>
        <v>-5.8204574031662757</v>
      </c>
      <c r="G54" s="76">
        <f>IF(G8&lt;DATEVALUE("3/31/2022"),"N/A",A691N9_C4)</f>
        <v>959289979</v>
      </c>
      <c r="H54" s="102">
        <f t="shared" si="14"/>
        <v>1.6797643930280555</v>
      </c>
      <c r="I54" s="76">
        <f>IF(I8&lt;DATEVALUE("3/31/2022"),"N/A",A691N9_C5)</f>
        <v>911764771</v>
      </c>
      <c r="J54" s="102">
        <f t="shared" si="15"/>
        <v>-4.9542066570467114</v>
      </c>
    </row>
    <row r="55" spans="1:10" x14ac:dyDescent="0.2">
      <c r="A55" s="144" t="s">
        <v>706</v>
      </c>
      <c r="B55" s="76">
        <f>IF(B8&lt;DATEVALUE("3/31/2022"),"N/A",ASL0058_C1)</f>
        <v>921805375</v>
      </c>
      <c r="C55" s="76">
        <f>IF(C8&lt;DATEVALUE("09/30/2017"),"N/A",ASL0058_C2)</f>
        <v>918094449</v>
      </c>
      <c r="D55" s="102">
        <f t="shared" si="12"/>
        <v>-0.40257152980909877</v>
      </c>
      <c r="E55" s="76">
        <f>IF(E8&lt;DATEVALUE("09/30/2017"),"N/A",ASL0058_C3)</f>
        <v>879790238</v>
      </c>
      <c r="F55" s="102">
        <f t="shared" si="13"/>
        <v>-4.1721427508598303</v>
      </c>
      <c r="G55" s="76">
        <f>IF(G8&lt;DATEVALUE("09/30/2017"),"N/A",ASL0058_C4)</f>
        <v>943791170</v>
      </c>
      <c r="H55" s="102">
        <f t="shared" si="14"/>
        <v>7.2745671906398215</v>
      </c>
      <c r="I55" s="76">
        <f>IF(I8&lt;DATEVALUE("09/30/2017"),"N/A",ASL0058_C5)</f>
        <v>971114414</v>
      </c>
      <c r="J55" s="102">
        <f t="shared" si="15"/>
        <v>2.895051878902406</v>
      </c>
    </row>
    <row r="56" spans="1:10" x14ac:dyDescent="0.2">
      <c r="A56" s="144" t="s">
        <v>725</v>
      </c>
      <c r="B56" s="76">
        <f>IF(B8&lt;DATEVALUE("3/31/2009"),"N/A",A691N_C1)</f>
        <v>15317672872</v>
      </c>
      <c r="C56" s="76">
        <f>IF(C8&lt;DATEVALUE("3/31/2009"),"N/A",A691N_C2)</f>
        <v>15424255224</v>
      </c>
      <c r="D56" s="102">
        <f t="shared" si="12"/>
        <v>0.69581295338163029</v>
      </c>
      <c r="E56" s="76">
        <f>IF(E8&lt;DATEVALUE("3/31/2009"),"N/A",A691N_C3)</f>
        <v>16322457836</v>
      </c>
      <c r="F56" s="102">
        <f t="shared" si="13"/>
        <v>5.8233126913149427</v>
      </c>
      <c r="G56" s="76">
        <f>IF(G8&lt;DATEVALUE("3/31/2009"),"N/A",A691N_C4)</f>
        <v>15973708989</v>
      </c>
      <c r="H56" s="102">
        <f t="shared" si="14"/>
        <v>-2.1366196837759133</v>
      </c>
      <c r="I56" s="76">
        <f>IF(I8&lt;DATEVALUE("3/31/2009"),"N/A",A691N_C5)</f>
        <v>16028369446</v>
      </c>
      <c r="J56" s="102">
        <f t="shared" si="15"/>
        <v>0.34219013904435663</v>
      </c>
    </row>
    <row r="57" spans="1:10" x14ac:dyDescent="0.2">
      <c r="A57" s="234" t="s">
        <v>655</v>
      </c>
      <c r="B57" s="176"/>
      <c r="C57" s="176"/>
      <c r="D57" s="176"/>
      <c r="E57" s="176"/>
      <c r="F57" s="176"/>
      <c r="G57" s="176"/>
      <c r="H57" s="176"/>
      <c r="I57" s="176"/>
      <c r="J57" s="176"/>
    </row>
    <row r="58" spans="1:10" x14ac:dyDescent="0.2">
      <c r="A58" s="189" t="s">
        <v>636</v>
      </c>
      <c r="I58" s="29" t="s">
        <v>726</v>
      </c>
    </row>
  </sheetData>
  <mergeCells count="1">
    <mergeCell ref="D5:J5"/>
  </mergeCells>
  <hyperlinks>
    <hyperlink ref="A2" location="'Cover Page'!A1" display="Return to cover" xr:uid="{00000000-0004-0000-1100-000000000000}"/>
  </hyperlinks>
  <printOptions gridLines="1"/>
  <pageMargins left="0.7" right="0.7" top="0.75" bottom="0.75" header="0.3" footer="0.3"/>
  <pageSetup orientation="landscape" horizontalDpi="1200" verticalDpi="12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9">
    <pageSetUpPr fitToPage="1"/>
  </sheetPr>
  <dimension ref="A1:J73"/>
  <sheetViews>
    <sheetView workbookViewId="0"/>
  </sheetViews>
  <sheetFormatPr defaultRowHeight="12.75" x14ac:dyDescent="0.2"/>
  <cols>
    <col min="1" max="1" width="50.7109375" style="44" customWidth="1"/>
    <col min="2" max="3" width="16.7109375" customWidth="1"/>
    <col min="4" max="4" width="6.7109375" style="57" customWidth="1"/>
    <col min="5" max="5" width="16.7109375" customWidth="1"/>
    <col min="6" max="6" width="6.7109375" style="57" customWidth="1"/>
    <col min="7" max="7" width="16.7109375" customWidth="1"/>
    <col min="8" max="8" width="6.7109375" style="57" customWidth="1"/>
    <col min="9" max="9" width="16.7109375" customWidth="1"/>
    <col min="10" max="10" width="6.7109375" style="57" customWidth="1"/>
    <col min="11" max="11" width="10.5703125" bestFit="1" customWidth="1"/>
    <col min="12" max="12" width="9.140625" customWidth="1"/>
    <col min="13" max="13" width="14.7109375" customWidth="1"/>
  </cols>
  <sheetData>
    <row r="1" spans="1:10" s="62" customFormat="1" ht="12" customHeight="1" x14ac:dyDescent="0.2">
      <c r="A1" s="205"/>
      <c r="C1" s="85" t="s">
        <v>727</v>
      </c>
      <c r="D1" s="118"/>
      <c r="F1" s="119"/>
      <c r="H1" s="119"/>
      <c r="J1" s="119"/>
    </row>
    <row r="2" spans="1:10" s="62" customFormat="1" x14ac:dyDescent="0.2">
      <c r="A2" s="272" t="s">
        <v>49</v>
      </c>
      <c r="C2" s="67" t="s">
        <v>50</v>
      </c>
      <c r="D2" s="87" t="str">
        <f>IF(CU_NUMBER="","N/A",CU_NUMBER)</f>
        <v>N/A</v>
      </c>
      <c r="E2" s="120"/>
      <c r="F2" s="119"/>
      <c r="H2" s="119"/>
      <c r="J2" s="119"/>
    </row>
    <row r="3" spans="1:10" s="62" customFormat="1" ht="12" customHeight="1" x14ac:dyDescent="0.2">
      <c r="A3" s="121" t="str">
        <f>IF(Request_Date=0,"N/A",Request_Date)</f>
        <v>12/05/2025</v>
      </c>
      <c r="C3" s="67" t="s">
        <v>42</v>
      </c>
      <c r="D3" s="75">
        <f>IF(CountCu_C5=0,"N/A",CountCu_C5)</f>
        <v>4331</v>
      </c>
      <c r="E3" s="120"/>
      <c r="F3" s="119"/>
      <c r="H3" s="119"/>
      <c r="J3" s="119"/>
    </row>
    <row r="4" spans="1:10" s="62" customFormat="1" ht="12" customHeight="1" x14ac:dyDescent="0.2">
      <c r="A4" s="68" t="str">
        <f>"CU Name:      "&amp;IF(Cu_Name="","N/A",Cu_Name)</f>
        <v>CU Name:      N/A</v>
      </c>
      <c r="C4" s="67" t="s">
        <v>43</v>
      </c>
      <c r="D4" s="89" t="str">
        <f>IF(AssetRange="","N/A",AssetRange)</f>
        <v>N/A</v>
      </c>
      <c r="E4" s="75"/>
      <c r="F4" s="119"/>
      <c r="H4" s="119"/>
      <c r="J4" s="119"/>
    </row>
    <row r="5" spans="1:10" s="62" customFormat="1" ht="12" customHeight="1" x14ac:dyDescent="0.2">
      <c r="A5" s="68" t="str">
        <f>"Peer Group:      "&amp;IF(Peer_Group="","N/A",IF(Peer_Group="0","N/A",Peer_Group))</f>
        <v>Peer Group:      N/A</v>
      </c>
      <c r="B5" s="90"/>
      <c r="C5" s="67" t="s">
        <v>51</v>
      </c>
      <c r="D5" s="24" t="str">
        <f>IF(_xlnm.Criteria="","N/A",_xlnm.Criteria)</f>
        <v xml:space="preserve">Region: Nation * Peer Group: All * Types Included: All  Federally Insured Credit Unions  (FICUs) *  </v>
      </c>
      <c r="E5" s="23"/>
      <c r="F5" s="23"/>
      <c r="G5" s="23"/>
      <c r="H5" s="23"/>
      <c r="I5" s="23"/>
      <c r="J5" s="23"/>
    </row>
    <row r="6" spans="1:10" s="62" customFormat="1" ht="12" customHeight="1" x14ac:dyDescent="0.2">
      <c r="A6" s="72"/>
      <c r="B6" s="67"/>
      <c r="C6" s="67" t="s">
        <v>45</v>
      </c>
      <c r="D6" s="75" t="str">
        <f>IF(NoCu_in_Peer_Group="","N/A",NoCu_in_Peer_Group)</f>
        <v>N/A</v>
      </c>
      <c r="E6" s="92" t="str">
        <f>IF(CU_NUMBER&gt;0,"",IF(RetPop=0,"Retroactive Population",""))</f>
        <v/>
      </c>
      <c r="F6" s="119"/>
      <c r="H6" s="119"/>
      <c r="J6" s="119"/>
    </row>
    <row r="7" spans="1:10" x14ac:dyDescent="0.2">
      <c r="E7" s="58"/>
      <c r="F7" s="54"/>
      <c r="G7" s="30"/>
      <c r="H7" s="54"/>
      <c r="I7" s="30"/>
      <c r="J7" s="54"/>
    </row>
    <row r="8" spans="1:10" ht="13.15" customHeight="1" x14ac:dyDescent="0.2">
      <c r="A8" s="144"/>
      <c r="B8" s="139">
        <f>(CycDat_C1)</f>
        <v>45565</v>
      </c>
      <c r="C8" s="139">
        <f>(CycDat_C2)</f>
        <v>45657</v>
      </c>
      <c r="D8" s="184" t="s">
        <v>52</v>
      </c>
      <c r="E8" s="139">
        <f>(CycDat_C3)</f>
        <v>45747</v>
      </c>
      <c r="F8" s="184" t="s">
        <v>52</v>
      </c>
      <c r="G8" s="139">
        <f>(CycDat_C4)</f>
        <v>45838</v>
      </c>
      <c r="H8" s="184" t="s">
        <v>52</v>
      </c>
      <c r="I8" s="139">
        <f>(CycDat_C5)</f>
        <v>45930</v>
      </c>
      <c r="J8" s="184" t="s">
        <v>52</v>
      </c>
    </row>
    <row r="9" spans="1:10" ht="13.15" customHeight="1" x14ac:dyDescent="0.2">
      <c r="A9" s="153" t="s">
        <v>728</v>
      </c>
      <c r="B9" s="86"/>
      <c r="C9" s="86"/>
      <c r="D9" s="102"/>
      <c r="E9" s="86"/>
      <c r="F9" s="102"/>
      <c r="G9" s="86"/>
      <c r="H9" s="102"/>
      <c r="I9" s="86"/>
      <c r="J9" s="102"/>
    </row>
    <row r="10" spans="1:10" ht="13.15" customHeight="1" x14ac:dyDescent="0.2">
      <c r="A10" s="153" t="s">
        <v>729</v>
      </c>
      <c r="B10" s="86"/>
      <c r="C10" s="86"/>
      <c r="D10" s="102"/>
      <c r="E10" s="86"/>
      <c r="F10" s="102"/>
      <c r="G10" s="86"/>
      <c r="H10" s="102"/>
      <c r="I10" s="86"/>
      <c r="J10" s="102"/>
    </row>
    <row r="11" spans="1:10" ht="13.15" customHeight="1" x14ac:dyDescent="0.2">
      <c r="A11" s="124" t="s">
        <v>730</v>
      </c>
      <c r="B11" s="76">
        <f>IF(B8&lt;DATEVALUE("3/31/2022"),"N/A",ARL0002_C1)</f>
        <v>301447690537</v>
      </c>
      <c r="C11" s="76">
        <f>IF(C8&lt;DATEVALUE("3/31/2022"),"N/A",ARL0002_C2)</f>
        <v>303911765851</v>
      </c>
      <c r="D11" s="102">
        <f t="shared" ref="D11:D16" si="0">IF(C11="N/A", " ", IF(B11="N/A", " ",IF(AND(B11=0,C11=0,),"N/A",IF(ABS(B11)=0, "N/A", ((C11-B11)/ABS(B11))*100))))</f>
        <v>0.8174138967893525</v>
      </c>
      <c r="E11" s="76">
        <f>IF(E8&lt;DATEVALUE("3/31/2022"),"N/A",ARL0002_C3)</f>
        <v>304553747314</v>
      </c>
      <c r="F11" s="102">
        <f t="shared" ref="F11:F16" si="1">IF(E11="N/A", " ", IF(C11="N/A", " ",IF(AND(C11=0,E11=0,),"N/A",IF(ABS(C11)=0, "N/A", ((E11-C11)/ABS(C11))*100))))</f>
        <v>0.21123942378550317</v>
      </c>
      <c r="G11" s="76">
        <f>IF(G8&lt;DATEVALUE("3/31/2022"),"N/A",ARL0002_C4)</f>
        <v>308071524232</v>
      </c>
      <c r="H11" s="102">
        <f t="shared" ref="H11:H16" si="2">IF(G11="N/A", " ", IF(E11="N/A", " ",IF(AND(E11=0,G11=0,),"N/A",IF(ABS(E11)=0, "N/A", ((G11-E11)/ABS(E11))*100))))</f>
        <v>1.1550594760448352</v>
      </c>
      <c r="I11" s="76">
        <f>IF(I8&lt;DATEVALUE("3/31/2022"),"N/A",ARL0002_C5)</f>
        <v>311047459685</v>
      </c>
      <c r="J11" s="102">
        <f t="shared" ref="J11:J16" si="3">IF(I11="N/A", " ", IF(G11="N/A", " ",IF(AND(G11=0,I11=0,),"N/A",IF(ABS(G11)=0, "N/A", ((I11-G11)/ABS(G11))*100))))</f>
        <v>0.96598848608899879</v>
      </c>
    </row>
    <row r="12" spans="1:10" ht="13.15" customHeight="1" x14ac:dyDescent="0.2">
      <c r="A12" s="124" t="s">
        <v>731</v>
      </c>
      <c r="B12" s="76">
        <f>IF(B8&lt;DATEVALUE("3/31/2022"),"N/A",ARL0005_C1)</f>
        <v>86714008138</v>
      </c>
      <c r="C12" s="76">
        <f>IF(C8&lt;DATEVALUE("3/31/2022"),"N/A",ARL0005_C2)</f>
        <v>84846983252</v>
      </c>
      <c r="D12" s="102">
        <f t="shared" si="0"/>
        <v>-2.1530833669096983</v>
      </c>
      <c r="E12" s="76">
        <f>IF(E8&lt;DATEVALUE("3/31/2022"),"N/A",ARL0005_C3)</f>
        <v>83249726004</v>
      </c>
      <c r="F12" s="102">
        <f t="shared" si="1"/>
        <v>-1.882515072169463</v>
      </c>
      <c r="G12" s="76">
        <f>IF(G8&lt;DATEVALUE("3/31/2022"),"N/A",ARL0005_C4)</f>
        <v>81323344964</v>
      </c>
      <c r="H12" s="102">
        <f t="shared" si="2"/>
        <v>-2.3139788350864254</v>
      </c>
      <c r="I12" s="76">
        <f>IF(I8&lt;DATEVALUE("3/31/2022"),"N/A",ARL0005_C5)</f>
        <v>79780093396</v>
      </c>
      <c r="J12" s="102">
        <f t="shared" si="3"/>
        <v>-1.8976735016041979</v>
      </c>
    </row>
    <row r="13" spans="1:10" ht="13.15" customHeight="1" x14ac:dyDescent="0.2">
      <c r="A13" s="124" t="s">
        <v>732</v>
      </c>
      <c r="B13" s="76">
        <f>IF(B8&lt;DATEVALUE("3/31/2022"),"N/A",ARL0008_C1)</f>
        <v>87255240433</v>
      </c>
      <c r="C13" s="76">
        <f>IF(C8&lt;DATEVALUE("3/31/2022"),"N/A",ARL0008_C2)</f>
        <v>89735187294</v>
      </c>
      <c r="D13" s="102">
        <f t="shared" si="0"/>
        <v>2.8421752649965564</v>
      </c>
      <c r="E13" s="76">
        <f>IF(E8&lt;DATEVALUE("3/31/2022"),"N/A",ARL0008_C3)</f>
        <v>91169858364</v>
      </c>
      <c r="F13" s="102">
        <f t="shared" si="1"/>
        <v>1.5987831677439728</v>
      </c>
      <c r="G13" s="76">
        <f>IF(G8&lt;DATEVALUE("3/31/2022"),"N/A",ARL0008_C4)</f>
        <v>94137666786</v>
      </c>
      <c r="H13" s="102">
        <f t="shared" si="2"/>
        <v>3.2552517633085309</v>
      </c>
      <c r="I13" s="76">
        <f>IF(I8&lt;DATEVALUE("3/31/2022"),"N/A",ARL0008_C5)</f>
        <v>98339899550</v>
      </c>
      <c r="J13" s="102">
        <f t="shared" si="3"/>
        <v>4.4639227925127933</v>
      </c>
    </row>
    <row r="14" spans="1:10" ht="13.15" customHeight="1" x14ac:dyDescent="0.2">
      <c r="A14" s="144" t="s">
        <v>733</v>
      </c>
      <c r="B14" s="76">
        <f>IF(B8&lt;DATEVALUE("3/31/2022"),"N/A",ARL0011_C1)</f>
        <v>47755829562</v>
      </c>
      <c r="C14" s="76">
        <f>IF(C8&lt;DATEVALUE("3/31/2022"),"N/A",ARL0011_C2)</f>
        <v>50965962468</v>
      </c>
      <c r="D14" s="102">
        <f t="shared" si="0"/>
        <v>6.7219707739185601</v>
      </c>
      <c r="E14" s="76">
        <f>IF(E8&lt;DATEVALUE("3/31/2022"),"N/A",ARL0011_C3)</f>
        <v>52611496632</v>
      </c>
      <c r="F14" s="102">
        <f t="shared" si="1"/>
        <v>3.2286924141444038</v>
      </c>
      <c r="G14" s="76">
        <f>IF(G8&lt;DATEVALUE("3/31/2022"),"N/A",ARL0011_C4)</f>
        <v>55436308203</v>
      </c>
      <c r="H14" s="102">
        <f t="shared" si="2"/>
        <v>5.3691906747276583</v>
      </c>
      <c r="I14" s="76">
        <f>IF(I8&lt;DATEVALUE("3/31/2022"),"N/A",ARL0011_C5)</f>
        <v>58394157802</v>
      </c>
      <c r="J14" s="102">
        <f t="shared" si="3"/>
        <v>5.3355818503800228</v>
      </c>
    </row>
    <row r="15" spans="1:10" ht="13.15" customHeight="1" x14ac:dyDescent="0.2">
      <c r="A15" s="144" t="s">
        <v>734</v>
      </c>
      <c r="B15" s="76">
        <f>IF(B8&lt;DATEVALUE("3/31/2022"),"N/A",ARL0014_C1)</f>
        <v>64722160156</v>
      </c>
      <c r="C15" s="76">
        <f>IF(C8&lt;DATEVALUE("3/31/2022"),"N/A",ARL0014_C2)</f>
        <v>64769981317</v>
      </c>
      <c r="D15" s="102">
        <f t="shared" si="0"/>
        <v>7.3886843215270503E-2</v>
      </c>
      <c r="E15" s="76">
        <f>IF(E8&lt;DATEVALUE("3/31/2022"),"N/A",ARL0014_C3)</f>
        <v>66352749291</v>
      </c>
      <c r="F15" s="102">
        <f t="shared" si="1"/>
        <v>2.4436752054220143</v>
      </c>
      <c r="G15" s="76">
        <f>IF(G8&lt;DATEVALUE("3/31/2022"),"N/A",ARL0014_C4)</f>
        <v>68820943261</v>
      </c>
      <c r="H15" s="102">
        <f t="shared" si="2"/>
        <v>3.7198066340482181</v>
      </c>
      <c r="I15" s="76">
        <f>IF(I8&lt;DATEVALUE("3/31/2022"),"N/A",ARL0014_C5)</f>
        <v>69536483990</v>
      </c>
      <c r="J15" s="102">
        <f t="shared" si="3"/>
        <v>1.039713632355121</v>
      </c>
    </row>
    <row r="16" spans="1:10" ht="13.15" customHeight="1" x14ac:dyDescent="0.2">
      <c r="A16" s="153" t="s">
        <v>735</v>
      </c>
      <c r="B16" s="76">
        <f>IF(B8&lt;DATEVALUE("3/31/2022"),"N/A",ARL0016_C1)</f>
        <v>587894928826</v>
      </c>
      <c r="C16" s="76">
        <f>IF(C8&lt;DATEVALUE("3/31/2022"),"N/A",ARL0016_C2)</f>
        <v>594229880182</v>
      </c>
      <c r="D16" s="102">
        <f t="shared" si="0"/>
        <v>1.0775652323878038</v>
      </c>
      <c r="E16" s="76">
        <f>IF(E8&lt;DATEVALUE("3/31/2022"),"N/A",ARL0016_C3)</f>
        <v>597937577605</v>
      </c>
      <c r="F16" s="102">
        <f t="shared" si="1"/>
        <v>0.62395001440594178</v>
      </c>
      <c r="G16" s="76">
        <f>IF(G8&lt;DATEVALUE("3/31/2022"),"N/A",ARL0016_C4)</f>
        <v>607789787446</v>
      </c>
      <c r="H16" s="102">
        <f t="shared" si="2"/>
        <v>1.6476987247502299</v>
      </c>
      <c r="I16" s="76">
        <f>IF(I8&lt;DATEVALUE("3/31/2022"),"N/A",ARL0016_C5)</f>
        <v>617098094423</v>
      </c>
      <c r="J16" s="102">
        <f t="shared" si="3"/>
        <v>1.5315010500776158</v>
      </c>
    </row>
    <row r="17" spans="1:10" ht="13.15" customHeight="1" x14ac:dyDescent="0.2">
      <c r="A17" s="93" t="s">
        <v>736</v>
      </c>
      <c r="B17" s="76"/>
      <c r="C17" s="76"/>
      <c r="D17" s="102"/>
      <c r="E17" s="76"/>
      <c r="F17" s="102"/>
      <c r="G17" s="76"/>
      <c r="H17" s="102"/>
      <c r="I17" s="76"/>
      <c r="J17" s="102"/>
    </row>
    <row r="18" spans="1:10" ht="13.15" customHeight="1" x14ac:dyDescent="0.2">
      <c r="A18" s="124" t="s">
        <v>737</v>
      </c>
      <c r="B18" s="76">
        <f>IF(B8&lt;DATEVALUE("3/31/2022"),"N/A",ARL0019_C1)</f>
        <v>42972990302</v>
      </c>
      <c r="C18" s="76">
        <f>IF(C8&lt;DATEVALUE("3/31/2022"),"N/A",ARL0019_C2)</f>
        <v>44377578054</v>
      </c>
      <c r="D18" s="102">
        <f>IF(C18="N/A", " ", IF(B18="N/A", " ",IF(AND(B18=0,C18=0,),"N/A",IF(ABS(B18)=0, "N/A", ((C18-B18)/ABS(B18))*100))))</f>
        <v>3.2685362180500368</v>
      </c>
      <c r="E18" s="76">
        <f>IF(E8&lt;DATEVALUE("3/31/2022"),"N/A",ARL0019_C3)</f>
        <v>45404466661</v>
      </c>
      <c r="F18" s="102">
        <f>IF(E18="N/A", " ", IF(C18="N/A", " ",IF(AND(C18=0,E18=0,),"N/A",IF(ABS(C18)=0, "N/A", ((E18-C18)/ABS(C18))*100))))</f>
        <v>2.3139807353849964</v>
      </c>
      <c r="G18" s="76">
        <f>IF(G8&lt;DATEVALUE("3/31/2022"),"N/A",ARL0019_C4)</f>
        <v>46442700379</v>
      </c>
      <c r="H18" s="102">
        <f>IF(G18="N/A", " ", IF(E18="N/A", " ",IF(AND(E18=0,G18=0,),"N/A",IF(ABS(E18)=0, "N/A", ((G18-E18)/ABS(E18))*100))))</f>
        <v>2.2866334401672139</v>
      </c>
      <c r="I18" s="76">
        <f>IF(I8&lt;DATEVALUE("3/31/2022"),"N/A",ARL0019_C5)</f>
        <v>47688959209</v>
      </c>
      <c r="J18" s="102">
        <f>IF(I18="N/A", " ", IF(G18="N/A", " ",IF(AND(G18=0,I18=0,),"N/A",IF(ABS(G18)=0, "N/A", ((I18-G18)/ABS(G18))*100))))</f>
        <v>2.6834331764298551</v>
      </c>
    </row>
    <row r="19" spans="1:10" ht="13.15" customHeight="1" x14ac:dyDescent="0.2">
      <c r="A19" s="124" t="s">
        <v>738</v>
      </c>
      <c r="B19" s="76">
        <f>IF(B8&lt;DATEVALUE("3/31/2022"),"N/A",ARL0022_C1)</f>
        <v>2789732006</v>
      </c>
      <c r="C19" s="76">
        <f>IF(C8&lt;DATEVALUE("3/31/2022"),"N/A",ARL0022_C2)</f>
        <v>2811571731</v>
      </c>
      <c r="D19" s="102">
        <f>IF(C19="N/A", " ", IF(B19="N/A", " ",IF(AND(B19=0,C19=0,),"N/A",IF(ABS(B19)=0, "N/A", ((C19-B19)/ABS(B19))*100))))</f>
        <v>0.78286104016544733</v>
      </c>
      <c r="E19" s="76">
        <f>IF(E8&lt;DATEVALUE("3/31/2022"),"N/A",ARL0022_C3)</f>
        <v>2887657058</v>
      </c>
      <c r="F19" s="102">
        <f>IF(E19="N/A", " ", IF(C19="N/A", " ",IF(AND(C19=0,E19=0,),"N/A",IF(ABS(C19)=0, "N/A", ((E19-C19)/ABS(C19))*100))))</f>
        <v>2.7061492389147941</v>
      </c>
      <c r="G19" s="76">
        <f>IF(G8&lt;DATEVALUE("3/31/2022"),"N/A",ARL0022_C4)</f>
        <v>3052818274</v>
      </c>
      <c r="H19" s="102">
        <f>IF(G19="N/A", " ", IF(E19="N/A", " ",IF(AND(E19=0,G19=0,),"N/A",IF(ABS(E19)=0, "N/A", ((G19-E19)/ABS(E19))*100))))</f>
        <v>5.7195578520113868</v>
      </c>
      <c r="I19" s="76">
        <f>IF(I8&lt;DATEVALUE("3/31/2022"),"N/A",ARL0022_C5)</f>
        <v>3176799859</v>
      </c>
      <c r="J19" s="102">
        <f>IF(I19="N/A", " ", IF(G19="N/A", " ",IF(AND(G19=0,I19=0,),"N/A",IF(ABS(G19)=0, "N/A", ((I19-G19)/ABS(G19))*100))))</f>
        <v>4.061217336646485</v>
      </c>
    </row>
    <row r="20" spans="1:10" ht="13.15" customHeight="1" x14ac:dyDescent="0.2">
      <c r="A20" s="124" t="s">
        <v>739</v>
      </c>
      <c r="B20" s="76">
        <f>IF(B8&lt;DATEVALUE("3/31/2022"),"N/A",ARL0025_C1)</f>
        <v>7511848940</v>
      </c>
      <c r="C20" s="76">
        <f>IF(C8&lt;DATEVALUE("3/31/2022"),"N/A",ARL0025_C2)</f>
        <v>7599974272</v>
      </c>
      <c r="D20" s="102">
        <f>IF(C20="N/A", " ", IF(B20="N/A", " ",IF(AND(B20=0,C20=0,),"N/A",IF(ABS(B20)=0, "N/A", ((C20-B20)/ABS(B20))*100))))</f>
        <v>1.1731510138700951</v>
      </c>
      <c r="E20" s="76">
        <f>IF(E8&lt;DATEVALUE("3/31/2022"),"N/A",ARL0025_C3)</f>
        <v>7517573615</v>
      </c>
      <c r="F20" s="102">
        <f>IF(E20="N/A", " ", IF(C20="N/A", " ",IF(AND(C20=0,E20=0,),"N/A",IF(ABS(C20)=0, "N/A", ((E20-C20)/ABS(C20))*100))))</f>
        <v>-1.0842228414322717</v>
      </c>
      <c r="G20" s="76">
        <f>IF(G8&lt;DATEVALUE("3/31/2022"),"N/A",ARL0025_C4)</f>
        <v>8047408360</v>
      </c>
      <c r="H20" s="102">
        <f>IF(G20="N/A", " ", IF(E20="N/A", " ",IF(AND(E20=0,G20=0,),"N/A",IF(ABS(E20)=0, "N/A", ((G20-E20)/ABS(E20))*100))))</f>
        <v>7.0479488746582764</v>
      </c>
      <c r="I20" s="76">
        <f>IF(I8&lt;DATEVALUE("3/31/2022"),"N/A",ARL0025_C5)</f>
        <v>8181146878</v>
      </c>
      <c r="J20" s="102">
        <f>IF(I20="N/A", " ", IF(G20="N/A", " ",IF(AND(G20=0,I20=0,),"N/A",IF(ABS(G20)=0, "N/A", ((I20-G20)/ABS(G20))*100))))</f>
        <v>1.6618830810768002</v>
      </c>
    </row>
    <row r="21" spans="1:10" ht="13.15" customHeight="1" x14ac:dyDescent="0.2">
      <c r="A21" s="124" t="s">
        <v>740</v>
      </c>
      <c r="B21" s="76">
        <f>IF(B8&lt;DATEVALUE("3/31/2022"),"N/A",ARL0028_C1)</f>
        <v>95247543279</v>
      </c>
      <c r="C21" s="76">
        <f>IF(C8&lt;DATEVALUE("3/31/2022"),"N/A",ARL0028_C2)</f>
        <v>99625845956</v>
      </c>
      <c r="D21" s="102">
        <f>IF(C21="N/A", " ", IF(B21="N/A", " ",IF(AND(B21=0,C21=0,),"N/A",IF(ABS(B21)=0, "N/A", ((C21-B21)/ABS(B21))*100))))</f>
        <v>4.5967617917189045</v>
      </c>
      <c r="E21" s="76">
        <f>IF(E8&lt;DATEVALUE("3/31/2022"),"N/A",ARL0028_C3)</f>
        <v>103071741854</v>
      </c>
      <c r="F21" s="102">
        <f>IF(E21="N/A", " ", IF(C21="N/A", " ",IF(AND(C21=0,E21=0,),"N/A",IF(ABS(C21)=0, "N/A", ((E21-C21)/ABS(C21))*100))))</f>
        <v>3.4588372775493301</v>
      </c>
      <c r="G21" s="76">
        <f>IF(G8&lt;DATEVALUE("3/31/2022"),"N/A",ARL0028_C4)</f>
        <v>108104332159</v>
      </c>
      <c r="H21" s="102">
        <f>IF(G21="N/A", " ", IF(E21="N/A", " ",IF(AND(E21=0,G21=0,),"N/A",IF(ABS(E21)=0, "N/A", ((G21-E21)/ABS(E21))*100))))</f>
        <v>4.8826091559882716</v>
      </c>
      <c r="I21" s="76">
        <f>IF(I8&lt;DATEVALUE("3/31/2022"),"N/A",ARL0028_C5)</f>
        <v>113403285977</v>
      </c>
      <c r="J21" s="102">
        <f>IF(I21="N/A", " ", IF(G21="N/A", " ",IF(AND(G21=0,I21=0,),"N/A",IF(ABS(G21)=0, "N/A", ((I21-G21)/ABS(G21))*100))))</f>
        <v>4.9017034860418836</v>
      </c>
    </row>
    <row r="22" spans="1:10" ht="13.15" customHeight="1" x14ac:dyDescent="0.2">
      <c r="A22" s="93" t="s">
        <v>741</v>
      </c>
      <c r="B22" s="76">
        <f>IF(B8&lt;DATEVALUE("3/31/2022"),"N/A",ARL0030_C1)</f>
        <v>148522114527</v>
      </c>
      <c r="C22" s="76">
        <f>IF(C8&lt;DATEVALUE("3/31/2022"),"N/A",ARL0030_C2)</f>
        <v>154414970013</v>
      </c>
      <c r="D22" s="102">
        <f>IF(C22="N/A", " ", IF(B22="N/A", " ",IF(AND(B22=0,C22=0,),"N/A",IF(ABS(B22)=0, "N/A", ((C22-B22)/ABS(B22))*100))))</f>
        <v>3.9676619907863828</v>
      </c>
      <c r="E22" s="76">
        <f>IF(E8&lt;DATEVALUE("3/31/2022"),"N/A",ARL0030_C3)</f>
        <v>158881439188</v>
      </c>
      <c r="F22" s="102">
        <f>IF(E22="N/A", " ", IF(C22="N/A", " ",IF(AND(C22=0,E22=0,),"N/A",IF(ABS(C22)=0, "N/A", ((E22-C22)/ABS(C22))*100))))</f>
        <v>2.8925104700819966</v>
      </c>
      <c r="G22" s="76">
        <f>IF(G8&lt;DATEVALUE("3/31/2022"),"N/A",ARL0030_C4)</f>
        <v>165647259172</v>
      </c>
      <c r="H22" s="102">
        <f>IF(G22="N/A", " ", IF(E22="N/A", " ",IF(AND(E22=0,G22=0,),"N/A",IF(ABS(E22)=0, "N/A", ((G22-E22)/ABS(E22))*100))))</f>
        <v>4.2584080422346835</v>
      </c>
      <c r="I22" s="76">
        <f>IF(I8&lt;DATEVALUE("3/31/2022"),"N/A",ARL0030_C5)</f>
        <v>172450191923</v>
      </c>
      <c r="J22" s="102">
        <f>IF(I22="N/A", " ", IF(G22="N/A", " ",IF(AND(G22=0,I22=0,),"N/A",IF(ABS(G22)=0, "N/A", ((I22-G22)/ABS(G22))*100))))</f>
        <v>4.106879150916809</v>
      </c>
    </row>
    <row r="23" spans="1:10" ht="13.15" customHeight="1" x14ac:dyDescent="0.2">
      <c r="A23" s="145" t="s">
        <v>742</v>
      </c>
      <c r="B23" s="76"/>
      <c r="C23" s="76"/>
      <c r="D23" s="102"/>
      <c r="E23" s="76"/>
      <c r="F23" s="102"/>
      <c r="G23" s="76"/>
      <c r="H23" s="102"/>
      <c r="I23" s="76"/>
      <c r="J23" s="102"/>
    </row>
    <row r="24" spans="1:10" ht="13.15" customHeight="1" x14ac:dyDescent="0.2">
      <c r="A24" s="86" t="s">
        <v>737</v>
      </c>
      <c r="B24" s="76">
        <f>IF(B8&lt;DATEVALUE("3/31/2022"),"N/A",ARL0033_C1)</f>
        <v>1182241941</v>
      </c>
      <c r="C24" s="76">
        <f>IF(C8&lt;DATEVALUE("3/31/2022"),"N/A",ARL0033_C2)</f>
        <v>1200762552</v>
      </c>
      <c r="D24" s="102">
        <f t="shared" ref="D24:D29" si="4">IF(C24="N/A", " ", IF(B24="N/A", " ",IF(AND(B24=0,C24=0,),"N/A",IF(ABS(B24)=0, "N/A", ((C24-B24)/ABS(B24))*100))))</f>
        <v>1.5665669062911378</v>
      </c>
      <c r="E24" s="76">
        <f>IF(E8&lt;DATEVALUE("3/31/2022"),"N/A",ARL0033_C3)</f>
        <v>1220624155</v>
      </c>
      <c r="F24" s="102">
        <f t="shared" ref="F24:F29" si="5">IF(E24="N/A", " ", IF(C24="N/A", " ",IF(AND(C24=0,E24=0,),"N/A",IF(ABS(C24)=0, "N/A", ((E24-C24)/ABS(C24))*100))))</f>
        <v>1.6540824800805414</v>
      </c>
      <c r="G24" s="76">
        <f>IF(G8&lt;DATEVALUE("3/31/2022"),"N/A",ARL0033_C4)</f>
        <v>1239338239</v>
      </c>
      <c r="H24" s="102">
        <f t="shared" ref="H24:H29" si="6">IF(G24="N/A", " ", IF(E24="N/A", " ",IF(AND(E24=0,G24=0,),"N/A",IF(ABS(E24)=0, "N/A", ((G24-E24)/ABS(E24))*100))))</f>
        <v>1.533156944612488</v>
      </c>
      <c r="I24" s="76">
        <f>IF(I8&lt;DATEVALUE("3/31/2022"),"N/A",ARL0033_C5)</f>
        <v>1529997521</v>
      </c>
      <c r="J24" s="102">
        <f t="shared" ref="J24:J29" si="7">IF(I24="N/A", " ", IF(G24="N/A", " ",IF(AND(G24=0,I24=0,),"N/A",IF(ABS(G24)=0, "N/A", ((I24-G24)/ABS(G24))*100))))</f>
        <v>23.452780915928795</v>
      </c>
    </row>
    <row r="25" spans="1:10" ht="13.15" customHeight="1" x14ac:dyDescent="0.2">
      <c r="A25" s="86" t="s">
        <v>738</v>
      </c>
      <c r="B25" s="76">
        <f>IF(B8&lt;DATEVALUE("3/31/2022"),"N/A",ARL0036_C1)</f>
        <v>284381847</v>
      </c>
      <c r="C25" s="76">
        <f>IF(C8&lt;DATEVALUE("3/31/2022"),"N/A",ARL0036_C2)</f>
        <v>277170503</v>
      </c>
      <c r="D25" s="102">
        <f t="shared" si="4"/>
        <v>-2.5357961754851392</v>
      </c>
      <c r="E25" s="76">
        <f>IF(E8&lt;DATEVALUE("3/31/2022"),"N/A",ARL0036_C3)</f>
        <v>284539054</v>
      </c>
      <c r="F25" s="102">
        <f t="shared" si="5"/>
        <v>2.6584903228320798</v>
      </c>
      <c r="G25" s="76">
        <f>IF(G8&lt;DATEVALUE("3/31/2022"),"N/A",ARL0036_C4)</f>
        <v>260359306</v>
      </c>
      <c r="H25" s="102">
        <f t="shared" si="6"/>
        <v>-8.4978661663786941</v>
      </c>
      <c r="I25" s="76">
        <f>IF(I8&lt;DATEVALUE("3/31/2022"),"N/A",ARL0036_C5)</f>
        <v>275459645</v>
      </c>
      <c r="J25" s="102">
        <f t="shared" si="7"/>
        <v>5.7998076704045296</v>
      </c>
    </row>
    <row r="26" spans="1:10" ht="13.15" customHeight="1" x14ac:dyDescent="0.2">
      <c r="A26" s="86" t="s">
        <v>739</v>
      </c>
      <c r="B26" s="76">
        <f>IF(B8&lt;DATEVALUE("3/31/2022"),"N/A",ARL0039_C1)</f>
        <v>105954682</v>
      </c>
      <c r="C26" s="76">
        <f>IF(C8&lt;DATEVALUE("3/31/2022"),"N/A",ARL0039_C2)</f>
        <v>108033183</v>
      </c>
      <c r="D26" s="102">
        <f t="shared" si="4"/>
        <v>1.961688677429092</v>
      </c>
      <c r="E26" s="76">
        <f>IF(E8&lt;DATEVALUE("3/31/2022"),"N/A",ARL0039_C3)</f>
        <v>105938175</v>
      </c>
      <c r="F26" s="102">
        <f t="shared" si="5"/>
        <v>-1.9392263949123851</v>
      </c>
      <c r="G26" s="76">
        <f>IF(G8&lt;DATEVALUE("3/31/2022"),"N/A",ARL0039_C4)</f>
        <v>99602509</v>
      </c>
      <c r="H26" s="102">
        <f t="shared" si="6"/>
        <v>-5.9805315694743655</v>
      </c>
      <c r="I26" s="76">
        <f>IF(I8&lt;DATEVALUE("3/31/2022"),"N/A",ARL0039_C5)</f>
        <v>99025370</v>
      </c>
      <c r="J26" s="102">
        <f t="shared" si="7"/>
        <v>-0.5794422307173005</v>
      </c>
    </row>
    <row r="27" spans="1:10" ht="13.15" customHeight="1" x14ac:dyDescent="0.2">
      <c r="A27" s="86" t="s">
        <v>740</v>
      </c>
      <c r="B27" s="76">
        <f>IF(B8&lt;DATEVALUE("3/31/2022"),"N/A",ARL0042_C1)</f>
        <v>413214649</v>
      </c>
      <c r="C27" s="76">
        <f>IF(C8&lt;DATEVALUE("3/31/2022"),"N/A",ARL0042_C2)</f>
        <v>430268604</v>
      </c>
      <c r="D27" s="102">
        <f t="shared" si="4"/>
        <v>4.1271419203727211</v>
      </c>
      <c r="E27" s="76">
        <f>IF(E8&lt;DATEVALUE("3/31/2022"),"N/A",ARL0042_C3)</f>
        <v>432488086</v>
      </c>
      <c r="F27" s="102">
        <f t="shared" si="5"/>
        <v>0.51583638205682336</v>
      </c>
      <c r="G27" s="76">
        <f>IF(G8&lt;DATEVALUE("3/31/2022"),"N/A",ARL0042_C4)</f>
        <v>460768562</v>
      </c>
      <c r="H27" s="102">
        <f t="shared" si="6"/>
        <v>6.5390185106740715</v>
      </c>
      <c r="I27" s="76">
        <f>IF(I8&lt;DATEVALUE("3/31/2022"),"N/A",ARL0042_C5)</f>
        <v>487676350</v>
      </c>
      <c r="J27" s="102">
        <f t="shared" si="7"/>
        <v>5.8397621320353883</v>
      </c>
    </row>
    <row r="28" spans="1:10" ht="13.15" customHeight="1" x14ac:dyDescent="0.2">
      <c r="A28" s="92" t="s">
        <v>743</v>
      </c>
      <c r="B28" s="76">
        <f>IF(B8&lt;DATEVALUE("3/31/2022"),"N/A",ARL0044_C1)</f>
        <v>1985793119</v>
      </c>
      <c r="C28" s="76">
        <f>IF(C8&lt;DATEVALUE("3/31/2022"),"N/A",ARL0044_C2)</f>
        <v>2016234842</v>
      </c>
      <c r="D28" s="102">
        <f t="shared" si="4"/>
        <v>1.5329755506117251</v>
      </c>
      <c r="E28" s="76">
        <f>IF(E8&lt;DATEVALUE("3/31/2022"),"N/A",ARL0044_C3)</f>
        <v>2043589470</v>
      </c>
      <c r="F28" s="102">
        <f t="shared" si="5"/>
        <v>1.3567183460070373</v>
      </c>
      <c r="G28" s="76">
        <f>IF(G8&lt;DATEVALUE("3/31/2022"),"N/A",ARL0044_C4)</f>
        <v>2060068616</v>
      </c>
      <c r="H28" s="102">
        <f t="shared" si="6"/>
        <v>0.80638240908532366</v>
      </c>
      <c r="I28" s="76">
        <f>IF(I8&lt;DATEVALUE("3/31/2022"),"N/A",ARL0044_C5)</f>
        <v>2392158886</v>
      </c>
      <c r="J28" s="102">
        <f t="shared" si="7"/>
        <v>16.120349944693299</v>
      </c>
    </row>
    <row r="29" spans="1:10" ht="26.45" customHeight="1" x14ac:dyDescent="0.2">
      <c r="A29" s="93" t="s">
        <v>744</v>
      </c>
      <c r="B29" s="76">
        <f>IF(B8&lt;DATEVALUE("3/31/2022"),"N/A",ARL0047_C1)</f>
        <v>738402836472</v>
      </c>
      <c r="C29" s="76">
        <f>IF(C8&lt;DATEVALUE("3/31/2022"),"N/A",ARL0047_C2)</f>
        <v>750661085037</v>
      </c>
      <c r="D29" s="102">
        <f t="shared" si="4"/>
        <v>1.6601031252220586</v>
      </c>
      <c r="E29" s="76">
        <f>IF(E8&lt;DATEVALUE("3/31/2022"),"N/A",ARL0047_C3)</f>
        <v>758862606263</v>
      </c>
      <c r="F29" s="102">
        <f t="shared" si="5"/>
        <v>1.0925731184793932</v>
      </c>
      <c r="G29" s="76">
        <f>IF(G8&lt;DATEVALUE("3/31/2022"),"N/A",ARL0047_C4)</f>
        <v>775497115234</v>
      </c>
      <c r="H29" s="102">
        <f t="shared" si="6"/>
        <v>2.1920317108410736</v>
      </c>
      <c r="I29" s="76">
        <f>IF(I8&lt;DATEVALUE("3/31/2022"),"N/A",ARL0047_C5)</f>
        <v>791940445232</v>
      </c>
      <c r="J29" s="102">
        <f t="shared" si="7"/>
        <v>2.1203599181717601</v>
      </c>
    </row>
    <row r="30" spans="1:10" ht="13.15" customHeight="1" x14ac:dyDescent="0.2">
      <c r="A30" s="153" t="s">
        <v>745</v>
      </c>
      <c r="B30" s="76"/>
      <c r="C30" s="76"/>
      <c r="D30" s="102"/>
      <c r="E30" s="76"/>
      <c r="F30" s="102"/>
      <c r="G30" s="76"/>
      <c r="H30" s="102"/>
      <c r="I30" s="76"/>
      <c r="J30" s="102"/>
    </row>
    <row r="31" spans="1:10" ht="13.15" customHeight="1" x14ac:dyDescent="0.2">
      <c r="A31" s="153" t="s">
        <v>746</v>
      </c>
      <c r="B31" s="76"/>
      <c r="C31" s="76"/>
      <c r="D31" s="102"/>
      <c r="E31" s="76"/>
      <c r="F31" s="102"/>
      <c r="G31" s="76"/>
      <c r="H31" s="102"/>
      <c r="I31" s="76"/>
      <c r="J31" s="102"/>
    </row>
    <row r="32" spans="1:10" ht="13.15" customHeight="1" x14ac:dyDescent="0.2">
      <c r="A32" s="124" t="s">
        <v>747</v>
      </c>
      <c r="B32" s="76">
        <f>IF(B8&lt;DATEVALUE("3/31/2022"),"N/A",ARL0003_C1)</f>
        <v>39265912167</v>
      </c>
      <c r="C32" s="76">
        <f>IF(C8&lt;DATEVALUE("3/31/2022"),"N/A",ARL0003_C2)</f>
        <v>55293935319</v>
      </c>
      <c r="D32" s="102">
        <f t="shared" ref="D32:D37" si="8">IF(C32="N/A", " ", IF(B32="N/A", " ",IF(AND(B32=0,C32=0,),"N/A",IF(ABS(B32)=0, "N/A", ((C32*Anu_C2-B32*Anu_C1)/ABS(B32*Anu_C1))*100))))</f>
        <v>5.6143845910773136</v>
      </c>
      <c r="E32" s="76">
        <f>IF(E8&lt;DATEVALUE("3/31/2022"),"N/A",ARL0003_C3)</f>
        <v>11432386830</v>
      </c>
      <c r="F32" s="102">
        <f t="shared" ref="F32:F37" si="9">IF(E32="N/A", " ", IF(C32="N/A", " ",IF(AND(C32=0,E32=0,),"N/A",IF(ABS(C32)=0, "N/A", ((E32*Anu_C3-C32*Anu_C2)/ABS(C32*Anu_C2))*100))))</f>
        <v>-17.297354481683097</v>
      </c>
      <c r="G32" s="76">
        <f>IF(G8&lt;DATEVALUE("3/31/2022"),"N/A",ARL0003_C4)</f>
        <v>28574202513</v>
      </c>
      <c r="H32" s="102">
        <f t="shared" ref="H32:H37" si="10">IF(G32="N/A", " ", IF(E32="N/A", " ",IF(AND(E32=0,G32=0,),"N/A",IF(ABS(E32)=0, "N/A", ((G32*Anu_C4-E32*Anu_C3)/ABS(E32*Anu_C3))*100))))</f>
        <v>24.97041491815931</v>
      </c>
      <c r="I32" s="76">
        <f>IF(I8&lt;DATEVALUE("3/31/2022"),"N/A",ARL0003_C5)</f>
        <v>46005748338</v>
      </c>
      <c r="J32" s="102">
        <f t="shared" ref="J32:J37" si="11">IF(I32="N/A", " ", IF(G32="N/A", " ",IF(AND(G32=0,I32=0,),"N/A",IF(ABS(G32)=0, "N/A", ((I32*Anu_C5-G32*Anu_C4)/ABS(G32*Anu_C4))*100))))</f>
        <v>7.3363250577029318</v>
      </c>
    </row>
    <row r="33" spans="1:10" ht="13.15" customHeight="1" x14ac:dyDescent="0.2">
      <c r="A33" s="124" t="s">
        <v>748</v>
      </c>
      <c r="B33" s="76">
        <f>IF(B8&lt;DATEVALUE("3/31/2022"),"N/A",ARL0006_C1)</f>
        <v>7225448183</v>
      </c>
      <c r="C33" s="76">
        <f>IF(C8&lt;DATEVALUE("3/31/2022"),"N/A",ARL0006_C2)</f>
        <v>10217970457</v>
      </c>
      <c r="D33" s="102">
        <f t="shared" si="8"/>
        <v>6.0623181933626569</v>
      </c>
      <c r="E33" s="76">
        <f>IF(E8&lt;DATEVALUE("3/31/2022"),"N/A",ARL0006_C3)</f>
        <v>2499920307</v>
      </c>
      <c r="F33" s="102">
        <f t="shared" si="9"/>
        <v>-2.1363266797317575</v>
      </c>
      <c r="G33" s="76">
        <f>IF(G8&lt;DATEVALUE("3/31/2022"),"N/A",ARL0006_C4)</f>
        <v>5790609497</v>
      </c>
      <c r="H33" s="102">
        <f t="shared" si="10"/>
        <v>15.815881826028145</v>
      </c>
      <c r="I33" s="76">
        <f>IF(I8&lt;DATEVALUE("3/31/2022"),"N/A",ARL0006_C5)</f>
        <v>9332090376</v>
      </c>
      <c r="J33" s="102">
        <f t="shared" si="11"/>
        <v>7.4393565517270801</v>
      </c>
    </row>
    <row r="34" spans="1:10" ht="13.15" customHeight="1" x14ac:dyDescent="0.2">
      <c r="A34" s="144" t="s">
        <v>749</v>
      </c>
      <c r="B34" s="76">
        <f>IF(B8&lt;DATEVALUE("3/31/2022"),"N/A",ARL0009_C1)</f>
        <v>9307229538</v>
      </c>
      <c r="C34" s="76">
        <f>IF(C8&lt;DATEVALUE("3/31/2022"),"N/A",ARL0009_C2)</f>
        <v>13419658144</v>
      </c>
      <c r="D34" s="102">
        <f t="shared" si="8"/>
        <v>8.1389855800502779</v>
      </c>
      <c r="E34" s="76">
        <f>IF(E8&lt;DATEVALUE("3/31/2022"),"N/A",ARL0009_C3)</f>
        <v>3312810257</v>
      </c>
      <c r="F34" s="102">
        <f t="shared" si="9"/>
        <v>-1.2550030275942623</v>
      </c>
      <c r="G34" s="76">
        <f>IF(G8&lt;DATEVALUE("3/31/2022"),"N/A",ARL0009_C4)</f>
        <v>8768628949</v>
      </c>
      <c r="H34" s="102">
        <f t="shared" si="10"/>
        <v>32.344267687408333</v>
      </c>
      <c r="I34" s="76">
        <f>IF(I8&lt;DATEVALUE("3/31/2022"),"N/A",ARL0009_C5)</f>
        <v>14401763267</v>
      </c>
      <c r="J34" s="102">
        <f t="shared" si="11"/>
        <v>9.4946036281792718</v>
      </c>
    </row>
    <row r="35" spans="1:10" ht="13.15" customHeight="1" x14ac:dyDescent="0.2">
      <c r="A35" s="144" t="s">
        <v>750</v>
      </c>
      <c r="B35" s="76">
        <f>IF(B8&lt;DATEVALUE("3/31/2022"),"N/A",ARL0012_C1)</f>
        <v>10092750698</v>
      </c>
      <c r="C35" s="76">
        <f>IF(C8&lt;DATEVALUE("3/31/2022"),"N/A",ARL0012_C2)</f>
        <v>14880914874</v>
      </c>
      <c r="D35" s="102">
        <f t="shared" si="8"/>
        <v>10.581213085067333</v>
      </c>
      <c r="E35" s="76">
        <f>IF(E8&lt;DATEVALUE("3/31/2022"),"N/A",ARL0012_C3)</f>
        <v>3527261100</v>
      </c>
      <c r="F35" s="102">
        <f t="shared" si="9"/>
        <v>-5.1869826588996588</v>
      </c>
      <c r="G35" s="76">
        <f>IF(G8&lt;DATEVALUE("3/31/2022"),"N/A",ARL0012_C4)</f>
        <v>8485535063</v>
      </c>
      <c r="H35" s="102">
        <f t="shared" si="10"/>
        <v>20.285043018221703</v>
      </c>
      <c r="I35" s="76">
        <f>IF(I8&lt;DATEVALUE("3/31/2022"),"N/A",ARL0012_C5)</f>
        <v>13572960989</v>
      </c>
      <c r="J35" s="102">
        <f t="shared" si="11"/>
        <v>6.636064693064271</v>
      </c>
    </row>
    <row r="36" spans="1:10" ht="13.15" customHeight="1" x14ac:dyDescent="0.2">
      <c r="A36" s="124" t="s">
        <v>751</v>
      </c>
      <c r="B36" s="76">
        <f>IF(B8&lt;DATEVALUE("3/31/2022"),"N/A",ARL0015_C1)</f>
        <v>12850111733</v>
      </c>
      <c r="C36" s="76">
        <f>IF(C8&lt;DATEVALUE("3/31/2022"),"N/A",ARL0015_C2)</f>
        <v>17220138446</v>
      </c>
      <c r="D36" s="102">
        <f t="shared" si="8"/>
        <v>0.50577071118452721</v>
      </c>
      <c r="E36" s="76">
        <f>IF(E8&lt;DATEVALUE("3/31/2022"),"N/A",ARL0015_C3)</f>
        <v>4330828847</v>
      </c>
      <c r="F36" s="102">
        <f t="shared" si="9"/>
        <v>0.59916441626499573</v>
      </c>
      <c r="G36" s="76">
        <f>IF(G8&lt;DATEVALUE("3/31/2022"),"N/A",ARL0015_C4)</f>
        <v>9879919309</v>
      </c>
      <c r="H36" s="102">
        <f t="shared" si="10"/>
        <v>14.064993769540207</v>
      </c>
      <c r="I36" s="76">
        <f>IF(I8&lt;DATEVALUE("3/31/2022"),"N/A",ARL0015_C5)</f>
        <v>15509863543</v>
      </c>
      <c r="J36" s="102">
        <f t="shared" si="11"/>
        <v>4.6558044178320737</v>
      </c>
    </row>
    <row r="37" spans="1:10" ht="13.15" customHeight="1" x14ac:dyDescent="0.2">
      <c r="A37" s="153" t="s">
        <v>752</v>
      </c>
      <c r="B37" s="76">
        <f>IF(B8&lt;DATEVALUE("3/31/2022"),"N/A",ARL0017_C1)</f>
        <v>78741452319</v>
      </c>
      <c r="C37" s="76">
        <f>IF(C8&lt;DATEVALUE("3/31/2022"),"N/A",ARL0017_C2)</f>
        <v>111032617240</v>
      </c>
      <c r="D37" s="102">
        <f t="shared" si="8"/>
        <v>5.7568288080790229</v>
      </c>
      <c r="E37" s="76">
        <f>IF(E8&lt;DATEVALUE("3/31/2022"),"N/A",ARL0017_C3)</f>
        <v>25103207341</v>
      </c>
      <c r="F37" s="102">
        <f t="shared" si="9"/>
        <v>-9.5645659266457184</v>
      </c>
      <c r="G37" s="76">
        <f>IF(G8&lt;DATEVALUE("3/31/2022"),"N/A",ARL0017_C4)</f>
        <v>61498895331</v>
      </c>
      <c r="H37" s="102">
        <f t="shared" si="10"/>
        <v>22.492107274588118</v>
      </c>
      <c r="I37" s="76">
        <f>IF(I8&lt;DATEVALUE("3/31/2022"),"N/A",ARL0017_C5)</f>
        <v>98822426513</v>
      </c>
      <c r="J37" s="102">
        <f t="shared" si="11"/>
        <v>7.1265058026564452</v>
      </c>
    </row>
    <row r="38" spans="1:10" ht="13.15" customHeight="1" x14ac:dyDescent="0.2">
      <c r="A38" s="93" t="s">
        <v>753</v>
      </c>
      <c r="B38" s="76"/>
      <c r="C38" s="76"/>
      <c r="D38" s="102"/>
      <c r="E38" s="76"/>
      <c r="F38" s="102"/>
      <c r="G38" s="76"/>
      <c r="H38" s="102"/>
      <c r="I38" s="76"/>
      <c r="J38" s="102"/>
    </row>
    <row r="39" spans="1:10" ht="13.15" customHeight="1" x14ac:dyDescent="0.2">
      <c r="A39" s="124" t="s">
        <v>754</v>
      </c>
      <c r="B39" s="76">
        <f>IF(B8&lt;DATEVALUE("3/31/2022"),"N/A",ARL0020_C1)</f>
        <v>11873228785</v>
      </c>
      <c r="C39" s="76">
        <f>IF(C8&lt;DATEVALUE("3/31/2022"),"N/A",ARL0020_C2)</f>
        <v>15615975424</v>
      </c>
      <c r="D39" s="102">
        <f>IF(C39="N/A", " ", IF(B39="N/A", " ",IF(AND(B39=0,C39=0,),"N/A",IF(ABS(B39)=0, "N/A", ((C39*Anu_C2-B39*Anu_C1)/ABS(B39*Anu_C1))*100))))</f>
        <v>-1.3580738644884038</v>
      </c>
      <c r="E39" s="76">
        <f>IF(E8&lt;DATEVALUE("3/31/2022"),"N/A",ARL0020_C3)</f>
        <v>3397055705</v>
      </c>
      <c r="F39" s="102">
        <f>IF(E39="N/A", " ", IF(C39="N/A", " ",IF(AND(C39=0,E39=0,),"N/A",IF(ABS(C39)=0, "N/A", ((E39*Anu_C3-C39*Anu_C2)/ABS(C39*Anu_C2))*100))))</f>
        <v>-12.985116516535831</v>
      </c>
      <c r="G39" s="76">
        <f>IF(G8&lt;DATEVALUE("3/31/2022"),"N/A",ARL0020_C4)</f>
        <v>7409519972</v>
      </c>
      <c r="H39" s="102">
        <f>IF(G39="N/A", " ", IF(E39="N/A", " ",IF(AND(E39=0,G39=0,),"N/A",IF(ABS(E39)=0, "N/A", ((G39*Anu_C4-E39*Anu_C3)/ABS(E39*Anu_C3))*100))))</f>
        <v>9.0579698339094499</v>
      </c>
      <c r="I39" s="76">
        <f>IF(I8&lt;DATEVALUE("3/31/2022"),"N/A",ARL0020_C5)</f>
        <v>11675796023</v>
      </c>
      <c r="J39" s="102">
        <f>IF(I39="N/A", " ", IF(G39="N/A", " ",IF(AND(G39=0,I39=0,),"N/A",IF(ABS(G39)=0, "N/A", ((I39*Anu_C5-G39*Anu_C4)/ABS(G39*Anu_C4))*100))))</f>
        <v>5.0522037155976376</v>
      </c>
    </row>
    <row r="40" spans="1:10" ht="13.15" customHeight="1" x14ac:dyDescent="0.2">
      <c r="A40" s="124" t="s">
        <v>755</v>
      </c>
      <c r="B40" s="76">
        <f>IF(B8&lt;DATEVALUE("3/31/2022"),"N/A",ARL0023_C1)</f>
        <v>777619814</v>
      </c>
      <c r="C40" s="76">
        <f>IF(C8&lt;DATEVALUE("3/31/2022"),"N/A",ARL0023_C2)</f>
        <v>670036548</v>
      </c>
      <c r="D40" s="102">
        <f>IF(C40="N/A", " ", IF(B40="N/A", " ",IF(AND(B40=0,C40=0,),"N/A",IF(ABS(B40)=0, "N/A", ((C40*Anu_C2-B40*Anu_C1)/ABS(B40*Anu_C1))*100))))</f>
        <v>-35.376208019308521</v>
      </c>
      <c r="E40" s="76">
        <f>IF(E8&lt;DATEVALUE("3/31/2022"),"N/A",ARL0023_C3)</f>
        <v>169141967</v>
      </c>
      <c r="F40" s="102">
        <f>IF(E40="N/A", " ", IF(C40="N/A", " ",IF(AND(C40=0,E40=0,),"N/A",IF(ABS(C40)=0, "N/A", ((E40*Anu_C3-C40*Anu_C2)/ABS(C40*Anu_C2))*100))))</f>
        <v>0.97477070758235707</v>
      </c>
      <c r="G40" s="76">
        <f>IF(G8&lt;DATEVALUE("3/31/2022"),"N/A",ARL0023_C4)</f>
        <v>499703993</v>
      </c>
      <c r="H40" s="102">
        <f>IF(G40="N/A", " ", IF(E40="N/A", " ",IF(AND(E40=0,G40=0,),"N/A",IF(ABS(E40)=0, "N/A", ((G40*Anu_C4-E40*Anu_C3)/ABS(E40*Anu_C3))*100))))</f>
        <v>47.717329372195373</v>
      </c>
      <c r="I40" s="76">
        <f>IF(I8&lt;DATEVALUE("3/31/2022"),"N/A",ARL0023_C5)</f>
        <v>764621770</v>
      </c>
      <c r="J40" s="102">
        <f>IF(I40="N/A", " ", IF(G40="N/A", " ",IF(AND(G40=0,I40=0,),"N/A",IF(ABS(G40)=0, "N/A", ((I40*Anu_C5-G40*Anu_C4)/ABS(G40*Anu_C4))*100))))</f>
        <v>2.0099606581824183</v>
      </c>
    </row>
    <row r="41" spans="1:10" ht="13.15" customHeight="1" x14ac:dyDescent="0.2">
      <c r="A41" s="124" t="s">
        <v>756</v>
      </c>
      <c r="B41" s="76">
        <f>IF(B8&lt;DATEVALUE("3/31/2022"),"N/A",ARL0026_C1)</f>
        <v>2280375550</v>
      </c>
      <c r="C41" s="76">
        <f>IF(C8&lt;DATEVALUE("3/31/2022"),"N/A",ARL0026_C2)</f>
        <v>2915880918</v>
      </c>
      <c r="D41" s="102">
        <f>IF(C41="N/A", " ", IF(B41="N/A", " ",IF(AND(B41=0,C41=0,),"N/A",IF(ABS(B41)=0, "N/A", ((C41*Anu_C2-B41*Anu_C1)/ABS(B41*Anu_C1))*100))))</f>
        <v>-4.0986609201278172</v>
      </c>
      <c r="E41" s="76">
        <f>IF(E8&lt;DATEVALUE("3/31/2022"),"N/A",ARL0026_C3)</f>
        <v>839192272</v>
      </c>
      <c r="F41" s="102">
        <f>IF(E41="N/A", " ", IF(C41="N/A", " ",IF(AND(C41=0,E41=0,),"N/A",IF(ABS(C41)=0, "N/A", ((E41*Anu_C3-C41*Anu_C2)/ABS(C41*Anu_C2))*100))))</f>
        <v>15.120239214103599</v>
      </c>
      <c r="G41" s="76">
        <f>IF(G8&lt;DATEVALUE("3/31/2022"),"N/A",ARL0026_C4)</f>
        <v>1692549762</v>
      </c>
      <c r="H41" s="102">
        <f>IF(G41="N/A", " ", IF(E41="N/A", " ",IF(AND(E41=0,G41=0,),"N/A",IF(ABS(E41)=0, "N/A", ((G41*Anu_C4-E41*Anu_C3)/ABS(E41*Anu_C3))*100))))</f>
        <v>0.8439792925071169</v>
      </c>
      <c r="I41" s="76">
        <f>IF(I8&lt;DATEVALUE("3/31/2022"),"N/A",ARL0026_C5)</f>
        <v>2630129904</v>
      </c>
      <c r="J41" s="102">
        <f>IF(I41="N/A", " ", IF(G41="N/A", " ",IF(AND(G41=0,I41=0,),"N/A",IF(ABS(G41)=0, "N/A", ((I41*Anu_C5-G41*Anu_C4)/ABS(G41*Anu_C4))*100))))</f>
        <v>3.59635949067003</v>
      </c>
    </row>
    <row r="42" spans="1:10" ht="13.15" customHeight="1" x14ac:dyDescent="0.2">
      <c r="A42" s="124" t="s">
        <v>757</v>
      </c>
      <c r="B42" s="76">
        <f>IF(B8&lt;DATEVALUE("3/31/2022"),"N/A",ARL0029_C1)</f>
        <v>32151150462</v>
      </c>
      <c r="C42" s="76">
        <f>IF(C8&lt;DATEVALUE("3/31/2022"),"N/A",ARL0029_C2)</f>
        <v>43307120913</v>
      </c>
      <c r="D42" s="102">
        <f>IF(C42="N/A", " ", IF(B42="N/A", " ",IF(AND(B42=0,C42=0,),"N/A",IF(ABS(B42)=0, "N/A", ((C42*Anu_C2-B42*Anu_C1)/ABS(B42*Anu_C1))*100))))</f>
        <v>1.0238831830888155</v>
      </c>
      <c r="E42" s="76">
        <f>IF(E8&lt;DATEVALUE("3/31/2022"),"N/A",ARL0029_C3)</f>
        <v>11065111910</v>
      </c>
      <c r="F42" s="102">
        <f>IF(E42="N/A", " ", IF(C42="N/A", " ",IF(AND(C42=0,E42=0,),"N/A",IF(ABS(C42)=0, "N/A", ((E42*Anu_C3-C42*Anu_C2)/ABS(C42*Anu_C2))*100))))</f>
        <v>2.2013163352861653</v>
      </c>
      <c r="G42" s="76">
        <f>IF(G8&lt;DATEVALUE("3/31/2022"),"N/A",ARL0029_C4)</f>
        <v>24404148237</v>
      </c>
      <c r="H42" s="102">
        <f>IF(G42="N/A", " ", IF(E42="N/A", " ",IF(AND(E42=0,G42=0,),"N/A",IF(ABS(E42)=0, "N/A", ((G42*Anu_C4-E42*Anu_C3)/ABS(E42*Anu_C3))*100))))</f>
        <v>10.275198459334877</v>
      </c>
      <c r="I42" s="76">
        <f>IF(I8&lt;DATEVALUE("3/31/2022"),"N/A",ARL0029_C5)</f>
        <v>38722952555</v>
      </c>
      <c r="J42" s="102">
        <f>IF(I42="N/A", " ", IF(G42="N/A", " ",IF(AND(G42=0,I42=0,),"N/A",IF(ABS(G42)=0, "N/A", ((I42*Anu_C5-G42*Anu_C4)/ABS(G42*Anu_C4))*100))))</f>
        <v>5.7824327758910758</v>
      </c>
    </row>
    <row r="43" spans="1:10" ht="13.15" customHeight="1" x14ac:dyDescent="0.2">
      <c r="A43" s="93" t="s">
        <v>758</v>
      </c>
      <c r="B43" s="76">
        <f>IF(B8&lt;DATEVALUE("3/31/2022"),"N/A",ARL0031_C1)</f>
        <v>47082374611</v>
      </c>
      <c r="C43" s="76">
        <f>IF(C8&lt;DATEVALUE("3/31/2022"),"N/A",ARL0031_C2)</f>
        <v>62509013803</v>
      </c>
      <c r="D43" s="102">
        <f>IF(C43="N/A", " ", IF(B43="N/A", " ",IF(AND(B43=0,C43=0,),"N/A",IF(ABS(B43)=0, "N/A", ((C43*Anu_C2-B43*Anu_C1)/ABS(B43*Anu_C1))*100))))</f>
        <v>-0.42609205760647018</v>
      </c>
      <c r="E43" s="76">
        <f>IF(E8&lt;DATEVALUE("3/31/2022"),"N/A",ARL0031_C3)</f>
        <v>15470501854</v>
      </c>
      <c r="F43" s="102">
        <f>IF(E43="N/A", " ", IF(C43="N/A", " ",IF(AND(C43=0,E43=0,),"N/A",IF(ABS(C43)=0, "N/A", ((E43*Anu_C3-C43*Anu_C2)/ABS(C43*Anu_C2))*100))))</f>
        <v>-1.0030655562348803</v>
      </c>
      <c r="G43" s="76">
        <f>IF(G8&lt;DATEVALUE("3/31/2022"),"N/A",ARL0031_C4)</f>
        <v>34005921964</v>
      </c>
      <c r="H43" s="102">
        <f>IF(G43="N/A", " ", IF(E43="N/A", " ",IF(AND(E43=0,G43=0,),"N/A",IF(ABS(E43)=0, "N/A", ((G43*Anu_C4-E43*Anu_C3)/ABS(E43*Anu_C3))*100))))</f>
        <v>9.9056846536867358</v>
      </c>
      <c r="I43" s="76">
        <f>IF(I8&lt;DATEVALUE("3/31/2022"),"N/A",ARL0031_C5)</f>
        <v>53793500252</v>
      </c>
      <c r="J43" s="102">
        <f>IF(I43="N/A", " ", IF(G43="N/A", " ",IF(AND(G43=0,I43=0,),"N/A",IF(ABS(G43)=0, "N/A", ((I43*Anu_C5-G43*Anu_C4)/ABS(G43*Anu_C4))*100))))</f>
        <v>5.4590830952873395</v>
      </c>
    </row>
    <row r="44" spans="1:10" ht="13.15" customHeight="1" x14ac:dyDescent="0.2">
      <c r="A44" s="93" t="s">
        <v>759</v>
      </c>
      <c r="B44" s="76"/>
      <c r="C44" s="76"/>
      <c r="D44" s="102"/>
      <c r="E44" s="76"/>
      <c r="F44" s="102"/>
      <c r="G44" s="76"/>
      <c r="H44" s="102"/>
      <c r="I44" s="76"/>
      <c r="J44" s="102"/>
    </row>
    <row r="45" spans="1:10" ht="13.15" customHeight="1" x14ac:dyDescent="0.2">
      <c r="A45" s="124" t="s">
        <v>760</v>
      </c>
      <c r="B45" s="76">
        <f>IF(B8&lt;DATEVALUE("3/31/2022"),"N/A",ARL0034_C1)</f>
        <v>313786944</v>
      </c>
      <c r="C45" s="76">
        <f>IF(C8&lt;DATEVALUE("3/31/2022"),"N/A",ARL0034_C2)</f>
        <v>445730673</v>
      </c>
      <c r="D45" s="102">
        <f t="shared" ref="D45:D50" si="12">IF(C45="N/A", " ", IF(B45="N/A", " ",IF(AND(B45=0,C45=0,),"N/A",IF(ABS(B45)=0, "N/A", ((C45*Anu_C2-B45*Anu_C1)/ABS(B45*Anu_C1))*100))))</f>
        <v>6.5366201947522713</v>
      </c>
      <c r="E45" s="76">
        <f>IF(E8&lt;DATEVALUE("3/31/2022"),"N/A",ARL0034_C3)</f>
        <v>96313687</v>
      </c>
      <c r="F45" s="102">
        <f t="shared" ref="F45:F50" si="13">IF(E45="N/A", " ", IF(C45="N/A", " ",IF(AND(C45=0,E45=0,),"N/A",IF(ABS(C45)=0, "N/A", ((E45*Anu_C3-C45*Anu_C2)/ABS(C45*Anu_C2))*100))))</f>
        <v>-13.567817667329345</v>
      </c>
      <c r="G45" s="76">
        <f>IF(G8&lt;DATEVALUE("3/31/2022"),"N/A",ARL0034_C4)</f>
        <v>237857214</v>
      </c>
      <c r="H45" s="102">
        <f t="shared" ref="H45:H50" si="14">IF(G45="N/A", " ", IF(E45="N/A", " ",IF(AND(E45=0,G45=0,),"N/A",IF(ABS(E45)=0, "N/A", ((G45*Anu_C4-E45*Anu_C3)/ABS(E45*Anu_C3))*100))))</f>
        <v>23.480484139289569</v>
      </c>
      <c r="I45" s="76">
        <f>IF(I8&lt;DATEVALUE("3/31/2022"),"N/A",ARL0034_C5)</f>
        <v>467179236</v>
      </c>
      <c r="J45" s="102">
        <f t="shared" ref="J45:J50" si="15">IF(I45="N/A", " ", IF(G45="N/A", " ",IF(AND(G45=0,I45=0,),"N/A",IF(ABS(G45)=0, "N/A", ((I45*Anu_C5-G45*Anu_C4)/ABS(G45*Anu_C4))*100))))</f>
        <v>30.941088042845738</v>
      </c>
    </row>
    <row r="46" spans="1:10" ht="13.15" customHeight="1" x14ac:dyDescent="0.2">
      <c r="A46" s="124" t="s">
        <v>761</v>
      </c>
      <c r="B46" s="76">
        <f>IF(B8&lt;DATEVALUE("3/31/2022"),"N/A",ARL0037_C1)</f>
        <v>54124989</v>
      </c>
      <c r="C46" s="76">
        <f>IF(C8&lt;DATEVALUE("3/31/2022"),"N/A",ARL0037_C2)</f>
        <v>79241289</v>
      </c>
      <c r="D46" s="102">
        <f t="shared" si="12"/>
        <v>9.8031941401410716</v>
      </c>
      <c r="E46" s="76">
        <f>IF(E8&lt;DATEVALUE("3/31/2022"),"N/A",ARL0037_C3)</f>
        <v>19612286</v>
      </c>
      <c r="F46" s="102">
        <f t="shared" si="13"/>
        <v>-0.99966193129442904</v>
      </c>
      <c r="G46" s="76">
        <f>IF(G8&lt;DATEVALUE("3/31/2022"),"N/A",ARL0037_C4)</f>
        <v>49883495</v>
      </c>
      <c r="H46" s="102">
        <f t="shared" si="14"/>
        <v>27.1740963801976</v>
      </c>
      <c r="I46" s="76">
        <f>IF(I8&lt;DATEVALUE("3/31/2022"),"N/A",ARL0037_C5)</f>
        <v>81563509</v>
      </c>
      <c r="J46" s="102">
        <f t="shared" si="15"/>
        <v>9.0053386729752294</v>
      </c>
    </row>
    <row r="47" spans="1:10" ht="13.15" customHeight="1" x14ac:dyDescent="0.2">
      <c r="A47" s="124" t="s">
        <v>762</v>
      </c>
      <c r="B47" s="76">
        <f>IF(B8&lt;DATEVALUE("3/31/2022"),"N/A",ARL0040_C1)</f>
        <v>72442485</v>
      </c>
      <c r="C47" s="76">
        <f>IF(C8&lt;DATEVALUE("3/31/2022"),"N/A",ARL0040_C2)</f>
        <v>105977379</v>
      </c>
      <c r="D47" s="102">
        <f t="shared" si="12"/>
        <v>9.7188124482477374</v>
      </c>
      <c r="E47" s="76">
        <f>IF(E8&lt;DATEVALUE("3/31/2022"),"N/A",ARL0040_C3)</f>
        <v>18493619</v>
      </c>
      <c r="F47" s="102">
        <f t="shared" si="13"/>
        <v>-30.197862319278535</v>
      </c>
      <c r="G47" s="76">
        <f>IF(G8&lt;DATEVALUE("3/31/2022"),"N/A",ARL0040_C4)</f>
        <v>46324472</v>
      </c>
      <c r="H47" s="102">
        <f t="shared" si="14"/>
        <v>25.244474864546522</v>
      </c>
      <c r="I47" s="76">
        <f>IF(I8&lt;DATEVALUE("3/31/2022"),"N/A",ARL0040_C5)</f>
        <v>75695009</v>
      </c>
      <c r="J47" s="102">
        <f t="shared" si="15"/>
        <v>8.9345159364867204</v>
      </c>
    </row>
    <row r="48" spans="1:10" ht="13.15" customHeight="1" x14ac:dyDescent="0.2">
      <c r="A48" s="124" t="s">
        <v>763</v>
      </c>
      <c r="B48" s="76">
        <f>IF(B8&lt;DATEVALUE("3/31/2022"),"N/A",ARL0043_C1)</f>
        <v>157715967</v>
      </c>
      <c r="C48" s="76">
        <f>IF(C8&lt;DATEVALUE("3/31/2022"),"N/A",ARL0043_C2)</f>
        <v>223157403</v>
      </c>
      <c r="D48" s="102">
        <f t="shared" si="12"/>
        <v>6.1199163493700039</v>
      </c>
      <c r="E48" s="76">
        <f>IF(E8&lt;DATEVALUE("3/31/2022"),"N/A",ARL0043_C3)</f>
        <v>53942819</v>
      </c>
      <c r="F48" s="102">
        <f t="shared" si="13"/>
        <v>-3.3098283546524332</v>
      </c>
      <c r="G48" s="76">
        <f>IF(G8&lt;DATEVALUE("3/31/2022"),"N/A",ARL0043_C4)</f>
        <v>125797105</v>
      </c>
      <c r="H48" s="102">
        <f t="shared" si="14"/>
        <v>16.602271935398853</v>
      </c>
      <c r="I48" s="76">
        <f>IF(I8&lt;DATEVALUE("3/31/2022"),"N/A",ARL0043_C5)</f>
        <v>197048018</v>
      </c>
      <c r="J48" s="102">
        <f t="shared" si="15"/>
        <v>4.426366038656715</v>
      </c>
    </row>
    <row r="49" spans="1:10" ht="13.15" customHeight="1" x14ac:dyDescent="0.2">
      <c r="A49" s="93" t="s">
        <v>764</v>
      </c>
      <c r="B49" s="76">
        <f>IF(B8&lt;DATEVALUE("3/31/2022"),"N/A",ARL0045_C1)</f>
        <v>598070385</v>
      </c>
      <c r="C49" s="76">
        <f>IF(C8&lt;DATEVALUE("3/31/2022"),"N/A",ARL0045_C2)</f>
        <v>854106744</v>
      </c>
      <c r="D49" s="102">
        <f t="shared" si="12"/>
        <v>7.1078043765701597</v>
      </c>
      <c r="E49" s="76">
        <f>IF(E8&lt;DATEVALUE("3/31/2022"),"N/A",ARL0045_C3)</f>
        <v>188362411</v>
      </c>
      <c r="F49" s="102">
        <f t="shared" si="13"/>
        <v>-11.785072616169391</v>
      </c>
      <c r="G49" s="76">
        <f>IF(G8&lt;DATEVALUE("3/31/2022"),"N/A",ARL0045_C4)</f>
        <v>459862286</v>
      </c>
      <c r="H49" s="102">
        <f t="shared" si="14"/>
        <v>22.06848584030919</v>
      </c>
      <c r="I49" s="76">
        <f>IF(I8&lt;DATEVALUE("3/31/2022"),"N/A",ARL0045_C5)</f>
        <v>821485772</v>
      </c>
      <c r="J49" s="102">
        <f t="shared" si="15"/>
        <v>19.091562410345876</v>
      </c>
    </row>
    <row r="50" spans="1:10" ht="26.45" customHeight="1" x14ac:dyDescent="0.2">
      <c r="A50" s="153" t="s">
        <v>765</v>
      </c>
      <c r="B50" s="76">
        <f>IF(B8&lt;DATEVALUE("3/31/2022"),"N/A",ARL0048_C1)</f>
        <v>126421897315</v>
      </c>
      <c r="C50" s="76">
        <f>IF(C8&lt;DATEVALUE("3/31/2022"),"N/A",ARL0048_C2)</f>
        <v>174395737787</v>
      </c>
      <c r="D50" s="102">
        <f t="shared" si="12"/>
        <v>3.4605603286820248</v>
      </c>
      <c r="E50" s="76">
        <f>IF(E8&lt;DATEVALUE("3/31/2022"),"N/A",ARL0048_C3)</f>
        <v>40762071606</v>
      </c>
      <c r="F50" s="102">
        <f t="shared" si="13"/>
        <v>-6.5067251682832543</v>
      </c>
      <c r="G50" s="76">
        <f>IF(G8&lt;DATEVALUE("3/31/2022"),"N/A",ARL0048_C4)</f>
        <v>95964679581</v>
      </c>
      <c r="H50" s="102">
        <f t="shared" si="14"/>
        <v>17.713202249115344</v>
      </c>
      <c r="I50" s="76">
        <f>IF(I8&lt;DATEVALUE("3/31/2022"),"N/A",ARL0048_C5)</f>
        <v>153437412537</v>
      </c>
      <c r="J50" s="102">
        <f t="shared" si="15"/>
        <v>6.5929765040893917</v>
      </c>
    </row>
    <row r="51" spans="1:10" ht="13.15" customHeight="1" x14ac:dyDescent="0.2">
      <c r="A51" s="124" t="s">
        <v>766</v>
      </c>
      <c r="B51" s="76">
        <f>A704A2_C1</f>
        <v>5078943519</v>
      </c>
      <c r="C51" s="76">
        <f>A704A2_C2</f>
        <v>5043816335</v>
      </c>
      <c r="D51" s="102">
        <f>IF(C51="N/A", " ", IF(B51="N/A", " ",IF(AND(B51=0,C51=0,),"N/A",IF(ABS(B51)=0, "N/A", ((C51-B51)/ABS(B51))*100))))</f>
        <v>-0.6916238361106295</v>
      </c>
      <c r="E51" s="76">
        <f>A704A2_C3</f>
        <v>5063402801</v>
      </c>
      <c r="F51" s="102">
        <f>IF(E51="N/A", " ", IF(C51="N/A", " ",IF(AND(C51=0,E51=0,),"N/A",IF(ABS(C51)=0, "N/A", ((E51-C51)/ABS(C51))*100))))</f>
        <v>0.38832631283747965</v>
      </c>
      <c r="G51" s="76">
        <f>A704A2_C4</f>
        <v>5141055152</v>
      </c>
      <c r="H51" s="102">
        <f>IF(G51="N/A", " ", IF(E51="N/A", " ",IF(AND(E51=0,G51=0,),"N/A",IF(ABS(E51)=0, "N/A", ((G51-E51)/ABS(E51))*100))))</f>
        <v>1.533600111463856</v>
      </c>
      <c r="I51" s="76">
        <f>A704A2_C5</f>
        <v>5409729013</v>
      </c>
      <c r="J51" s="102">
        <f>IF(I51="N/A", " ", IF(G51="N/A", " ",IF(AND(G51=0,I51=0,),"N/A",IF(ABS(G51)=0, "N/A", ((I51-G51)/ABS(G51))*100))))</f>
        <v>5.2260451027349726</v>
      </c>
    </row>
    <row r="52" spans="1:10" ht="26.45" customHeight="1" x14ac:dyDescent="0.2">
      <c r="A52" s="124" t="s">
        <v>767</v>
      </c>
      <c r="B52" s="76">
        <f>IF(B8&lt;DATEVALUE("3/31/2022"),"N/A",ARL0050_C1)</f>
        <v>221644469302</v>
      </c>
      <c r="C52" s="76">
        <f>IF(C8&lt;DATEVALUE("3/31/2022"),"N/A",ARL0050_C2)</f>
        <v>232258317413</v>
      </c>
      <c r="D52" s="102">
        <f>IF(C52="N/A", " ", IF(B52="N/A", " ",IF(AND(B52=0,C52=0,),"N/A",IF(ABS(B52)=0, "N/A", ((C52-B52)/ABS(B52))*100))))</f>
        <v>4.7886816866782187</v>
      </c>
      <c r="E52" s="76">
        <f>IF(E8&lt;DATEVALUE("3/31/2022"),"N/A",ARL0050_C3)</f>
        <v>240657171747</v>
      </c>
      <c r="F52" s="102">
        <f>IF(E52="N/A", " ", IF(C52="N/A", " ",IF(AND(C52=0,E52=0,),"N/A",IF(ABS(C52)=0, "N/A", ((E52-C52)/ABS(C52))*100))))</f>
        <v>3.6161694562977567</v>
      </c>
      <c r="G52" s="76">
        <f>IF(G8&lt;DATEVALUE("3/31/2022"),"N/A",ARL0050_C4)</f>
        <v>252379239980</v>
      </c>
      <c r="H52" s="102">
        <f>IF(G52="N/A", " ", IF(E52="N/A", " ",IF(AND(E52=0,G52=0,),"N/A",IF(ABS(E52)=0, "N/A", ((G52-E52)/ABS(E52))*100))))</f>
        <v>4.8708576386509144</v>
      </c>
      <c r="I52" s="76">
        <f>IF(I8&lt;DATEVALUE("3/31/2022"),"N/A",ARL0050_C5)</f>
        <v>261514283549</v>
      </c>
      <c r="J52" s="102">
        <f>IF(I52="N/A", " ", IF(G52="N/A", " ",IF(AND(G52=0,I52=0,),"N/A",IF(ABS(G52)=0, "N/A", ((I52-G52)/ABS(G52))*100))))</f>
        <v>3.6195701238041265</v>
      </c>
    </row>
    <row r="53" spans="1:10" ht="20.25" customHeight="1" x14ac:dyDescent="0.2">
      <c r="A53" s="144" t="s">
        <v>768</v>
      </c>
      <c r="B53" s="76">
        <f>A704C1_C1</f>
        <v>15491790543</v>
      </c>
      <c r="C53" s="76">
        <f>A704C1_C2</f>
        <v>16000611113</v>
      </c>
      <c r="D53" s="102">
        <f>IF(C53="N/A", " ", IF(B53="N/A", " ",IF(AND(B53=0,C53=0,),"N/A",IF(ABS(B53)=0, "N/A", ((C53-B53)/ABS(B53))*100))))</f>
        <v>3.2844529403343357</v>
      </c>
      <c r="E53" s="76">
        <f>A704C1_C3</f>
        <v>15740952035</v>
      </c>
      <c r="F53" s="102">
        <f>IF(E53="N/A", " ", IF(C53="N/A", " ",IF(AND(C53=0,E53=0,),"N/A",IF(ABS(C53)=0, "N/A", ((E53-C53)/ABS(C53))*100))))</f>
        <v>-1.6228072550868702</v>
      </c>
      <c r="G53" s="76">
        <f>A704C1_C4</f>
        <v>16276366031</v>
      </c>
      <c r="H53" s="102">
        <f>IF(G53="N/A", " ", IF(E53="N/A", " ",IF(AND(E53=0,G53=0,),"N/A",IF(ABS(E53)=0, "N/A", ((G53-E53)/ABS(E53))*100))))</f>
        <v>3.4014079631874057</v>
      </c>
      <c r="I53" s="76">
        <f>A704C1_C5</f>
        <v>16663364142</v>
      </c>
      <c r="J53" s="102">
        <f>IF(I53="N/A", " ", IF(G53="N/A", " ",IF(AND(G53=0,I53=0,),"N/A",IF(ABS(G53)=0, "N/A", ((I53-G53)/ABS(G53))*100))))</f>
        <v>2.3776690095499364</v>
      </c>
    </row>
    <row r="54" spans="1:10" ht="13.15" customHeight="1" x14ac:dyDescent="0.2">
      <c r="A54" s="144" t="s">
        <v>769</v>
      </c>
      <c r="B54" s="131">
        <f>IF(B8&gt;=DATEVALUE("3/31/2022"),IF(A010_C1=0,0,(A704C1_C1/A010_C1))*100,IF(A010_C1=0,0,((A704C1_C1+A704D2_C1)/A010_C1))*100)</f>
        <v>0.6702150042261894</v>
      </c>
      <c r="C54" s="131">
        <f>IF(C8&gt;=DATEVALUE("3/31/2022"),IF(A010_C2=0,0,(A704C1_C2/A010_C2))*100,IF(A010_C2=0,0,((A704C1_C2+A704D2_C2)/A010_C2))*100)</f>
        <v>0.69344468915774971</v>
      </c>
      <c r="D54" s="102">
        <f>IF(C54="N/A", " ", IF(B54="N/A", " ",IF(AND(B54=0,C54=0,),"N/A",IF(ABS(B54)=0, "N/A", ((C54-B54)/ABS(B54))*100))))</f>
        <v>3.4660049066464298</v>
      </c>
      <c r="E54" s="131">
        <f>IF(E8&gt;=DATEVALUE("3/31/2022"),IF(A010_C3=0,0,(A704C1_C3/A010_C3))*100,IF(A010_C3=0,0,((A704C1_C3+A704D2_C3)/A010_C3))*100)</f>
        <v>0.66495787880854573</v>
      </c>
      <c r="F54" s="102">
        <f>IF(E54="N/A", " ", IF(C54="N/A", " ",IF(AND(C54=0,E54=0,),"N/A",IF(ABS(C54)=0, "N/A", ((E54-C54)/ABS(C54))*100))))</f>
        <v>-4.1080147839626173</v>
      </c>
      <c r="G54" s="131">
        <f>IF(G8&gt;=DATEVALUE("3/31/2022"),IF(A010_C4=0,0,(A704C1_C4/A010_C4))*100,IF(A010_C4=0,0,((A704C1_C4+A704D2_C4)/A010_C4))*100)</f>
        <v>0.68417667064451293</v>
      </c>
      <c r="H54" s="102">
        <f>IF(G54="N/A", " ", IF(E54="N/A", " ",IF(AND(E54=0,G54=0,),"N/A",IF(ABS(E54)=0, "N/A", ((G54-E54)/ABS(E54))*100))))</f>
        <v>2.8902269524804987</v>
      </c>
      <c r="I54" s="131">
        <f>IF(I8&gt;=DATEVALUE("3/31/2022"),IF(A010_C5=0,0,(A704C1_C5/A010_C5))*100,IF(A010_C5=0,0,((A704C1_C5+A704D2_C5)/A010_C5))*100)</f>
        <v>0.69495559666511209</v>
      </c>
      <c r="J54" s="102">
        <f>IF(I54="N/A", " ", IF(G54="N/A", " ",IF(AND(G54=0,I54=0,),"N/A",IF(ABS(G54)=0, "N/A", ((I54-G54)/ABS(G54))*100))))</f>
        <v>1.5754594512036073</v>
      </c>
    </row>
    <row r="55" spans="1:10" ht="13.15" customHeight="1" x14ac:dyDescent="0.2">
      <c r="A55" s="151" t="s">
        <v>770</v>
      </c>
      <c r="B55" s="227">
        <f>IF(B8&gt;=DATEVALUE("3/31/2022"),IF(A997_C1=0,0,(A704C1_C1/A997_C1)*100),IF(A997_C1=0,0,((A704C1_C1+A704D2_C1)/A997_C1)*100))</f>
        <v>6.0125294547269119</v>
      </c>
      <c r="C55" s="227">
        <f>IF(C8&gt;=DATEVALUE("3/31/2022"),IF(A997_C2=0,0,(A704C1_C2/A997_C2)*100),IF(A997_C2=0,0,((A704C1_C2+A704D2_C2)/A997_C2)*100))</f>
        <v>6.1994157803220551</v>
      </c>
      <c r="D55" s="199">
        <f>IF(C55="N/A", " ", IF(B55="N/A", " ",IF(AND(B55=0,C55=0,),"N/A",IF(ABS(B55)=0, "N/A", ((C55-B55)/ABS(B55))*100))))</f>
        <v>3.1082812483890199</v>
      </c>
      <c r="E55" s="227">
        <f>IF(E8&gt;=DATEVALUE("3/31/2022"),IF(A997_C3=0,0,(A704C1_C3/A997_C3)*100),IF(A997_C3=0,0,((A704C1_C3+A704D2_C3)/A997_C3)*100))</f>
        <v>6.0086387499214711</v>
      </c>
      <c r="F55" s="199">
        <f>IF(E55="N/A", " ", IF(C55="N/A", " ",IF(AND(C55=0,E55=0,),"N/A",IF(ABS(C55)=0, "N/A", ((E55-C55)/ABS(C55))*100))))</f>
        <v>-3.0773388519308718</v>
      </c>
      <c r="G55" s="227">
        <f>IF(G8&gt;=DATEVALUE("3/31/2022"),IF(A997_C4=0,0,(A704C1_C4/A997_C4)*100),IF(A997_C4=0,0,((A704C1_C4+A704D2_C4)/A997_C4)*100))</f>
        <v>6.1037402531929779</v>
      </c>
      <c r="H55" s="199">
        <f>IF(G55="N/A", " ", IF(E55="N/A", " ",IF(AND(E55=0,G55=0,),"N/A",IF(ABS(E55)=0, "N/A", ((G55-E55)/ABS(E55))*100))))</f>
        <v>1.5827462297138384</v>
      </c>
      <c r="I55" s="227">
        <f>IF(I8&gt;=DATEVALUE("3/31/2022"),IF(A997_C5=0,0,(A704C1_C5/A997_C5)*100),IF(A997_C5=0,0,((A704C1_C5+A704D2_C5)/A997_C5)*100))</f>
        <v>6.1267470131873374</v>
      </c>
      <c r="J55" s="199">
        <f>IF(I55="N/A", " ", IF(G55="N/A", " ",IF(AND(G55=0,I55=0,),"N/A",IF(ABS(G55)=0, "N/A", ((I55-G55)/ABS(G55))*100))))</f>
        <v>0.37692888360254634</v>
      </c>
    </row>
    <row r="56" spans="1:10" s="83" customFormat="1" ht="13.15" customHeight="1" x14ac:dyDescent="0.2">
      <c r="A56" s="5" t="s">
        <v>655</v>
      </c>
      <c r="B56" s="5"/>
      <c r="C56" s="84"/>
      <c r="F56" s="82"/>
      <c r="G56" s="84"/>
      <c r="H56" s="82"/>
      <c r="I56" s="84"/>
      <c r="J56" s="82"/>
    </row>
    <row r="57" spans="1:10" s="83" customFormat="1" ht="13.15" customHeight="1" x14ac:dyDescent="0.2">
      <c r="A57" s="214"/>
      <c r="B57" s="84"/>
      <c r="C57" s="84"/>
      <c r="D57" s="82"/>
      <c r="E57" s="84"/>
      <c r="F57" s="82"/>
      <c r="G57" s="84"/>
      <c r="H57" s="82"/>
      <c r="I57" s="104" t="s">
        <v>771</v>
      </c>
    </row>
    <row r="58" spans="1:10" ht="22.5" customHeight="1" x14ac:dyDescent="0.2">
      <c r="A58" s="13"/>
      <c r="B58" s="13"/>
      <c r="C58" s="13"/>
      <c r="D58" s="13"/>
      <c r="E58" s="13"/>
      <c r="F58" s="13"/>
      <c r="G58" s="13"/>
      <c r="H58" s="13"/>
      <c r="I58" s="84"/>
    </row>
    <row r="59" spans="1:10" x14ac:dyDescent="0.2">
      <c r="B59" s="30"/>
      <c r="C59" s="29"/>
      <c r="D59" s="55"/>
      <c r="E59" s="32"/>
      <c r="F59" s="54"/>
      <c r="G59" s="30"/>
      <c r="H59" s="54"/>
      <c r="I59" s="30"/>
      <c r="J59" s="54"/>
    </row>
    <row r="70" spans="1:10" x14ac:dyDescent="0.2">
      <c r="B70" s="35"/>
      <c r="C70" s="35"/>
      <c r="D70" s="56"/>
      <c r="E70" s="35"/>
      <c r="F70" s="56"/>
      <c r="G70" s="35"/>
      <c r="H70" s="56"/>
      <c r="I70" s="35"/>
      <c r="J70" s="56"/>
    </row>
    <row r="71" spans="1:10" x14ac:dyDescent="0.2">
      <c r="A71" s="39"/>
      <c r="B71" s="35"/>
      <c r="C71" s="35"/>
      <c r="D71" s="56"/>
      <c r="E71" s="35"/>
      <c r="F71" s="56"/>
      <c r="G71" s="35"/>
      <c r="H71" s="56"/>
      <c r="I71" s="35"/>
      <c r="J71" s="56"/>
    </row>
    <row r="73" spans="1:10" x14ac:dyDescent="0.2">
      <c r="A73" s="39"/>
    </row>
  </sheetData>
  <mergeCells count="3">
    <mergeCell ref="D5:J5"/>
    <mergeCell ref="A56:B56"/>
    <mergeCell ref="A58:H58"/>
  </mergeCells>
  <phoneticPr fontId="2" type="noConversion"/>
  <hyperlinks>
    <hyperlink ref="A2" location="'Cover Page'!A1" display="Return to cover" xr:uid="{00000000-0004-0000-1200-000000000000}"/>
  </hyperlinks>
  <printOptions horizontalCentered="1" verticalCentered="1" gridLines="1"/>
  <pageMargins left="0.5" right="0.5" top="0.5" bottom="0.5" header="0.5" footer="0.5"/>
  <pageSetup orientation="landscape" r:id="rId1"/>
  <headerFooter alignWithMargins="0"/>
  <ignoredErrors>
    <ignoredError sqref="H16 H22 H19 H20 H11 H12 H13 H14 H15 H18" formula="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9">
    <pageSetUpPr fitToPage="1"/>
  </sheetPr>
  <dimension ref="A1:J24"/>
  <sheetViews>
    <sheetView workbookViewId="0"/>
  </sheetViews>
  <sheetFormatPr defaultRowHeight="12.75" x14ac:dyDescent="0.2"/>
  <cols>
    <col min="1" max="1" width="50.7109375" customWidth="1"/>
    <col min="2" max="3" width="16.7109375" customWidth="1"/>
    <col min="4" max="4" width="6.7109375" customWidth="1"/>
    <col min="5" max="5" width="16.7109375" customWidth="1"/>
    <col min="6" max="6" width="6.7109375" customWidth="1"/>
    <col min="7" max="7" width="16.7109375" customWidth="1"/>
    <col min="8" max="8" width="6.7109375" customWidth="1"/>
    <col min="9" max="9" width="16.7109375" customWidth="1"/>
    <col min="10" max="10" width="6.7109375" customWidth="1"/>
  </cols>
  <sheetData>
    <row r="1" spans="1:10" x14ac:dyDescent="0.2">
      <c r="A1" s="205"/>
      <c r="B1" s="62"/>
      <c r="C1" s="85" t="s">
        <v>772</v>
      </c>
      <c r="D1" s="118"/>
      <c r="E1" s="62"/>
      <c r="F1" s="119"/>
      <c r="G1" s="62"/>
      <c r="H1" s="119"/>
      <c r="I1" s="62"/>
      <c r="J1" s="119"/>
    </row>
    <row r="2" spans="1:10" x14ac:dyDescent="0.2">
      <c r="A2" s="272" t="s">
        <v>49</v>
      </c>
      <c r="B2" s="62"/>
      <c r="C2" s="67" t="s">
        <v>50</v>
      </c>
      <c r="D2" s="87" t="str">
        <f>IF(CU_NUMBER="","N/A",CU_NUMBER)</f>
        <v>N/A</v>
      </c>
      <c r="E2" s="120"/>
      <c r="F2" s="119"/>
      <c r="G2" s="62"/>
      <c r="H2" s="119"/>
      <c r="I2" s="62"/>
      <c r="J2" s="119"/>
    </row>
    <row r="3" spans="1:10" x14ac:dyDescent="0.2">
      <c r="A3" s="121" t="str">
        <f>IF(Request_Date=0,"N/A",Request_Date)</f>
        <v>12/05/2025</v>
      </c>
      <c r="B3" s="62"/>
      <c r="C3" s="67" t="s">
        <v>42</v>
      </c>
      <c r="D3" s="75">
        <f>IF(CountCu_C5=0,"N/A",CountCu_C5)</f>
        <v>4331</v>
      </c>
      <c r="E3" s="120"/>
      <c r="F3" s="119"/>
      <c r="G3" s="62"/>
      <c r="H3" s="119"/>
      <c r="I3" s="62"/>
      <c r="J3" s="119"/>
    </row>
    <row r="4" spans="1:10" x14ac:dyDescent="0.2">
      <c r="A4" s="68" t="str">
        <f>"CU Name:      "&amp;IF(Cu_Name="","N/A",Cu_Name)</f>
        <v>CU Name:      N/A</v>
      </c>
      <c r="B4" s="62"/>
      <c r="C4" s="67" t="s">
        <v>43</v>
      </c>
      <c r="D4" s="89" t="str">
        <f>IF(AssetRange="","N/A",AssetRange)</f>
        <v>N/A</v>
      </c>
      <c r="E4" s="75"/>
      <c r="F4" s="119"/>
      <c r="G4" s="62"/>
      <c r="H4" s="119"/>
      <c r="I4" s="62"/>
      <c r="J4" s="119"/>
    </row>
    <row r="5" spans="1:10" x14ac:dyDescent="0.2">
      <c r="A5" s="68" t="str">
        <f>"Peer Group:      "&amp;IF(Peer_Group="","N/A",IF(Peer_Group="0","N/A",Peer_Group))</f>
        <v>Peer Group:      N/A</v>
      </c>
      <c r="B5" s="90"/>
      <c r="C5" s="67" t="s">
        <v>51</v>
      </c>
      <c r="D5" s="24" t="str">
        <f>IF(_xlnm.Criteria="","N/A",_xlnm.Criteria)</f>
        <v xml:space="preserve">Region: Nation * Peer Group: All * Types Included: All  Federally Insured Credit Unions  (FICUs) *  </v>
      </c>
      <c r="E5" s="23"/>
      <c r="F5" s="23"/>
      <c r="G5" s="23"/>
      <c r="H5" s="23"/>
      <c r="I5" s="23"/>
      <c r="J5" s="23"/>
    </row>
    <row r="6" spans="1:10" x14ac:dyDescent="0.2">
      <c r="A6" s="72"/>
      <c r="B6" s="67"/>
      <c r="C6" s="67" t="s">
        <v>45</v>
      </c>
      <c r="D6" s="75" t="str">
        <f>IF(NoCu_in_Peer_Group="","N/A",NoCu_in_Peer_Group)</f>
        <v>N/A</v>
      </c>
      <c r="E6" s="92" t="str">
        <f>IF(CU_NUMBER&gt;0,"",IF(RetPop=0,"Retroactive Population",""))</f>
        <v/>
      </c>
      <c r="F6" s="119"/>
      <c r="G6" s="62"/>
      <c r="H6" s="119"/>
      <c r="I6" s="62"/>
      <c r="J6" s="119"/>
    </row>
    <row r="7" spans="1:10" x14ac:dyDescent="0.2">
      <c r="A7" s="44"/>
      <c r="D7" s="57"/>
      <c r="E7" s="58"/>
      <c r="F7" s="54"/>
      <c r="G7" s="30"/>
      <c r="H7" s="54"/>
      <c r="I7" s="30"/>
      <c r="J7" s="54"/>
    </row>
    <row r="8" spans="1:10" x14ac:dyDescent="0.2">
      <c r="A8" s="144"/>
      <c r="B8" s="139">
        <f>(CycDat_C1)</f>
        <v>45565</v>
      </c>
      <c r="C8" s="139">
        <f>(CycDat_C2)</f>
        <v>45657</v>
      </c>
      <c r="D8" s="184" t="s">
        <v>52</v>
      </c>
      <c r="E8" s="139">
        <f>(CycDat_C3)</f>
        <v>45747</v>
      </c>
      <c r="F8" s="184" t="s">
        <v>52</v>
      </c>
      <c r="G8" s="139">
        <f>(CycDat_C4)</f>
        <v>45838</v>
      </c>
      <c r="H8" s="184" t="s">
        <v>52</v>
      </c>
      <c r="I8" s="139">
        <f>(CycDat_C5)</f>
        <v>45930</v>
      </c>
      <c r="J8" s="184" t="s">
        <v>52</v>
      </c>
    </row>
    <row r="9" spans="1:10" x14ac:dyDescent="0.2">
      <c r="A9" s="153" t="s">
        <v>773</v>
      </c>
      <c r="B9" s="72"/>
      <c r="C9" s="72"/>
      <c r="D9" s="62"/>
      <c r="E9" s="62"/>
      <c r="F9" s="62"/>
      <c r="G9" s="62"/>
      <c r="H9" s="62"/>
      <c r="I9" s="62"/>
      <c r="J9" s="62"/>
    </row>
    <row r="10" spans="1:10" ht="24" customHeight="1" x14ac:dyDescent="0.2">
      <c r="A10" s="124" t="s">
        <v>774</v>
      </c>
      <c r="B10" s="66">
        <f t="array" ref="B10">IF(B8&lt;DATEVALUE("3/31/2022"),"N/A",ACH0017_C1)</f>
        <v>26693728</v>
      </c>
      <c r="C10" s="66">
        <f t="array" ref="C10">IF(C8&lt;DATEVALUE("3/31/2022"),"N/A",ACH0017_C2)</f>
        <v>33976501</v>
      </c>
      <c r="D10" s="64">
        <f>IF(C10="N/A", " ", IF(B10="N/A", " ",IF(AND(B10=0,C10=0,),"N/A",IF(ABS(B10)=0, "N/A", ((C10*Anu_C2-B10*Anu_C1)/ABS(B10*Anu_C1))*100))))</f>
        <v>-4.537965809796205</v>
      </c>
      <c r="E10" s="66">
        <f t="array" ref="E10">IF(E8&lt;DATEVALUE("3/31/2022"),"N/A",ACH0017_C3)</f>
        <v>9096207</v>
      </c>
      <c r="F10" s="64">
        <f>IF(E10="N/A", " ", IF(C10="N/A", " ",IF(AND(C10=0,E10=0,),"N/A",IF(ABS(C10)=0, "N/A", ((E10*Anu_C3-C10*Anu_C2)/ABS(C10*Anu_C2))*100))))</f>
        <v>7.088213703936141</v>
      </c>
      <c r="G10" s="66">
        <f t="array" ref="G10">IF(G8&lt;DATEVALUE("3/31/2022"),"N/A",ACH0017_C4)</f>
        <v>20789553</v>
      </c>
      <c r="H10" s="64">
        <f>IF(G10="N/A", " ", IF(E10="N/A", " ",IF(AND(E10=0,G10=0,),"N/A",IF(ABS(E10)=0, "N/A", ((G10*Anu_C4-E10*Anu_C3)/ABS(E10*Anu_C3))*100))))</f>
        <v>14.275944907586204</v>
      </c>
      <c r="I10" s="66">
        <f t="array" ref="I10">IF(I8&lt;DATEVALUE("3/31/2022"),"N/A",ACH0017_C5)</f>
        <v>31890298</v>
      </c>
      <c r="J10" s="64">
        <f>IF(I10="N/A", " ", IF(G10="N/A", " ",IF(AND(G10=0,I10=0,),"N/A",IF(ABS(G10)=0, "N/A", ((I10*Anu_C5-G10*Anu_C4)/ABS(G10*Anu_C4))*100))))</f>
        <v>2.2638565950247425</v>
      </c>
    </row>
    <row r="11" spans="1:10" ht="24" customHeight="1" x14ac:dyDescent="0.2">
      <c r="A11" s="124" t="s">
        <v>775</v>
      </c>
      <c r="B11" s="66">
        <f t="array" ref="B11">IF(B8&lt;DATEVALUE("3/31/2022"),"N/A",ACH0018_C1)</f>
        <v>9277499</v>
      </c>
      <c r="C11" s="66">
        <f t="array" ref="C11">IF(C8&lt;DATEVALUE("3/31/2022"),"N/A",ACH0018_C2)</f>
        <v>15509891</v>
      </c>
      <c r="D11" s="64">
        <f>IF(C11="N/A", " ", IF(B11="N/A", " ",IF(AND(B11=0,C11=0,),"N/A",IF(ABS(B11)=0, "N/A", ((C11*Anu_C2-B11*Anu_C1)/ABS(B11*Anu_C1))*100))))</f>
        <v>25.383125883387329</v>
      </c>
      <c r="E11" s="66">
        <f t="array" ref="E11">IF(E8&lt;DATEVALUE("3/31/2022"),"N/A",ACH0018_C3)</f>
        <v>4346951</v>
      </c>
      <c r="F11" s="64">
        <f>IF(E11="N/A", " ", IF(C11="N/A", " ",IF(AND(C11=0,E11=0,),"N/A",IF(ABS(C11)=0, "N/A", ((E11*Anu_C3-C11*Anu_C2)/ABS(C11*Anu_C2))*100))))</f>
        <v>12.107841376834951</v>
      </c>
      <c r="G11" s="66">
        <f t="array" ref="G11">IF(G8&lt;DATEVALUE("3/31/2022"),"N/A",ACH0018_C4)</f>
        <v>8400748</v>
      </c>
      <c r="H11" s="64">
        <f>IF(G11="N/A", " ", IF(E11="N/A", " ",IF(AND(E11=0,G11=0,),"N/A",IF(ABS(E11)=0, "N/A", ((G11*Anu_C4-E11*Anu_C3)/ABS(E11*Anu_C3))*100))))</f>
        <v>-3.3719496723105458</v>
      </c>
      <c r="I11" s="66">
        <f t="array" ref="I11">IF(I8&lt;DATEVALUE("3/31/2022"),"N/A",ACH0018_C5)</f>
        <v>11695172</v>
      </c>
      <c r="J11" s="64">
        <f>IF(I11="N/A", " ", IF(G11="N/A", " ",IF(AND(G11=0,I11=0,),"N/A",IF(ABS(G11)=0, "N/A", ((I11*Anu_C5-G11*Anu_C4)/ABS(G11*Anu_C4))*100))))</f>
        <v>-7.1894391626396477</v>
      </c>
    </row>
    <row r="12" spans="1:10" ht="24" customHeight="1" x14ac:dyDescent="0.2">
      <c r="A12" s="124" t="s">
        <v>776</v>
      </c>
      <c r="B12" s="66">
        <f t="array" ref="B12">IF(B8&lt;DATEVALUE("3/31/2022"),"N/A",ACH0017_C1-ACH0018_C1)</f>
        <v>17416229</v>
      </c>
      <c r="C12" s="66">
        <f t="array" ref="C12">IF(C8&lt;DATEVALUE("3/31/2022"),"N/A",ACH0017_C2-ACH0018_C2)</f>
        <v>18466610</v>
      </c>
      <c r="D12" s="64">
        <f>IF(C12="N/A", " ", IF(B12="N/A", " ",IF(AND(B12=0,C12=0,),"N/A",IF(ABS(B12)=0, "N/A", ((C12*Anu_C2-B12*Anu_C1)/ABS(B12*Anu_C1))*100))))</f>
        <v>-20.476714563181265</v>
      </c>
      <c r="E12" s="66">
        <f t="array" ref="E12">IF(E8&lt;DATEVALUE("3/31/2022"),"N/A",ACH0017_C3-ACH0018_C3)</f>
        <v>4749256</v>
      </c>
      <c r="F12" s="64">
        <f>IF(E12="N/A", " ", IF(C12="N/A", " ",IF(AND(C12=0,E12=0,),"N/A",IF(ABS(C12)=0, "N/A", ((E12*Anu_C3-C12*Anu_C2)/ABS(C12*Anu_C2))*100))))</f>
        <v>2.8722867922157884</v>
      </c>
      <c r="G12" s="66">
        <f t="array" ref="G12">IF(G8&lt;DATEVALUE("3/31/2022"),"N/A",ACH0017_C4-ACH0018_C4)</f>
        <v>12388805</v>
      </c>
      <c r="H12" s="64">
        <f>IF(G12="N/A", " ", IF(E12="N/A", " ",IF(AND(E12=0,G12=0,),"N/A",IF(ABS(E12)=0, "N/A", ((G12*Anu_C4-E12*Anu_C3)/ABS(E12*Anu_C3))*100))))</f>
        <v>30.428902969222971</v>
      </c>
      <c r="I12" s="66">
        <f t="array" ref="I12">IF(I8&lt;DATEVALUE("3/31/2022"),"N/A",ACH0017_C5-ACH0018_C5)</f>
        <v>20195126</v>
      </c>
      <c r="J12" s="64">
        <f>IF(I12="N/A", " ", IF(G12="N/A", " ",IF(AND(G12=0,I12=0,),"N/A",IF(ABS(G12)=0, "N/A", ((I12*Anu_C5-G12*Anu_C4)/ABS(G12*Anu_C4))*100))))</f>
        <v>8.6740596315248499</v>
      </c>
    </row>
    <row r="13" spans="1:10" ht="36" customHeight="1" x14ac:dyDescent="0.2">
      <c r="A13" s="124" t="s">
        <v>777</v>
      </c>
      <c r="B13" s="237">
        <f>IF(B8&lt;DATEVALUE("3/31/2022"),"N/A",IF(A703A_C1+pA703A_C1=0,0,(ACH0017_C1-ACH0018_C1)/((A703A_C1+pA703A_C1)/2)*100*Anu_C1))</f>
        <v>3.986497267801134E-3</v>
      </c>
      <c r="C13" s="237">
        <f>IF(C8&lt;DATEVALUE("3/31/2022"),"N/A",IF(A703A_C2+pA703A_C2=0,0,(ACH0017_C2-ACH0018_C2)/((A703A_C2+pA703A_C2)/2)*100*Anu_C2))</f>
        <v>3.1530484020202009E-3</v>
      </c>
      <c r="D13" s="64">
        <f>IF(C13="N/A", " ", IF(B13="N/A", " ",IF(AND(B13=0,C13=0,),"N/A",IF(ABS(B13)=0, "N/A", ((C13-B13)/ABS(B13))*100))))</f>
        <v>-20.90679636262853</v>
      </c>
      <c r="E13" s="237">
        <f>IF(E8&lt;DATEVALUE("3/31/2022"),"N/A",IF(A703A_C3+pA703A_C3=0,0,(ACH0017_C3-ACH0018_C3)/((A703A_C3+pA703A_C3)/2)*100*Anu_C3))</f>
        <v>3.186972412585266E-3</v>
      </c>
      <c r="F13" s="64">
        <f>IF(E13="N/A", " ", IF(C13="N/A", " ",IF(AND(C13=0,E13=0,),"N/A",IF(ABS(C13)=0, "N/A", ((E13-C13)/ABS(C13))*100))))</f>
        <v>1.0759115065702636</v>
      </c>
      <c r="G13" s="237">
        <f>IF(G8&lt;DATEVALUE("3/31/2022"),"N/A",IF(A703A_C4+pA703A_C4=0,0,(ACH0017_C4-ACH0018_C4)/((A703A_C4+pA703A_C4)/2)*100*Anu_C4))</f>
        <v>4.1226629914612144E-3</v>
      </c>
      <c r="H13" s="64">
        <f>IF(G13="N/A", " ", IF(E13="N/A", " ",IF(AND(E13=0,G13=0,),"N/A",IF(ABS(E13)=0, "N/A", ((G13-E13)/ABS(E13))*100))))</f>
        <v>29.359858126820683</v>
      </c>
      <c r="I13" s="237">
        <f>IF(I8&lt;DATEVALUE("3/31/2022"),"N/A",IF(A703A_C5+pA703A_C5=0,0,(ACH0017_C5-ACH0018_C5)/((A703A_C5+pA703A_C5)/2)*100*Anu_C5))</f>
        <v>4.4458371682938929E-3</v>
      </c>
      <c r="J13" s="64">
        <f>IF(I13="N/A", " ", IF(G13="N/A", " ",IF(AND(G13=0,I13=0,),"N/A",IF(ABS(G13)=0, "N/A", ((I13-G13)/ABS(G13))*100))))</f>
        <v>7.838966646122449</v>
      </c>
    </row>
    <row r="14" spans="1:10" ht="24" customHeight="1" x14ac:dyDescent="0.2">
      <c r="A14" s="124" t="s">
        <v>778</v>
      </c>
      <c r="B14" s="66">
        <f t="array" ref="B14">IF(B8&lt;DATEVALUE("3/31/2022"),"N/A",ACH0019_C1)</f>
        <v>41408550</v>
      </c>
      <c r="C14" s="66">
        <f t="array" ref="C14">IF(C8&lt;DATEVALUE("3/31/2022"),"N/A",ACH0019_C2)</f>
        <v>61176138</v>
      </c>
      <c r="D14" s="64">
        <f>IF(C14="N/A", " ", IF(B14="N/A", " ",IF(AND(B14=0,C14=0,),"N/A",IF(ABS(B14)=0, "N/A", ((C14*Anu_C2-B14*Anu_C1)/ABS(B14*Anu_C1))*100))))</f>
        <v>10.803453634575467</v>
      </c>
      <c r="E14" s="66">
        <f t="array" ref="E14">IF(E8&lt;DATEVALUE("3/31/2022"),"N/A",ACH0019_C3)</f>
        <v>17710608</v>
      </c>
      <c r="F14" s="64">
        <f>IF(E14="N/A", " ", IF(C14="N/A", " ",IF(AND(C14=0,E14=0,),"N/A",IF(ABS(C14)=0, "N/A", ((E14*Anu_C3-C14*Anu_C2)/ABS(C14*Anu_C2))*100))))</f>
        <v>15.800758786048247</v>
      </c>
      <c r="G14" s="66">
        <f t="array" ref="G14">IF(G8&lt;DATEVALUE("3/31/2022"),"N/A",ACH0019_C4)</f>
        <v>34833949</v>
      </c>
      <c r="H14" s="64">
        <f>IF(G14="N/A", " ", IF(E14="N/A", " ",IF(AND(E14=0,G14=0,),"N/A",IF(ABS(E14)=0, "N/A", ((G14*Anu_C4-E14*Anu_C3)/ABS(E14*Anu_C3))*100))))</f>
        <v>-1.6579526801112643</v>
      </c>
      <c r="I14" s="66">
        <f t="array" ref="I14">IF(I8&lt;DATEVALUE("3/31/2022"),"N/A",ACH0019_C5)</f>
        <v>56577733</v>
      </c>
      <c r="J14" s="64">
        <f>IF(I14="N/A", " ", IF(G14="N/A", " ",IF(AND(G14=0,I14=0,),"N/A",IF(ABS(G14)=0, "N/A", ((I14*Anu_C5-G14*Anu_C4)/ABS(G14*Anu_C4))*100))))</f>
        <v>8.2808287589404923</v>
      </c>
    </row>
    <row r="15" spans="1:10" ht="24" customHeight="1" x14ac:dyDescent="0.2">
      <c r="A15" s="124" t="s">
        <v>779</v>
      </c>
      <c r="B15" s="66">
        <f t="array" ref="B15">IF(B8&lt;DATEVALUE("3/31/2022"),"N/A",ACH0020_C1)</f>
        <v>30484373</v>
      </c>
      <c r="C15" s="66">
        <f t="array" ref="C15">IF(C8&lt;DATEVALUE("3/31/2022"),"N/A",ACH0020_C2)</f>
        <v>38678023</v>
      </c>
      <c r="D15" s="64">
        <f>IF(C15="N/A", " ", IF(B15="N/A", " ",IF(AND(B15=0,C15=0,),"N/A",IF(ABS(B15)=0, "N/A", ((C15*Anu_C2-B15*Anu_C1)/ABS(B15*Anu_C1))*100))))</f>
        <v>-4.8413518296735125</v>
      </c>
      <c r="E15" s="66">
        <f t="array" ref="E15">IF(E8&lt;DATEVALUE("3/31/2022"),"N/A",ACH0020_C3)</f>
        <v>8797133</v>
      </c>
      <c r="F15" s="64">
        <f>IF(E15="N/A", " ", IF(C15="N/A", " ",IF(AND(C15=0,E15=0,),"N/A",IF(ABS(C15)=0, "N/A", ((E15*Anu_C3-C15*Anu_C2)/ABS(C15*Anu_C2))*100))))</f>
        <v>-9.0218959743624954</v>
      </c>
      <c r="G15" s="66">
        <f t="array" ref="G15">IF(G8&lt;DATEVALUE("3/31/2022"),"N/A",ACH0020_C4)</f>
        <v>18344936</v>
      </c>
      <c r="H15" s="64">
        <f>IF(G15="N/A", " ", IF(E15="N/A", " ",IF(AND(E15=0,G15=0,),"N/A",IF(ABS(E15)=0, "N/A", ((G15*Anu_C4-E15*Anu_C3)/ABS(E15*Anu_C3))*100))))</f>
        <v>4.2665604805565627</v>
      </c>
      <c r="I15" s="66">
        <f t="array" ref="I15">IF(I8&lt;DATEVALUE("3/31/2022"),"N/A",ACH0020_C5)</f>
        <v>27666332</v>
      </c>
      <c r="J15" s="64">
        <f>IF(I15="N/A", " ", IF(G15="N/A", " ",IF(AND(G15=0,I15=0,),"N/A",IF(ABS(G15)=0, "N/A", ((I15*Anu_C5-G15*Anu_C4)/ABS(G15*Anu_C4))*100))))</f>
        <v>0.54121384415476881</v>
      </c>
    </row>
    <row r="16" spans="1:10" ht="24" customHeight="1" x14ac:dyDescent="0.2">
      <c r="A16" s="124" t="s">
        <v>780</v>
      </c>
      <c r="B16" s="66">
        <f t="array" ref="B16">IF(B8&lt;DATEVALUE("3/31/2022"),"N/A",ACH0019_C1-ACH0020_C1)</f>
        <v>10924177</v>
      </c>
      <c r="C16" s="66">
        <f t="array" ref="C16">IF(C8&lt;DATEVALUE("3/31/2022"),"N/A",ACH0019_C2-ACH0020_C2)</f>
        <v>22498115</v>
      </c>
      <c r="D16" s="64">
        <f>IF(C16="N/A", " ", IF(B16="N/A", " ",IF(AND(B16=0,C16=0,),"N/A",IF(ABS(B16)=0, "N/A", ((C16*Anu_C2-B16*Anu_C1)/ABS(B16*Anu_C1))*100))))</f>
        <v>54.460937881178616</v>
      </c>
      <c r="E16" s="66">
        <f t="array" ref="E16">IF(E8&lt;DATEVALUE("3/31/2022"),"N/A",ACH0019_C3-ACH0020_C3)</f>
        <v>8913475</v>
      </c>
      <c r="F16" s="64">
        <f>IF(E16="N/A", " ", IF(C16="N/A", " ",IF(AND(C16=0,E16=0,),"N/A",IF(ABS(C16)=0, "N/A", ((E16*Anu_C3-C16*Anu_C2)/ABS(C16*Anu_C2))*100))))</f>
        <v>58.475054465674127</v>
      </c>
      <c r="G16" s="66">
        <f t="array" ref="G16">IF(G8&lt;DATEVALUE("3/31/2022"),"N/A",ACH0019_C4-ACH0020_C4)</f>
        <v>16489013</v>
      </c>
      <c r="H16" s="64">
        <f>IF(G16="N/A", " ", IF(E16="N/A", " ",IF(AND(E16=0,G16=0,),"N/A",IF(ABS(E16)=0, "N/A", ((G16*Anu_C4-E16*Anu_C3)/ABS(E16*Anu_C3))*100))))</f>
        <v>-7.5051368854459124</v>
      </c>
      <c r="I16" s="66">
        <f t="array" ref="I16">IF(I8&lt;DATEVALUE("3/31/2022"),"N/A",ACH0019_C5-ACH0020_C5)</f>
        <v>28911401</v>
      </c>
      <c r="J16" s="64">
        <f>IF(I16="N/A", " ", IF(G16="N/A", " ",IF(AND(G16=0,I16=0,),"N/A",IF(ABS(G16)=0, "N/A", ((I16*Anu_C5-G16*Anu_C4)/ABS(G16*Anu_C4))*100))))</f>
        <v>16.891577035771228</v>
      </c>
    </row>
    <row r="17" spans="1:10" ht="36" customHeight="1" x14ac:dyDescent="0.2">
      <c r="A17" s="124" t="s">
        <v>781</v>
      </c>
      <c r="B17" s="237">
        <f>IF(B8&lt;DATEVALUE("3/31/2022"),"N/A",IF(A386A_C1+pA386A_C1=0,0,(ACH0019_C1-ACH0020_C1)/((A386A_C1+pA386A_C1)/2)*100*Anu_C1))</f>
        <v>1.0419783249570515E-2</v>
      </c>
      <c r="C17" s="237">
        <f>IF(C8&lt;DATEVALUE("3/31/2022"),"N/A",IF(A386A_C2+pA386A_C2=0,0,(ACH0019_C2-ACH0020_C2)/((A386A_C2+pA386A_C2)/2)*100*Anu_C2))</f>
        <v>1.5762259844092109E-2</v>
      </c>
      <c r="D17" s="64">
        <f>IF(C17="N/A", " ", IF(B17="N/A", " ",IF(AND(B17=0,C17=0,),"N/A",IF(ABS(B17)=0, "N/A", ((C17-B17)/ABS(B17))*100))))</f>
        <v>51.272435007146633</v>
      </c>
      <c r="E17" s="237">
        <f>IF(E8&lt;DATEVALUE("3/31/2022"),"N/A",IF(A386A_C3+pA386A_C3=0,0,(ACH0019_C3-ACH0020_C3)/((A386A_C3+pA386A_C3)/2)*100*Anu_C3))</f>
        <v>2.2760490667537058E-2</v>
      </c>
      <c r="F17" s="64">
        <f>IF(E17="N/A", " ", IF(C17="N/A", " ",IF(AND(C17=0,E17=0,),"N/A",IF(ABS(C17)=0, "N/A", ((E17-C17)/ABS(C17))*100))))</f>
        <v>44.398651542773372</v>
      </c>
      <c r="G17" s="237">
        <f>IF(G8&lt;DATEVALUE("3/31/2022"),"N/A",IF(A386A_C4+pA386A_C4=0,0,(ACH0019_C4-ACH0020_C4)/((A386A_C4+pA386A_C4)/2)*100*Anu_C4))</f>
        <v>2.0607258827857175E-2</v>
      </c>
      <c r="H17" s="64">
        <f>IF(G17="N/A", " ", IF(E17="N/A", " ",IF(AND(E17=0,G17=0,),"N/A",IF(ABS(E17)=0, "N/A", ((G17-E17)/ABS(E17))*100))))</f>
        <v>-9.4603928848994663</v>
      </c>
      <c r="I17" s="237">
        <f>IF(I8&lt;DATEVALUE("3/31/2022"),"N/A",IF(A386A_C5+pA386A_C5=0,0,(ACH0019_C5-ACH0020_C5)/((A386A_C5+pA386A_C5)/2)*100*Anu_C5))</f>
        <v>2.3586811408295813E-2</v>
      </c>
      <c r="J17" s="64">
        <f>IF(I17="N/A", " ", IF(G17="N/A", " ",IF(AND(G17=0,I17=0,),"N/A",IF(ABS(G17)=0, "N/A", ((I17-G17)/ABS(G17))*100))))</f>
        <v>14.458752643077583</v>
      </c>
    </row>
    <row r="18" spans="1:10" ht="24" customHeight="1" x14ac:dyDescent="0.2">
      <c r="A18" s="124" t="s">
        <v>782</v>
      </c>
      <c r="B18" s="66">
        <f t="array" ref="B18">IF(B8&lt;DATEVALUE("3/31/2022"),"N/A",ACH0021_C1)</f>
        <v>8570912</v>
      </c>
      <c r="C18" s="66">
        <f t="array" ref="C18">IF(C8&lt;DATEVALUE("3/31/2022"),"N/A",ACH0021_C2)</f>
        <v>13207351</v>
      </c>
      <c r="D18" s="64">
        <f>IF(C18="N/A", " ", IF(B18="N/A", " ",IF(AND(B18=0,C18=0,),"N/A",IF(ABS(B18)=0, "N/A", ((C18*Anu_C2-B18*Anu_C1)/ABS(B18*Anu_C1))*100))))</f>
        <v>15.571286346190469</v>
      </c>
      <c r="E18" s="66">
        <f t="array" ref="E18">IF(E8&lt;DATEVALUE("3/31/2022"),"N/A",ACH0021_C3)</f>
        <v>2866246</v>
      </c>
      <c r="F18" s="64">
        <f>IF(E18="N/A", " ", IF(C18="N/A", " ",IF(AND(C18=0,E18=0,),"N/A",IF(ABS(C18)=0, "N/A", ((E18*Anu_C3-C18*Anu_C2)/ABS(C18*Anu_C2))*100))))</f>
        <v>-13.19240323059484</v>
      </c>
      <c r="G18" s="66">
        <f t="array" ref="G18">IF(G8&lt;DATEVALUE("3/31/2022"),"N/A",ACH0021_C4)</f>
        <v>5874720</v>
      </c>
      <c r="H18" s="64">
        <f>IF(G18="N/A", " ", IF(E18="N/A", " ",IF(AND(E18=0,G18=0,),"N/A",IF(ABS(E18)=0, "N/A", ((G18*Anu_C4-E18*Anu_C3)/ABS(E18*Anu_C3))*100))))</f>
        <v>2.4810850150336012</v>
      </c>
      <c r="I18" s="66">
        <f t="array" ref="I18">IF(I8&lt;DATEVALUE("3/31/2022"),"N/A",ACH0021_C5)</f>
        <v>26141093</v>
      </c>
      <c r="J18" s="64">
        <f>IF(I18="N/A", " ", IF(G18="N/A", " ",IF(AND(G18=0,I18=0,),"N/A",IF(ABS(G18)=0, "N/A", ((I18*Anu_C5-G18*Anu_C4)/ABS(G18*Anu_C4))*100))))</f>
        <v>196.65065455601854</v>
      </c>
    </row>
    <row r="19" spans="1:10" ht="24" customHeight="1" x14ac:dyDescent="0.2">
      <c r="A19" s="124" t="s">
        <v>783</v>
      </c>
      <c r="B19" s="66">
        <f t="array" ref="B19">IF(B8&lt;DATEVALUE("3/31/2022"),"N/A",ACH0022_C1)</f>
        <v>3697903</v>
      </c>
      <c r="C19" s="66">
        <f t="array" ref="C19">IF(C8&lt;DATEVALUE("3/31/2022"),"N/A",ACH0022_C2)</f>
        <v>5188479</v>
      </c>
      <c r="D19" s="64">
        <f>IF(C19="N/A", " ", IF(B19="N/A", " ",IF(AND(B19=0,C19=0,),"N/A",IF(ABS(B19)=0, "N/A", ((C19*Anu_C2-B19*Anu_C1)/ABS(B19*Anu_C1))*100))))</f>
        <v>5.2315122922369852</v>
      </c>
      <c r="E19" s="66">
        <f t="array" ref="E19">IF(E8&lt;DATEVALUE("3/31/2022"),"N/A",ACH0022_C3)</f>
        <v>1736707</v>
      </c>
      <c r="F19" s="64">
        <f>IF(E19="N/A", " ", IF(C19="N/A", " ",IF(AND(C19=0,E19=0,),"N/A",IF(ABS(C19)=0, "N/A", ((E19*Anu_C3-C19*Anu_C2)/ABS(C19*Anu_C2))*100))))</f>
        <v>33.889488615064259</v>
      </c>
      <c r="G19" s="66">
        <f t="array" ref="G19">IF(G8&lt;DATEVALUE("3/31/2022"),"N/A",ACH0022_C4)</f>
        <v>3604097</v>
      </c>
      <c r="H19" s="64">
        <f>IF(G19="N/A", " ", IF(E19="N/A", " ",IF(AND(E19=0,G19=0,),"N/A",IF(ABS(E19)=0, "N/A", ((G19*Anu_C4-E19*Anu_C3)/ABS(E19*Anu_C3))*100))))</f>
        <v>3.7623790311203908</v>
      </c>
      <c r="I19" s="66">
        <f t="array" ref="I19">IF(I8&lt;DATEVALUE("3/31/2022"),"N/A",ACH0022_C5)</f>
        <v>4659695</v>
      </c>
      <c r="J19" s="64">
        <f>IF(I19="N/A", " ", IF(G19="N/A", " ",IF(AND(G19=0,I19=0,),"N/A",IF(ABS(G19)=0, "N/A", ((I19*Anu_C5-G19*Anu_C4)/ABS(G19*Anu_C4))*100))))</f>
        <v>-13.807443769317723</v>
      </c>
    </row>
    <row r="20" spans="1:10" ht="24" customHeight="1" x14ac:dyDescent="0.2">
      <c r="A20" s="124" t="s">
        <v>784</v>
      </c>
      <c r="B20" s="66">
        <f t="array" ref="B20">IF(B8&lt;DATEVALUE("3/31/2022"),"N/A",ACH0021_C1-ACH0022_C1)</f>
        <v>4873009</v>
      </c>
      <c r="C20" s="66">
        <f t="array" ref="C20">IF(C8&lt;DATEVALUE("3/31/2022"),"N/A",ACH0021_C2-ACH0022_C2)</f>
        <v>8018872</v>
      </c>
      <c r="D20" s="64">
        <f>IF(C20="N/A", " ", IF(B20="N/A", " ",IF(AND(B20=0,C20=0,),"N/A",IF(ABS(B20)=0, "N/A", ((C20*Anu_C2-B20*Anu_C1)/ABS(B20*Anu_C1))*100))))</f>
        <v>23.417666579314758</v>
      </c>
      <c r="E20" s="66">
        <f t="array" ref="E20">IF(E8&lt;DATEVALUE("3/31/2022"),"N/A",ACH0021_C3-ACH0022_C3)</f>
        <v>1129539</v>
      </c>
      <c r="F20" s="64">
        <f>IF(E20="N/A", " ", IF(C20="N/A", " ",IF(AND(C20=0,E20=0,),"N/A",IF(ABS(C20)=0, "N/A", ((E20*Anu_C3-C20*Anu_C2)/ABS(C20*Anu_C2))*100))))</f>
        <v>-43.655965577203375</v>
      </c>
      <c r="G20" s="66">
        <f t="array" ref="G20">IF(G8&lt;DATEVALUE("3/31/2022"),"N/A",ACH0021_C4-ACH0022_C4)</f>
        <v>2270623</v>
      </c>
      <c r="H20" s="64">
        <f>IF(G20="N/A", " ", IF(E20="N/A", " ",IF(AND(E20=0,G20=0,),"N/A",IF(ABS(E20)=0, "N/A", ((G20*Anu_C4-E20*Anu_C3)/ABS(E20*Anu_C3))*100))))</f>
        <v>0.51104919794712711</v>
      </c>
      <c r="I20" s="66">
        <f t="array" ref="I20">IF(I8&lt;DATEVALUE("3/31/2022"),"N/A",ACH0021_C5-ACH0022_C5)</f>
        <v>21481398</v>
      </c>
      <c r="J20" s="64">
        <f>IF(I20="N/A", " ", IF(G20="N/A", " ",IF(AND(G20=0,I20=0,),"N/A",IF(ABS(G20)=0, "N/A", ((I20*Anu_C5-G20*Anu_C4)/ABS(G20*Anu_C4))*100))))</f>
        <v>530.70496511309898</v>
      </c>
    </row>
    <row r="21" spans="1:10" ht="36" customHeight="1" x14ac:dyDescent="0.2">
      <c r="A21" s="124" t="s">
        <v>785</v>
      </c>
      <c r="B21" s="237">
        <f>IF(B8&lt;DATEVALUE("3/31/2022"),"N/A",IF(A386B_C1+pA386B_C1=0,0,(ACH0021_C1-ACH0022_C1)/((A386B_C1+pA386B_C1)/2)*100*Anu_C1))</f>
        <v>0.33289991738176938</v>
      </c>
      <c r="C21" s="237">
        <f>IF(C8&lt;DATEVALUE("3/31/2022"),"N/A",IF(A386B_C2+pA386B_C2=0,0,(ACH0021_C2-ACH0022_C2)/((A386B_C2+pA386B_C2)/2)*100*Anu_C2))</f>
        <v>0.40767798814738643</v>
      </c>
      <c r="D21" s="64">
        <f>IF(C21="N/A", " ", IF(B21="N/A", " ",IF(AND(B21=0,C21=0,),"N/A",IF(ABS(B21)=0, "N/A", ((C21-B21)/ABS(B21))*100))))</f>
        <v>22.462628213830886</v>
      </c>
      <c r="E21" s="237">
        <f>IF(E8&lt;DATEVALUE("3/31/2022"),"N/A",IF(A386B_C3+pA386B_C3=0,0,(ACH0021_C3-ACH0022_C3)/((A386B_C3+pA386B_C3)/2)*100*Anu_C3))</f>
        <v>0.22257889239038742</v>
      </c>
      <c r="F21" s="64">
        <f>IF(E21="N/A", " ", IF(C21="N/A", " ",IF(AND(C21=0,E21=0,),"N/A",IF(ABS(C21)=0, "N/A", ((E21-C21)/ABS(C21))*100))))</f>
        <v>-45.403259714400072</v>
      </c>
      <c r="G21" s="237">
        <f>IF(G8&lt;DATEVALUE("3/31/2022"),"N/A",IF(A386B_C4+pA386B_C4=0,0,(ACH0021_C4-ACH0022_C4)/((A386B_C4+pA386B_C4)/2)*100*Anu_C4))</f>
        <v>0.2228119673199308</v>
      </c>
      <c r="H21" s="64">
        <f>IF(G21="N/A", " ", IF(E21="N/A", " ",IF(AND(E21=0,G21=0,),"N/A",IF(ABS(E21)=0, "N/A", ((G21-E21)/ABS(E21))*100))))</f>
        <v>0.10471564802945904</v>
      </c>
      <c r="I21" s="237">
        <f>IF(I8&lt;DATEVALUE("3/31/2022"),"N/A",IF(A386B_C5+pA386B_C5=0,0,(ACH0021_C5-ACH0022_C5)/((A386B_C5+pA386B_C5)/2)*100*Anu_C5))</f>
        <v>1.29942403389094</v>
      </c>
      <c r="J21" s="64">
        <f>IF(I21="N/A", " ", IF(G21="N/A", " ",IF(AND(G21=0,I21=0,),"N/A",IF(ABS(G21)=0, "N/A", ((I21-G21)/ABS(G21))*100))))</f>
        <v>483.19310651080309</v>
      </c>
    </row>
    <row r="22" spans="1:10" ht="48" customHeight="1" x14ac:dyDescent="0.2">
      <c r="A22" s="124" t="s">
        <v>786</v>
      </c>
      <c r="B22" s="237">
        <f>IF(B8&lt;DATEVALUE("3/31/2023"),"N/A",IF((ARL0047_C1+pARL0047_C1)=0,0,(ACH0017_C1+ACH0019_C1+ACH0021_C1-ACH0018_C1-ACH0020_C1-ACH0022_C1)/((ARL0047_C1+pARL0047_C1)/2)*100)*Anu_C1)</f>
        <v>6.1145674130263644E-3</v>
      </c>
      <c r="C22" s="237">
        <f>IF(C8&lt;DATEVALUE("3/31/2023"),"N/A",IF((ARL0047_C2+pARL0047_C2)=0,0,(ACH0017_C2+ACH0019_C2+ACH0021_C2-ACH0018_C2-ACH0020_C2-ACH0022_C2)/((ARL0047_C2+pARL0047_C2)/2)*100)*Anu_C2)</f>
        <v>6.7066289279724247E-3</v>
      </c>
      <c r="D22" s="64">
        <f>IF(C22="N/A", " ", IF(B22="N/A", " ",IF(AND(B22=0,C22=0,),"N/A",IF(ABS(B22)=0, "N/A", ((C22-B22)/ABS(B22))*100))))</f>
        <v>9.6828029679539238</v>
      </c>
      <c r="E22" s="237">
        <f>IF(E8&lt;DATEVALUE("3/31/2023"),"N/A",IF((ARL0047_C3+pARL0047_C3)=0,0,(ACH0017_C3+ACH0019_C3+ACH0021_C3-ACH0018_C3-ACH0020_C3-ACH0022_C3)/((ARL0047_C3+pARL0047_C3)/2)*100)*Anu_C3)</f>
        <v>7.8394370808508029E-3</v>
      </c>
      <c r="F22" s="64">
        <f>IF(E22="N/A", " ", IF(C22="N/A", " ",IF(AND(C22=0,E22=0,),"N/A",IF(ABS(C22)=0, "N/A", ((E22-C22)/ABS(C22))*100))))</f>
        <v>16.890872673059214</v>
      </c>
      <c r="G22" s="237">
        <f>IF(G8&lt;DATEVALUE("3/31/2023"),"N/A",IF((ARL0047_C4+pARL0047_C4)=0,0,(ACH0017_C4+ACH0019_C4+ACH0021_C4-ACH0018_C4-ACH0020_C4-ACH0022_C4)/((ARL0047_C4+pARL0047_C4)/2)*100)*Anu_C4)</f>
        <v>8.1638826156997264E-3</v>
      </c>
      <c r="H22" s="64">
        <f>IF(G22="N/A", " ", IF(E22="N/A", " ",IF(AND(E22=0,G22=0,),"N/A",IF(ABS(E22)=0, "N/A", ((G22-E22)/ABS(E22))*100))))</f>
        <v>4.1386330613130173</v>
      </c>
      <c r="I22" s="237">
        <f>IF(I8&lt;DATEVALUE("3/31/2023"),"N/A",IF((ARL0047_C5+pARL0047_C5)=0,0,(ACH0017_C5+ACH0019_C5+ACH0021_C5-ACH0018_C5-ACH0020_C5-ACH0022_C5)/((ARL0047_C5+pARL0047_C5)/2)*100)*Anu_C5)</f>
        <v>1.2202403729875869E-2</v>
      </c>
      <c r="J22" s="64">
        <f>IF(I22="N/A", " ", IF(G22="N/A", " ",IF(AND(G22=0,I22=0,),"N/A",IF(ABS(G22)=0, "N/A", ((I22-G22)/ABS(G22))*100))))</f>
        <v>49.468142846759939</v>
      </c>
    </row>
    <row r="23" spans="1:10" x14ac:dyDescent="0.2">
      <c r="A23" s="263" t="s">
        <v>635</v>
      </c>
      <c r="B23" s="176"/>
      <c r="C23" s="176"/>
      <c r="D23" s="176"/>
      <c r="E23" s="176"/>
      <c r="F23" s="176"/>
      <c r="G23" s="176"/>
      <c r="H23" s="176"/>
      <c r="I23" s="176"/>
      <c r="J23" s="176"/>
    </row>
    <row r="24" spans="1:10" x14ac:dyDescent="0.2">
      <c r="A24" s="235" t="s">
        <v>636</v>
      </c>
      <c r="I24" s="104" t="s">
        <v>787</v>
      </c>
    </row>
  </sheetData>
  <mergeCells count="1">
    <mergeCell ref="D5:J5"/>
  </mergeCells>
  <hyperlinks>
    <hyperlink ref="A2" location="'Cover Page'!A1" display="Return to cover" xr:uid="{00000000-0004-0000-1300-000000000000}"/>
  </hyperlinks>
  <printOptions gridLines="1"/>
  <pageMargins left="0.7" right="0.7" top="0.75" bottom="0.75" header="0.3" footer="0.3"/>
  <pageSetup orientation="landscape" horizontalDpi="1200" verticalDpi="12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0">
    <pageSetUpPr fitToPage="1"/>
  </sheetPr>
  <dimension ref="A1:K70"/>
  <sheetViews>
    <sheetView workbookViewId="0"/>
  </sheetViews>
  <sheetFormatPr defaultRowHeight="12.75" x14ac:dyDescent="0.2"/>
  <cols>
    <col min="1" max="1" width="62.7109375" style="30" customWidth="1"/>
    <col min="2" max="3" width="16.7109375" customWidth="1"/>
    <col min="4" max="4" width="6.7109375" style="57" customWidth="1"/>
    <col min="5" max="5" width="16.7109375" customWidth="1"/>
    <col min="6" max="6" width="6.7109375" style="57" customWidth="1"/>
    <col min="7" max="7" width="16.7109375" customWidth="1"/>
    <col min="8" max="8" width="6.7109375" style="57" customWidth="1"/>
    <col min="9" max="9" width="16.7109375" customWidth="1"/>
    <col min="10" max="10" width="6.7109375" style="57" customWidth="1"/>
    <col min="11" max="12" width="9.140625" customWidth="1"/>
    <col min="13" max="13" width="14.7109375" customWidth="1"/>
  </cols>
  <sheetData>
    <row r="1" spans="1:11" s="62" customFormat="1" ht="12" customHeight="1" x14ac:dyDescent="0.2">
      <c r="A1" s="88"/>
      <c r="C1" s="85" t="s">
        <v>788</v>
      </c>
      <c r="D1" s="118"/>
      <c r="F1" s="119"/>
      <c r="H1" s="119"/>
      <c r="J1" s="119"/>
    </row>
    <row r="2" spans="1:11" s="62" customFormat="1" x14ac:dyDescent="0.2">
      <c r="A2" s="60" t="s">
        <v>49</v>
      </c>
      <c r="C2" s="67" t="s">
        <v>50</v>
      </c>
      <c r="D2" s="87" t="str">
        <f>IF(CU_NUMBER="","N/A",CU_NUMBER)</f>
        <v>N/A</v>
      </c>
      <c r="E2" s="120"/>
      <c r="F2" s="119"/>
      <c r="H2" s="119"/>
      <c r="J2" s="119"/>
    </row>
    <row r="3" spans="1:11" s="62" customFormat="1" ht="12" customHeight="1" x14ac:dyDescent="0.2">
      <c r="A3" s="121" t="str">
        <f>IF(Request_Date=0,"N/A",Request_Date)</f>
        <v>12/05/2025</v>
      </c>
      <c r="C3" s="67" t="s">
        <v>42</v>
      </c>
      <c r="D3" s="75">
        <f>IF(CountCu_C5=0,"N/A",CountCu_C5)</f>
        <v>4331</v>
      </c>
      <c r="E3" s="120"/>
      <c r="F3" s="119"/>
      <c r="H3" s="119"/>
      <c r="J3" s="119"/>
    </row>
    <row r="4" spans="1:11" s="62" customFormat="1" ht="12" customHeight="1" x14ac:dyDescent="0.2">
      <c r="A4" s="74" t="str">
        <f>"CU Name:      "&amp;IF(Cu_Name="","N/A",Cu_Name)</f>
        <v>CU Name:      N/A</v>
      </c>
      <c r="C4" s="67" t="s">
        <v>43</v>
      </c>
      <c r="D4" s="89" t="str">
        <f>IF(AssetRange="","N/A",AssetRange)</f>
        <v>N/A</v>
      </c>
      <c r="E4" s="75"/>
      <c r="F4" s="119"/>
      <c r="H4" s="119"/>
      <c r="J4" s="119"/>
    </row>
    <row r="5" spans="1:11" s="62" customFormat="1" ht="12" customHeight="1" x14ac:dyDescent="0.2">
      <c r="A5" s="74" t="str">
        <f>"Peer Group:      "&amp;IF(Peer_Group="","N/A",IF(Peer_Group="0","N/A",Peer_Group))</f>
        <v>Peer Group:      N/A</v>
      </c>
      <c r="B5" s="90"/>
      <c r="C5" s="67" t="s">
        <v>51</v>
      </c>
      <c r="D5" s="24" t="str">
        <f>IF(_xlnm.Criteria="","N/A",_xlnm.Criteria)</f>
        <v xml:space="preserve">Region: Nation * Peer Group: All * Types Included: All  Federally Insured Credit Unions  (FICUs) *  </v>
      </c>
      <c r="E5" s="23"/>
      <c r="F5" s="23"/>
      <c r="G5" s="23"/>
      <c r="H5" s="23"/>
      <c r="I5" s="23"/>
      <c r="J5" s="23"/>
    </row>
    <row r="6" spans="1:11" s="62" customFormat="1" ht="12.75" customHeight="1" x14ac:dyDescent="0.2">
      <c r="A6" s="74"/>
      <c r="B6" s="67"/>
      <c r="C6" s="67" t="s">
        <v>45</v>
      </c>
      <c r="D6" s="75" t="str">
        <f>IF(NoCu_in_Peer_Group="","N/A",NoCu_in_Peer_Group)</f>
        <v>N/A</v>
      </c>
      <c r="E6" s="75" t="str">
        <f>IF(CU_NUMBER&gt;0,"",IF(RetPop=0,"Retroactive Population",""))</f>
        <v/>
      </c>
      <c r="F6" s="119"/>
      <c r="H6" s="119"/>
      <c r="J6" s="119"/>
    </row>
    <row r="7" spans="1:11" ht="12.75" customHeight="1" x14ac:dyDescent="0.2">
      <c r="A7" s="29"/>
      <c r="E7" s="32"/>
      <c r="F7" s="54"/>
      <c r="G7" s="30"/>
      <c r="H7" s="54"/>
      <c r="I7" s="30"/>
      <c r="J7" s="54"/>
    </row>
    <row r="8" spans="1:11" x14ac:dyDescent="0.2">
      <c r="A8" s="86"/>
      <c r="B8" s="139">
        <f>(CycDat_C1)</f>
        <v>45565</v>
      </c>
      <c r="C8" s="139">
        <f>(CycDat_C2)</f>
        <v>45657</v>
      </c>
      <c r="D8" s="184" t="s">
        <v>52</v>
      </c>
      <c r="E8" s="139">
        <f>(CycDat_C3)</f>
        <v>45747</v>
      </c>
      <c r="F8" s="184" t="s">
        <v>52</v>
      </c>
      <c r="G8" s="139">
        <f>(CycDat_C4)</f>
        <v>45838</v>
      </c>
      <c r="H8" s="184" t="s">
        <v>52</v>
      </c>
      <c r="I8" s="139">
        <f>(CycDat_C5)</f>
        <v>45930</v>
      </c>
      <c r="J8" s="184" t="s">
        <v>52</v>
      </c>
      <c r="K8" s="83"/>
    </row>
    <row r="9" spans="1:11" ht="26.45" customHeight="1" x14ac:dyDescent="0.2">
      <c r="A9" s="288" t="s">
        <v>789</v>
      </c>
      <c r="B9" s="288"/>
      <c r="C9" s="76"/>
      <c r="D9" s="102"/>
      <c r="E9" s="76"/>
      <c r="F9" s="102"/>
      <c r="G9" s="76"/>
      <c r="H9" s="102"/>
      <c r="I9" s="76"/>
      <c r="J9" s="102"/>
      <c r="K9" s="83"/>
    </row>
    <row r="10" spans="1:11" s="101" customFormat="1" ht="13.15" customHeight="1" x14ac:dyDescent="0.2">
      <c r="A10" s="217" t="s">
        <v>790</v>
      </c>
      <c r="B10" s="215">
        <f>A143B3_C1+A143B4_C1</f>
        <v>9953680983</v>
      </c>
      <c r="C10" s="215">
        <f>A143B3_C2+A143B4_C2</f>
        <v>10099341981</v>
      </c>
      <c r="D10" s="216">
        <f t="shared" ref="D10:D15" si="0">IF(C10="N/A", " ", IF(B10="N/A", " ",IF(AND(B10=0,C10=0,),"N/A",IF(ABS(B10)=0, "N/A", ((C10-B10)/ABS(B10))*100))))</f>
        <v>1.4633882505253686</v>
      </c>
      <c r="E10" s="215">
        <f>A143B3_C3+A143B4_C3</f>
        <v>10002912561</v>
      </c>
      <c r="F10" s="216">
        <f t="shared" ref="F10:F15" si="1">IF(E10="N/A", " ", IF(C10="N/A", " ",IF(AND(C10=0,E10=0,),"N/A",IF(ABS(C10)=0, "N/A", ((E10-C10)/ABS(C10))*100))))</f>
        <v>-0.95480893885377582</v>
      </c>
      <c r="G10" s="215">
        <f>A143B3_C4+A143B4_C4</f>
        <v>9878921272</v>
      </c>
      <c r="H10" s="216">
        <f t="shared" ref="H10:H15" si="2">IF(G10="N/A", " ", IF(E10="N/A", " ",IF(AND(E10=0,G10=0,),"N/A",IF(ABS(E10)=0, "N/A", ((G10-E10)/ABS(E10))*100))))</f>
        <v>-1.2395518629586468</v>
      </c>
      <c r="I10" s="215">
        <f>A143B3_C5+A143B4_C5</f>
        <v>10266451085</v>
      </c>
      <c r="J10" s="216">
        <f t="shared" ref="J10:J15" si="3">IF(I10="N/A", " ", IF(G10="N/A", " ",IF(AND(G10=0,I10=0,),"N/A",IF(ABS(G10)=0, "N/A",((I10-G10)/ABS(G10))*100))))</f>
        <v>3.9227948308322138</v>
      </c>
      <c r="K10" s="226"/>
    </row>
    <row r="11" spans="1:11" s="101" customFormat="1" ht="13.15" customHeight="1" x14ac:dyDescent="0.2">
      <c r="A11" s="217" t="s">
        <v>791</v>
      </c>
      <c r="B11" s="215">
        <f>A042A5_C1+A042A7_C1</f>
        <v>2343974088</v>
      </c>
      <c r="C11" s="215">
        <f>A042A5_C2+A042A7_C2</f>
        <v>2364800520</v>
      </c>
      <c r="D11" s="216">
        <f t="shared" si="0"/>
        <v>0.88850948082664982</v>
      </c>
      <c r="E11" s="215">
        <f>A042A5_C3+A042A7_C3</f>
        <v>2383405603</v>
      </c>
      <c r="F11" s="216">
        <f t="shared" si="1"/>
        <v>0.78675063045063942</v>
      </c>
      <c r="G11" s="215">
        <f>A042A5_C4+A042A7_C4</f>
        <v>2420134371</v>
      </c>
      <c r="H11" s="216">
        <f t="shared" si="2"/>
        <v>1.5410204605447511</v>
      </c>
      <c r="I11" s="215">
        <f>A042A5_C5+A042A7_C5</f>
        <v>2480888336</v>
      </c>
      <c r="J11" s="216">
        <f t="shared" si="3"/>
        <v>2.5103550335056997</v>
      </c>
      <c r="K11" s="226"/>
    </row>
    <row r="12" spans="1:11" s="101" customFormat="1" ht="13.15" customHeight="1" x14ac:dyDescent="0.2">
      <c r="A12" s="217" t="s">
        <v>792</v>
      </c>
      <c r="B12" s="215">
        <f>A400M_C1+A400M1_C1</f>
        <v>39278974637</v>
      </c>
      <c r="C12" s="215">
        <f>A400M_C2+A400M1_C2</f>
        <v>40960193444</v>
      </c>
      <c r="D12" s="216">
        <f t="shared" si="0"/>
        <v>4.2802003426441937</v>
      </c>
      <c r="E12" s="215">
        <f>A400M_C3+A400M1_C3</f>
        <v>42287816915</v>
      </c>
      <c r="F12" s="216">
        <f t="shared" si="1"/>
        <v>3.2412529321061481</v>
      </c>
      <c r="G12" s="215">
        <f>A400M_C4+A400M1_C4</f>
        <v>43682601000</v>
      </c>
      <c r="H12" s="216">
        <f t="shared" si="2"/>
        <v>3.2983118703043131</v>
      </c>
      <c r="I12" s="215">
        <f>A400M_C5+A400M1_C5</f>
        <v>44673246347</v>
      </c>
      <c r="J12" s="216">
        <f t="shared" si="3"/>
        <v>2.267825917692035</v>
      </c>
      <c r="K12" s="226"/>
    </row>
    <row r="13" spans="1:11" s="101" customFormat="1" ht="13.15" customHeight="1" x14ac:dyDescent="0.2">
      <c r="A13" s="217" t="s">
        <v>793</v>
      </c>
      <c r="B13" s="215">
        <f>A400H2_C1+A400H3_C1</f>
        <v>30568984640</v>
      </c>
      <c r="C13" s="215">
        <f>A400H2_C2+A400H3_C2</f>
        <v>31518449384</v>
      </c>
      <c r="D13" s="216">
        <f t="shared" si="0"/>
        <v>3.1059740949249925</v>
      </c>
      <c r="E13" s="215">
        <f>A400H2_C3+A400H3_C3</f>
        <v>32647405444</v>
      </c>
      <c r="F13" s="216">
        <f t="shared" si="1"/>
        <v>3.5818895982018151</v>
      </c>
      <c r="G13" s="215">
        <f>A400H2_C4+A400H3_C4</f>
        <v>33617067740</v>
      </c>
      <c r="H13" s="216">
        <f t="shared" si="2"/>
        <v>2.9701052283105893</v>
      </c>
      <c r="I13" s="215">
        <f>A400H2_C5+A400H3_C5</f>
        <v>34951523094</v>
      </c>
      <c r="J13" s="216">
        <f t="shared" si="3"/>
        <v>3.969576895643903</v>
      </c>
      <c r="K13" s="226"/>
    </row>
    <row r="14" spans="1:11" s="101" customFormat="1" ht="13.15" customHeight="1" x14ac:dyDescent="0.2">
      <c r="A14" s="217" t="s">
        <v>794</v>
      </c>
      <c r="B14" s="215">
        <f>A400J2_C1+A400J3_C1</f>
        <v>73970958858</v>
      </c>
      <c r="C14" s="215">
        <f>A400J2_C2+A400J3_C2</f>
        <v>76229667713</v>
      </c>
      <c r="D14" s="216">
        <f t="shared" si="0"/>
        <v>3.053507606053858</v>
      </c>
      <c r="E14" s="215">
        <f>A400J2_C3+A400J3_C3</f>
        <v>77994319466</v>
      </c>
      <c r="F14" s="216">
        <f t="shared" si="1"/>
        <v>2.3149146597933563</v>
      </c>
      <c r="G14" s="215">
        <f>A400J2_C4+A400J3_C4</f>
        <v>80441252264</v>
      </c>
      <c r="H14" s="216">
        <f t="shared" si="2"/>
        <v>3.13732181363117</v>
      </c>
      <c r="I14" s="215">
        <f>A400J2_C5+A400J3_C5</f>
        <v>82205684060</v>
      </c>
      <c r="J14" s="216">
        <f t="shared" si="3"/>
        <v>2.1934414822500705</v>
      </c>
      <c r="K14" s="226"/>
    </row>
    <row r="15" spans="1:11" s="101" customFormat="1" x14ac:dyDescent="0.2">
      <c r="A15" s="288" t="s">
        <v>795</v>
      </c>
      <c r="B15" s="215">
        <f>A718A3_C1+A718A4_C1</f>
        <v>156116573206</v>
      </c>
      <c r="C15" s="215">
        <f>A718A3_C2+A718A4_C2</f>
        <v>161172453042</v>
      </c>
      <c r="D15" s="216">
        <f t="shared" si="0"/>
        <v>3.2385285765455731</v>
      </c>
      <c r="E15" s="215">
        <f>IF(E8&gt;DATEVALUE("6/30/2017"), A718A3_C3+A718A4_C3, IF(E8&gt;=DATEVALUE("3/31/2011"),A718A1_C3+A718A2_C3,"N/A"))</f>
        <v>165315859989</v>
      </c>
      <c r="F15" s="216">
        <f t="shared" si="1"/>
        <v>2.570791018438038</v>
      </c>
      <c r="G15" s="215">
        <f>A718A3_C4+A718A4_C4</f>
        <v>170039976647</v>
      </c>
      <c r="H15" s="216">
        <f t="shared" si="2"/>
        <v>2.8576306340567319</v>
      </c>
      <c r="I15" s="215">
        <f>A718A3_C5+A718A4_C5</f>
        <v>174577792922</v>
      </c>
      <c r="J15" s="216">
        <f t="shared" si="3"/>
        <v>2.6686761339778506</v>
      </c>
      <c r="K15" s="226"/>
    </row>
    <row r="16" spans="1:11" s="101" customFormat="1" ht="26.45" customHeight="1" x14ac:dyDescent="0.2">
      <c r="A16" s="288" t="s">
        <v>796</v>
      </c>
      <c r="B16" s="288"/>
      <c r="C16" s="215"/>
      <c r="D16" s="216" t="s">
        <v>217</v>
      </c>
      <c r="E16" s="215"/>
      <c r="F16" s="216" t="s">
        <v>217</v>
      </c>
      <c r="G16" s="215"/>
      <c r="H16" s="216" t="s">
        <v>217</v>
      </c>
      <c r="I16" s="215"/>
      <c r="J16" s="216" t="s">
        <v>217</v>
      </c>
      <c r="K16" s="226"/>
    </row>
    <row r="17" spans="1:11" s="101" customFormat="1" ht="13.15" customHeight="1" x14ac:dyDescent="0.2">
      <c r="A17" s="289" t="s">
        <v>797</v>
      </c>
      <c r="B17" s="215">
        <f>A042A6_C1 + A042A8_C1</f>
        <v>1565056592</v>
      </c>
      <c r="C17" s="215">
        <f>A042A6_C2 + A042A8_C2</f>
        <v>1531270346</v>
      </c>
      <c r="D17" s="216">
        <f>IF(C17="N/A", " ", IF(B17="N/A", " ",IF(AND(B17=0,C17=0,),"N/A",IF(ABS(B17)=0, "N/A", ((C17-B17)/ABS(B17))*100))))</f>
        <v>-2.1587874951425401</v>
      </c>
      <c r="E17" s="215">
        <f>A042A6_C3 + A042A8_C3</f>
        <v>1513634959</v>
      </c>
      <c r="F17" s="216">
        <f>IF(E17="N/A", " ", IF(C17="N/A", " ",IF(AND(C17=0,E17=0,),"N/A",IF(ABS(C17)=0, "N/A", ((E17-C17)/ABS(C17))*100))))</f>
        <v>-1.1516834402277389</v>
      </c>
      <c r="G17" s="215">
        <f>A042A6_C4 + A042A8_C4</f>
        <v>1641570145</v>
      </c>
      <c r="H17" s="216">
        <f>IF(G17="N/A", " ", IF(E17="N/A", " ",IF(AND(E17=0,G17=0,),"N/A",IF(ABS(E17)=0, "N/A", ((G17-E17)/ABS(E17))*100))))</f>
        <v>8.4521822939740918</v>
      </c>
      <c r="I17" s="215">
        <f>A042A6_C5 + A042A8_C5</f>
        <v>1657026815</v>
      </c>
      <c r="J17" s="216">
        <f>IF(I17="N/A", " ", IF(G17="N/A", " ",IF(AND(G17=0,I17=0,),"N/A",IF(ABS(G17)=0, "N/A",((I17-G17)/ABS(G17))*100))))</f>
        <v>0.94157840571594942</v>
      </c>
      <c r="K17" s="226"/>
    </row>
    <row r="18" spans="1:11" s="101" customFormat="1" ht="13.15" customHeight="1" x14ac:dyDescent="0.2">
      <c r="A18" s="289" t="s">
        <v>798</v>
      </c>
      <c r="B18" s="215">
        <f>A400L2_C1+A400L3_C1</f>
        <v>9669439047</v>
      </c>
      <c r="C18" s="215">
        <f>A400L2_C2+A400L3_C2</f>
        <v>10195855059</v>
      </c>
      <c r="D18" s="216">
        <f>IF(C18="N/A", " ", IF(B18="N/A", " ",IF(AND(B18=0,C18=0,),"N/A",IF(ABS(B18)=0, "N/A", ((C18-B18)/ABS(B18))*100))))</f>
        <v>5.4441215197827191</v>
      </c>
      <c r="E18" s="215">
        <f>A400L2_C3+A400L3_C3</f>
        <v>10116952531</v>
      </c>
      <c r="F18" s="216">
        <f>IF(E18="N/A", " ", IF(C18="N/A", " ",IF(AND(C18=0,E18=0,),"N/A",IF(ABS(C18)=0, "N/A", ((E18-C18)/ABS(C18))*100))))</f>
        <v>-0.77386867058640485</v>
      </c>
      <c r="G18" s="215">
        <f>A400L2_C4+A400L3_C4</f>
        <v>10446605852</v>
      </c>
      <c r="H18" s="216">
        <f>IF(G18="N/A", " ", IF(E18="N/A", " ",IF(AND(E18=0,G18=0,),"N/A",IF(ABS(E18)=0, "N/A", ((G18-E18)/ABS(E18))*100))))</f>
        <v>3.2584251037047789</v>
      </c>
      <c r="I18" s="215">
        <f>A400L2_C5+A400L3_C5</f>
        <v>10586415871</v>
      </c>
      <c r="J18" s="216">
        <f>IF(I18="N/A", " ", IF(G18="N/A", " ",IF(AND(G18=0,I18=0,),"N/A",IF(ABS(G18)=0, "N/A",((I18-G18)/ABS(G18))*100))))</f>
        <v>1.3383296065796664</v>
      </c>
      <c r="K18" s="226"/>
    </row>
    <row r="19" spans="1:11" s="101" customFormat="1" ht="13.15" customHeight="1" x14ac:dyDescent="0.2">
      <c r="A19" s="289" t="s">
        <v>799</v>
      </c>
      <c r="B19" s="215">
        <f>A400C5_C1+A400C7_C1</f>
        <v>516337919</v>
      </c>
      <c r="C19" s="215">
        <f>A400C5_C2+A400C7_C2</f>
        <v>517431823</v>
      </c>
      <c r="D19" s="216">
        <f>IF(C19="N/A", " ", IF(B19="N/A", " ",IF(AND(B19=0,C19=0,),"N/A",IF(ABS(B19)=0, "N/A", ((C19-B19)/ABS(B19))*100))))</f>
        <v>0.21185815717710246</v>
      </c>
      <c r="E19" s="215">
        <f>A400C5_C3+A400C7_C3</f>
        <v>537206631</v>
      </c>
      <c r="F19" s="216">
        <f>IF(E19="N/A", " ", IF(C19="N/A", " ",IF(AND(C19=0,E19=0,),"N/A",IF(ABS(C19)=0, "N/A", ((E19-C19)/ABS(C19))*100))))</f>
        <v>3.8217224223566939</v>
      </c>
      <c r="G19" s="215">
        <f>A400C5_C4+A400C7_C4</f>
        <v>525884297</v>
      </c>
      <c r="H19" s="216">
        <f>IF(G19="N/A", " ", IF(E19="N/A", " ",IF(AND(E19=0,G19=0,),"N/A",IF(ABS(E19)=0, "N/A", ((G19-E19)/ABS(E19))*100))))</f>
        <v>-2.1076310951195238</v>
      </c>
      <c r="I19" s="215">
        <f>A400C5_C5+A400C7_C5</f>
        <v>553947813</v>
      </c>
      <c r="J19" s="216">
        <f>IF(I19="N/A", " ", IF(G19="N/A", " ",IF(AND(G19=0,I19=0,),"N/A",IF(ABS(G19)=0, "N/A",((I19-G19)/ABS(G19))*100))))</f>
        <v>5.3364430465205546</v>
      </c>
      <c r="K19" s="226"/>
    </row>
    <row r="20" spans="1:11" ht="13.15" customHeight="1" x14ac:dyDescent="0.2">
      <c r="A20" s="289" t="s">
        <v>800</v>
      </c>
      <c r="B20" s="76">
        <f>A400C6_C1+A400C8_C1</f>
        <v>517977876</v>
      </c>
      <c r="C20" s="76">
        <f>A400C6_C2+A400C8_C2</f>
        <v>562423907</v>
      </c>
      <c r="D20" s="102">
        <f>IF(C20="N/A", " ", IF(B20="N/A", " ",IF(AND(B20=0,C20=0,),"N/A",IF(ABS(B20)=0, "N/A", ((C20-B20)/ABS(B20))*100))))</f>
        <v>8.5806813494096019</v>
      </c>
      <c r="E20" s="76">
        <f>A400C6_C3+A400C8_C3</f>
        <v>581714688</v>
      </c>
      <c r="F20" s="102">
        <f>IF(E20="N/A", " ", IF(C20="N/A", " ",IF(AND(C20=0,E20=0,),"N/A",IF(ABS(C20)=0, "N/A", ((E20-C20)/ABS(C20))*100))))</f>
        <v>3.4299361673471682</v>
      </c>
      <c r="G20" s="76">
        <f>A400C6_C4+A400C8_C4</f>
        <v>593379162</v>
      </c>
      <c r="H20" s="102">
        <f>IF(G20="N/A", " ", IF(E20="N/A", " ",IF(AND(E20=0,G20=0,),"N/A",IF(ABS(E20)=0, "N/A", ((G20-E20)/ABS(E20))*100))))</f>
        <v>2.0051881516184098</v>
      </c>
      <c r="I20" s="76">
        <f>A400C6_C5+A400C8_C5</f>
        <v>615898554</v>
      </c>
      <c r="J20" s="102">
        <f>IF(I20="N/A", " ", IF(G20="N/A", " ",IF(AND(G20=0,I20=0,),"N/A",IF(ABS(G20)=0, "N/A",((I20-G20)/ABS(G20))*100))))</f>
        <v>3.7951100143284102</v>
      </c>
      <c r="K20" s="83"/>
    </row>
    <row r="21" spans="1:11" ht="13.15" customHeight="1" x14ac:dyDescent="0.2">
      <c r="A21" s="290" t="s">
        <v>801</v>
      </c>
      <c r="B21" s="76">
        <f>A400T1_C1-A718A3_C1-A718A4_C1</f>
        <v>12268811434</v>
      </c>
      <c r="C21" s="76">
        <f>A400T1_C2-A718A3_C2-A718A4_C2</f>
        <v>12806981135</v>
      </c>
      <c r="D21" s="102">
        <f>IF(C21="N/A", " ", IF(B21="N/A", " ",IF(AND(B21=0,C21=0,),"N/A",IF(ABS(B21)=0, "N/A", ((C21-B21)/ABS(B21))*100))))</f>
        <v>4.3864860414155098</v>
      </c>
      <c r="E21" s="76">
        <f>A400T1_C3-A718A3_C3-A718A4_C3</f>
        <v>12749508809</v>
      </c>
      <c r="F21" s="102">
        <f>IF(E21="N/A", " ", IF(C21="N/A", " ",IF(AND(C21=0,E21=0,),"N/A",IF(ABS(C21)=0, "N/A", ((E21-C21)/ABS(C21))*100))))</f>
        <v>-0.44875779384834713</v>
      </c>
      <c r="G21" s="76">
        <f>A400T1_C4-A718A3_C4-A718A4_C4</f>
        <v>13207439456</v>
      </c>
      <c r="H21" s="102">
        <f>IF(G21="N/A", " ", IF(E21="N/A", " ",IF(AND(E21=0,G21=0,),"N/A",IF(ABS(E21)=0, "N/A", ((G21-E21)/ABS(E21))*100))))</f>
        <v>3.5917512890907797</v>
      </c>
      <c r="I21" s="76">
        <f>A400T1_C5-A718A3_C5-A718A4_C5</f>
        <v>13413289053</v>
      </c>
      <c r="J21" s="102">
        <f>IF(I21="N/A", " ", IF(G21="N/A", " ",IF(AND(G21=0,I21=0,),"N/A",IF(ABS(G21)=0, "N/A",((I21-G21)/ABS(G21))*100))))</f>
        <v>1.5585882311690984</v>
      </c>
      <c r="K21" s="83"/>
    </row>
    <row r="22" spans="1:11" ht="13.15" customHeight="1" x14ac:dyDescent="0.2">
      <c r="A22" s="153" t="s">
        <v>802</v>
      </c>
      <c r="B22" s="86"/>
      <c r="C22" s="86"/>
      <c r="D22" s="102"/>
      <c r="E22" s="86"/>
      <c r="F22" s="102"/>
      <c r="G22" s="86"/>
      <c r="H22" s="102"/>
      <c r="I22" s="86"/>
      <c r="J22" s="102"/>
      <c r="K22" s="83"/>
    </row>
    <row r="23" spans="1:11" ht="13.15" customHeight="1" x14ac:dyDescent="0.2">
      <c r="A23" s="124" t="s">
        <v>803</v>
      </c>
      <c r="B23" s="76">
        <f>A400A1_C1</f>
        <v>148634712272</v>
      </c>
      <c r="C23" s="76">
        <f>A400A1_C2</f>
        <v>153597702853</v>
      </c>
      <c r="D23" s="102">
        <f>IF(C23="N/A", " ", IF(B23="N/A", " ",IF(AND(B23=0,C23=0,),"N/A",IF(ABS(B23)=0, "N/A", ((C23-B23)/ABS(B23))*100))))</f>
        <v>3.3390521669781807</v>
      </c>
      <c r="E23" s="76">
        <f>A400A1_C3</f>
        <v>157054576405</v>
      </c>
      <c r="F23" s="102">
        <f>IF(E23="N/A", " ", IF(C23="N/A", " ",IF(AND(C23=0,E23=0,),"N/A",IF(ABS(C23)=0, "N/A", ((E23-C23)/ABS(C23))*100))))</f>
        <v>2.2506023773730428</v>
      </c>
      <c r="G23" s="76">
        <f>A400A1_C4</f>
        <v>161651533591</v>
      </c>
      <c r="H23" s="102">
        <f>IF(G23="N/A", " ", IF(E23="N/A", " ",IF(AND(E23=0,G23=0,),"N/A",IF(ABS(E23)=0, "N/A", ((G23-E23)/ABS(E23))*100))))</f>
        <v>2.9269807293903543</v>
      </c>
      <c r="I23" s="76">
        <f>A400A1_C5</f>
        <v>165953504342</v>
      </c>
      <c r="J23" s="102">
        <f>IF(I23="N/A", " ", IF(G23="N/A", " ",IF(AND(G23=0,I23=0,),"N/A",IF(ABS(G23)=0, "N/A",((I23-G23)/ABS(G23))*100))))</f>
        <v>2.6612619474953831</v>
      </c>
      <c r="K23" s="83"/>
    </row>
    <row r="24" spans="1:11" ht="13.15" customHeight="1" x14ac:dyDescent="0.2">
      <c r="A24" s="127" t="s">
        <v>804</v>
      </c>
      <c r="B24" s="76">
        <f>A400B1_C1</f>
        <v>19750672368</v>
      </c>
      <c r="C24" s="76">
        <f>A400B1_C2</f>
        <v>20381731324</v>
      </c>
      <c r="D24" s="102">
        <f>IF(C24="N/A", " ", IF(B24="N/A", " ",IF(AND(B24=0,C24=0,),"N/A",IF(ABS(B24)=0, "N/A", ((C24-B24)/ABS(B24))*100))))</f>
        <v>3.1951264455302315</v>
      </c>
      <c r="E24" s="76">
        <f>A400B1_C3</f>
        <v>21010792393</v>
      </c>
      <c r="F24" s="102">
        <f>IF(E24="N/A", " ", IF(C24="N/A", " ",IF(AND(C24=0,E24=0,),"N/A",IF(ABS(C24)=0, "N/A", ((E24-C24)/ABS(C24))*100))))</f>
        <v>3.0863966313757891</v>
      </c>
      <c r="G24" s="76">
        <f>A400B1_C4</f>
        <v>21595882512</v>
      </c>
      <c r="H24" s="102">
        <f>IF(G24="N/A", " ", IF(E24="N/A", " ",IF(AND(E24=0,G24=0,),"N/A",IF(ABS(E24)=0, "N/A", ((G24-E24)/ABS(E24))*100))))</f>
        <v>2.7847122947867966</v>
      </c>
      <c r="I24" s="76">
        <f>A400B1_C5</f>
        <v>22037577633</v>
      </c>
      <c r="J24" s="102">
        <f>IF(I24="N/A", " ", IF(G24="N/A", " ",IF(AND(G24=0,I24=0,),"N/A",IF(ABS(G24)=0, "N/A",((I24-G24)/ABS(G24))*100))))</f>
        <v>2.0452746987976389</v>
      </c>
      <c r="K24" s="83"/>
    </row>
    <row r="25" spans="1:11" ht="13.15" customHeight="1" x14ac:dyDescent="0.2">
      <c r="A25" s="93" t="s">
        <v>805</v>
      </c>
      <c r="B25" s="76">
        <f>A400T1_C1</f>
        <v>168385384640</v>
      </c>
      <c r="C25" s="76">
        <f>A400T1_C2</f>
        <v>173979434177</v>
      </c>
      <c r="D25" s="102">
        <f>IF(C25="N/A", " ", IF(B25="N/A", " ",IF(AND(B25=0,C25=0,),"N/A",IF(ABS(B25)=0, "N/A", ((C25-B25)/ABS(B25))*100))))</f>
        <v>3.3221704775386613</v>
      </c>
      <c r="E25" s="76">
        <f>A400T1_C3</f>
        <v>178065368798</v>
      </c>
      <c r="F25" s="102">
        <f>IF(E25="N/A", " ", IF(C25="N/A", " ",IF(AND(C25=0,E25=0,),"N/A",IF(ABS(C25)=0, "N/A", ((E25-C25)/ABS(C25))*100))))</f>
        <v>2.3485158693200066</v>
      </c>
      <c r="G25" s="76">
        <f>A400T1_C4</f>
        <v>183247416103</v>
      </c>
      <c r="H25" s="102">
        <f>IF(G25="N/A", " ", IF(E25="N/A", " ",IF(AND(E25=0,G25=0,),"N/A",IF(ABS(E25)=0, "N/A", ((G25-E25)/ABS(E25))*100))))</f>
        <v>2.9101937900561627</v>
      </c>
      <c r="I25" s="76">
        <f>A400T1_C5</f>
        <v>187991081975</v>
      </c>
      <c r="J25" s="102">
        <f>IF(I25="N/A", " ", IF(G25="N/A", " ",IF(AND(G25=0,I25=0,),"N/A",IF(ABS(G25)=0, "N/A",((I25-G25)/ABS(G25))*100))))</f>
        <v>2.5886672635720398</v>
      </c>
      <c r="K25" s="83"/>
    </row>
    <row r="26" spans="1:11" ht="13.15" customHeight="1" x14ac:dyDescent="0.2">
      <c r="A26" s="288" t="s">
        <v>806</v>
      </c>
      <c r="B26" s="76"/>
      <c r="C26" s="76"/>
      <c r="D26" s="102" t="s">
        <v>217</v>
      </c>
      <c r="E26" s="76"/>
      <c r="F26" s="102" t="s">
        <v>217</v>
      </c>
      <c r="G26" s="76"/>
      <c r="H26" s="102" t="s">
        <v>217</v>
      </c>
      <c r="I26" s="76"/>
      <c r="J26" s="102" t="s">
        <v>217</v>
      </c>
      <c r="K26" s="83"/>
    </row>
    <row r="27" spans="1:11" ht="13.15" customHeight="1" x14ac:dyDescent="0.2">
      <c r="A27" s="144" t="s">
        <v>790</v>
      </c>
      <c r="B27" s="76">
        <f>A143A3_C1+A143A4_C1</f>
        <v>6426</v>
      </c>
      <c r="C27" s="76">
        <f>A143A3_C2+A143A4_C2</f>
        <v>6445</v>
      </c>
      <c r="D27" s="102">
        <f t="shared" ref="D27:D37" si="4">IF(C27="N/A", " ", IF(B27="N/A", " ",IF(AND(B27=0,C27=0,),"N/A",IF(ABS(B27)=0, "N/A", ((C27-B27)/ABS(B27))*100))))</f>
        <v>0.29567382508558981</v>
      </c>
      <c r="E27" s="76">
        <f>A143A3_C3+A143A4_C3</f>
        <v>6361</v>
      </c>
      <c r="F27" s="102">
        <f t="shared" ref="F27:F37" si="5">IF(E27="N/A", " ", IF(C27="N/A", " ",IF(AND(C27=0,E27=0,),"N/A",IF(ABS(C27)=0, "N/A", ((E27-C27)/ABS(C27))*100))))</f>
        <v>-1.3033359193173002</v>
      </c>
      <c r="G27" s="76">
        <f>A143A3_C4+A143A4_C4</f>
        <v>6309</v>
      </c>
      <c r="H27" s="102">
        <f t="shared" ref="H27:H37" si="6">IF(G27="N/A", " ", IF(E27="N/A", " ",IF(AND(E27=0,G27=0,),"N/A",IF(ABS(E27)=0, "N/A", ((G27-E27)/ABS(E27))*100))))</f>
        <v>-0.81748152806162566</v>
      </c>
      <c r="I27" s="76">
        <f>A143A3_C5+A143A4_C5</f>
        <v>6561</v>
      </c>
      <c r="J27" s="102">
        <f t="shared" ref="J27:J37" si="7">IF(I27="N/A", " ", IF(G27="N/A", " ",IF(AND(G27=0,I27=0,),"N/A",IF(ABS(G27)=0, "N/A",((I27-G27)/ABS(G27))*100))))</f>
        <v>3.9942938659058487</v>
      </c>
      <c r="K27" s="83"/>
    </row>
    <row r="28" spans="1:11" ht="13.15" customHeight="1" x14ac:dyDescent="0.2">
      <c r="A28" s="144" t="s">
        <v>807</v>
      </c>
      <c r="B28" s="76">
        <f>A961A5_C1+A961A7_C1</f>
        <v>8241</v>
      </c>
      <c r="C28" s="76">
        <f>A961A5_C2+A961A7_C2</f>
        <v>8230</v>
      </c>
      <c r="D28" s="102">
        <f t="shared" si="4"/>
        <v>-0.13347894672976582</v>
      </c>
      <c r="E28" s="76">
        <f>A961A5_C3+A961A7_C3</f>
        <v>8212</v>
      </c>
      <c r="F28" s="102">
        <f t="shared" si="5"/>
        <v>-0.2187120291616039</v>
      </c>
      <c r="G28" s="76">
        <f>A961A5_C4+A961A7_C4</f>
        <v>8184</v>
      </c>
      <c r="H28" s="102">
        <f t="shared" si="6"/>
        <v>-0.34096444227959083</v>
      </c>
      <c r="I28" s="76">
        <f>A961A5_C5+A961A7_C5</f>
        <v>8356</v>
      </c>
      <c r="J28" s="102">
        <f t="shared" si="7"/>
        <v>2.1016617790811338</v>
      </c>
      <c r="K28" s="83"/>
    </row>
    <row r="29" spans="1:11" ht="13.15" customHeight="1" x14ac:dyDescent="0.2">
      <c r="A29" s="217" t="s">
        <v>792</v>
      </c>
      <c r="B29" s="76">
        <f>A900M_C1+A900M1_C1</f>
        <v>40762</v>
      </c>
      <c r="C29" s="76">
        <f>A900M_C2+A900M1_C2</f>
        <v>41653</v>
      </c>
      <c r="D29" s="102">
        <f t="shared" si="4"/>
        <v>2.1858593788332268</v>
      </c>
      <c r="E29" s="76">
        <f>A900M_C3+A900M1_C3</f>
        <v>42576</v>
      </c>
      <c r="F29" s="102">
        <f t="shared" si="5"/>
        <v>2.2159268239982715</v>
      </c>
      <c r="G29" s="76">
        <f>A900M_C4+A900M1_C4</f>
        <v>43251</v>
      </c>
      <c r="H29" s="102">
        <f t="shared" si="6"/>
        <v>1.5854002254791433</v>
      </c>
      <c r="I29" s="76">
        <f>A900M_C5+A900M1_C5</f>
        <v>43932</v>
      </c>
      <c r="J29" s="102">
        <f t="shared" si="7"/>
        <v>1.5745300686689323</v>
      </c>
      <c r="K29" s="83"/>
    </row>
    <row r="30" spans="1:11" ht="13.15" customHeight="1" x14ac:dyDescent="0.2">
      <c r="A30" s="144" t="s">
        <v>793</v>
      </c>
      <c r="B30" s="76">
        <f>A900H2_C1+A900H3_C1</f>
        <v>49095</v>
      </c>
      <c r="C30" s="76">
        <f>A900H2_C2+A900H3_C2</f>
        <v>49632</v>
      </c>
      <c r="D30" s="102">
        <f t="shared" si="4"/>
        <v>1.0937977390772993</v>
      </c>
      <c r="E30" s="76">
        <f>A900H2_C3+A900H3_C3</f>
        <v>50046</v>
      </c>
      <c r="F30" s="102">
        <f t="shared" si="5"/>
        <v>0.83413926499032887</v>
      </c>
      <c r="G30" s="76">
        <f>A900H2_C4+A900H3_C4</f>
        <v>50749</v>
      </c>
      <c r="H30" s="102">
        <f t="shared" si="6"/>
        <v>1.404707668944571</v>
      </c>
      <c r="I30" s="76">
        <f>A900H2_C5+A900H3_C5</f>
        <v>51714</v>
      </c>
      <c r="J30" s="102">
        <f t="shared" si="7"/>
        <v>1.9015153007941044</v>
      </c>
      <c r="K30" s="83"/>
    </row>
    <row r="31" spans="1:11" ht="13.15" customHeight="1" x14ac:dyDescent="0.2">
      <c r="A31" s="144" t="s">
        <v>794</v>
      </c>
      <c r="B31" s="76">
        <f>A900J2_C1+A900J3_C1</f>
        <v>62657</v>
      </c>
      <c r="C31" s="76">
        <f>A900J2_C2+A900J3_C2</f>
        <v>63810</v>
      </c>
      <c r="D31" s="102">
        <f t="shared" si="4"/>
        <v>1.8401774741848478</v>
      </c>
      <c r="E31" s="76">
        <f>A900J2_C3+A900J3_C3</f>
        <v>64482</v>
      </c>
      <c r="F31" s="102">
        <f t="shared" si="5"/>
        <v>1.0531264692054538</v>
      </c>
      <c r="G31" s="76">
        <f>A900J2_C4+A900J3_C4</f>
        <v>65981</v>
      </c>
      <c r="H31" s="102">
        <f t="shared" si="6"/>
        <v>2.3246797555907075</v>
      </c>
      <c r="I31" s="76">
        <f>A900J2_C5+A900J3_C5</f>
        <v>66853</v>
      </c>
      <c r="J31" s="102">
        <f t="shared" si="7"/>
        <v>1.3215925796820298</v>
      </c>
      <c r="K31" s="83"/>
    </row>
    <row r="32" spans="1:11" ht="13.15" customHeight="1" x14ac:dyDescent="0.2">
      <c r="A32" s="153" t="s">
        <v>808</v>
      </c>
      <c r="B32" s="76">
        <f>A900K2_C1+A900K3_C1</f>
        <v>167181</v>
      </c>
      <c r="C32" s="76">
        <f>A900K2_C2+A900K3_C2</f>
        <v>169770</v>
      </c>
      <c r="D32" s="102">
        <f t="shared" si="4"/>
        <v>1.5486209557306154</v>
      </c>
      <c r="E32" s="76">
        <f>A900K2_C3+A900K3_C3</f>
        <v>171677</v>
      </c>
      <c r="F32" s="102">
        <f t="shared" si="5"/>
        <v>1.1232844436590681</v>
      </c>
      <c r="G32" s="76">
        <f>A900K2_C4+A900K3_C4</f>
        <v>174474</v>
      </c>
      <c r="H32" s="102">
        <f t="shared" si="6"/>
        <v>1.6292223186565469</v>
      </c>
      <c r="I32" s="76">
        <f>A900K2_C5+A900K3_C5</f>
        <v>177416</v>
      </c>
      <c r="J32" s="102">
        <f t="shared" si="7"/>
        <v>1.6862111260130448</v>
      </c>
      <c r="K32" s="83"/>
    </row>
    <row r="33" spans="1:11" ht="13.15" customHeight="1" x14ac:dyDescent="0.2">
      <c r="A33" s="124" t="s">
        <v>797</v>
      </c>
      <c r="B33" s="76">
        <f>A961A6_C1+A961A8_C1</f>
        <v>11798</v>
      </c>
      <c r="C33" s="76">
        <f>A961A6_C2+A961A8_C2</f>
        <v>11433</v>
      </c>
      <c r="D33" s="102">
        <f t="shared" si="4"/>
        <v>-3.0937447024919478</v>
      </c>
      <c r="E33" s="76">
        <f>A961A6_C3+A961A8_C3</f>
        <v>11181</v>
      </c>
      <c r="F33" s="102">
        <f t="shared" si="5"/>
        <v>-2.2041458934662819</v>
      </c>
      <c r="G33" s="76">
        <f>A961A6_C4+A961A8_C4</f>
        <v>11574</v>
      </c>
      <c r="H33" s="102">
        <f t="shared" si="6"/>
        <v>3.5148913335122081</v>
      </c>
      <c r="I33" s="76">
        <f>A961A6_C5+A961A8_C5</f>
        <v>11460</v>
      </c>
      <c r="J33" s="102">
        <f t="shared" si="7"/>
        <v>-0.98496630378434413</v>
      </c>
      <c r="K33" s="83"/>
    </row>
    <row r="34" spans="1:11" ht="13.15" customHeight="1" x14ac:dyDescent="0.2">
      <c r="A34" s="124" t="s">
        <v>798</v>
      </c>
      <c r="B34" s="76">
        <f>A900L2_C1+A900L3_C1</f>
        <v>76947</v>
      </c>
      <c r="C34" s="76">
        <f>A900L2_C2+A900L3_C2</f>
        <v>77503</v>
      </c>
      <c r="D34" s="102">
        <f t="shared" si="4"/>
        <v>0.72257527908820351</v>
      </c>
      <c r="E34" s="76">
        <f>A900L2_C3+A900L3_C3</f>
        <v>77849</v>
      </c>
      <c r="F34" s="102">
        <f t="shared" si="5"/>
        <v>0.4464343315742616</v>
      </c>
      <c r="G34" s="76">
        <f>A900L2_C4+A900L3_C4</f>
        <v>79922</v>
      </c>
      <c r="H34" s="102">
        <f t="shared" si="6"/>
        <v>2.6628473069660497</v>
      </c>
      <c r="I34" s="76">
        <f>A900L2_C5+A900L3_C5</f>
        <v>79533</v>
      </c>
      <c r="J34" s="102">
        <f t="shared" si="7"/>
        <v>-0.48672455644253149</v>
      </c>
      <c r="K34" s="83"/>
    </row>
    <row r="35" spans="1:11" ht="13.15" customHeight="1" x14ac:dyDescent="0.2">
      <c r="A35" s="124" t="s">
        <v>799</v>
      </c>
      <c r="B35" s="76">
        <f>A900C5_C1+A900C7_C1</f>
        <v>11563</v>
      </c>
      <c r="C35" s="76">
        <f>A900C5_C2+A900C7_C2</f>
        <v>11062</v>
      </c>
      <c r="D35" s="102">
        <f t="shared" si="4"/>
        <v>-4.3327856092709505</v>
      </c>
      <c r="E35" s="76">
        <f>A900C5_C3+A900C7_C3</f>
        <v>10872</v>
      </c>
      <c r="F35" s="102">
        <f t="shared" si="5"/>
        <v>-1.7175917555595732</v>
      </c>
      <c r="G35" s="76">
        <f>A900C5_C4+A900C7_C4</f>
        <v>11157</v>
      </c>
      <c r="H35" s="102">
        <f t="shared" si="6"/>
        <v>2.6214128035320088</v>
      </c>
      <c r="I35" s="76">
        <f>A900C5_C5+A900C7_C5</f>
        <v>11516</v>
      </c>
      <c r="J35" s="102">
        <f t="shared" si="7"/>
        <v>3.2177108541722683</v>
      </c>
      <c r="K35" s="83"/>
    </row>
    <row r="36" spans="1:11" ht="13.15" customHeight="1" x14ac:dyDescent="0.2">
      <c r="A36" s="291" t="s">
        <v>800</v>
      </c>
      <c r="B36" s="76">
        <f>A900C6_C1+A900C8_C1</f>
        <v>47352</v>
      </c>
      <c r="C36" s="76">
        <f>A900C6_C2+A900C8_C2</f>
        <v>48719</v>
      </c>
      <c r="D36" s="102">
        <f t="shared" si="4"/>
        <v>2.8868896773103567</v>
      </c>
      <c r="E36" s="76">
        <f>A900C6_C3+A900C8_C3</f>
        <v>68294</v>
      </c>
      <c r="F36" s="102">
        <f t="shared" si="5"/>
        <v>40.179396128820379</v>
      </c>
      <c r="G36" s="76">
        <f>A900C6_C4+A900C8_C4</f>
        <v>67640</v>
      </c>
      <c r="H36" s="102">
        <f t="shared" si="6"/>
        <v>-0.95762438867250421</v>
      </c>
      <c r="I36" s="76">
        <f>A900C6_C5+A900C8_C5</f>
        <v>62690</v>
      </c>
      <c r="J36" s="102">
        <f t="shared" si="7"/>
        <v>-7.3181549379065638</v>
      </c>
      <c r="K36" s="83"/>
    </row>
    <row r="37" spans="1:11" ht="13.15" customHeight="1" x14ac:dyDescent="0.2">
      <c r="A37" s="290" t="s">
        <v>809</v>
      </c>
      <c r="B37" s="76">
        <f>A900T1_C1-A900K2_C1-A900K3_C1</f>
        <v>147660</v>
      </c>
      <c r="C37" s="76">
        <f>A900T1_C2-A900K2_C2-A900K3_C2</f>
        <v>148717</v>
      </c>
      <c r="D37" s="102">
        <f t="shared" si="4"/>
        <v>0.71583367194907221</v>
      </c>
      <c r="E37" s="76">
        <f>A900T1_C3-A900K2_C3-A900K3_C3</f>
        <v>168196</v>
      </c>
      <c r="F37" s="102">
        <f t="shared" si="5"/>
        <v>13.098031832272033</v>
      </c>
      <c r="G37" s="76">
        <f>A900T1_C4-A900K2_C4-A900K3_C4</f>
        <v>170293</v>
      </c>
      <c r="H37" s="102">
        <f t="shared" si="6"/>
        <v>1.2467597326928108</v>
      </c>
      <c r="I37" s="76">
        <f>A900T1_C5-A900K2_C5-A900K3_C5</f>
        <v>165199</v>
      </c>
      <c r="J37" s="102">
        <f t="shared" si="7"/>
        <v>-2.9913149689065315</v>
      </c>
      <c r="K37" s="83"/>
    </row>
    <row r="38" spans="1:11" ht="13.15" customHeight="1" x14ac:dyDescent="0.2">
      <c r="A38" s="153" t="s">
        <v>810</v>
      </c>
      <c r="B38" s="131"/>
      <c r="C38" s="131"/>
      <c r="D38" s="102"/>
      <c r="E38" s="131"/>
      <c r="F38" s="102"/>
      <c r="G38" s="131"/>
      <c r="H38" s="102"/>
      <c r="I38" s="131"/>
      <c r="J38" s="102"/>
      <c r="K38" s="83"/>
    </row>
    <row r="39" spans="1:11" ht="13.15" customHeight="1" x14ac:dyDescent="0.2">
      <c r="A39" s="144" t="s">
        <v>811</v>
      </c>
      <c r="B39" s="76">
        <f>A900A1_C1</f>
        <v>282408</v>
      </c>
      <c r="C39" s="76">
        <f>A900A1_C2</f>
        <v>285824</v>
      </c>
      <c r="D39" s="102">
        <f>IF(C39="N/A", " ", IF(B39="N/A", " ",IF(AND(B39=0,C39=0,),"N/A",IF(ABS(B39)=0, "N/A", ((C39-B39)/ABS(B39))*100))))</f>
        <v>1.2095974618282768</v>
      </c>
      <c r="E39" s="76">
        <f>A900A1_C3</f>
        <v>306705</v>
      </c>
      <c r="F39" s="102">
        <f>IF(E39="N/A", " ", IF(C39="N/A", " ",IF(AND(C39=0,E39=0,),"N/A",IF(ABS(C39)=0, "N/A", ((E39-C39)/ABS(C39))*100))))</f>
        <v>7.3055446708463947</v>
      </c>
      <c r="G39" s="76">
        <f>A900A1_C4</f>
        <v>310960</v>
      </c>
      <c r="H39" s="102">
        <f>IF(G39="N/A", " ", IF(E39="N/A", " ",IF(AND(E39=0,G39=0,),"N/A",IF(ABS(E39)=0, "N/A", ((G39-E39)/ABS(E39))*100))))</f>
        <v>1.3873265841769777</v>
      </c>
      <c r="I39" s="76">
        <f>A900A1_C5</f>
        <v>308474</v>
      </c>
      <c r="J39" s="102">
        <f>IF(I39="N/A", " ", IF(G39="N/A", " ",IF(AND(G39=0,I39=0,),"N/A",IF(ABS(G39)=0, "N/A",((I39-G39)/ABS(G39))*100))))</f>
        <v>-0.79945973758682787</v>
      </c>
      <c r="K39" s="83"/>
    </row>
    <row r="40" spans="1:11" s="101" customFormat="1" ht="26.45" customHeight="1" x14ac:dyDescent="0.2">
      <c r="A40" s="217" t="s">
        <v>812</v>
      </c>
      <c r="B40" s="215">
        <f>A900B1_C1</f>
        <v>32433</v>
      </c>
      <c r="C40" s="215">
        <f>A900B1_C2</f>
        <v>32663</v>
      </c>
      <c r="D40" s="216">
        <f>IF(C40="N/A", " ", IF(B40="N/A", " ",IF(AND(B40=0,C40=0,),"N/A",IF(ABS(B40)=0, "N/A", ((C40-B40)/ABS(B40))*100))))</f>
        <v>0.70915425646717856</v>
      </c>
      <c r="E40" s="215">
        <f>A900B1_C3</f>
        <v>33168</v>
      </c>
      <c r="F40" s="216">
        <f>IF(E40="N/A", " ", IF(C40="N/A", " ",IF(AND(C40=0,E40=0,),"N/A",IF(ABS(C40)=0, "N/A", ((E40-C40)/ABS(C40))*100))))</f>
        <v>1.5460919082754188</v>
      </c>
      <c r="G40" s="215">
        <f>A900B1_C4</f>
        <v>33807</v>
      </c>
      <c r="H40" s="216">
        <f>IF(G40="N/A", " ", IF(E40="N/A", " ",IF(AND(E40=0,G40=0,),"N/A",IF(ABS(E40)=0, "N/A", ((G40-E40)/ABS(E40))*100))))</f>
        <v>1.9265557163531115</v>
      </c>
      <c r="I40" s="215">
        <f>A900B1_C5</f>
        <v>34141</v>
      </c>
      <c r="J40" s="216">
        <f>IF(I40="N/A", " ", IF(G40="N/A", " ",IF(AND(G40=0,I40=0,),"N/A",IF(ABS(G40)=0, "N/A",((I40-G40)/ABS(G40))*100))))</f>
        <v>0.98796107315053094</v>
      </c>
      <c r="K40" s="226"/>
    </row>
    <row r="41" spans="1:11" s="101" customFormat="1" ht="13.15" customHeight="1" x14ac:dyDescent="0.2">
      <c r="A41" s="288" t="s">
        <v>813</v>
      </c>
      <c r="B41" s="215">
        <f>A900T1_C1</f>
        <v>314841</v>
      </c>
      <c r="C41" s="215">
        <f>A900T1_C2</f>
        <v>318487</v>
      </c>
      <c r="D41" s="216">
        <f>IF(C41="N/A", " ", IF(B41="N/A", " ",IF(AND(B41=0,C41=0,),"N/A",IF(ABS(B41)=0, "N/A", ((C41-B41)/ABS(B41))*100))))</f>
        <v>1.1580448543868174</v>
      </c>
      <c r="E41" s="215">
        <f>A900T1_C3</f>
        <v>339873</v>
      </c>
      <c r="F41" s="216">
        <f>IF(E41="N/A", " ", IF(C41="N/A", " ",IF(AND(C41=0,E41=0,),"N/A",IF(ABS(C41)=0, "N/A", ((E41-C41)/ABS(C41))*100))))</f>
        <v>6.7148737625083594</v>
      </c>
      <c r="G41" s="215">
        <f>A900T1_C4</f>
        <v>344767</v>
      </c>
      <c r="H41" s="216">
        <f>IF(G41="N/A", " ", IF(E41="N/A", " ",IF(AND(E41=0,G41=0,),"N/A",IF(ABS(E41)=0, "N/A", ((G41-E41)/ABS(E41))*100))))</f>
        <v>1.4399496282434909</v>
      </c>
      <c r="I41" s="215">
        <f>A900T1_C5</f>
        <v>342615</v>
      </c>
      <c r="J41" s="216">
        <f>IF(I41="N/A", " ", IF(G41="N/A", " ",IF(AND(G41=0,I41=0,),"N/A",IF(ABS(G41)=0, "N/A",((I41-G41)/ABS(G41))*100))))</f>
        <v>-0.62418967012504101</v>
      </c>
      <c r="K41" s="226"/>
    </row>
    <row r="42" spans="1:11" ht="13.15" customHeight="1" x14ac:dyDescent="0.2">
      <c r="A42" s="93" t="s">
        <v>814</v>
      </c>
      <c r="B42" s="76">
        <f>A400T1_C1</f>
        <v>168385384640</v>
      </c>
      <c r="C42" s="76">
        <f>A400T1_C2</f>
        <v>173979434177</v>
      </c>
      <c r="D42" s="102">
        <f>IF(C42="N/A", " ", IF(B42="N/A", " ",IF(AND(B42=0,C42=0,),"N/A",IF(ABS(B42)=0, "N/A", ((C42-B42)/ABS(B42))*100))))</f>
        <v>3.3221704775386613</v>
      </c>
      <c r="E42" s="76">
        <f>A400T1_C3</f>
        <v>178065368798</v>
      </c>
      <c r="F42" s="102">
        <f>IF(E42="N/A", " ", IF(C42="N/A", " ",IF(AND(C42=0,E42=0,),"N/A",IF(ABS(C42)=0, "N/A", ((E42-C42)/ABS(C42))*100))))</f>
        <v>2.3485158693200066</v>
      </c>
      <c r="G42" s="76">
        <f>A400T1_C4</f>
        <v>183247416103</v>
      </c>
      <c r="H42" s="102">
        <f>IF(G42="N/A", " ", IF(E42="N/A", " ",IF(AND(E42=0,G42=0,),"N/A",IF(ABS(E42)=0, "N/A", ((G42-E42)/ABS(E42))*100))))</f>
        <v>2.9101937900561627</v>
      </c>
      <c r="I42" s="76">
        <f>A400T1_C5</f>
        <v>187991081975</v>
      </c>
      <c r="J42" s="102">
        <f>IF(I42="N/A", " ", IF(G42="N/A", " ",IF(AND(G42=0,I42=0,),"N/A",IF(ABS(G42)=0, "N/A",((I42-G42)/ABS(G42))*100))))</f>
        <v>2.5886672635720398</v>
      </c>
      <c r="K42" s="83"/>
    </row>
    <row r="43" spans="1:11" ht="13.15" customHeight="1" x14ac:dyDescent="0.2">
      <c r="A43" s="93" t="s">
        <v>815</v>
      </c>
      <c r="B43" s="131">
        <f>IF(A010_C1=0,0,(A400T1_C1/A010_C1)*100)</f>
        <v>7.2847880924338764</v>
      </c>
      <c r="C43" s="131">
        <f>IF(A010_C2=0,0,(A400T1_C2/A010_C2)*100)</f>
        <v>7.540031677583273</v>
      </c>
      <c r="D43" s="102">
        <f>IF(C43="N/A", " ", IF(B43="N/A", " ",IF(AND(B43=0,C43=0,),"N/A",IF(ABS(B43)=0, "N/A", ((C43-B43)/ABS(B43))*100))))</f>
        <v>3.5037887432099444</v>
      </c>
      <c r="E43" s="131">
        <f>IF(A010_C3=0,0,(A400T1_C3/A010_C3)*100)</f>
        <v>7.5221606458048953</v>
      </c>
      <c r="F43" s="102">
        <f>IF(E43="N/A", " ", IF(C43="N/A", " ",IF(AND(C43=0,E43=0,),"N/A",IF(ABS(C43)=0, "N/A", ((E43-C43)/ABS(C43))*100))))</f>
        <v>-0.23701534081758249</v>
      </c>
      <c r="G43" s="131">
        <f>IF(A010_C4=0,0,(A400T1_C4/A010_C4)*100)</f>
        <v>7.702800908677859</v>
      </c>
      <c r="H43" s="102">
        <f>IF(G43="N/A", " ", IF(E43="N/A", " ",IF(AND(E43=0,G43=0,),"N/A",IF(ABS(E43)=0, "N/A", ((G43-E43)/ABS(E43))*100))))</f>
        <v>2.4014411733376995</v>
      </c>
      <c r="I43" s="131">
        <f>IF(A010_C5=0,0,(A400T1_C5/A010_C5)*100)</f>
        <v>7.840280835750586</v>
      </c>
      <c r="J43" s="102">
        <f>IF(I43="N/A", " ", IF(G43="N/A", " ",IF(AND(G43=0,I43=0,),"N/A",IF(ABS(G43)=0, "N/A",((I43-G43)/ABS(G43))*100))))</f>
        <v>1.7848043679519761</v>
      </c>
      <c r="K43" s="83"/>
    </row>
    <row r="44" spans="1:11" ht="13.15" customHeight="1" x14ac:dyDescent="0.2">
      <c r="A44" s="93" t="s">
        <v>816</v>
      </c>
      <c r="B44" s="76"/>
      <c r="C44" s="76"/>
      <c r="D44" s="102"/>
      <c r="E44" s="76"/>
      <c r="F44" s="102"/>
      <c r="G44" s="76"/>
      <c r="H44" s="102"/>
      <c r="I44" s="76"/>
      <c r="J44" s="102"/>
      <c r="K44" s="83"/>
    </row>
    <row r="45" spans="1:11" ht="13.15" customHeight="1" x14ac:dyDescent="0.2">
      <c r="A45" s="144" t="s">
        <v>817</v>
      </c>
      <c r="B45" s="76">
        <f>A475A1_C1</f>
        <v>23541858088</v>
      </c>
      <c r="C45" s="76">
        <f>A475A1_C2</f>
        <v>34166022296</v>
      </c>
      <c r="D45" s="102">
        <f>IF(C45="N/A", " ", IF(B45="N/A", " ",IF(AND(B45=0,C45=0,),"N/A",IF(ABS(B45)=0, "N/A", ((C45*Anu_C2-B45*Anu_C1)/ABS(B45*Anu_C1))*100))))</f>
        <v>8.8466196092720288</v>
      </c>
      <c r="E45" s="76">
        <f>A475A1_C3</f>
        <v>9200282080</v>
      </c>
      <c r="F45" s="102">
        <f>IF(E45="N/A", " ", IF(C45="N/A", " ",IF(AND(C45=0,E45=0,),"N/A",IF(ABS(C45)=0, "N/A", ((E45*Anu_C3-C45*Anu_C2)/ABS(C45*Anu_C2))*100))))</f>
        <v>7.7126508938340947</v>
      </c>
      <c r="G45" s="76">
        <f>A475A1_C4</f>
        <v>20250240665</v>
      </c>
      <c r="H45" s="102">
        <f>IF(G45="N/A", " ", IF(E45="N/A", " ",IF(AND(E45=0,G45=0,),"N/A",IF(ABS(E45)=0, "N/A", ((G45*Anu_C4-E45*Anu_C3)/ABS(E45*Anu_C3))*100))))</f>
        <v>10.052281489395378</v>
      </c>
      <c r="I45" s="76">
        <f>A475A1_C5</f>
        <v>30911075150</v>
      </c>
      <c r="J45" s="102">
        <f>IF(I45="N/A", " ", IF(G45="N/A", " ",IF(AND(G45=0,I45=0,),"N/A",IF(ABS(G45)=0, "N/A",((I45*Anu_C5-G45*Anu_C4)/ABS(G45*Anu_C4))*100))))</f>
        <v>1.7636470313689085</v>
      </c>
      <c r="K45" s="83"/>
    </row>
    <row r="46" spans="1:11" ht="13.15" customHeight="1" x14ac:dyDescent="0.2">
      <c r="A46" s="144" t="s">
        <v>818</v>
      </c>
      <c r="B46" s="76">
        <f>A475B1_C1</f>
        <v>2062832015</v>
      </c>
      <c r="C46" s="76">
        <f>A475B1_C2</f>
        <v>3367571193</v>
      </c>
      <c r="D46" s="102">
        <f>IF(C46="N/A", " ", IF(B46="N/A", " ",IF(AND(B46=0,C46=0,),"N/A",IF(ABS(B46)=0, "N/A", ((C46*Anu_C2-B46*Anu_C1)/ABS(B46*Anu_C1))*100))))</f>
        <v>22.437424685305757</v>
      </c>
      <c r="E46" s="76">
        <f>A475B1_C3</f>
        <v>1073712170</v>
      </c>
      <c r="F46" s="102">
        <f>IF(E46="N/A", " ", IF(C46="N/A", " ",IF(AND(C46=0,E46=0,),"N/A",IF(ABS(C46)=0, "N/A", ((E46*Anu_C3-C46*Anu_C2)/ABS(C46*Anu_C2))*100))))</f>
        <v>27.535497658593972</v>
      </c>
      <c r="G46" s="76">
        <f>A475B1_C4</f>
        <v>2231773112</v>
      </c>
      <c r="H46" s="102">
        <f>IF(G46="N/A", " ", IF(E46="N/A", " ",IF(AND(E46=0,G46=0,),"N/A",IF(ABS(E46)=0, "N/A", ((G46*Anu_C4-E46*Anu_C3)/ABS(E46*Anu_C3))*100))))</f>
        <v>3.9279042538932938</v>
      </c>
      <c r="I46" s="76">
        <f>A475B1_C5</f>
        <v>3349888191</v>
      </c>
      <c r="J46" s="102">
        <f>IF(I46="N/A", " ", IF(G46="N/A", " ",IF(AND(G46=0,I46=0,),"N/A",IF(ABS(G46)=0, "N/A",((I46*Anu_C5-G46*Anu_C4)/ABS(G46*Anu_C4))*100))))</f>
        <v>6.6569580573027351E-2</v>
      </c>
      <c r="K46" s="83"/>
    </row>
    <row r="47" spans="1:11" ht="13.15" customHeight="1" x14ac:dyDescent="0.2">
      <c r="A47" s="153" t="s">
        <v>819</v>
      </c>
      <c r="B47" s="76"/>
      <c r="C47" s="76"/>
      <c r="D47" s="102"/>
      <c r="E47" s="76"/>
      <c r="F47" s="102"/>
      <c r="G47" s="76"/>
      <c r="H47" s="102"/>
      <c r="I47" s="76"/>
      <c r="J47" s="102"/>
      <c r="K47" s="83"/>
    </row>
    <row r="48" spans="1:11" ht="13.15" customHeight="1" x14ac:dyDescent="0.2">
      <c r="A48" s="144" t="s">
        <v>820</v>
      </c>
      <c r="B48" s="76">
        <f>A042A9_C1</f>
        <v>3909030680</v>
      </c>
      <c r="C48" s="76">
        <f>A042A9_C2</f>
        <v>3896070866</v>
      </c>
      <c r="D48" s="102">
        <f>IF(C48="N/A", " ", IF(B48="N/A", " ",IF(AND(B48=0,C48=0,),"N/A",IF(ABS(B48)=0, "N/A", ((C48-B48)/ABS(B48))*100))))</f>
        <v>-0.33153523369123317</v>
      </c>
      <c r="E48" s="76">
        <f>A042A9_C3</f>
        <v>3897040562</v>
      </c>
      <c r="F48" s="102">
        <f>IF(E48="N/A", " ", IF(C48="N/A", " ",IF(AND(C48=0,E48=0,),"N/A",IF(ABS(C48)=0, "N/A", ((E48-C48)/ABS(C48))*100))))</f>
        <v>2.488907500277486E-2</v>
      </c>
      <c r="G48" s="76">
        <f>A042A9_C4</f>
        <v>4061704516</v>
      </c>
      <c r="H48" s="102">
        <f>IF(G48="N/A", " ", IF(E48="N/A", " ",IF(AND(E48=0,G48=0,),"N/A",IF(ABS(E48)=0, "N/A", ((G48-E48)/ABS(E48))*100))))</f>
        <v>4.2253589969177234</v>
      </c>
      <c r="I48" s="76">
        <f>A042A9_C5</f>
        <v>4137915151</v>
      </c>
      <c r="J48" s="102">
        <f>IF(I48="N/A", " ", IF(G48="N/A", " ",IF(AND(G48=0,I48=0,),"N/A",IF(ABS(G48)=0, "N/A",((I48-G48)/ABS(G48))*100))))</f>
        <v>1.876321497533574</v>
      </c>
      <c r="K48" s="83"/>
    </row>
    <row r="49" spans="1:11" ht="13.15" customHeight="1" x14ac:dyDescent="0.2">
      <c r="A49" s="144" t="s">
        <v>821</v>
      </c>
      <c r="B49" s="76">
        <f>A961A9_C1</f>
        <v>20039</v>
      </c>
      <c r="C49" s="76">
        <f>A961A9_C2</f>
        <v>19663</v>
      </c>
      <c r="D49" s="102">
        <f>IF(C49="N/A", " ", IF(B49="N/A", " ",IF(AND(B49=0,C49=0,),"N/A",IF(ABS(B49)=0, "N/A", ((C49-B49)/ABS(B49))*100))))</f>
        <v>-1.8763411347871648</v>
      </c>
      <c r="E49" s="76">
        <f>A961A9_C3</f>
        <v>19393</v>
      </c>
      <c r="F49" s="102">
        <f>IF(E49="N/A", " ", IF(C49="N/A", " ",IF(AND(C49=0,E49=0,),"N/A",IF(ABS(C49)=0, "N/A", ((E49-C49)/ABS(C49))*100))))</f>
        <v>-1.3731373645933989</v>
      </c>
      <c r="G49" s="76">
        <f>A961A9_C4</f>
        <v>19758</v>
      </c>
      <c r="H49" s="102">
        <f>IF(G49="N/A", " ", IF(E49="N/A", " ",IF(AND(E49=0,G49=0,),"N/A",IF(ABS(E49)=0, "N/A", ((G49-E49)/ABS(E49))*100))))</f>
        <v>1.8821224153044915</v>
      </c>
      <c r="I49" s="76">
        <f>A961A9_C5</f>
        <v>19816</v>
      </c>
      <c r="J49" s="102">
        <f>IF(I49="N/A", " ", IF(G49="N/A", " ",IF(AND(G49=0,I49=0,),"N/A",IF(ABS(G49)=0, "N/A",((I49-G49)/ABS(G49))*100))))</f>
        <v>0.29355197894523738</v>
      </c>
      <c r="K49" s="83"/>
    </row>
    <row r="50" spans="1:11" ht="25.9" customHeight="1" x14ac:dyDescent="0.2">
      <c r="A50" s="144" t="s">
        <v>822</v>
      </c>
      <c r="B50" s="76">
        <f>A1061_C1+A1062_C1</f>
        <v>13135734738</v>
      </c>
      <c r="C50" s="76">
        <f>A1061_C2+A1062_C2</f>
        <v>13455888910</v>
      </c>
      <c r="D50" s="102">
        <f>IF(C50="N/A", " ", IF(B50="N/A", " ",IF(AND(B50=0,C50=0,),"N/A",IF(ABS(B50)=0, "N/A", ((C50*Anu_C2-B50*Anu_C1)/ABS(B50*Anu_C1))*100))))</f>
        <v>-23.17204264710541</v>
      </c>
      <c r="E50" s="76">
        <f>A1061_C3+A1062_C3</f>
        <v>13639447984</v>
      </c>
      <c r="F50" s="102">
        <f>IF(E50="N/A", " ", IF(C50="N/A", " ",IF(AND(C50=0,E50=0,),"N/A",IF(ABS(C50)=0, "N/A", ((E50*Anu_C3-C50*Anu_C2)/ABS(C50*Anu_C2))*100))))</f>
        <v>305.45661680852862</v>
      </c>
      <c r="G50" s="76">
        <f>A1061_C4+A1062_C4</f>
        <v>14037610931</v>
      </c>
      <c r="H50" s="102">
        <f>IF(G50="N/A", " ", IF(E50="N/A", " ",IF(AND(E50=0,G50=0,),"N/A",IF(ABS(E50)=0, "N/A", ((G50*Anu_C4-E50*Anu_C3)/ABS(E50*Anu_C3))*100))))</f>
        <v>-48.540399334829857</v>
      </c>
      <c r="I50" s="76">
        <f>A1061_C5+A1062_C5</f>
        <v>14121578795</v>
      </c>
      <c r="J50" s="102">
        <f>IF(I50="N/A", " ", IF(G50="N/A", " ",IF(AND(G50=0,I50=0,),"N/A",IF(ABS(G50)=0, "N/A",((I50*Anu_C5-G50*Anu_C4)/ABS(G50*Anu_C4))*100))))</f>
        <v>-32.934557670756888</v>
      </c>
      <c r="K50" s="83"/>
    </row>
    <row r="51" spans="1:11" ht="13.15" customHeight="1" x14ac:dyDescent="0.2">
      <c r="A51" s="144" t="s">
        <v>823</v>
      </c>
      <c r="B51" s="76">
        <f>A1063_C1</f>
        <v>193221650</v>
      </c>
      <c r="C51" s="76">
        <f>A1063_C2</f>
        <v>299698386</v>
      </c>
      <c r="D51" s="102">
        <f>IF(C51="N/A", " ", IF(B51="N/A", " ",IF(AND(B51=0,C51=0,),"N/A",IF(ABS(B51)=0, "N/A", ((C51-B51)/ABS(B51))*100))))</f>
        <v>55.106007013189263</v>
      </c>
      <c r="E51" s="76">
        <f>A1063_C3</f>
        <v>98483267</v>
      </c>
      <c r="F51" s="102">
        <f>IF(E51="N/A", " ", IF(C51="N/A", " ",IF(AND(C51=0,E51=0,),"N/A",IF(ABS(C51)=0, "N/A", ((E51-C51)/ABS(C51))*100))))</f>
        <v>-67.139206749014662</v>
      </c>
      <c r="G51" s="76">
        <f>A1063_C4</f>
        <v>163172108</v>
      </c>
      <c r="H51" s="102">
        <f>IF(G51="N/A", " ", IF(E51="N/A", " ",IF(AND(E51=0,G51=0,),"N/A",IF(ABS(E51)=0, "N/A", ((G51-E51)/ABS(E51))*100))))</f>
        <v>65.685108720042763</v>
      </c>
      <c r="I51" s="76">
        <f>A1063_C5</f>
        <v>264071581</v>
      </c>
      <c r="J51" s="102">
        <f>IF(I51="N/A", " ", IF(G51="N/A", " ",IF(AND(G51=0,I51=0,),"N/A",IF(ABS(G51)=0, "N/A",((I51-G51)/ABS(G51))*100))))</f>
        <v>61.836225710830426</v>
      </c>
      <c r="K51" s="83"/>
    </row>
    <row r="52" spans="1:11" ht="13.15" customHeight="1" x14ac:dyDescent="0.2">
      <c r="A52" s="153" t="s">
        <v>824</v>
      </c>
      <c r="B52" s="76"/>
      <c r="C52" s="76"/>
      <c r="D52" s="102"/>
      <c r="E52" s="76"/>
      <c r="F52" s="102"/>
      <c r="G52" s="76"/>
      <c r="H52" s="102"/>
      <c r="I52" s="76"/>
      <c r="J52" s="102"/>
      <c r="K52" s="83"/>
    </row>
    <row r="53" spans="1:11" ht="13.15" customHeight="1" x14ac:dyDescent="0.2">
      <c r="A53" s="144" t="s">
        <v>825</v>
      </c>
      <c r="B53" s="131">
        <f>IF(A010_C1=0,0,(A400A_C1/A010_C1)*100)</f>
        <v>6.9058755380970362</v>
      </c>
      <c r="C53" s="131">
        <f>IF(A010_C2=0,0,(A400A_C2/A010_C2)*100)</f>
        <v>7.1392234989894057</v>
      </c>
      <c r="D53" s="102">
        <f>IF(C53="N/A", " ", IF(B53="N/A", " ",IF(AND(B53=0,C53=0,),"N/A",IF(ABS(B53)=0, "N/A", ((C53-B53)/ABS(B53))*100))))</f>
        <v>3.3789772144759809</v>
      </c>
      <c r="E53" s="131">
        <f>IF(A010_C3=0,0,(A400A_C3/A010_C3)*100)</f>
        <v>7.1078963069736778</v>
      </c>
      <c r="F53" s="102">
        <f>IF(E53="N/A", " ", IF(C53="N/A", " ",IF(AND(C53=0,E53=0,),"N/A",IF(ABS(C53)=0, "N/A", ((E53-C53)/ABS(C53))*100))))</f>
        <v>-0.43880391222045917</v>
      </c>
      <c r="G53" s="131">
        <f>IF(A010_C4=0,0,(A400A_C4/A010_C4)*100)</f>
        <v>7.2715442793816516</v>
      </c>
      <c r="H53" s="102">
        <f>IF(G53="N/A", " ", IF(E53="N/A", " ",IF(AND(E53=0,G53=0,),"N/A",IF(ABS(E53)=0, "N/A", ((G53-E53)/ABS(E53))*100))))</f>
        <v>2.3023404582789988</v>
      </c>
      <c r="I53" s="131">
        <f>IF(A010_C5=0,0,(A400A_C5/A010_C5)*100)</f>
        <v>7.3843646980078921</v>
      </c>
      <c r="J53" s="102">
        <f>IF(I53="N/A", " ", IF(G53="N/A", " ",IF(AND(G53=0,I53=0,),"N/A",IF(ABS(G53)=0, "N/A",((I53-G53)/ABS(G53))*100))))</f>
        <v>1.5515331309491023</v>
      </c>
      <c r="K53" s="83"/>
    </row>
    <row r="54" spans="1:11" s="98" customFormat="1" ht="12.75" customHeight="1" x14ac:dyDescent="0.2">
      <c r="A54" s="178" t="s">
        <v>584</v>
      </c>
      <c r="B54" s="178"/>
      <c r="C54" s="178"/>
      <c r="D54" s="178"/>
      <c r="E54" s="178"/>
      <c r="F54" s="178"/>
      <c r="G54" s="178"/>
      <c r="H54" s="234" t="s">
        <v>826</v>
      </c>
      <c r="I54" s="172"/>
      <c r="J54" s="173"/>
    </row>
    <row r="55" spans="1:11" s="98" customFormat="1" x14ac:dyDescent="0.2">
      <c r="A55" s="81"/>
      <c r="B55" s="81"/>
      <c r="C55" s="81"/>
      <c r="D55" s="81"/>
      <c r="E55" s="81"/>
      <c r="F55" s="81"/>
      <c r="G55" s="81"/>
      <c r="H55" s="81"/>
      <c r="I55" s="81"/>
      <c r="J55" s="97"/>
    </row>
    <row r="56" spans="1:11" ht="25.5" customHeight="1" x14ac:dyDescent="0.2">
      <c r="A56" s="81"/>
      <c r="B56" s="81"/>
      <c r="C56" s="81"/>
      <c r="D56" s="81"/>
      <c r="E56" s="81"/>
      <c r="F56" s="81"/>
      <c r="G56" s="81"/>
      <c r="H56" s="81"/>
      <c r="J56" s="104"/>
      <c r="K56" s="83"/>
    </row>
    <row r="57" spans="1:11" x14ac:dyDescent="0.2">
      <c r="A57" s="11"/>
      <c r="B57" s="11"/>
      <c r="C57" s="11"/>
      <c r="D57" s="110"/>
      <c r="E57" s="110"/>
      <c r="F57" s="110"/>
      <c r="G57" s="110"/>
      <c r="H57" s="110"/>
      <c r="I57" s="7"/>
      <c r="J57" s="7"/>
    </row>
    <row r="61" spans="1:11" x14ac:dyDescent="0.2">
      <c r="A61" s="29"/>
    </row>
    <row r="62" spans="1:11" x14ac:dyDescent="0.2">
      <c r="A62" s="29"/>
    </row>
    <row r="70" spans="9:10" x14ac:dyDescent="0.2">
      <c r="I70" s="4"/>
      <c r="J70" s="3"/>
    </row>
  </sheetData>
  <mergeCells count="4">
    <mergeCell ref="D5:J5"/>
    <mergeCell ref="A57:C57"/>
    <mergeCell ref="I57:J57"/>
    <mergeCell ref="I70:J70"/>
  </mergeCells>
  <phoneticPr fontId="2" type="noConversion"/>
  <hyperlinks>
    <hyperlink ref="A2" location="'Cover Page'!A1" display="Return to cover" xr:uid="{00000000-0004-0000-1400-000000000000}"/>
  </hyperlinks>
  <printOptions horizontalCentered="1" verticalCentered="1" gridLines="1"/>
  <pageMargins left="0.75" right="0.75" top="0.5" bottom="0.5" header="0.5" footer="0.5"/>
  <pageSetup orientation="landscape" r:id="rId1"/>
  <headerFooter alignWithMargins="0"/>
  <ignoredErrors>
    <ignoredError sqref="G44" formula="1"/>
    <ignoredError sqref="B47:I47" twoDigitTextYear="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J22"/>
  <sheetViews>
    <sheetView workbookViewId="0"/>
  </sheetViews>
  <sheetFormatPr defaultRowHeight="12.75" x14ac:dyDescent="0.2"/>
  <cols>
    <col min="1" max="1" width="62.7109375" customWidth="1"/>
    <col min="2" max="3" width="16.7109375" customWidth="1"/>
    <col min="4" max="4" width="6.7109375" customWidth="1"/>
    <col min="5" max="5" width="16.7109375" customWidth="1"/>
    <col min="6" max="6" width="6.7109375" customWidth="1"/>
    <col min="7" max="7" width="16.7109375" customWidth="1"/>
    <col min="8" max="8" width="6.7109375" customWidth="1"/>
    <col min="9" max="9" width="16.7109375" customWidth="1"/>
    <col min="10" max="10" width="6.7109375" customWidth="1"/>
  </cols>
  <sheetData>
    <row r="1" spans="1:10" x14ac:dyDescent="0.2">
      <c r="A1" s="88"/>
      <c r="B1" s="62"/>
      <c r="C1" s="85" t="s">
        <v>25</v>
      </c>
      <c r="D1" s="118"/>
      <c r="E1" s="62"/>
      <c r="F1" s="119"/>
      <c r="G1" s="62"/>
      <c r="H1" s="119"/>
      <c r="I1" s="62"/>
      <c r="J1" s="119"/>
    </row>
    <row r="2" spans="1:10" x14ac:dyDescent="0.2">
      <c r="A2" s="60" t="s">
        <v>49</v>
      </c>
      <c r="B2" s="62"/>
      <c r="C2" s="67" t="s">
        <v>50</v>
      </c>
      <c r="D2" s="87" t="str">
        <f>IF(CU_NUMBER="","N/A",CU_NUMBER)</f>
        <v>N/A</v>
      </c>
      <c r="E2" s="120"/>
      <c r="F2" s="119"/>
      <c r="G2" s="62"/>
      <c r="H2" s="119"/>
      <c r="I2" s="62"/>
      <c r="J2" s="119"/>
    </row>
    <row r="3" spans="1:10" x14ac:dyDescent="0.2">
      <c r="A3" s="121" t="str">
        <f>IF(Request_Date=0,"N/A",Request_Date)</f>
        <v>12/05/2025</v>
      </c>
      <c r="B3" s="62"/>
      <c r="C3" s="67" t="s">
        <v>42</v>
      </c>
      <c r="D3" s="75">
        <f>IF(CountCu_C5=0,"N/A",CountCu_C5)</f>
        <v>4331</v>
      </c>
      <c r="E3" s="120"/>
      <c r="F3" s="119"/>
      <c r="G3" s="62"/>
      <c r="H3" s="119"/>
      <c r="I3" s="62"/>
      <c r="J3" s="119"/>
    </row>
    <row r="4" spans="1:10" x14ac:dyDescent="0.2">
      <c r="A4" s="74" t="str">
        <f>"CU Name:      "&amp;IF(Cu_Name="","N/A",Cu_Name)</f>
        <v>CU Name:      N/A</v>
      </c>
      <c r="B4" s="62"/>
      <c r="C4" s="67" t="s">
        <v>43</v>
      </c>
      <c r="D4" s="89" t="str">
        <f>IF(AssetRange="","N/A",AssetRange)</f>
        <v>N/A</v>
      </c>
      <c r="E4" s="75"/>
      <c r="F4" s="119"/>
      <c r="G4" s="62"/>
      <c r="H4" s="119"/>
      <c r="I4" s="62"/>
      <c r="J4" s="119"/>
    </row>
    <row r="5" spans="1:10" x14ac:dyDescent="0.2">
      <c r="A5" s="74" t="str">
        <f>"Peer Group:      "&amp;IF(Peer_Group="","N/A",IF(Peer_Group="0","N/A",Peer_Group))</f>
        <v>Peer Group:      N/A</v>
      </c>
      <c r="B5" s="90"/>
      <c r="C5" s="67" t="s">
        <v>51</v>
      </c>
      <c r="D5" s="24" t="str">
        <f>IF(_xlnm.Criteria="","N/A",_xlnm.Criteria)</f>
        <v xml:space="preserve">Region: Nation * Peer Group: All * Types Included: All  Federally Insured Credit Unions  (FICUs) *  </v>
      </c>
      <c r="E5" s="23"/>
      <c r="F5" s="23"/>
      <c r="G5" s="23"/>
      <c r="H5" s="23"/>
      <c r="I5" s="23"/>
      <c r="J5" s="23"/>
    </row>
    <row r="6" spans="1:10" x14ac:dyDescent="0.2">
      <c r="A6" s="74"/>
      <c r="B6" s="67"/>
      <c r="C6" s="67" t="s">
        <v>45</v>
      </c>
      <c r="D6" s="75" t="str">
        <f>IF(NoCu_in_Peer_Group="","N/A",NoCu_in_Peer_Group)</f>
        <v>N/A</v>
      </c>
      <c r="E6" s="75" t="str">
        <f>IF(CU_NUMBER&gt;0,"",IF(RetPop=0,"Retroactive Population",""))</f>
        <v/>
      </c>
      <c r="F6" s="119"/>
      <c r="G6" s="62"/>
      <c r="H6" s="119"/>
      <c r="I6" s="62"/>
      <c r="J6" s="119"/>
    </row>
    <row r="7" spans="1:10" x14ac:dyDescent="0.2">
      <c r="A7" s="29"/>
      <c r="D7" s="57"/>
      <c r="E7" s="32"/>
      <c r="F7" s="54"/>
      <c r="G7" s="30"/>
      <c r="H7" s="54"/>
      <c r="I7" s="30"/>
      <c r="J7" s="54"/>
    </row>
    <row r="8" spans="1:10" x14ac:dyDescent="0.2">
      <c r="A8" s="86"/>
      <c r="B8" s="139">
        <f>(CycDat_C1)</f>
        <v>45565</v>
      </c>
      <c r="C8" s="139">
        <f>(CycDat_C2)</f>
        <v>45657</v>
      </c>
      <c r="D8" s="184" t="s">
        <v>52</v>
      </c>
      <c r="E8" s="139">
        <f>(CycDat_C3)</f>
        <v>45747</v>
      </c>
      <c r="F8" s="184" t="s">
        <v>52</v>
      </c>
      <c r="G8" s="139">
        <f>(CycDat_C4)</f>
        <v>45838</v>
      </c>
      <c r="H8" s="184" t="s">
        <v>52</v>
      </c>
      <c r="I8" s="139">
        <f>(CycDat_C5)</f>
        <v>45930</v>
      </c>
      <c r="J8" s="184" t="s">
        <v>52</v>
      </c>
    </row>
    <row r="9" spans="1:10" x14ac:dyDescent="0.2">
      <c r="A9" s="288" t="s">
        <v>827</v>
      </c>
      <c r="B9" s="62"/>
      <c r="C9" s="62"/>
      <c r="D9" s="62"/>
      <c r="E9" s="62"/>
      <c r="F9" s="62"/>
      <c r="G9" s="62"/>
      <c r="H9" s="62"/>
      <c r="I9" s="62"/>
      <c r="J9" s="62"/>
    </row>
    <row r="10" spans="1:10" ht="24" customHeight="1" x14ac:dyDescent="0.2">
      <c r="A10" s="115" t="s">
        <v>828</v>
      </c>
      <c r="B10" s="238">
        <f>IF(B8&lt;DATEVALUE("3/31/2022"),"N/A",IF(A143B3_C1 + A143B4_C1 + pA143B3_C1 + pA143B4_C1=0,0,((ACH0023_C1 - ACH0024_C1) / ((A143B3_C1 + A143B4_C1 + pA143B3_C1 + pA143B4_C1) /2)) *100*Anu_C1))</f>
        <v>3.5398842624582663E-2</v>
      </c>
      <c r="C10" s="238">
        <f>IF(C8&lt;DATEVALUE("3/31/2022"),"N/A",IF(A143B3_C2 + A143B4_C2 + pA143B3_C2 + pA143B4_C2=0,0,((ACH0023_C2 - ACH0024_C2) / ((A143B3_C2 + A143B4_C2 + pA143B3_C2 + pA143B4_C2) /2)) *100*Anu_C2))</f>
        <v>0.34766244426098108</v>
      </c>
      <c r="D10" s="71">
        <f t="shared" ref="D10:D21" si="0">IF(C10="N/A", " ", IF(B10="N/A", " ",IF(AND(B10=0,C10=0,),"N/A",IF(ABS(B10)=0, "N/A", ((C10-B10)/ABS(B10))*100))))</f>
        <v>882.12941012808005</v>
      </c>
      <c r="E10" s="238">
        <f>IF(E8&lt;DATEVALUE("3/31/2022"),"N/A",IF(A143B3_C3 + A143B4_C3 + pA143B3_C3 + pA143B4_C3=0,0,((ACH0023_C3 - ACH0024_C3) / ((A143B3_C3 + A143B4_C3 + pA143B3_C3 + pA143B4_C3) /2)) *100*Anu_C3))</f>
        <v>0.23170053837834842</v>
      </c>
      <c r="F10" s="71">
        <f t="shared" ref="F10:F21" si="1">IF(E10="N/A", " ", IF(C10="N/A", " ",IF(AND(C10=0,E10=0,),"N/A",IF(ABS(C10)=0, "N/A", ((E10-C10)/ABS(C10))*100))))</f>
        <v>-33.354740437705459</v>
      </c>
      <c r="G10" s="238">
        <f>IF(G8&lt;DATEVALUE("3/31/2022"),"N/A",IF(A143B3_C4 + A143B4_C4 + pA143B3_C4 + pA143B4_C4=0,0,((ACH0023_C4 - ACH0024_C4) / ((A143B3_C4 + A143B4_C4 + pA143B3_C4 + pA143B4_C4) /2)) *100*Anu_C4))</f>
        <v>0.12708021552467827</v>
      </c>
      <c r="H10" s="236">
        <f t="shared" ref="H10:H21" si="2">IF(G10="N/A", " ", IF(E10="N/A", " ",IF(AND(E10=0,G10=0,),"N/A",IF(ABS(E10)=0, "N/A", ((G10-E10)/ABS(E10))*100))))</f>
        <v>-45.153249787807376</v>
      </c>
      <c r="I10" s="238">
        <f>IF(I8&lt;DATEVALUE("3/31/2022"),"N/A",IF(A143B3_C5 + A143B4_C5 + pA143B3_C5 + pA143B4_C5=0,0,((ACH0023_C5 - ACH0024_C5) / ((A143B3_C5 + A143B4_C5 + pA143B3_C5 + pA143B4_C5) /2)) *100*Anu_C5))</f>
        <v>9.7600900043110228E-2</v>
      </c>
      <c r="J10" s="71">
        <f t="shared" ref="J10:J21" si="3">IF(I10="N/A", " ", IF(G10="N/A", " ",IF(AND(G10=0,I10=0,),"N/A",IF(ABS(G10)=0, "N/A", ((I10-G10)/ABS(G10))*100))))</f>
        <v>-23.197407527093251</v>
      </c>
    </row>
    <row r="11" spans="1:10" ht="24" customHeight="1" x14ac:dyDescent="0.2">
      <c r="A11" s="115" t="s">
        <v>829</v>
      </c>
      <c r="B11" s="238">
        <f>IF(B8&lt;DATEVALUE("3/31/2022"),"N/A",IF(A042A5_C1 + A042A7_C1 + pA042A5_C1 + pA042A7_C1=0,0,((ACH0025_C1 - ACH0026_C1) / ((A042A5_C1 + A042A7_C1 + pA042A5_C1 + pA042A7_C1) /2)) *100*Anu_C1))</f>
        <v>4.1037696186160322E-2</v>
      </c>
      <c r="C11" s="238">
        <f>IF(C8&lt;DATEVALUE("3/31/2022"),"N/A",IF(A042A5_C2 + A042A7_C2 + pA042A5_C2 + pA042A7_C2=0,0,((ACH0025_C2 - ACH0026_C2) / ((A042A5_C2 + A042A7_C2 + pA042A5_C2 + pA042A7_C2) /2)) *100*Anu_C2))</f>
        <v>3.2185052994659541E-2</v>
      </c>
      <c r="D11" s="71">
        <f t="shared" si="0"/>
        <v>-21.571978971096026</v>
      </c>
      <c r="E11" s="238">
        <f>IF(E8&lt;DATEVALUE("3/31/2022"),"N/A",IF(A042A5_C3 + A042A7_C3 + pA042A5_C3 + pA042A7_C3=0,0,((ACH0025_C3 - ACH0026_C3) / ((A042A5_C3 + A042A7_C3 + pA042A5_C3 + pA042A7_C3) /2)) *100*Anu_C3))</f>
        <v>2.29609240154716E-2</v>
      </c>
      <c r="F11" s="71">
        <f t="shared" si="1"/>
        <v>-28.659666897918417</v>
      </c>
      <c r="G11" s="238">
        <f>IF(G8&lt;DATEVALUE("3/31/2022"),"N/A",IF(A042A5_C4 + A042A7_C4 + pA042A5_C4 + pA042A7_C4=0,0,((ACH0025_C4 - ACH0026_C4) / ((A042A5_C4 + A042A7_C4 + pA042A5_C4 + pA042A7_C4) /2)) *100*Anu_C4))</f>
        <v>2.5622751989918355E-2</v>
      </c>
      <c r="H11" s="236">
        <f t="shared" si="2"/>
        <v>11.592860865064287</v>
      </c>
      <c r="I11" s="238">
        <f>IF(I8&lt;DATEVALUE("3/31/2022"),"N/A",IF(A042A5_C5 + A042A7_C5 + pA042A5_C5 + pA042A7_C5=0,0,((ACH0025_C5 - ACH0026_C5) / ((A042A5_C5 + A042A7_C5 + pA042A5_C5 + pA042A7_C5) /2)) *100*Anu_C5))</f>
        <v>3.0510089358490172E-2</v>
      </c>
      <c r="J11" s="71">
        <f t="shared" si="3"/>
        <v>19.074209399891203</v>
      </c>
    </row>
    <row r="12" spans="1:10" ht="24" customHeight="1" x14ac:dyDescent="0.2">
      <c r="A12" s="115" t="s">
        <v>830</v>
      </c>
      <c r="B12" s="238">
        <f>IF(B8&lt;DATEVALUE("3/31/2022"),"N/A",IF(A400M_C1 + A400M1_C1 + pA400M_C1 + pA400M1_C1=0,0,((ACH0027_C1 - ACH0028_C1) / ((A400M_C1 + A400M1_C1 + pA400M_C1 + pA400M1_C1) /2)) *100*Anu_C1))</f>
        <v>2.420242914291249E-3</v>
      </c>
      <c r="C12" s="238">
        <f>IF(C8&lt;DATEVALUE("3/31/2022"),"N/A",IF(A400M_C2 + A400M1_C2 + pA400M_C2 + pA400M1_C2=0,0,((ACH0027_C2 - ACH0028_C2) / ((A400M_C2 + A400M1_C2 + pA400M_C2 + pA400M1_C2) /2)) *100*Anu_C2))</f>
        <v>6.460668524431337E-3</v>
      </c>
      <c r="D12" s="71">
        <f t="shared" si="0"/>
        <v>166.94297858623409</v>
      </c>
      <c r="E12" s="238">
        <f>IF(E8&lt;DATEVALUE("3/31/2022"),"N/A",IF(A400M_C3 + A400M1_C3 + pA400M_C3 + pA400M1_C3=0,0,((ACH0027_C3 - ACH0028_C3) / ((A400M_C3 + A400M1_C3 + pA400M_C3 + pA400M1_C3) /2)) *100*Anu_C3))</f>
        <v>-8.3242734212095378E-3</v>
      </c>
      <c r="F12" s="71">
        <f t="shared" si="1"/>
        <v>-228.84538789957861</v>
      </c>
      <c r="G12" s="238">
        <f>IF(G8&lt;DATEVALUE("3/31/2022"),"N/A",IF(A400M_C4 + A400M1_C4 + pA400M_C4 + pA400M1_C4=0,0,((ACH0027_C4 - ACH0028_C4) / ((A400M_C4 + A400M1_C4 + pA400M_C4 + pA400M1_C4) /2)) *100*Anu_C4))</f>
        <v>7.0480636174493461E-2</v>
      </c>
      <c r="H12" s="236">
        <f t="shared" si="2"/>
        <v>946.68814451619062</v>
      </c>
      <c r="I12" s="238">
        <f>IF(I8&lt;DATEVALUE("3/31/2022"),"N/A",IF(A400M_C5 + A400M1_C5 + pA400M_C5 + pA400M1_C5=0,0,((ACH0027_C5 - ACH0028_C5) / ((A400M_C5 + A400M1_C5 + pA400M_C5 + pA400M1_C5) /2)) *100*Anu_C5))</f>
        <v>6.4011993601781114E-2</v>
      </c>
      <c r="J12" s="71">
        <f t="shared" si="3"/>
        <v>-9.1779003763494842</v>
      </c>
    </row>
    <row r="13" spans="1:10" ht="36" customHeight="1" x14ac:dyDescent="0.2">
      <c r="A13" s="115" t="s">
        <v>831</v>
      </c>
      <c r="B13" s="238">
        <f>IF(B8&lt;DATEVALUE("3/31/2022"),"N/A",IF(A400H2_C1 + A400H3_C1 + pA400H2_C1 + pA400H3_C1=0,0,((ACH0029_C1 - ACH0030_C1) / ((A400H2_C1 + A400H3_C1 + pA400H2_C1 + pA400H3_C1) /2)) *100*Anu_C1))</f>
        <v>2.9735290306968365E-2</v>
      </c>
      <c r="C13" s="238">
        <f>IF(C8&lt;DATEVALUE("3/31/2022"),"N/A",IF(A400H2_C2 + A400H3_C2 + pA400H2_C2 + pA400H3_C2=0,0,((ACH0029_C2 - ACH0030_C2) / ((A400H2_C2 + A400H3_C2 + pA400H2_C2 + pA400H3_C2) /2)) *100*Anu_C2))</f>
        <v>4.1704220293314304E-2</v>
      </c>
      <c r="D13" s="71">
        <f t="shared" si="0"/>
        <v>40.251599573389939</v>
      </c>
      <c r="E13" s="238">
        <f>IF(E8&lt;DATEVALUE("3/31/2022"),"N/A",IF(A400H2_C3 + A400H3_C3 + pA400H2_C3 + pA400H3_C3=0,0,((ACH0029_C3 - ACH0030_C3) / ((A400H2_C3 + A400H3_C3 + pA400H2_C3 + pA400H3_C3) /2)) *100*Anu_C3))</f>
        <v>0.12725743967548284</v>
      </c>
      <c r="F13" s="71">
        <f t="shared" si="1"/>
        <v>205.14283393971942</v>
      </c>
      <c r="G13" s="238">
        <f>IF(G8&lt;DATEVALUE("3/31/2022"),"N/A",IF(A400H2_C4 + A400H3_C4 + pA400H2_C4 + pA400H3_C4=0,0,((ACH0029_C4 - ACH0030_C4) / ((A400H2_C4 + A400H3_C4 + pA400H2_C4 + pA400H3_C4) /2)) *100*Anu_C4))</f>
        <v>8.7586746093367834E-2</v>
      </c>
      <c r="H13" s="236">
        <f t="shared" si="2"/>
        <v>-31.173575142858915</v>
      </c>
      <c r="I13" s="238">
        <f>IF(I8&lt;DATEVALUE("3/31/2022"),"N/A",IF(A400H2_C5 + A400H3_C5 + pA400H2_C5 + pA400H3_C5=0,0,((ACH0029_C5 - ACH0030_C5) / ((A400H2_C5 + A400H3_C5 + pA400H2_C5 + pA400H3_C5) /2)) *100*Anu_C5))</f>
        <v>2.9878995371290969E-2</v>
      </c>
      <c r="J13" s="71">
        <f t="shared" si="3"/>
        <v>-65.886396396733545</v>
      </c>
    </row>
    <row r="14" spans="1:10" ht="36" customHeight="1" x14ac:dyDescent="0.2">
      <c r="A14" s="115" t="s">
        <v>832</v>
      </c>
      <c r="B14" s="238">
        <f>IF(B8&lt;DATEVALUE("3/31/2022"),"N/A",IF(A400J2_C1 + A400J3_C1 + pA400J2_C1 + pA400J3_C1=0,0,((ACH0031_C1 - ACH0032_C1) / ((A400J2_C1 + A400J3_C1 + pA400J2_C1 + pA400J3_C1) /2)) *100*Anu_C1))</f>
        <v>9.6283314490232891E-2</v>
      </c>
      <c r="C14" s="238">
        <f>IF(C8&lt;DATEVALUE("3/31/2022"),"N/A",IF(A400J2_C2 + A400J3_C2 + pA400J2_C2 + pA400J3_C2=0,0,((ACH0031_C2 - ACH0032_C2) / ((A400J2_C2 + A400J3_C2 + pA400J2_C2 + pA400J3_C2) /2)) *100*Anu_C2))</f>
        <v>0.20898055487614653</v>
      </c>
      <c r="D14" s="71">
        <f t="shared" si="0"/>
        <v>117.04752893331876</v>
      </c>
      <c r="E14" s="238">
        <f>IF(E8&lt;DATEVALUE("3/31/2022"),"N/A",IF(A400J2_C3 + A400J3_C3 + pA400J2_C3 + pA400J3_C3=0,0,((ACH0031_C3 - ACH0032_C3) / ((A400J2_C3 + A400J3_C3 + pA400J2_C3 + pA400J3_C3) /2)) *100*Anu_C3))</f>
        <v>0.11087492881475945</v>
      </c>
      <c r="F14" s="71">
        <f t="shared" si="1"/>
        <v>-46.944858635067703</v>
      </c>
      <c r="G14" s="238">
        <f>IF(G8&lt;DATEVALUE("3/31/2022"),"N/A",IF(A400J2_C4 + A400J3_C4 + pA400J2_C4 + pA400J3_C4=0,0,((ACH0031_C4 - ACH0032_C4) / ((A400J2_C4 + A400J3_C4 + pA400J2_C4 + pA400J3_C4) /2)) *100*Anu_C4))</f>
        <v>0.16927855663254807</v>
      </c>
      <c r="H14" s="236">
        <f t="shared" si="2"/>
        <v>52.675233654818854</v>
      </c>
      <c r="I14" s="238">
        <f>IF(I8&lt;DATEVALUE("3/31/2022"),"N/A",IF(A400J2_C5 + A400J3_C5 + pA400J2_C5 + pA400J3_C5=0,0,((ACH0031_C5 - ACH0032_C5) / ((A400J2_C5 + A400J3_C5 + pA400J2_C5 + pA400J3_C5) /2)) *100*Anu_C5))</f>
        <v>0.14554591263006494</v>
      </c>
      <c r="J14" s="71">
        <f t="shared" si="3"/>
        <v>-14.019876158324902</v>
      </c>
    </row>
    <row r="15" spans="1:10" ht="36" customHeight="1" x14ac:dyDescent="0.2">
      <c r="A15" s="115" t="s">
        <v>833</v>
      </c>
      <c r="B15" s="238">
        <f>IF(B8&lt;DATEVALUE("3/31/2022"),"N/A",IF(A042A6_C1 + A042A8_C1 + pA042A6_C1 + pA042A8_C1=0,0,((ACH0033_C1 - ACH0034_C1) / ((A042A6_C1 + A042A8_C1 + pA042A6_C1 + pA042A8_C1) /2)) *100*Anu_C1))</f>
        <v>0.11435452671653129</v>
      </c>
      <c r="C15" s="238">
        <f>IF(C8&lt;DATEVALUE("3/31/2022"),"N/A",IF(A042A6_C2 + A042A8_C2 + pA042A6_C2 + pA042A8_C2=0,0,((ACH0033_C2 - ACH0034_C2) / ((A042A6_C2 + A042A8_C2 + pA042A6_C2 + pA042A8_C2) /2)) *100*Anu_C2))</f>
        <v>0.29394370467019021</v>
      </c>
      <c r="D15" s="71">
        <f t="shared" si="0"/>
        <v>157.04597195250093</v>
      </c>
      <c r="E15" s="238">
        <f>IF(E8&lt;DATEVALUE("3/31/2022"),"N/A",IF(A042A6_C3 + A042A8_C3 + pA042A6_C3 + pA042A8_C3=0,0,((ACH0033_C3 - ACH0034_C3) / ((A042A6_C3 + A042A8_C3 + pA042A6_C3 + pA042A8_C3) /2)) *100*Anu_C3))</f>
        <v>2.2374685967450798E-2</v>
      </c>
      <c r="F15" s="71">
        <f t="shared" si="1"/>
        <v>-92.388105065030885</v>
      </c>
      <c r="G15" s="238">
        <f>IF(G8&lt;DATEVALUE("3/31/2022"),"N/A",IF(A042A6_C4 + A042A8_C4 + pA042A6_C4 + pA042A8_C4=0,0,((ACH0033_C4 - ACH0034_C4) / ((A042A6_C4 + A042A8_C4 + pA042A6_C4 + pA042A8_C4) /2)) *100*Anu_C4))</f>
        <v>5.2264083388489507E-2</v>
      </c>
      <c r="H15" s="236">
        <f t="shared" si="2"/>
        <v>133.585773961341</v>
      </c>
      <c r="I15" s="238">
        <f>IF(I8&lt;DATEVALUE("3/31/2022"),"N/A",IF(A042A6_C5 + A042A8_C5 + pA042A6_C5 + pA042A8_C5=0,0,((ACH0033_C5 - ACH0034_C5) / ((A042A6_C5 + A042A8_C5 + pA042A6_C5 + pA042A8_C5) /2)) *100*Anu_C5))</f>
        <v>3.045437583037135E-2</v>
      </c>
      <c r="J15" s="71">
        <f t="shared" si="3"/>
        <v>-41.729819302487691</v>
      </c>
    </row>
    <row r="16" spans="1:10" ht="24" customHeight="1" x14ac:dyDescent="0.2">
      <c r="A16" s="115" t="s">
        <v>834</v>
      </c>
      <c r="B16" s="238">
        <f>IF(B8&lt;DATEVALUE("3/31/2022"),"N/A",IF(A400L2_C1 + A400L3_C1 + pA400L2_C1 + pA400L3_C1=0,0,((ACH0035_C1 - ACH0036_C1) / ((A400L2_C1 + A400L3_C1 + pA400L2_C1 + pA400L3_C1) /2)) *100*Anu_C1))</f>
        <v>0.7927512012552258</v>
      </c>
      <c r="C16" s="238">
        <f>IF(C8&lt;DATEVALUE("3/31/2022"),"N/A",IF(A400L2_C2 + A400L3_C2 + pA400L2_C2 + pA400L3_C2=0,0,((ACH0035_C2 - ACH0036_C2) / ((A400L2_C2 + A400L3_C2 + pA400L2_C2 + pA400L3_C2) /2)) *100*Anu_C2))</f>
        <v>0.73484413048604313</v>
      </c>
      <c r="D16" s="71">
        <f t="shared" si="0"/>
        <v>-7.3045705484260148</v>
      </c>
      <c r="E16" s="238">
        <f>IF(E8&lt;DATEVALUE("3/31/2022"),"N/A",IF(A400L2_C3 + A400L3_C3 + pA400L2_C3 + pA400L3_C3=0,0,((ACH0035_C3 - ACH0036_C3) / ((A400L2_C3 + A400L3_C3 + pA400L2_C3 + pA400L3_C3) /2)) *100*Anu_C3))</f>
        <v>0.63275132908399689</v>
      </c>
      <c r="F16" s="71">
        <f t="shared" si="1"/>
        <v>-13.893123339574023</v>
      </c>
      <c r="G16" s="238">
        <f>IF(G8&lt;DATEVALUE("3/31/2022"),"N/A",IF(A400L2_C4 + A400L3_C4 + pA400L2_C4 + pA400L3_C4=0,0,((ACH0035_C4 - ACH0036_C4) / ((A400L2_C4 + A400L3_C4 + pA400L2_C4 + pA400L3_C4) /2)) *100*Anu_C4))</f>
        <v>0.95488295145547719</v>
      </c>
      <c r="H16" s="236">
        <f t="shared" si="2"/>
        <v>50.909671392996437</v>
      </c>
      <c r="I16" s="238">
        <f>IF(I8&lt;DATEVALUE("3/31/2022"),"N/A",IF(A400L2_C5 + A400L3_C5 + pA400L2_C5 + pA400L3_C5=0,0,((ACH0035_C5 - ACH0036_C5) / ((A400L2_C5 + A400L3_C5 + pA400L2_C5 + pA400L3_C5) /2)) *100*Anu_C5))</f>
        <v>0.97319480635475153</v>
      </c>
      <c r="J16" s="71">
        <f t="shared" si="3"/>
        <v>1.9177067588611307</v>
      </c>
    </row>
    <row r="17" spans="1:10" ht="24" customHeight="1" x14ac:dyDescent="0.2">
      <c r="A17" s="115" t="s">
        <v>835</v>
      </c>
      <c r="B17" s="238">
        <f>IF(B8&lt;DATEVALUE("3/31/2022"),"N/A",IF(A400C5_C1 + A400C7_C1 + pA400C5_C1 + pA400C7_C1=0,0,((ACH0037_C1 - ACH0038_C1) / ((A400C5_C1 + A400C7_C1 + pA400C5_C1 + pA400C7_C1) /2)) *100*Anu_C1))</f>
        <v>4.2858667910425972</v>
      </c>
      <c r="C17" s="238">
        <f>IF(C8&lt;DATEVALUE("3/31/2022"),"N/A",IF(A400C5_C2 + A400C7_C2 + pA400C5_C2 + pA400C7_C2=0,0,((ACH0037_C2 - ACH0038_C2) / ((A400C5_C2 + A400C7_C2 + pA400C5_C2 + pA400C7_C2) /2)) *100*Anu_C2))</f>
        <v>5.2530351834970368</v>
      </c>
      <c r="D17" s="71">
        <f t="shared" si="0"/>
        <v>22.566459472697758</v>
      </c>
      <c r="E17" s="238">
        <f>IF(E8&lt;DATEVALUE("3/31/2022"),"N/A",IF(A400C5_C3 + A400C7_C3 + pA400C5_C3 + pA400C7_C3=0,0,((ACH0037_C3 - ACH0038_C3) / ((A400C5_C3 + A400C7_C3 + pA400C5_C3 + pA400C7_C3) /2)) *100*Anu_C3))</f>
        <v>4.138945610644309</v>
      </c>
      <c r="F17" s="71">
        <f t="shared" si="1"/>
        <v>-21.208492498827297</v>
      </c>
      <c r="G17" s="238">
        <f>IF(G8&lt;DATEVALUE("3/31/2022"),"N/A",IF(A400C5_C4 + A400C7_C4 + pA400C5_C4 + pA400C7_C4=0,0,((ACH0037_C4 - ACH0038_C4) / ((A400C5_C4 + A400C7_C4 + pA400C5_C4 + pA400C7_C4) /2)) *100*Anu_C4))</f>
        <v>4.5208395706566868</v>
      </c>
      <c r="H17" s="236">
        <f t="shared" si="2"/>
        <v>9.226841711334508</v>
      </c>
      <c r="I17" s="238">
        <f>IF(I8&lt;DATEVALUE("3/31/2022"),"N/A",IF(A400C5_C5 + A400C7_C5 + pA400C5_C5 + pA400C7_C5=0,0,((ACH0037_C5 - ACH0038_C5) / ((A400C5_C5 + A400C7_C5 + pA400C5_C5 + pA400C7_C5) /2)) *100*Anu_C5))</f>
        <v>3.9923815265298424</v>
      </c>
      <c r="J17" s="71">
        <f t="shared" si="3"/>
        <v>-11.68937839681141</v>
      </c>
    </row>
    <row r="18" spans="1:10" ht="36" customHeight="1" x14ac:dyDescent="0.2">
      <c r="A18" s="115" t="s">
        <v>836</v>
      </c>
      <c r="B18" s="238">
        <f>IF(B8&lt;DATEVALUE("3/31/2022"),"N/A",IF(A400C6_C1 + A400C8_C1 + pA400C6_C1 + pA400C8_C1=0,0,((ACH0039_C1 - ACH0040_C1) / ((A400C6_C1 + A400C8_C1 + pA400C6_C1 + pA400C8_C1) /2)) *100*Anu_C1))</f>
        <v>2.4356758533385019</v>
      </c>
      <c r="C18" s="238">
        <f>IF(C8&lt;DATEVALUE("3/31/2022"),"N/A",IF(A400C6_C2 + A400C8_C2 + pA400C6_C2 + pA400C8_C2=0,0,((ACH0039_C2 - ACH0040_C2) / ((A400C6_C2 + A400C8_C2 + pA400C6_C2 + pA400C8_C2) /2)) *100*Anu_C2))</f>
        <v>2.1883865626164551</v>
      </c>
      <c r="D18" s="71">
        <f t="shared" si="0"/>
        <v>-10.152799699643749</v>
      </c>
      <c r="E18" s="238">
        <f>IF(E8&lt;DATEVALUE("3/31/2022"),"N/A",IF(A400C6_C3 + A400C8_C3 + pA400C6_C3 + pA400C8_C3=0,0,((ACH0039_C3 - ACH0040_C3) / ((A400C6_C3 + A400C8_C3 + pA400C6_C3 + pA400C8_C3) /2)) *100*Anu_C3))</f>
        <v>2.8016263187066075</v>
      </c>
      <c r="F18" s="71">
        <f t="shared" si="1"/>
        <v>28.022460316926693</v>
      </c>
      <c r="G18" s="238">
        <f>IF(G8&lt;DATEVALUE("3/31/2022"),"N/A",IF(A400C6_C4 + A400C8_C4 + pA400C6_C4 + pA400C8_C4=0,0,((ACH0039_C4 - ACH0040_C4) / ((A400C6_C4 + A400C8_C4 + pA400C6_C4 + pA400C8_C4) /2)) *100*Anu_C4))</f>
        <v>3.2448974229190251</v>
      </c>
      <c r="H18" s="236">
        <f t="shared" si="2"/>
        <v>15.82192104823805</v>
      </c>
      <c r="I18" s="238">
        <f>IF(I8&lt;DATEVALUE("3/31/2022"),"N/A",IF(A400C6_C5 + A400C8_C5 + pA400C6_C5 + pA400C8_C5=0,0,((ACH0039_C5 - ACH0040_C5) / ((A400C6_C5 + A400C8_C5 + pA400C6_C5 + pA400C8_C5) /2)) *100*Anu_C5))</f>
        <v>2.7899233377452637</v>
      </c>
      <c r="J18" s="71">
        <f t="shared" si="3"/>
        <v>-14.021216262808043</v>
      </c>
    </row>
    <row r="19" spans="1:10" ht="24" customHeight="1" x14ac:dyDescent="0.2">
      <c r="A19" s="115" t="s">
        <v>837</v>
      </c>
      <c r="B19" s="238">
        <f>IF(B8&gt;=DATEVALUE("3/31/2022"),IF(A718A5_C1 + pA718A5_C1=0,0,((ACH0023_C1 + ACH0025_C1 + ACH0027_C1 + ACH0029_C1 + ACH0031_C1 - ACH0024_C1 - ACH0026_C1 - ACH0028_C1 - ACH0030_C1 - ACH0032_C1) / ((A718A5_C1 + pA718A5_C1)/2)) *100*Anu_C1),IF(B8&gt;=DATEVALUE("9/30/2017"),IF(A718A5_C1 + pA718A5_C1=0,0,((A550G3_C1 + A550P3_C1 - A551G3_C1 - A551P3_C1) / ((A718A5_C1 + pA718A5_C1)/2)) *100*Anu_C1),IF(B8&lt;DATEVALUE("9/30/2017"),"N/A")))</f>
        <v>5.5116651226790193E-2</v>
      </c>
      <c r="C19" s="238">
        <f>IF(C8&gt;=DATEVALUE("3/31/2022"),IF(A718A5_C2 + pA718A5_C2=0,0,((ACH0023_C2 + ACH0025_C2 + ACH0027_C2 + ACH0029_C2 + ACH0031_C2 - ACH0024_C2 - ACH0026_C2 - ACH0028_C2 - ACH0030_C2 - ACH0032_C2) / ((A718A5_C2 + pA718A5_C2)/2)) *100*Anu_C2),IF(C8&gt;=DATEVALUE("9/30/2017"),IF(A718A5_C2 + pA718A5_C2=0,0,((A550G3_C2 + A550P3_C2 - A551G3_C2 - A551P3_C2) / ((A718A5_C2 + pA718A5_C2)/2)) *100*Anu_C2),IF(C8&lt;DATEVALUE("9/30/2017"),"N/A")))</f>
        <v>0.13143892231320739</v>
      </c>
      <c r="D19" s="71">
        <f t="shared" si="0"/>
        <v>138.47407160564163</v>
      </c>
      <c r="E19" s="238">
        <f>IF(E8&gt;=DATEVALUE("3/31/2022"),IF(A718A5_C3 + pA718A5_C3=0,0,((ACH0023_C3 + ACH0025_C3 + ACH0027_C3 + ACH0029_C3 + ACH0031_C3 - ACH0024_C3 - ACH0026_C3 - ACH0028_C3 - ACH0030_C3 - ACH0032_C3) / ((A718A5_C3 + pA718A5_C3)/2)) *100*Anu_C3),IF(E8&gt;=DATEVALUE("9/30/2017"),IF(A718A5_C3 + pA718A5_C3=0,0,((A550G3_C3 + A550P3_C3 - A551G3_C3 - A551P3_C3) / ((A718A5_C3 + pA718A5_C3)/2)) *100*Anu_C3),IF(E8&lt;DATEVALUE("9/30/2017"),"N/A")))</f>
        <v>8.9862031858623209E-2</v>
      </c>
      <c r="F19" s="71">
        <f t="shared" si="1"/>
        <v>-31.632099322535613</v>
      </c>
      <c r="G19" s="238">
        <f>IF(G8&gt;=DATEVALUE("3/31/2022"),IF(A718A5_C4 + pA718A5_C4=0,0,((ACH0023_C4 + ACH0025_C4 + ACH0027_C4 + ACH0029_C4 + ACH0031_C4 - ACH0024_C4 - ACH0026_C4 - ACH0028_C4 - ACH0030_C4 - ACH0032_C4) / ((A718A5_C4 + pA718A5_C4)/2)) *100*Anu_C4),IF(G8&gt;=DATEVALUE("9/30/2017"),IF(A718A5_C4 + pA718A5_C4=0,0,((A550G3_C4 + A550P3_C4 - A551G3_C4 - A551P3_C4) / ((A718A5_C4 + pA718A5_C4)/2)) *100*Anu_C4),IF(G8&lt;DATEVALUE("9/30/2017"),"N/A")))</f>
        <v>0.12334427915539163</v>
      </c>
      <c r="H19" s="236">
        <f t="shared" si="2"/>
        <v>37.259615217075073</v>
      </c>
      <c r="I19" s="238">
        <f>IF(I8&gt;=DATEVALUE("3/31/2022"),IF(A718A5_C5 + pA718A5_C5=0,0,((ACH0023_C5 + ACH0025_C5 + ACH0027_C5 + ACH0029_C5 + ACH0031_C5 - ACH0024_C5 - ACH0026_C5 - ACH0028_C5 - ACH0030_C5 - ACH0032_C5) / ((A718A5_C5 + pA718A5_C5)/2)) *100*Anu_C5),IF(I8&gt;=DATEVALUE("9/30/2017"),IF(A718A5_C5 + pA718A5_C5=0,0,((A550G3_C5 + A550P3_C5 - A551G3_C5 - A551P3_C5) / ((A718A5_C5 + pA718A5_C5)/2)) *100*Anu_C5),IF(I8&lt;DATEVALUE("9/30/2017"),"N/A")))</f>
        <v>9.7283035754167468E-2</v>
      </c>
      <c r="J19" s="71">
        <f t="shared" si="3"/>
        <v>-21.128862708250683</v>
      </c>
    </row>
    <row r="20" spans="1:10" ht="24" customHeight="1" x14ac:dyDescent="0.2">
      <c r="A20" s="115" t="s">
        <v>838</v>
      </c>
      <c r="B20" s="238">
        <f>IF(B8&gt;=DATEVALUE("3/31/2022"),IF(A400P_C1 + pA400P_C1=0,0,((ACH0033_C1 + ACH0035_C1 + ACH0037_C1 + ACH0039_C1 - ACH0034_C1 - ACH0036_C1 - ACH0038_C1 - ACH0040_C1) / ((A400P_C1 + pA400P_C1)/2)) *100*Anu_C1),IF(B8&gt;=DATEVALUE("9/30/2017"),IF(A400P_C1 + pA400P_C1=0,0,((A550G4_C1 + A550P4_C1 - A551G4_C1 - A551P4_C1) / ((A400P_C1 + pA400P_C1)/2)) *100*Anu_C1),IF(B8&lt;DATEVALUE("9/30/2017"),"N/A")))</f>
        <v>0.93464258869934569</v>
      </c>
      <c r="C20" s="238">
        <f>IF(C8&gt;=DATEVALUE("3/31/2022"),IF(A400P_C2 + pA400P_C2=0,0,((ACH0033_C2 + ACH0035_C2 + ACH0037_C2 + ACH0039_C2 - ACH0034_C2 - ACH0036_C2 - ACH0038_C2 - ACH0040_C2) / ((A400P_C2 + pA400P_C2)/2)) *100*Anu_C2),IF(C8&gt;=DATEVALUE("9/30/2017"),IF(A400P_C2 + pA400P_C2=0,0,((A550G4_C2 + A550P4_C2 - A551G4_C2 - A551P4_C2) / ((A400P_C2 + pA400P_C2)/2)) *100*Anu_C2),IF(C8&lt;DATEVALUE("9/30/2017"),"N/A")))</f>
        <v>0.94412688102201536</v>
      </c>
      <c r="D20" s="71">
        <f t="shared" si="0"/>
        <v>1.0147507119131038</v>
      </c>
      <c r="E20" s="238">
        <f>IF(E8&gt;=DATEVALUE("3/31/2022"),IF(A400P_C3 + pA400P_C3=0,0,((ACH0033_C3 + ACH0035_C3 + ACH0037_C3 + ACH0039_C3 - ACH0034_C3 - ACH0036_C3 - ACH0038_C3 - ACH0040_C3) / ((A400P_C3 + pA400P_C3)/2)) *100*Anu_C3),IF(E8&gt;=DATEVALUE("9/30/2017"),IF(A400P_C3 + pA400P_C3=0,0,((A550G4_C3 + A550P4_C3 - A551G4_C3 - A551P4_C3) / ((A400P_C3 + pA400P_C3)/2)) *100*Anu_C3),IF(E8&lt;DATEVALUE("9/30/2017"),"N/A")))</f>
        <v>0.80181686953169884</v>
      </c>
      <c r="F20" s="71">
        <f t="shared" si="1"/>
        <v>-15.073187126741509</v>
      </c>
      <c r="G20" s="238">
        <f>IF(G8&gt;=DATEVALUE("3/31/2022"),IF(A400P_C4 + pA400P_C4=0,0,((ACH0033_C4 + ACH0035_C4 + ACH0037_C4 + ACH0039_C4 - ACH0034_C4 - ACH0036_C4 - ACH0038_C4 - ACH0040_C4) / ((A400P_C4 + pA400P_C4)/2)) *100*Anu_C4),IF(G8&gt;=DATEVALUE("9/30/2017"),IF(A400P_C4 + pA400P_C4=0,0,((A550G4_C4 + A550P4_C4 - A551G4_C4 - A551P4_C4) / ((A400P_C4 + pA400P_C4)/2)) *100*Anu_C4),IF(G8&lt;DATEVALUE("9/30/2017"),"N/A")))</f>
        <v>1.0895528748412593</v>
      </c>
      <c r="H20" s="236">
        <f t="shared" si="2"/>
        <v>35.885501570653247</v>
      </c>
      <c r="I20" s="238">
        <f>IF(I8&gt;=DATEVALUE("3/31/2022"),IF(A400P_C5 + pA400P_C5=0,0,((ACH0033_C5 + ACH0035_C5 + ACH0037_C5 + ACH0039_C5 - ACH0034_C5 - ACH0036_C5 - ACH0038_C5 - ACH0040_C5) / ((A400P_C5 + pA400P_C5)/2)) *100*Anu_C5),IF(I8&gt;=DATEVALUE("9/30/2017"),IF(A400P_C5 + pA400P_C5=0,0,((A550G4_C5 + A550P4_C5 - A551G4_C5 - A551P4_C5) / ((A400P_C5 + pA400P_C5)/2)) *100*Anu_C5),IF(I8&lt;DATEVALUE("9/30/2017"),"N/A")))</f>
        <v>1.0635695615025083</v>
      </c>
      <c r="J20" s="71">
        <f t="shared" si="3"/>
        <v>-2.3847684622498595</v>
      </c>
    </row>
    <row r="21" spans="1:10" x14ac:dyDescent="0.2">
      <c r="A21" s="115" t="s">
        <v>839</v>
      </c>
      <c r="B21" s="238">
        <f>IF(B8&gt;=DATEVALUE("3/31/2022"),IF(A400T1_C1 +  pA400T1_C1=0,0,((ACH0023_C1 + ACH0025_C1 + ACH0027_C1 + ACH0029_C1 + ACH0031_C1 + ACH0033_C1 + ACH0035_C1 + ACH0037_C1+ ACH0039_C1 -(ACH0024_C1 + ACH0026_C1 + ACH0028_C1 + ACH0030_C1 + ACH0032_C1 + ACH0034_C1 + ACH0036_C1 + ACH0038_C1 + ACH0040_C1))   / ((  A400T1_C1 +  pA400T1_C1 ) / 2 )  ) * 100*Anu_C1),IF(B8&gt;=DATEVALUE("3/31/2018"),IF(A400T1_C1 +  pA400T1_C1=0,0,( ( A550G3_C1 + A550G4_C1 + A550P3_C1 + A550P4_C1 - A551G3_C1 - A551G4_C1 -A551P3_C1 - A551P4_C1 )  / (( A400T1_C1 +  pA400T1_C1  ) / 2 )  ) * 100*Anu_C1),IF(B8&gt;=DATEVALUE("9/30/2017"),IF(A400T1_C1 + pA400T_C1 - pA814E_C1=0,0,( (  A550G3_C1 + A550G4_C1 + A550P3_C1 + A550P4_C1 - A551G3_C1 - A551G4_C1 -A551P3_C1 - A551P4_C1 ) /   (( A400T1_C1 + pA400T_C1 - pA814E_C1 ) / 2) ) * 100*Anu_C1),IF(B8&lt;DATEVALUE("9/30/2017"),"N/A"))))</f>
        <v>0.11974844434904293</v>
      </c>
      <c r="C21" s="238">
        <f>IF(C8&gt;=DATEVALUE("3/31/2022"),IF(A400T1_C2 +  pA400T1_C2=0,0,((ACH0023_C2 + ACH0025_C2 + ACH0027_C2 + ACH0029_C2 + ACH0031_C2 + ACH0033_C2 + ACH0035_C2 + ACH0037_C2+ ACH0039_C2 -(ACH0024_C2 + ACH0026_C2 + ACH0028_C2 + ACH0030_C2 + ACH0032_C2 + ACH0034_C2 + ACH0036_C2 + ACH0038_C2 + ACH0040_C2))   / ((  A400T1_C2 +  pA400T1_C2 ) / 2 )  ) * 100*Anu_C2),IF(C8&gt;=DATEVALUE("3/31/2018"),IF(A400T1_C2 +  pA400T1_C2=0,0,( ( A550G3_C2 + A550G4_C2 + A550P3_C2 + A550P4_C2 - A551G3_C2 - A551G4_C2 -A551P3_C2 - A551P4_C2 )  / (( A400T1_C2 +  pA400T1_C2  ) / 2 )  ) * 100*Anu_C2),IF(C8&gt;=DATEVALUE("9/30/2017"),IF(A400T1_C2 + pA400T_C2 - pA814E_C2=0,0,( (  A550G3_C2 + A550G4_C2 + A550P3_C2 + A550P4_C2 - A551G3_C2 - A551G4_C2 -A551P3_C2 - A551P4_C2 ) /   (( A400T1_C2 + pA400T_C2 - pA814E_C2 ) / 2) ) * 100*Anu_C2),IF(C8&lt;DATEVALUE("9/30/2017"),"N/A"))))</f>
        <v>0.19147100670027767</v>
      </c>
      <c r="D21" s="71">
        <f t="shared" si="0"/>
        <v>59.894358328512155</v>
      </c>
      <c r="E21" s="238">
        <f>IF(E8&gt;=DATEVALUE("3/31/2022"),IF(A400T1_C3 +  pA400T1_C3=0,0,((ACH0023_C3 + ACH0025_C3 + ACH0027_C3 + ACH0029_C3 + ACH0031_C3 + ACH0033_C3 + ACH0035_C3 + ACH0037_C3+ ACH0039_C3 -(ACH0024_C3 + ACH0026_C3 + ACH0028_C3 + ACH0030_C3 + ACH0032_C3 + ACH0034_C3 + ACH0036_C3 + ACH0038_C3 + ACH0040_C3))   / ((  A400T1_C3 +  pA400T1_C3 ) / 2 )  ) * 100*Anu_C3),IF(E8&gt;=DATEVALUE("3/31/2018"),IF(A400T1_C3 +  pA400T1_C3=0,0,( ( A550G3_C3 + A550G4_C3 + A550P3_C3 + A550P4_C3 - A551G3_C3 - A551G4_C3 -A551P3_C3 - A551P4_C3 )  / (( A400T1_C3 +  pA400T1_C3  ) / 2 )  ) * 100*Anu_C3),IF(E8&gt;=DATEVALUE("9/30/2017"),IF(A400T1_C3 + pA400T_C3 - pA814E_C3=0,0,( (  A550G3_C3 + A550G4_C3 + A550P3_C3 + A550P4_C3 - A551G3_C3 - A551G4_C3 -A551P3_C3 - A551P4_C3 ) /   (( A400T1_C3 + pA400T_C3 - pA814E_C3 ) / 2) ) * 100*Anu_C3),IF(E8&lt;DATEVALUE("9/30/2017"),"N/A"))))</f>
        <v>0.14154598386029477</v>
      </c>
      <c r="F21" s="71">
        <f t="shared" si="1"/>
        <v>-26.074455710223464</v>
      </c>
      <c r="G21" s="238">
        <f>IF(G8&gt;=DATEVALUE("3/31/2022"),IF(A400T1_C4 +  pA400T1_C4=0,0,((ACH0023_C4 + ACH0025_C4 + ACH0027_C4 + ACH0029_C4 + ACH0031_C4 + ACH0033_C4 + ACH0035_C4 + ACH0037_C4+ ACH0039_C4 -(ACH0024_C4 + ACH0026_C4 + ACH0028_C4 + ACH0030_C4 + ACH0032_C4 + ACH0034_C4 + ACH0036_C4 + ACH0038_C4 + ACH0040_C4))   / ((  A400T1_C4 +  pA400T1_C4 ) / 2 )  ) * 100*Anu_C4),IF(G8&gt;=DATEVALUE("3/31/2018"),IF(A400T1_C4 +  pA400T1_C4=0,0,( ( A550G3_C4 + A550G4_C4 + A550P3_C4 + A550P4_C4 - A551G3_C4 - A551G4_C4 -A551P3_C4 - A551P4_C4 )  / (( A400T1_C4 +  pA400T1_C4  ) / 2 )  ) * 100*Anu_C4),IF(G8&gt;=DATEVALUE("9/30/2017"),IF(A400T1_C4 + pA400T_C4 - pA814E_C4=0,0,( (  A550G3_C4 + A550G4_C4 + A550P3_C4 + A550P4_C4 - A551G3_C4 - A551G4_C4 -A551P3_C4 - A551P4_C4 ) /   (( A400T1_C4 + pA400T_C4 - pA814E_C4 ) / 2) ) * 100*Anu_C4),IF(G8&lt;DATEVALUE("9/30/2017"),"N/A"))))</f>
        <v>0.19370673045926451</v>
      </c>
      <c r="H21" s="236">
        <f t="shared" si="2"/>
        <v>36.850742900944581</v>
      </c>
      <c r="I21" s="238">
        <f>IF(I8&gt;=DATEVALUE("3/31/2022"),IF(A400T1_C5 +  pA400T1_C5=0,0,((ACH0023_C5 + ACH0025_C5 + ACH0027_C5 + ACH0029_C5 + ACH0031_C5 + ACH0033_C5 + ACH0035_C5 + ACH0037_C5+ ACH0039_C5 -(ACH0024_C5 + ACH0026_C5 + ACH0028_C5 + ACH0030_C5 + ACH0032_C5 + ACH0034_C5 + ACH0036_C5 + ACH0038_C5 + ACH0040_C5))   / ((  A400T1_C5 +  pA400T1_C5 ) / 2 )  ) * 100*Anu_C5),IF(I8&gt;=DATEVALUE("3/31/2018"),IF(A400T1_C5 +  pA400T1_C5=0,0,( ( A550G3_C5 + A550G4_C5 + A550P3_C5 + A550P4_C5 - A551G3_C5 - A551G4_C5 -A551P3_C5 - A551P4_C5 )  / (( A400T1_C5 +  pA400T1_C5  ) / 2 )  ) * 100*Anu_C5),IF(I8&gt;=DATEVALUE("9/30/2017"),IF(A400T1_C5 + pA400T_C5 - pA814E_C5=0,0,( (  A550G3_C5 + A550G4_C5 + A550P3_C5 + A550P4_C5 - A551G3_C5 - A551G4_C5 -A551P3_C5 - A551P4_C5 ) /   (( A400T1_C5 + pA400T_C5 - pA814E_C5 ) / 2) ) * 100*Anu_C5),IF(I8&lt;DATEVALUE("9/30/2017"),"N/A"))))</f>
        <v>0.16727849874907214</v>
      </c>
      <c r="J21" s="71">
        <f t="shared" si="3"/>
        <v>-13.643424597345156</v>
      </c>
    </row>
    <row r="22" spans="1:10" x14ac:dyDescent="0.2">
      <c r="A22" s="249" t="s">
        <v>636</v>
      </c>
      <c r="B22" s="176"/>
      <c r="C22" s="176"/>
      <c r="D22" s="176"/>
      <c r="E22" s="176"/>
      <c r="F22" s="176"/>
      <c r="G22" s="176"/>
      <c r="H22" s="234" t="s">
        <v>840</v>
      </c>
      <c r="I22" s="176"/>
      <c r="J22" s="176"/>
    </row>
  </sheetData>
  <mergeCells count="1">
    <mergeCell ref="D5:J5"/>
  </mergeCells>
  <hyperlinks>
    <hyperlink ref="A2" location="'Cover Page'!A1" display="Return to cover" xr:uid="{00000000-0004-0000-1500-000000000000}"/>
  </hyperlinks>
  <printOptions gridLines="1"/>
  <pageMargins left="0.7" right="0.7" top="0.75" bottom="0.75" header="0.3" footer="0.3"/>
  <pageSetup orientation="landscape" horizontalDpi="1200" verticalDpi="120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J35"/>
  <sheetViews>
    <sheetView workbookViewId="0"/>
  </sheetViews>
  <sheetFormatPr defaultRowHeight="12.75" x14ac:dyDescent="0.2"/>
  <cols>
    <col min="1" max="1" width="62.7109375" customWidth="1"/>
    <col min="2" max="3" width="16.7109375" customWidth="1"/>
    <col min="4" max="4" width="6.7109375" customWidth="1"/>
    <col min="5" max="5" width="16.7109375" customWidth="1"/>
    <col min="6" max="6" width="6.7109375" customWidth="1"/>
    <col min="7" max="7" width="16.7109375" customWidth="1"/>
    <col min="8" max="8" width="6.7109375" customWidth="1"/>
    <col min="9" max="9" width="16.7109375" customWidth="1"/>
    <col min="10" max="10" width="6.7109375" customWidth="1"/>
  </cols>
  <sheetData>
    <row r="1" spans="1:10" x14ac:dyDescent="0.2">
      <c r="A1" s="88"/>
      <c r="B1" s="62"/>
      <c r="C1" s="85" t="s">
        <v>26</v>
      </c>
      <c r="D1" s="118"/>
      <c r="E1" s="62"/>
      <c r="F1" s="119"/>
      <c r="G1" s="62"/>
      <c r="H1" s="119"/>
      <c r="I1" s="62"/>
      <c r="J1" s="119"/>
    </row>
    <row r="2" spans="1:10" x14ac:dyDescent="0.2">
      <c r="A2" s="60" t="s">
        <v>49</v>
      </c>
      <c r="B2" s="62"/>
      <c r="C2" s="67" t="s">
        <v>50</v>
      </c>
      <c r="D2" s="87" t="str">
        <f>IF(CU_NUMBER="","N/A",CU_NUMBER)</f>
        <v>N/A</v>
      </c>
      <c r="E2" s="120"/>
      <c r="F2" s="119"/>
      <c r="G2" s="62"/>
      <c r="H2" s="119"/>
      <c r="I2" s="62"/>
      <c r="J2" s="119"/>
    </row>
    <row r="3" spans="1:10" x14ac:dyDescent="0.2">
      <c r="A3" s="121" t="str">
        <f>IF(Request_Date=0,"N/A",Request_Date)</f>
        <v>12/05/2025</v>
      </c>
      <c r="B3" s="62"/>
      <c r="C3" s="67" t="s">
        <v>42</v>
      </c>
      <c r="D3" s="75">
        <f>IF(CountCu_C5=0,"N/A",CountCu_C5)</f>
        <v>4331</v>
      </c>
      <c r="E3" s="120"/>
      <c r="F3" s="119"/>
      <c r="G3" s="62"/>
      <c r="H3" s="119"/>
      <c r="I3" s="62"/>
      <c r="J3" s="119"/>
    </row>
    <row r="4" spans="1:10" x14ac:dyDescent="0.2">
      <c r="A4" s="74" t="str">
        <f>"CU Name:      "&amp;IF(Cu_Name="","N/A",Cu_Name)</f>
        <v>CU Name:      N/A</v>
      </c>
      <c r="B4" s="62"/>
      <c r="C4" s="67" t="s">
        <v>43</v>
      </c>
      <c r="D4" s="89" t="str">
        <f>IF(AssetRange="","N/A",AssetRange)</f>
        <v>N/A</v>
      </c>
      <c r="E4" s="75"/>
      <c r="F4" s="119"/>
      <c r="G4" s="62"/>
      <c r="H4" s="119"/>
      <c r="I4" s="62"/>
      <c r="J4" s="119"/>
    </row>
    <row r="5" spans="1:10" x14ac:dyDescent="0.2">
      <c r="A5" s="74" t="str">
        <f>"Peer Group:      "&amp;IF(Peer_Group="","N/A",IF(Peer_Group="0","N/A",Peer_Group))</f>
        <v>Peer Group:      N/A</v>
      </c>
      <c r="B5" s="90"/>
      <c r="C5" s="67" t="s">
        <v>51</v>
      </c>
      <c r="D5" s="24" t="str">
        <f>IF(_xlnm.Criteria="","N/A",_xlnm.Criteria)</f>
        <v xml:space="preserve">Region: Nation * Peer Group: All * Types Included: All  Federally Insured Credit Unions  (FICUs) *  </v>
      </c>
      <c r="E5" s="23"/>
      <c r="F5" s="23"/>
      <c r="G5" s="23"/>
      <c r="H5" s="23"/>
      <c r="I5" s="23"/>
      <c r="J5" s="23"/>
    </row>
    <row r="6" spans="1:10" x14ac:dyDescent="0.2">
      <c r="A6" s="74"/>
      <c r="B6" s="67"/>
      <c r="C6" s="67" t="s">
        <v>45</v>
      </c>
      <c r="D6" s="75" t="str">
        <f>IF(NoCu_in_Peer_Group="","N/A",NoCu_in_Peer_Group)</f>
        <v>N/A</v>
      </c>
      <c r="E6" s="75" t="str">
        <f>IF(CU_NUMBER&gt;0,"",IF(RetPop=0,"Retroactive Population",""))</f>
        <v/>
      </c>
      <c r="F6" s="119"/>
      <c r="G6" s="62"/>
      <c r="H6" s="119"/>
      <c r="I6" s="62"/>
      <c r="J6" s="119"/>
    </row>
    <row r="7" spans="1:10" x14ac:dyDescent="0.2">
      <c r="A7" s="29"/>
      <c r="D7" s="57"/>
      <c r="E7" s="32"/>
      <c r="F7" s="54"/>
      <c r="G7" s="30"/>
      <c r="H7" s="54"/>
      <c r="I7" s="30"/>
      <c r="J7" s="54"/>
    </row>
    <row r="8" spans="1:10" x14ac:dyDescent="0.2">
      <c r="A8" s="86"/>
      <c r="B8" s="139">
        <f>(CycDat_C1)</f>
        <v>45565</v>
      </c>
      <c r="C8" s="139">
        <f>(CycDat_C2)</f>
        <v>45657</v>
      </c>
      <c r="D8" s="184" t="s">
        <v>52</v>
      </c>
      <c r="E8" s="139">
        <f>(CycDat_C3)</f>
        <v>45747</v>
      </c>
      <c r="F8" s="184" t="s">
        <v>52</v>
      </c>
      <c r="G8" s="139">
        <f>(CycDat_C4)</f>
        <v>45838</v>
      </c>
      <c r="H8" s="184" t="s">
        <v>52</v>
      </c>
      <c r="I8" s="139">
        <f>(CycDat_C5)</f>
        <v>45930</v>
      </c>
      <c r="J8" s="184" t="s">
        <v>52</v>
      </c>
    </row>
    <row r="9" spans="1:10" x14ac:dyDescent="0.2">
      <c r="A9" s="288" t="s">
        <v>841</v>
      </c>
      <c r="B9" s="62"/>
      <c r="C9" s="62"/>
      <c r="D9" s="62"/>
      <c r="E9" s="62"/>
      <c r="F9" s="62"/>
      <c r="G9" s="62"/>
      <c r="H9" s="62"/>
      <c r="I9" s="62"/>
      <c r="J9" s="62"/>
    </row>
    <row r="10" spans="1:10" x14ac:dyDescent="0.2">
      <c r="A10" s="115" t="s">
        <v>842</v>
      </c>
      <c r="B10" s="239">
        <f>IF(B8&lt;DATEVALUE("3/31/2022"),"N/A",ACH0023_C1)</f>
        <v>2723932</v>
      </c>
      <c r="C10" s="239">
        <f>IF(C8&lt;DATEVALUE("3/31/2022"),"N/A",ACH0023_C2)</f>
        <v>33795232</v>
      </c>
      <c r="D10" s="71">
        <f t="shared" ref="D10:D21" si="0">IF(C10="N/A", " ", IF(B10="N/A", " ",IF(AND(B10=0,C10=0,),"N/A",IF(ABS(B10)=0, "N/A", ((C10*Anu_C2-B10*Anu_C1)/ABS(B10*Anu_C1))*100))))</f>
        <v>830.50869111270038</v>
      </c>
      <c r="E10" s="239">
        <f>IF(E8&lt;DATEVALUE("3/31/2022"),"N/A",ACH0023_C3)</f>
        <v>5852073</v>
      </c>
      <c r="F10" s="71">
        <f t="shared" ref="F10:F21" si="1">IF(E10="N/A", " ", IF(C10="N/A", " ",IF(AND(C10=0,E10=0,),"N/A",IF(ABS(C10)=0, "N/A", ((E10*Anu_C3-C10*Anu_C2)/ABS(C10*Anu_C2))*100))))</f>
        <v>-30.734927341229675</v>
      </c>
      <c r="G10" s="239">
        <f>IF(G8&lt;DATEVALUE("3/31/2022"),"N/A",ACH0023_C4)</f>
        <v>6420947</v>
      </c>
      <c r="H10" s="236">
        <f t="shared" ref="H10:H21" si="2">IF(G10="N/A", " ", IF(E10="N/A", " ",IF(AND(E10=0,G10=0,),"N/A",IF(ABS(E10)=0, "N/A", ((G10*Anu_C4-E10*Anu_C3)/ABS(E10*Anu_C3))*100))))</f>
        <v>-45.139551403408674</v>
      </c>
      <c r="I10" s="239">
        <f>IF(I8&lt;DATEVALUE("3/31/2022"),"N/A",ACH0023_C5)</f>
        <v>7504413</v>
      </c>
      <c r="J10" s="265">
        <f t="shared" ref="J10:J21" si="3">IF(I10="N/A", " ", IF(G10="N/A", " ",IF(AND(G10=0,I10=0,),"N/A",IF(ABS(G10)=0, "N/A",((I10*Anu_C5-G10*Anu_C4)/ABS(G10*Anu_C4))*100))))</f>
        <v>-22.084047726916296</v>
      </c>
    </row>
    <row r="11" spans="1:10" x14ac:dyDescent="0.2">
      <c r="A11" s="115" t="s">
        <v>843</v>
      </c>
      <c r="B11" s="239">
        <f>IF(B8&lt;DATEVALUE("3/31/2022"),"N/A",ACH0025_C1)</f>
        <v>721250</v>
      </c>
      <c r="C11" s="239">
        <f>IF(C8&lt;DATEVALUE("3/31/2022"),"N/A",ACH0025_C2)</f>
        <v>1038730</v>
      </c>
      <c r="D11" s="71">
        <f t="shared" si="0"/>
        <v>8.0135181975736618</v>
      </c>
      <c r="E11" s="239">
        <f>IF(E8&lt;DATEVALUE("3/31/2022"),"N/A",ACH0025_C3)</f>
        <v>138196</v>
      </c>
      <c r="F11" s="71">
        <f t="shared" si="1"/>
        <v>-46.782705804203211</v>
      </c>
      <c r="G11" s="239">
        <f>IF(G8&lt;DATEVALUE("3/31/2022"),"N/A",ACH0025_C4)</f>
        <v>310578</v>
      </c>
      <c r="H11" s="236">
        <f t="shared" si="2"/>
        <v>12.368664794928943</v>
      </c>
      <c r="I11" s="239">
        <f>IF(I8&lt;DATEVALUE("3/31/2022"),"N/A",ACH0025_C5)</f>
        <v>560493</v>
      </c>
      <c r="J11" s="265">
        <f t="shared" si="3"/>
        <v>20.311805729961556</v>
      </c>
    </row>
    <row r="12" spans="1:10" x14ac:dyDescent="0.2">
      <c r="A12" s="115" t="s">
        <v>844</v>
      </c>
      <c r="B12" s="239">
        <f>IF(B8&lt;DATEVALUE("3/31/2022"),"N/A",ACH0027_C1)</f>
        <v>773802</v>
      </c>
      <c r="C12" s="239">
        <f>IF(C8&lt;DATEVALUE("3/31/2022"),"N/A",ACH0027_C2)</f>
        <v>2689450</v>
      </c>
      <c r="D12" s="71">
        <f t="shared" si="0"/>
        <v>160.6723037676305</v>
      </c>
      <c r="E12" s="239">
        <f>IF(E8&lt;DATEVALUE("3/31/2022"),"N/A",ACH0027_C3)</f>
        <v>373403</v>
      </c>
      <c r="F12" s="71">
        <f t="shared" si="1"/>
        <v>-44.46403539757199</v>
      </c>
      <c r="G12" s="239">
        <f>IF(G8&lt;DATEVALUE("3/31/2022"),"N/A",ACH0027_C4)</f>
        <v>16696603</v>
      </c>
      <c r="H12" s="236">
        <f t="shared" si="2"/>
        <v>2135.7349833825651</v>
      </c>
      <c r="I12" s="239">
        <f>IF(I8&lt;DATEVALUE("3/31/2022"),"N/A",ACH0027_C5)</f>
        <v>22907083</v>
      </c>
      <c r="J12" s="265">
        <f t="shared" si="3"/>
        <v>-8.5359538903412506</v>
      </c>
    </row>
    <row r="13" spans="1:10" ht="24" customHeight="1" x14ac:dyDescent="0.2">
      <c r="A13" s="115" t="s">
        <v>845</v>
      </c>
      <c r="B13" s="239">
        <f>IF(B8&lt;DATEVALUE("3/31/2022"),"N/A",ACH0029_C1)</f>
        <v>7978573</v>
      </c>
      <c r="C13" s="239">
        <f>IF(C8&lt;DATEVALUE("3/31/2022"),"N/A",ACH0029_C2)</f>
        <v>14166143</v>
      </c>
      <c r="D13" s="71">
        <f t="shared" si="0"/>
        <v>33.164254434972285</v>
      </c>
      <c r="E13" s="239">
        <f>IF(E8&lt;DATEVALUE("3/31/2022"),"N/A",ACH0029_C3)</f>
        <v>10897622</v>
      </c>
      <c r="F13" s="71">
        <f t="shared" si="1"/>
        <v>207.70893672328455</v>
      </c>
      <c r="G13" s="239">
        <f>IF(G8&lt;DATEVALUE("3/31/2022"),"N/A",ACH0029_C4)</f>
        <v>15284808</v>
      </c>
      <c r="H13" s="236">
        <f t="shared" si="2"/>
        <v>-29.870902110570547</v>
      </c>
      <c r="I13" s="239">
        <f>IF(I8&lt;DATEVALUE("3/31/2022"),"N/A",ACH0029_C5)</f>
        <v>8418400</v>
      </c>
      <c r="J13" s="265">
        <f t="shared" si="3"/>
        <v>-63.282059763742758</v>
      </c>
    </row>
    <row r="14" spans="1:10" ht="24" customHeight="1" x14ac:dyDescent="0.2">
      <c r="A14" s="115" t="s">
        <v>846</v>
      </c>
      <c r="B14" s="239">
        <f>IF(B8&lt;DATEVALUE("3/31/2022"),"N/A",ACH0031_C1)</f>
        <v>54792861</v>
      </c>
      <c r="C14" s="239">
        <f>IF(C8&lt;DATEVALUE("3/31/2022"),"N/A",ACH0031_C2)</f>
        <v>159099023</v>
      </c>
      <c r="D14" s="71">
        <f t="shared" si="0"/>
        <v>117.77338337926906</v>
      </c>
      <c r="E14" s="239">
        <f>IF(E8&lt;DATEVALUE("3/31/2022"),"N/A",ACH0031_C3)</f>
        <v>21976211</v>
      </c>
      <c r="F14" s="71">
        <f t="shared" si="1"/>
        <v>-44.748344557716109</v>
      </c>
      <c r="G14" s="239">
        <f>IF(G8&lt;DATEVALUE("3/31/2022"),"N/A",ACH0031_C4)</f>
        <v>68086317</v>
      </c>
      <c r="H14" s="236">
        <f t="shared" si="2"/>
        <v>54.909135610319723</v>
      </c>
      <c r="I14" s="239">
        <f>IF(I8&lt;DATEVALUE("3/31/2022"),"N/A",ACH0031_C5)</f>
        <v>90762699</v>
      </c>
      <c r="J14" s="265">
        <f t="shared" si="3"/>
        <v>-11.129770758491754</v>
      </c>
    </row>
    <row r="15" spans="1:10" ht="24" customHeight="1" x14ac:dyDescent="0.2">
      <c r="A15" s="115" t="s">
        <v>847</v>
      </c>
      <c r="B15" s="239">
        <f>IF(B8&lt;DATEVALUE("3/31/2022"),"N/A",ACH0033_C1)</f>
        <v>1297495</v>
      </c>
      <c r="C15" s="239">
        <f>IF(C8&lt;DATEVALUE("3/31/2022"),"N/A",ACH0033_C2)</f>
        <v>4371433</v>
      </c>
      <c r="D15" s="71">
        <f t="shared" si="0"/>
        <v>152.68496217711825</v>
      </c>
      <c r="E15" s="239">
        <f>IF(E8&lt;DATEVALUE("3/31/2022"),"N/A",ACH0033_C3)</f>
        <v>89663</v>
      </c>
      <c r="F15" s="71">
        <f t="shared" si="1"/>
        <v>-91.795550795357045</v>
      </c>
      <c r="G15" s="239">
        <f>IF(G8&lt;DATEVALUE("3/31/2022"),"N/A",ACH0033_C4)</f>
        <v>567703</v>
      </c>
      <c r="H15" s="236">
        <f t="shared" si="2"/>
        <v>216.575956637632</v>
      </c>
      <c r="I15" s="239">
        <f>IF(I8&lt;DATEVALUE("3/31/2022"),"N/A",ACH0033_C5)</f>
        <v>523090</v>
      </c>
      <c r="J15" s="265">
        <f t="shared" si="3"/>
        <v>-38.572340349325856</v>
      </c>
    </row>
    <row r="16" spans="1:10" x14ac:dyDescent="0.2">
      <c r="A16" s="115" t="s">
        <v>848</v>
      </c>
      <c r="B16" s="239">
        <f>IF(B8&lt;DATEVALUE("3/31/2022"),"N/A",ACH0035_C1)</f>
        <v>63438644</v>
      </c>
      <c r="C16" s="239">
        <f>IF(C8&lt;DATEVALUE("3/31/2022"),"N/A",ACH0035_C2)</f>
        <v>82031075</v>
      </c>
      <c r="D16" s="71">
        <f t="shared" si="0"/>
        <v>-3.0191971789308623</v>
      </c>
      <c r="E16" s="239">
        <f>IF(E8&lt;DATEVALUE("3/31/2022"),"N/A",ACH0035_C3)</f>
        <v>18318882</v>
      </c>
      <c r="F16" s="71">
        <f t="shared" si="1"/>
        <v>-10.673451493839377</v>
      </c>
      <c r="G16" s="239">
        <f>IF(G8&lt;DATEVALUE("3/31/2022"),"N/A",ACH0035_C4)</f>
        <v>54689367</v>
      </c>
      <c r="H16" s="236">
        <f t="shared" si="2"/>
        <v>49.270482227026733</v>
      </c>
      <c r="I16" s="239">
        <f>IF(I8&lt;DATEVALUE("3/31/2022"),"N/A",ACH0035_C5)</f>
        <v>83750281</v>
      </c>
      <c r="J16" s="265">
        <f t="shared" si="3"/>
        <v>2.0920952818244616</v>
      </c>
    </row>
    <row r="17" spans="1:10" x14ac:dyDescent="0.2">
      <c r="A17" s="115" t="s">
        <v>849</v>
      </c>
      <c r="B17" s="239">
        <f>IF(B8&lt;DATEVALUE("3/31/2022"),"N/A",ACH0037_C1)</f>
        <v>19728667</v>
      </c>
      <c r="C17" s="239">
        <f>IF(C8&lt;DATEVALUE("3/31/2022"),"N/A",ACH0037_C2)</f>
        <v>31919563</v>
      </c>
      <c r="D17" s="71">
        <f t="shared" si="0"/>
        <v>21.3446009808975</v>
      </c>
      <c r="E17" s="239">
        <f>IF(E8&lt;DATEVALUE("3/31/2022"),"N/A",ACH0037_C3)</f>
        <v>6947244</v>
      </c>
      <c r="F17" s="71">
        <f t="shared" si="1"/>
        <v>-12.940612626808207</v>
      </c>
      <c r="G17" s="239">
        <f>IF(G8&lt;DATEVALUE("3/31/2022"),"N/A",ACH0037_C4)</f>
        <v>13944917</v>
      </c>
      <c r="H17" s="236">
        <f t="shared" si="2"/>
        <v>0.36294248481844027</v>
      </c>
      <c r="I17" s="239">
        <f>IF(I8&lt;DATEVALUE("3/31/2022"),"N/A",ACH0037_C5)</f>
        <v>18877440</v>
      </c>
      <c r="J17" s="265">
        <f t="shared" si="3"/>
        <v>-9.7523491893139269</v>
      </c>
    </row>
    <row r="18" spans="1:10" ht="24" customHeight="1" x14ac:dyDescent="0.2">
      <c r="A18" s="115" t="s">
        <v>850</v>
      </c>
      <c r="B18" s="239">
        <f>IF(B8&lt;DATEVALUE("3/31/2022"),"N/A",ACH0039_C1)</f>
        <v>9483603</v>
      </c>
      <c r="C18" s="239">
        <f>IF(C8&lt;DATEVALUE("3/31/2022"),"N/A",ACH0039_C2)</f>
        <v>12042279</v>
      </c>
      <c r="D18" s="71">
        <f t="shared" si="0"/>
        <v>-4.7650007070097731</v>
      </c>
      <c r="E18" s="239">
        <f>IF(E8&lt;DATEVALUE("3/31/2022"),"N/A",ACH0039_C3)</f>
        <v>4286304</v>
      </c>
      <c r="F18" s="71">
        <f t="shared" si="1"/>
        <v>42.375176658836757</v>
      </c>
      <c r="G18" s="239">
        <f>IF(G8&lt;DATEVALUE("3/31/2022"),"N/A",ACH0039_C4)</f>
        <v>9895259</v>
      </c>
      <c r="H18" s="236">
        <f t="shared" si="2"/>
        <v>15.428805329719964</v>
      </c>
      <c r="I18" s="239">
        <f>IF(I8&lt;DATEVALUE("3/31/2022"),"N/A",ACH0039_C5)</f>
        <v>13225608</v>
      </c>
      <c r="J18" s="265">
        <f t="shared" si="3"/>
        <v>-10.895995749075391</v>
      </c>
    </row>
    <row r="19" spans="1:10" x14ac:dyDescent="0.2">
      <c r="A19" s="115" t="s">
        <v>851</v>
      </c>
      <c r="B19" s="239">
        <f>IF(B8&gt;=DATEVALUE("3/31/2022"),(ACH0023_C1+ACH0025_C1+ACH0027_C1+ACH0029_C1+ACH0031_C1),IF(B8&lt;=DATEVALUE("12/31/2021"),(A550G3_C1+A550P3_C1),IF(B8&lt;DATEVALUE("9/30/2017"),"N/A")))</f>
        <v>66990418</v>
      </c>
      <c r="C19" s="239">
        <f>IF(C8&gt;=DATEVALUE("3/31/2022"),(ACH0023_C2+ACH0025_C2+ACH0027_C2+ACH0029_C2+ACH0031_C2),IF(C8&lt;=DATEVALUE("12/31/2021"),(A550G3_C2+A550P3_C2),IF(C8&lt;DATEVALUE("9/30/2017"),"N/A")))</f>
        <v>210788578</v>
      </c>
      <c r="D19" s="71">
        <f t="shared" si="0"/>
        <v>135.99111368434814</v>
      </c>
      <c r="E19" s="239">
        <f>IF(E8&gt;=DATEVALUE("3/31/2022"),(ACH0023_C3+ACH0025_C3+ACH0027_C3+ACH0029_C3+ACH0031_C3),IF(E8&lt;=DATEVALUE("12/31/2021"),(A550G3_C3+A550P3_C3),IF(E8&lt;DATEVALUE("9/30/2017"),"N/A")))</f>
        <v>39237505</v>
      </c>
      <c r="F19" s="71">
        <f t="shared" si="1"/>
        <v>-25.541496845241774</v>
      </c>
      <c r="G19" s="239">
        <f>IF(G8&gt;=DATEVALUE("3/31/2022"),(ACH0023_C4+ACH0025_C4+ACH0027_C4+ACH0029_C4+ACH0031_C4),IF(G8&lt;=DATEVALUE("12/31/2021"),(A550G3_C4+A550P3_C4),IF(G8&lt;DATEVALUE("9/30/2017"),"N/A")))</f>
        <v>106799253</v>
      </c>
      <c r="H19" s="236">
        <f t="shared" si="2"/>
        <v>36.093328309228632</v>
      </c>
      <c r="I19" s="239">
        <f>IF(I8&gt;=DATEVALUE("3/31/2022"),(ACH0023_C5+ACH0025_C5+ACH0027_C5+ACH0029_C5+ACH0031_C5),IF(I8&lt;=DATEVALUE("12/31/2021"),(A550G3_C5+A550P3_C5),IF(I8&lt;DATEVALUE("9/30/2017"),"N/A")))</f>
        <v>130153088</v>
      </c>
      <c r="J19" s="265">
        <f t="shared" si="3"/>
        <v>-18.755306899634093</v>
      </c>
    </row>
    <row r="20" spans="1:10" ht="24" customHeight="1" x14ac:dyDescent="0.2">
      <c r="A20" s="115" t="s">
        <v>852</v>
      </c>
      <c r="B20" s="239">
        <f>IF(B8&gt;=DATEVALUE("3/31/2022"),(ACH0033_C1+ACH0035_C1+ACH0037_C1+ACH0039_C1),IF(B8&lt;=DATEVALUE("12/31/2021"),(A550G4_C1+A550P4_C1),IF(B8&lt;DATEVALUE("9/30/2017"),"N/A")))</f>
        <v>93948409</v>
      </c>
      <c r="C20" s="239">
        <f>IF(C8&gt;=DATEVALUE("3/31/2022"),(ACH0033_C2+ACH0035_C2+ACH0037_C2+ACH0039_C2),IF(C8&lt;=DATEVALUE("12/31/2021"),(A550G4_C2+A550P4_C2),IF(C8&lt;DATEVALUE("9/30/2017"),"N/A")))</f>
        <v>130364350</v>
      </c>
      <c r="D20" s="71">
        <f t="shared" si="0"/>
        <v>4.0712275393615283</v>
      </c>
      <c r="E20" s="239">
        <f>IF(E8&gt;=DATEVALUE("3/31/2022"),(ACH0033_C3+ACH0035_C3+ACH0037_C3+ACH0039_C3),IF(E8&lt;=DATEVALUE("12/31/2021"),(A550G4_C3+A550P4_C3),IF(E8&lt;DATEVALUE("9/30/2017"),"N/A")))</f>
        <v>29642093</v>
      </c>
      <c r="F20" s="71">
        <f t="shared" si="1"/>
        <v>-9.0484691558696824</v>
      </c>
      <c r="G20" s="239">
        <f>IF(G8&gt;=DATEVALUE("3/31/2022"),(ACH0033_C4+ACH0035_C4+ACH0037_C4+ACH0039_C4),IF(G8&lt;=DATEVALUE("12/31/2021"),(A550G4_C4+A550P4_C4),IF(G8&lt;DATEVALUE("9/30/2017"),"N/A")))</f>
        <v>79097246</v>
      </c>
      <c r="H20" s="236">
        <f t="shared" si="2"/>
        <v>33.420480800731582</v>
      </c>
      <c r="I20" s="239">
        <f>IF(I8&gt;=DATEVALUE("3/31/2022"),(ACH0033_C5+ACH0035_C5+ACH0037_C5+ACH0039_C5),IF(I8&lt;=DATEVALUE("12/31/2021"),(A550G4_C5+A550P4_C5),IF(I8&lt;DATEVALUE("9/30/2017"),"N/A")))</f>
        <v>116376419</v>
      </c>
      <c r="J20" s="265">
        <f t="shared" si="3"/>
        <v>-1.912793103652018</v>
      </c>
    </row>
    <row r="21" spans="1:10" x14ac:dyDescent="0.2">
      <c r="A21" s="115" t="s">
        <v>853</v>
      </c>
      <c r="B21" s="239">
        <f>IF(B8&gt;=DATEVALUE("3/31/2022"),(ACH0023_C1+ACH0025_C1+ACH0027_C1+ACH0029_C1+ACH0031_C1+ACH0033_C1+ACH0035_C1+ACH0037_C1+ACH0039_C1),IF(B8&lt;=DATEVALUE("12/31/2021"),(A550G3_C1+A550G4_C1+A550P3_C1+A550P4_C1),IF(B8&lt;DATEVALUE("9/30/2017"),"N/A")))</f>
        <v>160938827</v>
      </c>
      <c r="C21" s="239">
        <f>IF(C8&gt;=DATEVALUE("3/31/2022"),(ACH0023_C2+ACH0025_C2+ACH0027_C2+ACH0029_C2+ACH0031_C2+ACH0033_C2+ACH0035_C2+ACH0037_C2+ACH0039_C2),IF(C8&lt;=DATEVALUE("12/31/2021"),(A550G3_C2+A550G4_C2+A550P3_C2+A550P4_C2),IF(C8&lt;DATEVALUE("9/30/2017"),"N/A")))</f>
        <v>341152928</v>
      </c>
      <c r="D21" s="71">
        <f t="shared" si="0"/>
        <v>58.982577895885882</v>
      </c>
      <c r="E21" s="239">
        <f>IF(E8&gt;=DATEVALUE("3/31/2022"),(ACH0023_C3+ACH0025_C3+ACH0027_C3+ACH0029_C3+ACH0031_C3+ACH0033_C3+ACH0035_C3+ACH0037_C3+ACH0039_C3),IF(E8&lt;=DATEVALUE("12/31/2021"),(A550G3_C3+A550G4_C3+A550P3_C3+A550P4_C3),IF(E8&lt;DATEVALUE("9/30/2017"),"N/A")))</f>
        <v>68879598</v>
      </c>
      <c r="F21" s="71">
        <f t="shared" si="1"/>
        <v>-19.239036400707661</v>
      </c>
      <c r="G21" s="239">
        <f>IF(G8&gt;=DATEVALUE("3/31/2022"),(ACH0023_C4+ACH0025_C4+ACH0027_C4+ACH0029_C4+ACH0031_C4+ACH0033_C4+ACH0035_C4+ACH0037_C4+ACH0039_C4),IF(G8&lt;=DATEVALUE("12/31/2021"),(A550G3_C4+A550G4_C4+A550P3_C4+A550P4_C4),IF(G8&lt;DATEVALUE("9/30/2017"),"N/A")))</f>
        <v>185896499</v>
      </c>
      <c r="H21" s="236">
        <f t="shared" si="2"/>
        <v>34.943077774640905</v>
      </c>
      <c r="I21" s="239">
        <f>IF(I8&gt;=DATEVALUE("3/31/2022"),(ACH0023_C5+ACH0025_C5+ACH0027_C5+ACH0029_C5+ACH0031_C5+ACH0033_C5+ACH0035_C5+ACH0037_C5+ACH0039_C5),IF(I8&lt;=DATEVALUE("12/31/2021"),(A550G3_C5+A550G4_C5+A550P3_C5+A550P4_C5),IF(I8&lt;DATEVALUE("9/30/2017"),"N/A")))</f>
        <v>246529507</v>
      </c>
      <c r="J21" s="265">
        <f t="shared" si="3"/>
        <v>-11.588972599926878</v>
      </c>
    </row>
    <row r="22" spans="1:10" x14ac:dyDescent="0.2">
      <c r="A22" s="288" t="s">
        <v>854</v>
      </c>
      <c r="B22" s="239"/>
      <c r="C22" s="239"/>
      <c r="D22" s="71"/>
      <c r="E22" s="239"/>
      <c r="F22" s="71"/>
      <c r="G22" s="62"/>
      <c r="H22" s="236"/>
      <c r="I22" s="62"/>
      <c r="J22" s="265"/>
    </row>
    <row r="23" spans="1:10" x14ac:dyDescent="0.2">
      <c r="A23" s="115" t="s">
        <v>855</v>
      </c>
      <c r="B23" s="239">
        <f>IF(B8&lt;DATEVALUE("3/31/2022"),"N/A",ACH0024_C1)</f>
        <v>187747</v>
      </c>
      <c r="C23" s="239">
        <f>IF(C8&lt;DATEVALUE("3/31/2022"),"N/A",ACH0024_C2)</f>
        <v>330536</v>
      </c>
      <c r="D23" s="71">
        <f t="shared" ref="D23:D34" si="4">IF(C23="N/A", " ", IF(B23="N/A", " ",IF(AND(B23=0,C23=0,),"N/A",IF(ABS(B23)=0, "N/A", ((C23*Anu_C2-B23*Anu_C1)/ABS(B23*Anu_C1))*100))))</f>
        <v>32.040458702402717</v>
      </c>
      <c r="E23" s="239">
        <f>IF(E8&lt;DATEVALUE("3/31/2022"),"N/A",ACH0024_C3)</f>
        <v>29944</v>
      </c>
      <c r="F23" s="71">
        <f t="shared" ref="F23:F34" si="5">IF(E23="N/A", " ", IF(C23="N/A", " ",IF(AND(C23=0,E23=0,),"N/A",IF(ABS(C23)=0, "N/A", ((E23*Anu_C3-C23*Anu_C2)/ABS(C23*Anu_C2))*100))))</f>
        <v>-63.763099934651599</v>
      </c>
      <c r="G23" s="239">
        <f>IF(G8&lt;DATEVALUE("3/31/2022"),"N/A",ACH0024_C4)</f>
        <v>73842</v>
      </c>
      <c r="H23" s="236">
        <f t="shared" ref="H23:H34" si="6">IF(G23="N/A", " ", IF(E23="N/A", " ",IF(AND(E23=0,G23=0,),"N/A",IF(ABS(E23)=0, "N/A", ((G23*Anu_C4-E23*Anu_C3)/ABS(E23*Anu_C3))*100))))</f>
        <v>23.300160299225219</v>
      </c>
      <c r="I23" s="239">
        <f>IF(I8&lt;DATEVALUE("3/31/2022"),"N/A",ACH0024_C5)</f>
        <v>50464</v>
      </c>
      <c r="J23" s="265">
        <f t="shared" ref="J23:J34" si="7">IF(I23="N/A", " ", IF(G23="N/A", " ",IF(AND(G23=0,I23=0,),"N/A",IF(ABS(G23)=0, "N/A",((I23*Anu_C5-G23*Anu_C4)/ABS(G23*Anu_C4))*100))))</f>
        <v>-54.439659453066454</v>
      </c>
    </row>
    <row r="24" spans="1:10" x14ac:dyDescent="0.2">
      <c r="A24" s="115" t="s">
        <v>856</v>
      </c>
      <c r="B24" s="239">
        <f>IF(B8&lt;DATEVALUE("3/31/2022"),"N/A",ACH0026_C1)</f>
        <v>7737</v>
      </c>
      <c r="C24" s="239">
        <f>IF(C8&lt;DATEVALUE("3/31/2022"),"N/A",ACH0026_C2)</f>
        <v>289253</v>
      </c>
      <c r="D24" s="71">
        <f t="shared" si="4"/>
        <v>2703.9259402869329</v>
      </c>
      <c r="E24" s="239">
        <f>IF(E8&lt;DATEVALUE("3/31/2022"),"N/A",ACH0026_C3)</f>
        <v>1917</v>
      </c>
      <c r="F24" s="71">
        <f t="shared" si="5"/>
        <v>-97.34903354502805</v>
      </c>
      <c r="G24" s="239">
        <f>IF(G8&lt;DATEVALUE("3/31/2022"),"N/A",ACH0026_C4)</f>
        <v>4070</v>
      </c>
      <c r="H24" s="236">
        <f t="shared" si="6"/>
        <v>6.1554512258737617</v>
      </c>
      <c r="I24" s="239">
        <f>IF(I8&lt;DATEVALUE("3/31/2022"),"N/A",ACH0026_C5)</f>
        <v>6084</v>
      </c>
      <c r="J24" s="265">
        <f t="shared" si="7"/>
        <v>-0.34398034398034399</v>
      </c>
    </row>
    <row r="25" spans="1:10" x14ac:dyDescent="0.2">
      <c r="A25" s="115" t="s">
        <v>857</v>
      </c>
      <c r="B25" s="239">
        <f>IF(B8&lt;DATEVALUE("3/31/2022"),"N/A",ACH0028_C1)</f>
        <v>90181</v>
      </c>
      <c r="C25" s="239">
        <f>IF(C8&lt;DATEVALUE("3/31/2022"),"N/A",ACH0028_C2)</f>
        <v>201970</v>
      </c>
      <c r="D25" s="71">
        <f t="shared" si="4"/>
        <v>67.970525942271664</v>
      </c>
      <c r="E25" s="239">
        <f>IF(E8&lt;DATEVALUE("3/31/2022"),"N/A",ACH0028_C3)</f>
        <v>1239627</v>
      </c>
      <c r="F25" s="71">
        <f t="shared" si="5"/>
        <v>2355.0715452790018</v>
      </c>
      <c r="G25" s="239">
        <f>IF(G8&lt;DATEVALUE("3/31/2022"),"N/A",ACH0028_C4)</f>
        <v>1782408</v>
      </c>
      <c r="H25" s="236">
        <f t="shared" si="6"/>
        <v>-28.10708382440847</v>
      </c>
      <c r="I25" s="239">
        <f>IF(I8&lt;DATEVALUE("3/31/2022"),"N/A",ACH0028_C5)</f>
        <v>2351206</v>
      </c>
      <c r="J25" s="265">
        <f t="shared" si="7"/>
        <v>-12.058817809016425</v>
      </c>
    </row>
    <row r="26" spans="1:10" ht="24" customHeight="1" x14ac:dyDescent="0.2">
      <c r="A26" s="115" t="s">
        <v>858</v>
      </c>
      <c r="B26" s="239">
        <f>IF(B8&lt;DATEVALUE("3/31/2022"),"N/A",ACH0030_C1)</f>
        <v>1394828</v>
      </c>
      <c r="C26" s="239">
        <f>IF(C8&lt;DATEVALUE("3/31/2022"),"N/A",ACH0030_C2)</f>
        <v>1656416</v>
      </c>
      <c r="D26" s="71">
        <f t="shared" si="4"/>
        <v>-10.934394778424286</v>
      </c>
      <c r="E26" s="239">
        <f>IF(E8&lt;DATEVALUE("3/31/2022"),"N/A",ACH0030_C3)</f>
        <v>690644</v>
      </c>
      <c r="F26" s="71">
        <f t="shared" si="5"/>
        <v>66.780325715279247</v>
      </c>
      <c r="G26" s="239">
        <f>IF(G8&lt;DATEVALUE("3/31/2022"),"N/A",ACH0030_C4)</f>
        <v>1022288</v>
      </c>
      <c r="H26" s="236">
        <f t="shared" si="6"/>
        <v>-25.990235200769135</v>
      </c>
      <c r="I26" s="239">
        <f>IF(I8&lt;DATEVALUE("3/31/2022"),"N/A",ACH0030_C5)</f>
        <v>970690</v>
      </c>
      <c r="J26" s="265">
        <f t="shared" si="7"/>
        <v>-36.698203767757562</v>
      </c>
    </row>
    <row r="27" spans="1:10" ht="24" customHeight="1" x14ac:dyDescent="0.2">
      <c r="A27" s="115" t="s">
        <v>859</v>
      </c>
      <c r="B27" s="239">
        <f>IF(B8&lt;DATEVALUE("3/31/2022"),"N/A",ACH0032_C1)</f>
        <v>2959301</v>
      </c>
      <c r="C27" s="239">
        <f>IF(C8&lt;DATEVALUE("3/31/2022"),"N/A",ACH0032_C2)</f>
        <v>6734277</v>
      </c>
      <c r="D27" s="71">
        <f t="shared" si="4"/>
        <v>70.672322619429394</v>
      </c>
      <c r="E27" s="239">
        <f>IF(E8&lt;DATEVALUE("3/31/2022"),"N/A",ACH0032_C3)</f>
        <v>601744</v>
      </c>
      <c r="F27" s="71">
        <f t="shared" si="5"/>
        <v>-64.257840893684644</v>
      </c>
      <c r="G27" s="239">
        <f>IF(G8&lt;DATEVALUE("3/31/2022"),"N/A",ACH0032_C4)</f>
        <v>1783749</v>
      </c>
      <c r="H27" s="236">
        <f t="shared" si="6"/>
        <v>48.214938578531736</v>
      </c>
      <c r="I27" s="239">
        <f>IF(I8&lt;DATEVALUE("3/31/2022"),"N/A",ACH0032_C5)</f>
        <v>4289132</v>
      </c>
      <c r="J27" s="265">
        <f t="shared" si="7"/>
        <v>60.304018857660637</v>
      </c>
    </row>
    <row r="28" spans="1:10" ht="24" customHeight="1" x14ac:dyDescent="0.2">
      <c r="A28" s="115" t="s">
        <v>860</v>
      </c>
      <c r="B28" s="239">
        <f>IF(B8&lt;DATEVALUE("3/31/2022"),"N/A",ACH0034_C1)</f>
        <v>20752</v>
      </c>
      <c r="C28" s="239">
        <f>IF(C8&lt;DATEVALUE("3/31/2022"),"N/A",ACH0034_C2)</f>
        <v>45334</v>
      </c>
      <c r="D28" s="71">
        <f t="shared" si="4"/>
        <v>63.842039321511187</v>
      </c>
      <c r="E28" s="239">
        <f>IF(E8&lt;DATEVALUE("3/31/2022"),"N/A",ACH0034_C3)</f>
        <v>4502</v>
      </c>
      <c r="F28" s="71">
        <f t="shared" si="5"/>
        <v>-60.277054749194868</v>
      </c>
      <c r="G28" s="239">
        <f>IF(G8&lt;DATEVALUE("3/31/2022"),"N/A",ACH0034_C4)</f>
        <v>153139</v>
      </c>
      <c r="H28" s="236">
        <f t="shared" si="6"/>
        <v>1600.7885384273657</v>
      </c>
      <c r="I28" s="239">
        <f>IF(I8&lt;DATEVALUE("3/31/2022"),"N/A",ACH0034_C5)</f>
        <v>158974</v>
      </c>
      <c r="J28" s="265">
        <f t="shared" si="7"/>
        <v>-30.793157414723449</v>
      </c>
    </row>
    <row r="29" spans="1:10" x14ac:dyDescent="0.2">
      <c r="A29" s="115" t="s">
        <v>861</v>
      </c>
      <c r="B29" s="239">
        <f>IF(B8&lt;DATEVALUE("3/31/2022"),"N/A",ACH0036_C1)</f>
        <v>7306796</v>
      </c>
      <c r="C29" s="239">
        <f>IF(C8&lt;DATEVALUE("3/31/2022"),"N/A",ACH0036_C2)</f>
        <v>10721363</v>
      </c>
      <c r="D29" s="71">
        <f t="shared" si="4"/>
        <v>10.048539058706449</v>
      </c>
      <c r="E29" s="239">
        <f>IF(E8&lt;DATEVALUE("3/31/2022"),"N/A",ACH0036_C3)</f>
        <v>2252687</v>
      </c>
      <c r="F29" s="71">
        <f t="shared" si="5"/>
        <v>-15.955200845265663</v>
      </c>
      <c r="G29" s="239">
        <f>IF(G8&lt;DATEVALUE("3/31/2022"),"N/A",ACH0036_C4)</f>
        <v>5411532</v>
      </c>
      <c r="H29" s="236">
        <f t="shared" si="6"/>
        <v>20.112825261565412</v>
      </c>
      <c r="I29" s="239">
        <f>IF(I8&lt;DATEVALUE("3/31/2022"),"N/A",ACH0036_C5)</f>
        <v>7905788</v>
      </c>
      <c r="J29" s="265">
        <f t="shared" si="7"/>
        <v>-2.6056700148251362</v>
      </c>
    </row>
    <row r="30" spans="1:10" x14ac:dyDescent="0.2">
      <c r="A30" s="115" t="s">
        <v>862</v>
      </c>
      <c r="B30" s="239">
        <f>IF(B8&lt;DATEVALUE("3/31/2022"),"N/A",ACH0038_C1)</f>
        <v>2194012</v>
      </c>
      <c r="C30" s="239">
        <f>IF(C8&lt;DATEVALUE("3/31/2022"),"N/A",ACH0038_C2)</f>
        <v>3235357</v>
      </c>
      <c r="D30" s="71">
        <f t="shared" si="4"/>
        <v>10.597287070444477</v>
      </c>
      <c r="E30" s="239">
        <f>IF(E8&lt;DATEVALUE("3/31/2022"),"N/A",ACH0038_C3)</f>
        <v>1490880</v>
      </c>
      <c r="F30" s="71">
        <f t="shared" si="5"/>
        <v>84.323399241567472</v>
      </c>
      <c r="G30" s="239">
        <f>IF(G8&lt;DATEVALUE("3/31/2022"),"N/A",ACH0038_C4)</f>
        <v>2153255</v>
      </c>
      <c r="H30" s="236">
        <f t="shared" si="6"/>
        <v>-27.785770819918437</v>
      </c>
      <c r="I30" s="239">
        <f>IF(I8&lt;DATEVALUE("3/31/2022"),"N/A",ACH0038_C5)</f>
        <v>2837354</v>
      </c>
      <c r="J30" s="265">
        <f t="shared" si="7"/>
        <v>-12.153027238606981</v>
      </c>
    </row>
    <row r="31" spans="1:10" ht="24" customHeight="1" x14ac:dyDescent="0.2">
      <c r="A31" s="115" t="s">
        <v>863</v>
      </c>
      <c r="B31" s="239">
        <f>IF(B8&lt;DATEVALUE("3/31/2022"),"N/A",ACH0040_C1)</f>
        <v>568066</v>
      </c>
      <c r="C31" s="239">
        <f>IF(C8&lt;DATEVALUE("3/31/2022"),"N/A",ACH0040_C2)</f>
        <v>875473</v>
      </c>
      <c r="D31" s="71">
        <f t="shared" si="4"/>
        <v>15.58599704963861</v>
      </c>
      <c r="E31" s="239">
        <f>IF(E8&lt;DATEVALUE("3/31/2022"),"N/A",ACH0040_C3)</f>
        <v>279493</v>
      </c>
      <c r="F31" s="71">
        <f t="shared" si="5"/>
        <v>27.699198033520169</v>
      </c>
      <c r="G31" s="239">
        <f>IF(G8&lt;DATEVALUE("3/31/2022"),"N/A",ACH0040_C4)</f>
        <v>519103</v>
      </c>
      <c r="H31" s="236">
        <f t="shared" si="6"/>
        <v>-7.1348835212330899</v>
      </c>
      <c r="I31" s="239">
        <f>IF(I8&lt;DATEVALUE("3/31/2022"),"N/A",ACH0040_C5)</f>
        <v>897748</v>
      </c>
      <c r="J31" s="265">
        <f t="shared" si="7"/>
        <v>15.294780933006866</v>
      </c>
    </row>
    <row r="32" spans="1:10" x14ac:dyDescent="0.2">
      <c r="A32" s="115" t="s">
        <v>864</v>
      </c>
      <c r="B32" s="239">
        <f>IF(B8&gt;=DATEVALUE("3/31/2022"),(ACH0024_C1+ACH0026_C1+ACH0028_C1+ACH0030_C1+ACH0032_C1),IF(B8&lt;=DATEVALUE("12/31/2021"),(A551G3_C1+A551P3_C1),IF(B8&lt;DATEVALUE("9/30/2017"),"N/A")))</f>
        <v>4639794</v>
      </c>
      <c r="C32" s="239">
        <f>IF(C8&gt;=DATEVALUE("3/31/2022"),(ACH0024_C2+ACH0026_C2+ACH0028_C2+ACH0030_C2+ACH0032_C2),IF(C8&lt;=DATEVALUE("12/31/2021"),(A551G3_C2+A551P3_C2),IF(C8&lt;DATEVALUE("9/30/2017"),"N/A")))</f>
        <v>9212452</v>
      </c>
      <c r="D32" s="71">
        <f t="shared" si="4"/>
        <v>48.914779406154665</v>
      </c>
      <c r="E32" s="239">
        <f>IF(E8&gt;=DATEVALUE("3/31/2022"),(ACH0024_C3+ACH0026_C3+ACH0028_C3+ACH0030_C3+ACH0032_C3),IF(E8&lt;=DATEVALUE("12/31/2021"),(A551G3_C3+A551P3_C3),IF(E8&lt;DATEVALUE("9/30/2017"),"N/A")))</f>
        <v>2563876</v>
      </c>
      <c r="F32" s="71">
        <f t="shared" si="5"/>
        <v>11.322197391096312</v>
      </c>
      <c r="G32" s="239">
        <f>IF(G8&gt;=DATEVALUE("3/31/2022"),(ACH0024_C4+ACH0026_C4+ACH0028_C4+ACH0030_C4+ACH0032_C4),IF(G8&lt;=DATEVALUE("12/31/2021"),(A551G3_C4+A551P3_C4),IF(G8&lt;DATEVALUE("9/30/2017"),"N/A")))</f>
        <v>4666357</v>
      </c>
      <c r="H32" s="236">
        <f t="shared" si="6"/>
        <v>-8.997997563064672</v>
      </c>
      <c r="I32" s="239">
        <f>IF(I8&gt;=DATEVALUE("3/31/2022"),(ACH0024_C5+ACH0026_C5+ACH0028_C5+ACH0030_C5+ACH0032_C5),IF(I8&lt;=DATEVALUE("12/31/2021"),(A551G3_C5+A551P3_C5),IF(I8&lt;DATEVALUE("9/30/2017"),"N/A")))</f>
        <v>7667576</v>
      </c>
      <c r="J32" s="265">
        <f t="shared" si="7"/>
        <v>9.544069031437866</v>
      </c>
    </row>
    <row r="33" spans="1:10" ht="14.25" customHeight="1" x14ac:dyDescent="0.2">
      <c r="A33" s="115" t="s">
        <v>865</v>
      </c>
      <c r="B33" s="239">
        <f>IF(B8&gt;=DATEVALUE("3/31/2022"),(ACH0034_C1 + ACH0036_C1 + ACH0038_C1 + ACH0040_C1),IF(B8&lt;=DATEVALUE("12/31/2021"),(A551G4_C1 + A551P4_C1),IF(B8&lt;DATEVALUE("9/30/2017"),"N/A")))</f>
        <v>10089626</v>
      </c>
      <c r="C33" s="239">
        <f>IF(C8&gt;=DATEVALUE("3/31/2022"),(ACH0034_C2 + ACH0036_C2 + ACH0038_C2 + ACH0040_C2),IF(C8&lt;=DATEVALUE("12/31/2021"),(A551G4_C2 + A551P4_C2),IF(C8&lt;DATEVALUE("9/30/2017"),"N/A")))</f>
        <v>14877527</v>
      </c>
      <c r="D33" s="71">
        <f t="shared" si="4"/>
        <v>10.590276091502307</v>
      </c>
      <c r="E33" s="239">
        <f>IF(E8&gt;=DATEVALUE("3/31/2022"),(ACH0034_C3 + ACH0036_C3 + ACH0038_C3 + ACH0040_C3),IF(E8&lt;=DATEVALUE("12/31/2021"),(A551G4_C3 + A551P4_C3),IF(E8&lt;DATEVALUE("9/30/2017"),"N/A")))</f>
        <v>4027562</v>
      </c>
      <c r="F33" s="71">
        <f t="shared" si="5"/>
        <v>8.285792390092789</v>
      </c>
      <c r="G33" s="239">
        <f>IF(G8&gt;=DATEVALUE("3/31/2022"),(ACH0034_C4 + ACH0036_C4 + ACH0038_C4 + ACH0040_C4),IF(G8&lt;=DATEVALUE("12/31/2021"),(A551G4_C4 + A551P4_C4),IF(G8&lt;DATEVALUE("9/30/2017"),"N/A")))</f>
        <v>8237029</v>
      </c>
      <c r="H33" s="236">
        <f t="shared" si="6"/>
        <v>2.2582520144941283</v>
      </c>
      <c r="I33" s="239">
        <f>IF(I8&gt;=DATEVALUE("3/31/2022"),(ACH0034_C5 + ACH0036_C5 + ACH0038_C5 + ACH0040_C5),IF(I8&lt;=DATEVALUE("12/31/2021"),(A551G4_C5 + A551P4_C5),IF(I8&lt;DATEVALUE("9/30/2017"),"N/A")))</f>
        <v>11799864</v>
      </c>
      <c r="J33" s="265">
        <f t="shared" si="7"/>
        <v>-4.4974104133905559</v>
      </c>
    </row>
    <row r="34" spans="1:10" x14ac:dyDescent="0.2">
      <c r="A34" s="115" t="s">
        <v>866</v>
      </c>
      <c r="B34" s="239">
        <f>IF(B8&gt;=DATEVALUE("3/31/2022"),(ACH0024_C1+ACH0026_C1+ACH0028_C1+ACH0030_C1+ACH0032_C1+ACH0034_C1+ACH0036_C1+ACH0038_C1+ACH0040_C1),IF(B8&lt;=DATEVALUE("12/31/2021"),(A551G3_C1+ A551P3_C1+A551G4_C1+A551P4_C1),IF(B8&lt;DATEVALUE("9/30/2017"),"N/A")))</f>
        <v>14729420</v>
      </c>
      <c r="C34" s="239">
        <f>IF(C8&gt;=DATEVALUE("3/31/2022"),(ACH0024_C2+ACH0026_C2+ACH0028_C2+ACH0030_C2+ACH0032_C2+ACH0034_C2+ACH0036_C2+ACH0038_C2+ACH0040_C2),IF(C8&lt;=DATEVALUE("12/31/2021"),(A551G3_C2+ A551P3_C2+A551G4_C2+A551P4_C2),IF(C8&lt;DATEVALUE("9/30/2017"),"N/A")))</f>
        <v>24089979</v>
      </c>
      <c r="D34" s="71">
        <f t="shared" si="4"/>
        <v>22.662564106393887</v>
      </c>
      <c r="E34" s="239">
        <f>IF(E8&gt;=DATEVALUE("3/31/2022"),(ACH0024_C3+ACH0026_C3+ACH0028_C3+ACH0030_C3+ACH0032_C3+ACH0034_C3+ACH0036_C3+ACH0038_C3+ACH0040_C3),IF(E8&lt;=DATEVALUE("12/31/2021"),(A551G3_C3+ A551P3_C3+A551G4_C3+A551P4_C3),IF(E8&lt;DATEVALUE("9/30/2017"),"N/A")))</f>
        <v>6591438</v>
      </c>
      <c r="F34" s="71">
        <f t="shared" si="5"/>
        <v>9.4469696299859773</v>
      </c>
      <c r="G34" s="239">
        <f>IF(G8&gt;=DATEVALUE("3/31/2022"),(ACH0024_C4+ACH0026_C4+ACH0028_C4+ACH0030_C4+ACH0032_C4+ACH0034_C4+ACH0036_C4+ACH0038_C4+ACH0040_C4),IF(G8&lt;=DATEVALUE("12/31/2021"),(A551G3_C4+ A551P3_C4+A551G4_C4+A551P4_C4),IF(G8&lt;DATEVALUE("9/30/2017"),"N/A")))</f>
        <v>12903386</v>
      </c>
      <c r="H34" s="236">
        <f t="shared" si="6"/>
        <v>-2.1200988312413771</v>
      </c>
      <c r="I34" s="239">
        <f>IF(I8&gt;=DATEVALUE("3/31/2022"),(ACH0024_C5+ACH0026_C5+ACH0028_C5+ACH0030_C5+ACH0032_C5+ACH0034_C5+ACH0036_C5+ACH0038_C5+ACH0040_C5),IF(I8&lt;=DATEVALUE("12/31/2021"),(A551G3_C5+ A551P3_C5+A551G4_C5+A551P4_C5),IF(I8&lt;DATEVALUE("9/30/2017"),"N/A")))</f>
        <v>19467440</v>
      </c>
      <c r="J34" s="265">
        <f t="shared" si="7"/>
        <v>0.58052462612009048</v>
      </c>
    </row>
    <row r="35" spans="1:10" x14ac:dyDescent="0.2">
      <c r="A35" s="249" t="s">
        <v>635</v>
      </c>
      <c r="B35" s="176"/>
      <c r="C35" s="176"/>
      <c r="D35" s="176"/>
      <c r="E35" s="176"/>
      <c r="F35" s="176"/>
      <c r="G35" s="176"/>
      <c r="H35" s="234" t="s">
        <v>867</v>
      </c>
      <c r="I35" s="176"/>
      <c r="J35" s="176"/>
    </row>
  </sheetData>
  <mergeCells count="1">
    <mergeCell ref="D5:J5"/>
  </mergeCells>
  <hyperlinks>
    <hyperlink ref="A2" location="'Cover Page'!A1" display="Return to cover" xr:uid="{00000000-0004-0000-1600-000000000000}"/>
  </hyperlinks>
  <printOptions gridLines="1"/>
  <pageMargins left="0.7" right="0.7" top="0.75" bottom="0.75" header="0.3" footer="0.3"/>
  <pageSetup orientation="landscape" horizontalDpi="1200" verticalDpi="120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1">
    <pageSetUpPr fitToPage="1"/>
  </sheetPr>
  <dimension ref="A1:J50"/>
  <sheetViews>
    <sheetView workbookViewId="0"/>
  </sheetViews>
  <sheetFormatPr defaultRowHeight="12.75" x14ac:dyDescent="0.2"/>
  <cols>
    <col min="1" max="1" width="57.140625" customWidth="1"/>
    <col min="2" max="3" width="16.7109375" customWidth="1"/>
    <col min="4" max="4" width="6.7109375" style="57" customWidth="1"/>
    <col min="5" max="5" width="16.7109375" customWidth="1"/>
    <col min="6" max="6" width="6.7109375" style="57" customWidth="1"/>
    <col min="7" max="7" width="16.7109375" customWidth="1"/>
    <col min="8" max="8" width="6.7109375" style="57" customWidth="1"/>
    <col min="9" max="9" width="16.7109375" customWidth="1"/>
    <col min="10" max="10" width="6.7109375" style="57" customWidth="1"/>
  </cols>
  <sheetData>
    <row r="1" spans="1:10" x14ac:dyDescent="0.2">
      <c r="A1" s="88"/>
      <c r="B1" s="62"/>
      <c r="C1" s="85" t="s">
        <v>27</v>
      </c>
      <c r="D1" s="118"/>
      <c r="E1" s="62"/>
      <c r="F1" s="119"/>
      <c r="G1" s="62"/>
      <c r="H1" s="119"/>
      <c r="I1" s="62"/>
      <c r="J1" s="119"/>
    </row>
    <row r="2" spans="1:10" x14ac:dyDescent="0.2">
      <c r="A2" s="60" t="s">
        <v>49</v>
      </c>
      <c r="B2" s="62"/>
      <c r="C2" s="67" t="s">
        <v>50</v>
      </c>
      <c r="D2" s="89" t="str">
        <f>IF(CU_NUMBER="","N/A",CU_NUMBER)</f>
        <v>N/A</v>
      </c>
      <c r="E2" s="120"/>
      <c r="F2" s="119"/>
      <c r="G2" s="62"/>
      <c r="H2" s="119"/>
      <c r="I2" s="62"/>
      <c r="J2" s="119"/>
    </row>
    <row r="3" spans="1:10" x14ac:dyDescent="0.2">
      <c r="A3" s="121" t="str">
        <f>IF(Request_Date=0,"N/A",Request_Date)</f>
        <v>12/05/2025</v>
      </c>
      <c r="B3" s="62"/>
      <c r="C3" s="67" t="s">
        <v>42</v>
      </c>
      <c r="D3" s="89">
        <f>IF(CountCu_C5=0,"N/A",CountCu_C5)</f>
        <v>4331</v>
      </c>
      <c r="E3" s="120"/>
      <c r="F3" s="119"/>
      <c r="G3" s="62"/>
      <c r="H3" s="119"/>
      <c r="I3" s="62"/>
      <c r="J3" s="119"/>
    </row>
    <row r="4" spans="1:10" x14ac:dyDescent="0.2">
      <c r="A4" s="74" t="str">
        <f>"CU Name:      "&amp;IF(Cu_Name="","N/A",Cu_Name)</f>
        <v>CU Name:      N/A</v>
      </c>
      <c r="B4" s="62"/>
      <c r="C4" s="67" t="s">
        <v>43</v>
      </c>
      <c r="D4" s="89" t="str">
        <f>IF(AssetRange="","N/A",AssetRange)</f>
        <v>N/A</v>
      </c>
      <c r="E4" s="75"/>
      <c r="F4" s="119"/>
      <c r="G4" s="62"/>
      <c r="H4" s="119"/>
      <c r="I4" s="62"/>
      <c r="J4" s="119"/>
    </row>
    <row r="5" spans="1:10" x14ac:dyDescent="0.2">
      <c r="A5" s="74" t="str">
        <f>"Peer Group:      "&amp;IF(Peer_Group="","N/A",IF(Peer_Group="0","N/A",Peer_Group))</f>
        <v>Peer Group:      N/A</v>
      </c>
      <c r="B5" s="90"/>
      <c r="C5" s="67" t="s">
        <v>51</v>
      </c>
      <c r="D5" s="24" t="str">
        <f>IF(_xlnm.Criteria="","N/A",_xlnm.Criteria)</f>
        <v xml:space="preserve">Region: Nation * Peer Group: All * Types Included: All  Federally Insured Credit Unions  (FICUs) *  </v>
      </c>
      <c r="E5" s="23"/>
      <c r="F5" s="23"/>
      <c r="G5" s="23"/>
      <c r="H5" s="23"/>
      <c r="I5" s="23"/>
      <c r="J5" s="23"/>
    </row>
    <row r="6" spans="1:10" x14ac:dyDescent="0.2">
      <c r="A6" s="74"/>
      <c r="B6" s="67"/>
      <c r="C6" s="67" t="s">
        <v>45</v>
      </c>
      <c r="D6" s="89" t="str">
        <f>IF(NoCu_in_Peer_Group="","N/A",NoCu_in_Peer_Group)</f>
        <v>N/A</v>
      </c>
      <c r="E6" s="92" t="str">
        <f>IF(CU_NUMBER&gt;0,"",IF(RetPop=0,"Retroactive Population",""))</f>
        <v/>
      </c>
      <c r="F6" s="119"/>
      <c r="G6" s="62"/>
      <c r="H6" s="119"/>
      <c r="I6" s="62"/>
      <c r="J6" s="119"/>
    </row>
    <row r="7" spans="1:10" x14ac:dyDescent="0.2">
      <c r="A7" s="29"/>
      <c r="E7" s="58"/>
      <c r="F7" s="54"/>
      <c r="G7" s="30"/>
      <c r="H7" s="54"/>
      <c r="I7" s="30"/>
      <c r="J7" s="54"/>
    </row>
    <row r="8" spans="1:10" x14ac:dyDescent="0.2">
      <c r="A8" s="145"/>
      <c r="B8" s="139">
        <f>(CycDat_C1)</f>
        <v>45565</v>
      </c>
      <c r="C8" s="139">
        <f>(CycDat_C2)</f>
        <v>45657</v>
      </c>
      <c r="D8" s="184" t="s">
        <v>52</v>
      </c>
      <c r="E8" s="139">
        <f>(CycDat_C3)</f>
        <v>45747</v>
      </c>
      <c r="F8" s="184" t="s">
        <v>52</v>
      </c>
      <c r="G8" s="139">
        <f>(CycDat_C4)</f>
        <v>45838</v>
      </c>
      <c r="H8" s="184" t="s">
        <v>52</v>
      </c>
      <c r="I8" s="139">
        <f>(CycDat_C5)</f>
        <v>45930</v>
      </c>
      <c r="J8" s="184" t="s">
        <v>52</v>
      </c>
    </row>
    <row r="9" spans="1:10" ht="13.15" customHeight="1" x14ac:dyDescent="0.2">
      <c r="A9" s="145" t="s">
        <v>301</v>
      </c>
      <c r="B9" s="174"/>
      <c r="C9" s="86"/>
      <c r="D9" s="230"/>
      <c r="E9" s="86"/>
      <c r="F9" s="230"/>
      <c r="G9" s="86"/>
      <c r="H9" s="230"/>
      <c r="I9" s="86"/>
      <c r="J9" s="200"/>
    </row>
    <row r="10" spans="1:10" ht="13.15" customHeight="1" x14ac:dyDescent="0.2">
      <c r="A10" s="145" t="s">
        <v>868</v>
      </c>
      <c r="B10" s="240"/>
      <c r="C10" s="241"/>
      <c r="D10" s="230"/>
      <c r="E10" s="241"/>
      <c r="F10" s="230"/>
      <c r="G10" s="241"/>
      <c r="H10" s="230"/>
      <c r="I10" s="241"/>
      <c r="J10" s="200"/>
    </row>
    <row r="11" spans="1:10" ht="13.15" customHeight="1" x14ac:dyDescent="0.2">
      <c r="A11" s="86" t="s">
        <v>869</v>
      </c>
      <c r="B11" s="242">
        <f>IF(B8&lt;DATEVALUE("03/31/2022"),"N/A",ANV0106_C1)</f>
        <v>1153976252</v>
      </c>
      <c r="C11" s="242">
        <f>IF(C8&lt;DATEVALUE("03/31/2022"),"N/A",ANV0106_C2)</f>
        <v>1168506783</v>
      </c>
      <c r="D11" s="102">
        <f>IF(C11="N/A", " ", IF(B11="N/A", " ",IF(AND(B11=0,C11=0,),"N/A",IF(ABS(B11)=0, "N/A", ((C11-B11)/ABS(B11))*100))))</f>
        <v>1.2591707129862149</v>
      </c>
      <c r="E11" s="242">
        <f>IF(E8&lt;DATEVALUE("03/31/2022"),"N/A",ANV0106_C3)</f>
        <v>1175069968</v>
      </c>
      <c r="F11" s="102">
        <f>IF(E11="N/A", " ", IF(C11="N/A", " ",IF(AND(C11=0,E11=0,),"N/A",IF(ABS(C11)=0, "N/A", ((E11-C11)/ABS(C11))*100))))</f>
        <v>0.56167282000279162</v>
      </c>
      <c r="G11" s="242">
        <f>IF(G8&lt;DATEVALUE("03/31/2022"),"N/A",ANV0106_C4)</f>
        <v>1318892486</v>
      </c>
      <c r="H11" s="102">
        <f>IF(G11="N/A", " ", IF(E11="N/A", " ",IF(AND(E11=0,G11=0,),"N/A",IF(ABS(E11)=0, "N/A", ((G11-E11)/ABS(E11))*100))))</f>
        <v>12.239485470366477</v>
      </c>
      <c r="I11" s="242">
        <f>IF(I8&lt;DATEVALUE("03/31/2022"),"N/A",ANV0106_C5)</f>
        <v>1391141538</v>
      </c>
      <c r="J11" s="102">
        <f>IF(I11="N/A", " ", IF(G11="N/A", " ",IF(AND(G11=0,I11=0,),"N/A",IF(ABS(G11)=0, "N/A",((I11-G11)/ABS(G11))*100))))</f>
        <v>5.4780092211398044</v>
      </c>
    </row>
    <row r="12" spans="1:10" ht="13.15" customHeight="1" x14ac:dyDescent="0.2">
      <c r="A12" s="86" t="s">
        <v>870</v>
      </c>
      <c r="B12" s="242">
        <f>IF(B8&lt;DATEVALUE("03/31/2022"),"N/A",ANV0107_C1)</f>
        <v>2277737191</v>
      </c>
      <c r="C12" s="242">
        <f>IF(C8&lt;DATEVALUE("03/31/2022"),"N/A",ANV0107_C2)</f>
        <v>2321070030</v>
      </c>
      <c r="D12" s="102">
        <f>IF(C12="N/A", " ", IF(B12="N/A", " ",IF(AND(B12=0,C12=0,),"N/A",IF(ABS(B12)=0, "N/A", ((C12-B12)/ABS(B12))*100))))</f>
        <v>1.9024512209407041</v>
      </c>
      <c r="E12" s="242">
        <f>IF(E8&lt;DATEVALUE("03/31/2022"),"N/A",ANV0107_C3)</f>
        <v>2144892216</v>
      </c>
      <c r="F12" s="102">
        <f>IF(E12="N/A", " ", IF(C12="N/A", " ",IF(AND(C12=0,E12=0,),"N/A",IF(ABS(C12)=0, "N/A", ((E12-C12)/ABS(C12))*100))))</f>
        <v>-7.5903704637468445</v>
      </c>
      <c r="G12" s="242">
        <f>IF(G8&lt;DATEVALUE("03/31/2022"),"N/A",ANV0107_C4)</f>
        <v>2304658722</v>
      </c>
      <c r="H12" s="102">
        <f>IF(G12="N/A", " ", IF(E12="N/A", " ",IF(AND(E12=0,G12=0,),"N/A",IF(ABS(E12)=0, "N/A", ((G12-E12)/ABS(E12))*100))))</f>
        <v>7.4486962472150626</v>
      </c>
      <c r="I12" s="242">
        <f>IF(I8&lt;DATEVALUE("03/31/2022"),"N/A",ANV0107_C5)</f>
        <v>2390126411</v>
      </c>
      <c r="J12" s="102">
        <f>IF(I12="N/A", " ", IF(G12="N/A", " ",IF(AND(G12=0,I12=0,),"N/A",IF(ABS(G12)=0, "N/A",((I12-G12)/ABS(G12))*100))))</f>
        <v>3.7084748463681643</v>
      </c>
    </row>
    <row r="13" spans="1:10" ht="13.15" customHeight="1" x14ac:dyDescent="0.2">
      <c r="A13" s="86" t="s">
        <v>871</v>
      </c>
      <c r="B13" s="242">
        <f>IF(B8&lt;DATEVALUE("03/31/2022"),"N/A",ANV0108_C1)</f>
        <v>1131211106</v>
      </c>
      <c r="C13" s="242">
        <f>IF(C8&lt;DATEVALUE("03/31/2022"),"N/A",ANV0108_C2)</f>
        <v>1127415697</v>
      </c>
      <c r="D13" s="102">
        <f>IF(C13="N/A", " ", IF(B13="N/A", " ",IF(AND(B13=0,C13=0,),"N/A",IF(ABS(B13)=0, "N/A", ((C13-B13)/ABS(B13))*100))))</f>
        <v>-0.3355173035226548</v>
      </c>
      <c r="E13" s="242">
        <f>IF(E8&lt;DATEVALUE("03/31/2022"),"N/A",ANV0108_C3)</f>
        <v>1206898339</v>
      </c>
      <c r="F13" s="102">
        <f>IF(E13="N/A", " ", IF(C13="N/A", " ",IF(AND(C13=0,E13=0,),"N/A",IF(ABS(C13)=0, "N/A", ((E13-C13)/ABS(C13))*100))))</f>
        <v>7.0499853968238657</v>
      </c>
      <c r="G13" s="242">
        <f>IF(G8&lt;DATEVALUE("03/31/2022"),"N/A",ANV0108_C4)</f>
        <v>1295617471</v>
      </c>
      <c r="H13" s="102">
        <f>IF(G13="N/A", " ", IF(E13="N/A", " ",IF(AND(E13=0,G13=0,),"N/A",IF(ABS(E13)=0, "N/A", ((G13-E13)/ABS(E13))*100))))</f>
        <v>7.3510029082905213</v>
      </c>
      <c r="I13" s="242">
        <f>IF(I8&lt;DATEVALUE("03/31/2022"),"N/A",ANV0108_C5)</f>
        <v>1387580382</v>
      </c>
      <c r="J13" s="102">
        <f>IF(I13="N/A", " ", IF(G13="N/A", " ",IF(AND(G13=0,I13=0,),"N/A",IF(ABS(G13)=0, "N/A",((I13-G13)/ABS(G13))*100))))</f>
        <v>7.0979986808158744</v>
      </c>
    </row>
    <row r="14" spans="1:10" ht="13.15" customHeight="1" x14ac:dyDescent="0.2">
      <c r="A14" s="145" t="s">
        <v>872</v>
      </c>
      <c r="B14" s="242">
        <f>IF(B8&lt;DATEVALUE("03/31/2019"),"N/A",AAS0055_C1)</f>
        <v>4562924549</v>
      </c>
      <c r="C14" s="242">
        <f>IF(C8&lt;DATEVALUE("03/31/2019"),"N/A",AAS0055_C2)</f>
        <v>4616992510</v>
      </c>
      <c r="D14" s="102">
        <f>IF(C14="N/A", " ", IF(B14="N/A", " ",IF(AND(B14=0,C14=0,),"N/A",IF(ABS(B14)=0, "N/A", ((C14-B14)/ABS(B14))*100))))</f>
        <v>1.1849409390705223</v>
      </c>
      <c r="E14" s="242">
        <f>IF(E8&lt;DATEVALUE("03/31/2019"),"N/A",AAS0055_C3)</f>
        <v>4526860523</v>
      </c>
      <c r="F14" s="102">
        <f>IF(E14="N/A", " ", IF(C14="N/A", " ",IF(AND(C14=0,E14=0,),"N/A",IF(ABS(C14)=0, "N/A", ((E14-C14)/ABS(C14))*100))))</f>
        <v>-1.9521796235272646</v>
      </c>
      <c r="G14" s="242">
        <f>IF(G8&lt;DATEVALUE("03/31/2019"),"N/A",AAS0055_C4)</f>
        <v>4919168679</v>
      </c>
      <c r="H14" s="102">
        <f>IF(G14="N/A", " ", IF(E14="N/A", " ",IF(AND(E14=0,G14=0,),"N/A",IF(ABS(E14)=0, "N/A", ((G14-E14)/ABS(E14))*100))))</f>
        <v>8.666230249568482</v>
      </c>
      <c r="I14" s="242">
        <f>IF(I8&lt;DATEVALUE("03/31/2019"),"N/A",AAS0055_C5)</f>
        <v>5168848331</v>
      </c>
      <c r="J14" s="102">
        <f>IF(I14="N/A", " ", IF(G14="N/A", " ",IF(AND(G14=0,I14=0,),"N/A",IF(ABS(G14)=0, "N/A",((I14-G14)/ABS(G14))*100))))</f>
        <v>5.0756472951595644</v>
      </c>
    </row>
    <row r="15" spans="1:10" ht="13.15" customHeight="1" x14ac:dyDescent="0.2">
      <c r="A15" s="145" t="s">
        <v>873</v>
      </c>
      <c r="B15" s="242"/>
      <c r="C15" s="242"/>
      <c r="D15" s="102"/>
      <c r="E15" s="242"/>
      <c r="F15" s="102"/>
      <c r="G15" s="242"/>
      <c r="H15" s="102"/>
      <c r="I15" s="242"/>
      <c r="J15" s="102"/>
    </row>
    <row r="16" spans="1:10" ht="13.15" customHeight="1" x14ac:dyDescent="0.2">
      <c r="A16" s="86" t="s">
        <v>874</v>
      </c>
      <c r="B16" s="242">
        <f>IF(B8&lt;DATEVALUE("03/31/2022"),"N/A",ANV0087_C1)</f>
        <v>83946863</v>
      </c>
      <c r="C16" s="242">
        <f>IF(C8&lt;DATEVALUE("03/31/2022"),"N/A",ANV0087_C2)</f>
        <v>94366529</v>
      </c>
      <c r="D16" s="102">
        <f t="shared" ref="D16:D25" si="0">IF(C16="N/A", " ", IF(B16="N/A", " ",IF(AND(B16=0,C16=0,),"N/A",IF(ABS(B16)=0, "N/A", ((C16-B16)/ABS(B16))*100))))</f>
        <v>12.412216046715169</v>
      </c>
      <c r="E16" s="242">
        <f>IF(E8&lt;DATEVALUE("03/31/2022"),"N/A",ANV0087_C3)</f>
        <v>104708817</v>
      </c>
      <c r="F16" s="102">
        <f t="shared" ref="F16:F25" si="1">IF(E16="N/A", " ", IF(C16="N/A", " ",IF(AND(C16=0,E16=0,),"N/A",IF(ABS(C16)=0, "N/A", ((E16-C16)/ABS(C16))*100))))</f>
        <v>10.959699492602933</v>
      </c>
      <c r="G16" s="242">
        <f>IF(G8&lt;DATEVALUE("03/31/2022"),"N/A",ANV0087_C4)</f>
        <v>112100662</v>
      </c>
      <c r="H16" s="102">
        <f t="shared" ref="H16:H25" si="2">IF(G16="N/A", " ", IF(E16="N/A", " ",IF(AND(E16=0,G16=0,),"N/A",IF(ABS(E16)=0, "N/A", ((G16-E16)/ABS(E16))*100))))</f>
        <v>7.0594293888355173</v>
      </c>
      <c r="I16" s="242">
        <f>IF(I8&lt;DATEVALUE("03/31/2022"),"N/A",ANV0087_C5)</f>
        <v>125936257</v>
      </c>
      <c r="J16" s="102">
        <f t="shared" ref="J16:J25" si="3">IF(I16="N/A", " ", IF(G16="N/A", " ",IF(AND(G16=0,I16=0,),"N/A",IF(ABS(G16)=0, "N/A",((I16-G16)/ABS(G16))*100))))</f>
        <v>12.342117123269086</v>
      </c>
    </row>
    <row r="17" spans="1:10" ht="13.15" customHeight="1" x14ac:dyDescent="0.2">
      <c r="A17" s="86" t="s">
        <v>875</v>
      </c>
      <c r="B17" s="242">
        <f>IF(B8&lt;DATEVALUE("03/31/2022"),"N/A",ANV0088_C1)</f>
        <v>5500000</v>
      </c>
      <c r="C17" s="242">
        <f>IF(C8&lt;DATEVALUE("03/31/2022"),"N/A",ANV0088_C2)</f>
        <v>0</v>
      </c>
      <c r="D17" s="102">
        <f t="shared" si="0"/>
        <v>-100</v>
      </c>
      <c r="E17" s="242">
        <f>IF(E8&lt;DATEVALUE("03/31/2022"),"N/A",ANV0088_C3)</f>
        <v>0</v>
      </c>
      <c r="F17" s="102" t="str">
        <f t="shared" si="1"/>
        <v>N/A</v>
      </c>
      <c r="G17" s="242">
        <f>IF(G8&lt;DATEVALUE("03/31/2022"),"N/A",ANV0088_C4)</f>
        <v>0</v>
      </c>
      <c r="H17" s="102" t="str">
        <f t="shared" si="2"/>
        <v>N/A</v>
      </c>
      <c r="I17" s="242">
        <f>IF(I8&lt;DATEVALUE("03/31/2022"),"N/A",ANV0088_C5)</f>
        <v>5635258</v>
      </c>
      <c r="J17" s="102" t="str">
        <f t="shared" si="3"/>
        <v>N/A</v>
      </c>
    </row>
    <row r="18" spans="1:10" ht="13.15" customHeight="1" x14ac:dyDescent="0.2">
      <c r="A18" s="86" t="s">
        <v>876</v>
      </c>
      <c r="B18" s="242">
        <f>IF(B8&lt;DATEVALUE("03/31/2022"),"N/A",ANV0089_C1)</f>
        <v>0</v>
      </c>
      <c r="C18" s="242">
        <f>IF(C8&lt;DATEVALUE("03/31/2022"),"N/A",ANV0089_C2)</f>
        <v>0</v>
      </c>
      <c r="D18" s="102" t="str">
        <f t="shared" si="0"/>
        <v>N/A</v>
      </c>
      <c r="E18" s="242">
        <f>IF(E8&lt;DATEVALUE("03/31/2022"),"N/A",ANV0089_C3)</f>
        <v>0</v>
      </c>
      <c r="F18" s="102" t="str">
        <f t="shared" si="1"/>
        <v>N/A</v>
      </c>
      <c r="G18" s="242">
        <f>IF(G8&lt;DATEVALUE("03/31/2022"),"N/A",ANV0089_C4)</f>
        <v>0</v>
      </c>
      <c r="H18" s="102" t="str">
        <f t="shared" si="2"/>
        <v>N/A</v>
      </c>
      <c r="I18" s="242">
        <f>IF(I8&lt;DATEVALUE("03/31/2022"),"N/A",ANV0089_C5)</f>
        <v>31851881</v>
      </c>
      <c r="J18" s="102" t="str">
        <f t="shared" si="3"/>
        <v>N/A</v>
      </c>
    </row>
    <row r="19" spans="1:10" ht="13.15" customHeight="1" x14ac:dyDescent="0.2">
      <c r="A19" s="86" t="s">
        <v>877</v>
      </c>
      <c r="B19" s="242">
        <f>IF(B8&lt;DATEVALUE("03/31/2022"),"N/A",ANV0093_C1)</f>
        <v>9011685</v>
      </c>
      <c r="C19" s="242">
        <f>IF(C8&lt;DATEVALUE("03/31/2022"),"N/A",ANV0093_C2)</f>
        <v>10438864</v>
      </c>
      <c r="D19" s="102">
        <f t="shared" si="0"/>
        <v>15.836982761825341</v>
      </c>
      <c r="E19" s="242">
        <f>IF(E8&lt;DATEVALUE("03/31/2022"),"N/A",ANV0093_C3)</f>
        <v>11171554</v>
      </c>
      <c r="F19" s="102">
        <f t="shared" si="1"/>
        <v>7.0188671870808932</v>
      </c>
      <c r="G19" s="242">
        <f>IF(G8&lt;DATEVALUE("03/31/2022"),"N/A",ANV0093_C4)</f>
        <v>10974328</v>
      </c>
      <c r="H19" s="102">
        <f t="shared" si="2"/>
        <v>-1.7654303062940035</v>
      </c>
      <c r="I19" s="242">
        <f>IF(I8&lt;DATEVALUE("03/31/2022"),"N/A",ANV0093_C5)</f>
        <v>16024636</v>
      </c>
      <c r="J19" s="102">
        <f t="shared" si="3"/>
        <v>46.019291568467793</v>
      </c>
    </row>
    <row r="20" spans="1:10" ht="13.15" customHeight="1" x14ac:dyDescent="0.2">
      <c r="A20" s="144" t="s">
        <v>878</v>
      </c>
      <c r="B20" s="242">
        <f>IF(B8&lt;DATEVALUE("03/31/2022"),"N/A",ANV0097_C1)</f>
        <v>0</v>
      </c>
      <c r="C20" s="242">
        <f>IF(C8&lt;DATEVALUE("03/31/2022"),"N/A",ANV0097_C2)</f>
        <v>0</v>
      </c>
      <c r="D20" s="102" t="str">
        <f t="shared" si="0"/>
        <v>N/A</v>
      </c>
      <c r="E20" s="242">
        <f>IF(E8&lt;DATEVALUE("03/31/2022"),"N/A",ANV0097_C3)</f>
        <v>0</v>
      </c>
      <c r="F20" s="102" t="str">
        <f t="shared" si="1"/>
        <v>N/A</v>
      </c>
      <c r="G20" s="242">
        <f>IF(G8&lt;DATEVALUE("03/31/2022"),"N/A",ANV0097_C4)</f>
        <v>0</v>
      </c>
      <c r="H20" s="102" t="str">
        <f t="shared" si="2"/>
        <v>N/A</v>
      </c>
      <c r="I20" s="242">
        <f>IF(I8&lt;DATEVALUE("03/31/2022"),"N/A",ANV0097_C5)</f>
        <v>2071021</v>
      </c>
      <c r="J20" s="102" t="str">
        <f t="shared" si="3"/>
        <v>N/A</v>
      </c>
    </row>
    <row r="21" spans="1:10" ht="24" customHeight="1" x14ac:dyDescent="0.2">
      <c r="A21" s="144" t="s">
        <v>879</v>
      </c>
      <c r="B21" s="242">
        <f>IF(B8&lt;DATEVALUE("03/31/2022"),"N/A",ANV0101_C1)</f>
        <v>20338440</v>
      </c>
      <c r="C21" s="242">
        <f>IF(C8&lt;DATEVALUE("03/31/2022"),"N/A",ANV0101_C2)</f>
        <v>19842548</v>
      </c>
      <c r="D21" s="102">
        <f t="shared" si="0"/>
        <v>-2.4382007666271353</v>
      </c>
      <c r="E21" s="242">
        <f>IF(E8&lt;DATEVALUE("03/31/2022"),"N/A",ANV0101_C3)</f>
        <v>19375225</v>
      </c>
      <c r="F21" s="102">
        <f t="shared" si="1"/>
        <v>-2.3551562027215458</v>
      </c>
      <c r="G21" s="242">
        <f>IF(G8&lt;DATEVALUE("03/31/2022"),"N/A",ANV0101_C4)</f>
        <v>18570317</v>
      </c>
      <c r="H21" s="102">
        <f t="shared" si="2"/>
        <v>-4.1543156273023927</v>
      </c>
      <c r="I21" s="242">
        <f>IF(I8&lt;DATEVALUE("03/31/2022"),"N/A",ANV0101_C5)</f>
        <v>19033101</v>
      </c>
      <c r="J21" s="102">
        <f t="shared" si="3"/>
        <v>2.4920630057095954</v>
      </c>
    </row>
    <row r="22" spans="1:10" ht="13.15" customHeight="1" x14ac:dyDescent="0.2">
      <c r="A22" s="144" t="s">
        <v>880</v>
      </c>
      <c r="B22" s="242">
        <f>IF(B8&lt;DATEVALUE("03/31/2022"),"N/A",ANV0102_C1)</f>
        <v>1137114</v>
      </c>
      <c r="C22" s="242">
        <f>IF(C8&lt;DATEVALUE("03/31/2022"),"N/A",ANV0102_C2)</f>
        <v>1122736</v>
      </c>
      <c r="D22" s="102">
        <f t="shared" si="0"/>
        <v>-1.2644290721950482</v>
      </c>
      <c r="E22" s="242">
        <f>IF(E8&lt;DATEVALUE("03/31/2022"),"N/A",ANV0102_C3)</f>
        <v>1142665</v>
      </c>
      <c r="F22" s="102">
        <f t="shared" si="1"/>
        <v>1.7750388337062317</v>
      </c>
      <c r="G22" s="242">
        <f>IF(G8&lt;DATEVALUE("03/31/2022"),"N/A",ANV0102_C4)</f>
        <v>1161248</v>
      </c>
      <c r="H22" s="102">
        <f t="shared" si="2"/>
        <v>1.6262859193201857</v>
      </c>
      <c r="I22" s="242">
        <f>IF(I8&lt;DATEVALUE("03/31/2022"),"N/A",ANV0102_C5)</f>
        <v>1198189</v>
      </c>
      <c r="J22" s="102">
        <f t="shared" si="3"/>
        <v>3.1811464906721043</v>
      </c>
    </row>
    <row r="23" spans="1:10" ht="13.15" customHeight="1" x14ac:dyDescent="0.2">
      <c r="A23" s="144" t="s">
        <v>881</v>
      </c>
      <c r="B23" s="242">
        <f>IF(B8&lt;DATEVALUE("03/31/2022"),"N/A",ANV0103_C1)</f>
        <v>34134450</v>
      </c>
      <c r="C23" s="242">
        <f>IF(C8&lt;DATEVALUE("03/31/2022"),"N/A",ANV0103_C2)</f>
        <v>32773684</v>
      </c>
      <c r="D23" s="102">
        <f t="shared" si="0"/>
        <v>-3.9864887232693067</v>
      </c>
      <c r="E23" s="242">
        <f>IF(E8&lt;DATEVALUE("03/31/2022"),"N/A",ANV0103_C3)</f>
        <v>35289068</v>
      </c>
      <c r="F23" s="102">
        <f t="shared" si="1"/>
        <v>7.6750114512607128</v>
      </c>
      <c r="G23" s="242">
        <f>IF(G8&lt;DATEVALUE("03/31/2022"),"N/A",ANV0103_C4)</f>
        <v>33860343</v>
      </c>
      <c r="H23" s="102">
        <f t="shared" si="2"/>
        <v>-4.0486334181452452</v>
      </c>
      <c r="I23" s="242">
        <f>IF(I8&lt;DATEVALUE("03/31/2022"),"N/A",ANV0103_C5)</f>
        <v>36815709</v>
      </c>
      <c r="J23" s="102">
        <f t="shared" si="3"/>
        <v>8.7281041423591006</v>
      </c>
    </row>
    <row r="24" spans="1:10" ht="13.15" customHeight="1" x14ac:dyDescent="0.2">
      <c r="A24" s="144" t="s">
        <v>882</v>
      </c>
      <c r="B24" s="242">
        <f>IF(B8&lt;DATEVALUE("03/31/2022"),"N/A",ANV0104_C1)</f>
        <v>358156660</v>
      </c>
      <c r="C24" s="242">
        <f>IF(C8&lt;DATEVALUE("03/31/2022"),"N/A",ANV0104_C2)</f>
        <v>369529339</v>
      </c>
      <c r="D24" s="102">
        <f t="shared" si="0"/>
        <v>3.1753364575155465</v>
      </c>
      <c r="E24" s="242">
        <f>IF(E8&lt;DATEVALUE("03/31/2022"),"N/A",ANV0104_C3)</f>
        <v>379720750</v>
      </c>
      <c r="F24" s="102">
        <f t="shared" si="1"/>
        <v>2.7579436662808527</v>
      </c>
      <c r="G24" s="242">
        <f>IF(G8&lt;DATEVALUE("03/31/2022"),"N/A",ANV0104_C4)</f>
        <v>402908192</v>
      </c>
      <c r="H24" s="102">
        <f t="shared" si="2"/>
        <v>6.1064458552765419</v>
      </c>
      <c r="I24" s="242">
        <f>IF(I8&lt;DATEVALUE("03/31/2022"),"N/A",ANV0104_C5)</f>
        <v>462209880</v>
      </c>
      <c r="J24" s="102">
        <f t="shared" si="3"/>
        <v>14.718412079345361</v>
      </c>
    </row>
    <row r="25" spans="1:10" ht="13.15" customHeight="1" x14ac:dyDescent="0.2">
      <c r="A25" s="145" t="s">
        <v>883</v>
      </c>
      <c r="B25" s="242">
        <f>IF(B8&lt;DATEVALUE("03/31/2022"),"N/A",ANV0105_C1)</f>
        <v>512225212</v>
      </c>
      <c r="C25" s="242">
        <f>IF(C8&lt;DATEVALUE("03/31/2022"),"N/A",ANV0105_C2)</f>
        <v>528073700</v>
      </c>
      <c r="D25" s="102">
        <f t="shared" si="0"/>
        <v>3.0940468428172565</v>
      </c>
      <c r="E25" s="242">
        <f>IF(E8&lt;DATEVALUE("03/31/2022"),"N/A",ANV0105_C3)</f>
        <v>551408079</v>
      </c>
      <c r="F25" s="102">
        <f t="shared" si="1"/>
        <v>4.4187731750321975</v>
      </c>
      <c r="G25" s="242">
        <f>IF(G8&lt;DATEVALUE("03/31/2022"),"N/A",ANV0105_C4)</f>
        <v>579575090</v>
      </c>
      <c r="H25" s="102">
        <f t="shared" si="2"/>
        <v>5.1081970092063163</v>
      </c>
      <c r="I25" s="242">
        <f>IF(I8&lt;DATEVALUE("03/31/2022"),"N/A",ANV0105_C5)</f>
        <v>700775932</v>
      </c>
      <c r="J25" s="102">
        <f t="shared" si="3"/>
        <v>20.912017112398669</v>
      </c>
    </row>
    <row r="26" spans="1:10" ht="13.15" customHeight="1" x14ac:dyDescent="0.2">
      <c r="A26" s="145" t="s">
        <v>884</v>
      </c>
      <c r="B26" s="242"/>
      <c r="C26" s="242"/>
      <c r="D26" s="102"/>
      <c r="E26" s="242"/>
      <c r="F26" s="102"/>
      <c r="G26" s="242"/>
      <c r="H26" s="102"/>
      <c r="I26" s="242"/>
      <c r="J26" s="102"/>
    </row>
    <row r="27" spans="1:10" ht="13.15" customHeight="1" x14ac:dyDescent="0.2">
      <c r="A27" s="86" t="s">
        <v>874</v>
      </c>
      <c r="B27" s="242">
        <f>IF(B8&lt;DATEVALUE("03/31/2022"),"N/A",ANV0003_C1)</f>
        <v>40343311743</v>
      </c>
      <c r="C27" s="242">
        <f>IF(C8&lt;DATEVALUE("03/31/2022"),"N/A",ANV0003_C2)</f>
        <v>37857545615</v>
      </c>
      <c r="D27" s="102">
        <f t="shared" ref="D27:D36" si="4">IF(C27="N/A", " ", IF(B27="N/A", " ",IF(AND(B27=0,C27=0,),"N/A",IF(ABS(B27)=0, "N/A", ((C27-B27)/ABS(B27))*100))))</f>
        <v>-6.1615321613533798</v>
      </c>
      <c r="E27" s="242">
        <f>IF(E8&lt;DATEVALUE("03/31/2022"),"N/A",ANV0003_C3)</f>
        <v>38006962108</v>
      </c>
      <c r="F27" s="102">
        <f t="shared" ref="F27:F36" si="5">IF(E27="N/A", " ", IF(C27="N/A", " ",IF(AND(C27=0,E27=0,),"N/A",IF(ABS(C27)=0, "N/A", ((E27-C27)/ABS(C27))*100))))</f>
        <v>0.39468087688388825</v>
      </c>
      <c r="G27" s="242">
        <f>IF(G8&lt;DATEVALUE("03/31/2022"),"N/A",ANV0003_C4)</f>
        <v>38695770563</v>
      </c>
      <c r="H27" s="102">
        <f t="shared" ref="H27:H36" si="6">IF(G27="N/A", " ", IF(E27="N/A", " ",IF(AND(E27=0,G27=0,),"N/A",IF(ABS(E27)=0, "N/A", ((G27-E27)/ABS(E27))*100))))</f>
        <v>1.8123217873680419</v>
      </c>
      <c r="I27" s="242">
        <f>IF(I8&lt;DATEVALUE("03/31/2022"),"N/A",ANV0003_C5)</f>
        <v>39964239229</v>
      </c>
      <c r="J27" s="102">
        <f t="shared" ref="J27:J36" si="7">IF(I27="N/A", " ", IF(G27="N/A", " ",IF(AND(G27=0,I27=0,),"N/A",IF(ABS(G27)=0, "N/A",((I27-G27)/ABS(G27))*100))))</f>
        <v>3.2780550627227472</v>
      </c>
    </row>
    <row r="28" spans="1:10" ht="13.15" customHeight="1" x14ac:dyDescent="0.2">
      <c r="A28" s="86" t="s">
        <v>875</v>
      </c>
      <c r="B28" s="242">
        <f>IF(B8&lt;DATEVALUE("03/31/2022"),"N/A",ANV0015_C1)</f>
        <v>51934851740</v>
      </c>
      <c r="C28" s="242">
        <f>IF(C8&lt;DATEVALUE("03/31/2022"),"N/A",ANV0015_C2)</f>
        <v>50463690745</v>
      </c>
      <c r="D28" s="102">
        <f t="shared" si="4"/>
        <v>-2.8327047169885695</v>
      </c>
      <c r="E28" s="242">
        <f>IF(E8&lt;DATEVALUE("03/31/2022"),"N/A",ANV0015_C3)</f>
        <v>49151340445</v>
      </c>
      <c r="F28" s="102">
        <f t="shared" si="5"/>
        <v>-2.6005832721024849</v>
      </c>
      <c r="G28" s="242">
        <f>IF(G8&lt;DATEVALUE("03/31/2022"),"N/A",ANV0015_C4)</f>
        <v>47370407191</v>
      </c>
      <c r="H28" s="102">
        <f t="shared" si="6"/>
        <v>-3.6233666017569792</v>
      </c>
      <c r="I28" s="242">
        <f>IF(I8&lt;DATEVALUE("03/31/2022"),"N/A",ANV0015_C5)</f>
        <v>45001244336</v>
      </c>
      <c r="J28" s="102">
        <f t="shared" si="7"/>
        <v>-5.0013563224132938</v>
      </c>
    </row>
    <row r="29" spans="1:10" ht="13.15" customHeight="1" x14ac:dyDescent="0.2">
      <c r="A29" s="86" t="s">
        <v>876</v>
      </c>
      <c r="B29" s="242">
        <f>IF(B8&lt;DATEVALUE("03/31/2022"),"N/A",ANV0019_C1)</f>
        <v>176890196258</v>
      </c>
      <c r="C29" s="242">
        <f>IF(C8&lt;DATEVALUE("03/31/2022"),"N/A",ANV0019_C2)</f>
        <v>182142830999</v>
      </c>
      <c r="D29" s="102">
        <f t="shared" si="4"/>
        <v>2.969432366584559</v>
      </c>
      <c r="E29" s="242">
        <f>IF(E8&lt;DATEVALUE("03/31/2022"),"N/A",ANV0019_C3)</f>
        <v>187437582466</v>
      </c>
      <c r="F29" s="102">
        <f t="shared" si="5"/>
        <v>2.9069227912840936</v>
      </c>
      <c r="G29" s="242">
        <f>IF(G8&lt;DATEVALUE("03/31/2022"),"N/A",ANV0019_C4)</f>
        <v>190864345288</v>
      </c>
      <c r="H29" s="102">
        <f t="shared" si="6"/>
        <v>1.8282154394632106</v>
      </c>
      <c r="I29" s="242">
        <f>IF(I8&lt;DATEVALUE("03/31/2022"),"N/A",ANV0019_C5)</f>
        <v>193466705074</v>
      </c>
      <c r="J29" s="102">
        <f t="shared" si="7"/>
        <v>1.363460410624747</v>
      </c>
    </row>
    <row r="30" spans="1:10" ht="13.15" customHeight="1" x14ac:dyDescent="0.2">
      <c r="A30" s="86" t="s">
        <v>877</v>
      </c>
      <c r="B30" s="242">
        <f>IF(B8&lt;DATEVALUE("03/31/2022"),"N/A",ANV0035_C1)</f>
        <v>2100592895</v>
      </c>
      <c r="C30" s="242">
        <f>IF(C8&lt;DATEVALUE("03/31/2022"),"N/A",ANV0035_C2)</f>
        <v>1919473756</v>
      </c>
      <c r="D30" s="102">
        <f t="shared" si="4"/>
        <v>-8.6222865663839166</v>
      </c>
      <c r="E30" s="242">
        <f>IF(E8&lt;DATEVALUE("03/31/2022"),"N/A",ANV0035_C3)</f>
        <v>1938766024</v>
      </c>
      <c r="F30" s="102">
        <f t="shared" si="5"/>
        <v>1.0050811030729194</v>
      </c>
      <c r="G30" s="242">
        <f>IF(G8&lt;DATEVALUE("03/31/2022"),"N/A",ANV0035_C4)</f>
        <v>1930956688</v>
      </c>
      <c r="H30" s="102">
        <f t="shared" si="6"/>
        <v>-0.40279930137665754</v>
      </c>
      <c r="I30" s="242">
        <f>IF(I8&lt;DATEVALUE("03/31/2022"),"N/A",ANV0035_C5)</f>
        <v>1865929800</v>
      </c>
      <c r="J30" s="102">
        <f t="shared" si="7"/>
        <v>-3.3675995118954214</v>
      </c>
    </row>
    <row r="31" spans="1:10" ht="13.15" customHeight="1" x14ac:dyDescent="0.2">
      <c r="A31" s="144" t="s">
        <v>878</v>
      </c>
      <c r="B31" s="242">
        <f>IF(B8&lt;DATEVALUE("03/31/2022"),"N/A",ANV0051_C1)</f>
        <v>10548798467</v>
      </c>
      <c r="C31" s="242">
        <f>IF(C8&lt;DATEVALUE("03/31/2022"),"N/A",ANV0051_C2)</f>
        <v>10483305877</v>
      </c>
      <c r="D31" s="102">
        <f t="shared" si="4"/>
        <v>-0.62085355223044281</v>
      </c>
      <c r="E31" s="242">
        <f>IF(E8&lt;DATEVALUE("03/31/2022"),"N/A",ANV0051_C3)</f>
        <v>10673829410</v>
      </c>
      <c r="F31" s="102">
        <f t="shared" si="5"/>
        <v>1.8173993512676363</v>
      </c>
      <c r="G31" s="242">
        <f>IF(G8&lt;DATEVALUE("03/31/2022"),"N/A",ANV0051_C4)</f>
        <v>10876675741</v>
      </c>
      <c r="H31" s="102">
        <f t="shared" si="6"/>
        <v>1.900408215349209</v>
      </c>
      <c r="I31" s="242">
        <f>IF(I8&lt;DATEVALUE("03/31/2022"),"N/A",ANV0051_C5)</f>
        <v>10578998039</v>
      </c>
      <c r="J31" s="102">
        <f t="shared" si="7"/>
        <v>-2.7368445018351863</v>
      </c>
    </row>
    <row r="32" spans="1:10" ht="24" customHeight="1" x14ac:dyDescent="0.2">
      <c r="A32" s="144" t="s">
        <v>879</v>
      </c>
      <c r="B32" s="242">
        <f>IF(B8&lt;DATEVALUE("03/31/2022"),"N/A",ANV0067_C1)</f>
        <v>655840549</v>
      </c>
      <c r="C32" s="242">
        <f>IF(C8&lt;DATEVALUE("03/31/2022"),"N/A",ANV0067_C2)</f>
        <v>719640292</v>
      </c>
      <c r="D32" s="102">
        <f t="shared" si="4"/>
        <v>9.7279351051531275</v>
      </c>
      <c r="E32" s="242">
        <f>IF(E8&lt;DATEVALUE("03/31/2022"),"N/A",ANV0067_C3)</f>
        <v>692450026</v>
      </c>
      <c r="F32" s="102">
        <f t="shared" si="5"/>
        <v>-3.7783134577461928</v>
      </c>
      <c r="G32" s="242">
        <f>IF(G8&lt;DATEVALUE("03/31/2022"),"N/A",ANV0067_C4)</f>
        <v>708927550</v>
      </c>
      <c r="H32" s="102">
        <f t="shared" si="6"/>
        <v>2.3795975711321584</v>
      </c>
      <c r="I32" s="242">
        <f>IF(I8&lt;DATEVALUE("03/31/2022"),"N/A",ANV0067_C5)</f>
        <v>1044967288</v>
      </c>
      <c r="J32" s="102">
        <f t="shared" si="7"/>
        <v>47.401139651012294</v>
      </c>
    </row>
    <row r="33" spans="1:10" ht="13.15" customHeight="1" x14ac:dyDescent="0.2">
      <c r="A33" s="144" t="s">
        <v>880</v>
      </c>
      <c r="B33" s="242">
        <f>IF(B8&lt;DATEVALUE("03/31/2022"),"N/A",ANV0071_C1)</f>
        <v>10645490296</v>
      </c>
      <c r="C33" s="242">
        <f>IF(C8&lt;DATEVALUE("03/31/2022"),"N/A",ANV0071_C2)</f>
        <v>10192855331</v>
      </c>
      <c r="D33" s="102">
        <f t="shared" si="4"/>
        <v>-4.2518940172260145</v>
      </c>
      <c r="E33" s="242">
        <f>IF(E8&lt;DATEVALUE("03/31/2022"),"N/A",ANV0071_C3)</f>
        <v>10004585967</v>
      </c>
      <c r="F33" s="102">
        <f t="shared" si="5"/>
        <v>-1.8470718742314307</v>
      </c>
      <c r="G33" s="242">
        <f>IF(G8&lt;DATEVALUE("03/31/2022"),"N/A",ANV0071_C4)</f>
        <v>9857420936</v>
      </c>
      <c r="H33" s="102">
        <f t="shared" si="6"/>
        <v>-1.4709757253865576</v>
      </c>
      <c r="I33" s="242">
        <f>IF(I8&lt;DATEVALUE("03/31/2022"),"N/A",ANV0071_C5)</f>
        <v>9631778503</v>
      </c>
      <c r="J33" s="102">
        <f t="shared" si="7"/>
        <v>-2.2890615554007421</v>
      </c>
    </row>
    <row r="34" spans="1:10" ht="13.15" customHeight="1" x14ac:dyDescent="0.2">
      <c r="A34" s="144" t="s">
        <v>881</v>
      </c>
      <c r="B34" s="242">
        <f>IF(B8&lt;DATEVALUE("03/31/2022"),"N/A",ANV0075_C1)</f>
        <v>6463205450</v>
      </c>
      <c r="C34" s="242">
        <f>IF(C8&lt;DATEVALUE("03/31/2022"),"N/A",ANV0075_C2)</f>
        <v>6390318163</v>
      </c>
      <c r="D34" s="102">
        <f t="shared" si="4"/>
        <v>-1.1277265988813647</v>
      </c>
      <c r="E34" s="242">
        <f>IF(E8&lt;DATEVALUE("03/31/2022"),"N/A",ANV0075_C3)</f>
        <v>6411841949</v>
      </c>
      <c r="F34" s="102">
        <f t="shared" si="5"/>
        <v>0.33681869119792679</v>
      </c>
      <c r="G34" s="242">
        <f>IF(G8&lt;DATEVALUE("03/31/2022"),"N/A",ANV0075_C4)</f>
        <v>6698324686</v>
      </c>
      <c r="H34" s="102">
        <f t="shared" si="6"/>
        <v>4.4680255576898658</v>
      </c>
      <c r="I34" s="242">
        <f>IF(I8&lt;DATEVALUE("03/31/2022"),"N/A",ANV0075_C5)</f>
        <v>6637599674</v>
      </c>
      <c r="J34" s="102">
        <f t="shared" si="7"/>
        <v>-0.9065701477105137</v>
      </c>
    </row>
    <row r="35" spans="1:10" ht="13.15" customHeight="1" x14ac:dyDescent="0.2">
      <c r="A35" s="144" t="s">
        <v>885</v>
      </c>
      <c r="B35" s="242">
        <f>IF(B8&lt;DATEVALUE("03/31/2022"),"N/A",ANV0079_C1)</f>
        <v>12809004559</v>
      </c>
      <c r="C35" s="242">
        <f>IF(C8&lt;DATEVALUE("03/31/2022"),"N/A",ANV0079_C2)</f>
        <v>12526283335</v>
      </c>
      <c r="D35" s="102">
        <f t="shared" si="4"/>
        <v>-2.2072068340498121</v>
      </c>
      <c r="E35" s="242">
        <f>IF(E8&lt;DATEVALUE("03/31/2022"),"N/A",ANV0079_C3)</f>
        <v>12892268834</v>
      </c>
      <c r="F35" s="102">
        <f t="shared" si="5"/>
        <v>2.9217405451574834</v>
      </c>
      <c r="G35" s="242">
        <f>IF(G8&lt;DATEVALUE("03/31/2022"),"N/A",ANV0079_C4)</f>
        <v>13070887684</v>
      </c>
      <c r="H35" s="102">
        <f t="shared" si="6"/>
        <v>1.3854725828314975</v>
      </c>
      <c r="I35" s="242">
        <f>IF(I8&lt;DATEVALUE("03/31/2022"),"N/A",ANV0079_C5)</f>
        <v>12868865801</v>
      </c>
      <c r="J35" s="102">
        <f t="shared" si="7"/>
        <v>-1.5455865575778289</v>
      </c>
    </row>
    <row r="36" spans="1:10" ht="13.15" customHeight="1" x14ac:dyDescent="0.2">
      <c r="A36" s="145" t="s">
        <v>886</v>
      </c>
      <c r="B36" s="242">
        <f>IF(B8&lt;DATEVALUE("03/31/2022"),"N/A",ANV0083_C1)</f>
        <v>312391291957</v>
      </c>
      <c r="C36" s="242">
        <f>IF(C8&lt;DATEVALUE("03/31/2022"),"N/A",ANV0083_C2)</f>
        <v>312695944113</v>
      </c>
      <c r="D36" s="102">
        <f t="shared" si="4"/>
        <v>9.7522614696294002E-2</v>
      </c>
      <c r="E36" s="242">
        <f>IF(E8&lt;DATEVALUE("03/31/2022"),"N/A",ANV0083_C3)</f>
        <v>317209627229</v>
      </c>
      <c r="F36" s="102">
        <f t="shared" si="5"/>
        <v>1.4434735086838462</v>
      </c>
      <c r="G36" s="242">
        <f>IF(G8&lt;DATEVALUE("03/31/2022"),"N/A",ANV0083_C4)</f>
        <v>320073716327</v>
      </c>
      <c r="H36" s="102">
        <f t="shared" si="6"/>
        <v>0.9029010635709227</v>
      </c>
      <c r="I36" s="242">
        <f>IF(I8&lt;DATEVALUE("03/31/2022"),"N/A",ANV0083_C5)</f>
        <v>321060327744</v>
      </c>
      <c r="J36" s="102">
        <f t="shared" si="7"/>
        <v>0.30824505939501723</v>
      </c>
    </row>
    <row r="37" spans="1:10" ht="13.15" customHeight="1" x14ac:dyDescent="0.2">
      <c r="A37" s="153" t="s">
        <v>887</v>
      </c>
      <c r="B37" s="243"/>
      <c r="C37" s="242"/>
      <c r="D37" s="102"/>
      <c r="E37" s="242"/>
      <c r="F37" s="102"/>
      <c r="G37" s="242"/>
      <c r="H37" s="102"/>
      <c r="I37" s="242"/>
      <c r="J37" s="102"/>
    </row>
    <row r="38" spans="1:10" ht="13.15" customHeight="1" x14ac:dyDescent="0.2">
      <c r="A38" s="86" t="s">
        <v>874</v>
      </c>
      <c r="B38" s="242">
        <f>IF(B8&lt;DATEVALUE("03/31/2022"),"N/A",ANV0004_C1)</f>
        <v>39003127315</v>
      </c>
      <c r="C38" s="242">
        <f>IF(C8&lt;DATEVALUE("03/31/2022"),"N/A",ANV0004_C2)</f>
        <v>36305376752</v>
      </c>
      <c r="D38" s="102">
        <f t="shared" ref="D38:D47" si="8">IF(C38="N/A", " ", IF(B38="N/A", " ",IF(AND(B38=0,C38=0,),"N/A",IF(ABS(B38)=0, "N/A", ((C38-B38)/ABS(B38))*100))))</f>
        <v>-6.9167544982027289</v>
      </c>
      <c r="E38" s="242">
        <f>IF(E8&lt;DATEVALUE("03/31/2022"),"N/A",ANV0004_C3)</f>
        <v>36837756419</v>
      </c>
      <c r="F38" s="102">
        <f t="shared" ref="F38:F47" si="9">IF(E38="N/A", " ", IF(C38="N/A", " ",IF(AND(C38=0,E38=0,),"N/A",IF(ABS(C38)=0, "N/A", ((E38-C38)/ABS(C38))*100))))</f>
        <v>1.4663934508562073</v>
      </c>
      <c r="G38" s="242">
        <f>IF(G8&lt;DATEVALUE("03/31/2022"),"N/A",ANV0004_C4)</f>
        <v>37717645498</v>
      </c>
      <c r="H38" s="102">
        <f t="shared" ref="H38:H47" si="10">IF(G38="N/A", " ", IF(E38="N/A", " ",IF(AND(E38=0,G38=0,),"N/A",IF(ABS(E38)=0, "N/A", ((G38-E38)/ABS(E38))*100))))</f>
        <v>2.3885523021325348</v>
      </c>
      <c r="I38" s="242">
        <f>IF(I8&lt;DATEVALUE("03/31/2022"),"N/A",ANV0004_C5)</f>
        <v>39207855285</v>
      </c>
      <c r="J38" s="102">
        <f t="shared" ref="J38:J47" si="11">IF(I38="N/A", " ", IF(G38="N/A", " ",IF(AND(G38=0,I38=0,),"N/A",IF(ABS(G38)=0, "N/A",((I38-G38)/ABS(G38))*100))))</f>
        <v>3.9509618570412068</v>
      </c>
    </row>
    <row r="39" spans="1:10" ht="13.15" customHeight="1" x14ac:dyDescent="0.2">
      <c r="A39" s="86" t="s">
        <v>875</v>
      </c>
      <c r="B39" s="242">
        <f>IF(B8&lt;DATEVALUE("03/31/2022"),"N/A",ANV0016_C1)</f>
        <v>48616431454</v>
      </c>
      <c r="C39" s="242">
        <f>IF(C8&lt;DATEVALUE("03/31/2022"),"N/A",ANV0016_C2)</f>
        <v>46665504504</v>
      </c>
      <c r="D39" s="102">
        <f t="shared" si="8"/>
        <v>-4.0128962403296349</v>
      </c>
      <c r="E39" s="242">
        <f>IF(E8&lt;DATEVALUE("03/31/2022"),"N/A",ANV0016_C3)</f>
        <v>45957557099</v>
      </c>
      <c r="F39" s="102">
        <f t="shared" si="9"/>
        <v>-1.5170679338510469</v>
      </c>
      <c r="G39" s="242">
        <f>IF(G8&lt;DATEVALUE("03/31/2022"),"N/A",ANV0016_C4)</f>
        <v>44480968445</v>
      </c>
      <c r="H39" s="102">
        <f t="shared" si="10"/>
        <v>-3.2129398236272428</v>
      </c>
      <c r="I39" s="242">
        <f>IF(I8&lt;DATEVALUE("03/31/2022"),"N/A",ANV0016_C5)</f>
        <v>42512324726</v>
      </c>
      <c r="J39" s="102">
        <f t="shared" si="11"/>
        <v>-4.4258112802426872</v>
      </c>
    </row>
    <row r="40" spans="1:10" ht="13.15" customHeight="1" x14ac:dyDescent="0.2">
      <c r="A40" s="86" t="s">
        <v>876</v>
      </c>
      <c r="B40" s="242">
        <f>IF(B8&lt;DATEVALUE("03/31/2022"),"N/A",ANV0020_C1)</f>
        <v>161663066481</v>
      </c>
      <c r="C40" s="242">
        <f>IF(C8&lt;DATEVALUE("03/31/2022"),"N/A",ANV0020_C2)</f>
        <v>162355154474</v>
      </c>
      <c r="D40" s="102">
        <f t="shared" si="8"/>
        <v>0.4281051993290873</v>
      </c>
      <c r="E40" s="242">
        <f>IF(E8&lt;DATEVALUE("03/31/2022"),"N/A",ANV0020_C3)</f>
        <v>170482366145</v>
      </c>
      <c r="F40" s="102">
        <f t="shared" si="9"/>
        <v>5.0058230040990255</v>
      </c>
      <c r="G40" s="242">
        <f>IF(G8&lt;DATEVALUE("03/31/2022"),"N/A",ANV0020_C4)</f>
        <v>174951504144</v>
      </c>
      <c r="H40" s="102">
        <f t="shared" si="10"/>
        <v>2.6214664308441575</v>
      </c>
      <c r="I40" s="242">
        <f>IF(I8&lt;DATEVALUE("03/31/2022"),"N/A",ANV0020_C5)</f>
        <v>179605205583</v>
      </c>
      <c r="J40" s="102">
        <f t="shared" si="11"/>
        <v>2.6599951007963938</v>
      </c>
    </row>
    <row r="41" spans="1:10" ht="13.15" customHeight="1" x14ac:dyDescent="0.2">
      <c r="A41" s="86" t="s">
        <v>877</v>
      </c>
      <c r="B41" s="242">
        <f>IF(B8&lt;DATEVALUE("03/31/2022"),"N/A",ANV0036_C1)</f>
        <v>1981781654</v>
      </c>
      <c r="C41" s="242">
        <f>IF(C8&lt;DATEVALUE("03/31/2022"),"N/A",ANV0036_C2)</f>
        <v>1784792211</v>
      </c>
      <c r="D41" s="102">
        <f t="shared" si="8"/>
        <v>-9.9400174889296871</v>
      </c>
      <c r="E41" s="242">
        <f>IF(E8&lt;DATEVALUE("03/31/2022"),"N/A",ANV0036_C3)</f>
        <v>1830090406</v>
      </c>
      <c r="F41" s="102">
        <f t="shared" si="9"/>
        <v>2.5380094512301743</v>
      </c>
      <c r="G41" s="242">
        <f>IF(G8&lt;DATEVALUE("03/31/2022"),"N/A",ANV0036_C4)</f>
        <v>1834025999</v>
      </c>
      <c r="H41" s="102">
        <f t="shared" si="10"/>
        <v>0.21504910288022133</v>
      </c>
      <c r="I41" s="242">
        <f>IF(I8&lt;DATEVALUE("03/31/2022"),"N/A",ANV0036_C5)</f>
        <v>1797627576</v>
      </c>
      <c r="J41" s="102">
        <f t="shared" si="11"/>
        <v>-1.9846187033251539</v>
      </c>
    </row>
    <row r="42" spans="1:10" ht="13.15" customHeight="1" x14ac:dyDescent="0.2">
      <c r="A42" s="144" t="s">
        <v>878</v>
      </c>
      <c r="B42" s="242">
        <f>IF(B8&lt;DATEVALUE("03/31/2022"),"N/A",ANV0052_C1)</f>
        <v>10030238382</v>
      </c>
      <c r="C42" s="242">
        <f>IF(C8&lt;DATEVALUE("03/31/2022"),"N/A",ANV0052_C2)</f>
        <v>9880843661</v>
      </c>
      <c r="D42" s="102">
        <f t="shared" si="8"/>
        <v>-1.4894433742282716</v>
      </c>
      <c r="E42" s="242">
        <f>IF(E8&lt;DATEVALUE("03/31/2022"),"N/A",ANV0052_C3)</f>
        <v>10176630757</v>
      </c>
      <c r="F42" s="102">
        <f t="shared" si="9"/>
        <v>2.9935408973980731</v>
      </c>
      <c r="G42" s="242">
        <f>IF(G8&lt;DATEVALUE("03/31/2022"),"N/A",ANV0052_C4)</f>
        <v>10425842826</v>
      </c>
      <c r="H42" s="102">
        <f t="shared" si="10"/>
        <v>2.4488661812612134</v>
      </c>
      <c r="I42" s="242">
        <f>IF(I8&lt;DATEVALUE("03/31/2022"),"N/A",ANV0052_C5)</f>
        <v>10206042867</v>
      </c>
      <c r="J42" s="102">
        <f t="shared" si="11"/>
        <v>-2.1082224494298165</v>
      </c>
    </row>
    <row r="43" spans="1:10" ht="24" customHeight="1" x14ac:dyDescent="0.2">
      <c r="A43" s="144" t="s">
        <v>879</v>
      </c>
      <c r="B43" s="242">
        <f>IF(B8&lt;DATEVALUE("03/31/2022"),"N/A",ANV0068_C1)</f>
        <v>642098978</v>
      </c>
      <c r="C43" s="242">
        <f>IF(C8&lt;DATEVALUE("03/31/2022"),"N/A",ANV0068_C2)</f>
        <v>703277984</v>
      </c>
      <c r="D43" s="102">
        <f t="shared" si="8"/>
        <v>9.5279712468254374</v>
      </c>
      <c r="E43" s="242">
        <f>IF(E8&lt;DATEVALUE("03/31/2022"),"N/A",ANV0068_C3)</f>
        <v>678231983</v>
      </c>
      <c r="F43" s="102">
        <f t="shared" si="9"/>
        <v>-3.5613230571426504</v>
      </c>
      <c r="G43" s="242">
        <f>IF(G8&lt;DATEVALUE("03/31/2022"),"N/A",ANV0068_C4)</f>
        <v>702666398</v>
      </c>
      <c r="H43" s="102">
        <f t="shared" si="10"/>
        <v>3.6026633382755113</v>
      </c>
      <c r="I43" s="242">
        <f>IF(I8&lt;DATEVALUE("03/31/2022"),"N/A",ANV0068_C5)</f>
        <v>1041910034</v>
      </c>
      <c r="J43" s="102">
        <f t="shared" si="11"/>
        <v>48.279473298508293</v>
      </c>
    </row>
    <row r="44" spans="1:10" ht="13.15" customHeight="1" x14ac:dyDescent="0.2">
      <c r="A44" s="144" t="s">
        <v>880</v>
      </c>
      <c r="B44" s="242">
        <f>IF(B8&lt;DATEVALUE("03/31/2022"),"N/A",ANV0072_C1)</f>
        <v>9623935810</v>
      </c>
      <c r="C44" s="242">
        <f>IF(C8&lt;DATEVALUE("03/31/2022"),"N/A",ANV0072_C2)</f>
        <v>8939879943</v>
      </c>
      <c r="D44" s="102">
        <f t="shared" si="8"/>
        <v>-7.1078598247633158</v>
      </c>
      <c r="E44" s="242">
        <f>IF(E8&lt;DATEVALUE("03/31/2022"),"N/A",ANV0072_C3)</f>
        <v>8930153825</v>
      </c>
      <c r="F44" s="102">
        <f t="shared" si="9"/>
        <v>-0.10879472724480636</v>
      </c>
      <c r="G44" s="242">
        <f>IF(G8&lt;DATEVALUE("03/31/2022"),"N/A",ANV0072_C4)</f>
        <v>8836655766</v>
      </c>
      <c r="H44" s="102">
        <f t="shared" si="10"/>
        <v>-1.0469927039582658</v>
      </c>
      <c r="I44" s="242">
        <f>IF(I8&lt;DATEVALUE("03/31/2022"),"N/A",ANV0072_C5)</f>
        <v>8751576536</v>
      </c>
      <c r="J44" s="102">
        <f t="shared" si="11"/>
        <v>-0.9627989621068147</v>
      </c>
    </row>
    <row r="45" spans="1:10" ht="13.15" customHeight="1" x14ac:dyDescent="0.2">
      <c r="A45" s="144" t="s">
        <v>881</v>
      </c>
      <c r="B45" s="242">
        <f>IF(B8&lt;DATEVALUE("03/31/2022"),"N/A",ANV0076_C1)</f>
        <v>6399094690</v>
      </c>
      <c r="C45" s="242">
        <f>IF(C8&lt;DATEVALUE("03/31/2022"),"N/A",ANV0076_C2)</f>
        <v>6320414951</v>
      </c>
      <c r="D45" s="102">
        <f t="shared" si="8"/>
        <v>-1.2295448467570653</v>
      </c>
      <c r="E45" s="242">
        <f>IF(E8&lt;DATEVALUE("03/31/2022"),"N/A",ANV0076_C3)</f>
        <v>6362219688</v>
      </c>
      <c r="F45" s="102">
        <f t="shared" si="9"/>
        <v>0.66142393061369742</v>
      </c>
      <c r="G45" s="242">
        <f>IF(G8&lt;DATEVALUE("03/31/2022"),"N/A",ANV0076_C4)</f>
        <v>6668963376</v>
      </c>
      <c r="H45" s="102">
        <f t="shared" si="10"/>
        <v>4.8213312812595852</v>
      </c>
      <c r="I45" s="242">
        <f>IF(I8&lt;DATEVALUE("03/31/2022"),"N/A",ANV0076_C5)</f>
        <v>6633174345</v>
      </c>
      <c r="J45" s="102">
        <f t="shared" si="11"/>
        <v>-0.53665058543875255</v>
      </c>
    </row>
    <row r="46" spans="1:10" ht="13.15" customHeight="1" x14ac:dyDescent="0.2">
      <c r="A46" s="144" t="s">
        <v>888</v>
      </c>
      <c r="B46" s="242">
        <f>IF(B8&lt;DATEVALUE("03/31/2022"),"N/A",ANV0080_C1)</f>
        <v>12255691608</v>
      </c>
      <c r="C46" s="242">
        <f>IF(C8&lt;DATEVALUE("03/31/2022"),"N/A",ANV0080_C2)</f>
        <v>11793660589</v>
      </c>
      <c r="D46" s="102">
        <f t="shared" si="8"/>
        <v>-3.7699301987854006</v>
      </c>
      <c r="E46" s="242">
        <f>IF(E8&lt;DATEVALUE("03/31/2022"),"N/A",ANV0080_C3)</f>
        <v>12263789730</v>
      </c>
      <c r="F46" s="102">
        <f t="shared" si="9"/>
        <v>3.9862868483640401</v>
      </c>
      <c r="G46" s="242">
        <f>IF(G8&lt;DATEVALUE("03/31/2022"),"N/A",ANV0080_C4)</f>
        <v>12529145759</v>
      </c>
      <c r="H46" s="102">
        <f t="shared" si="10"/>
        <v>2.1637359645108658</v>
      </c>
      <c r="I46" s="242">
        <f>IF(I8&lt;DATEVALUE("03/31/2022"),"N/A",ANV0080_C5)</f>
        <v>12440284338</v>
      </c>
      <c r="J46" s="102">
        <f t="shared" si="11"/>
        <v>-0.70923766639212904</v>
      </c>
    </row>
    <row r="47" spans="1:10" ht="13.15" customHeight="1" x14ac:dyDescent="0.2">
      <c r="A47" s="153" t="s">
        <v>889</v>
      </c>
      <c r="B47" s="242">
        <f>IF(B8&lt;DATEVALUE("03/31/2022"),"N/A",ANV0084_C1)</f>
        <v>290215466372</v>
      </c>
      <c r="C47" s="242">
        <f>IF(C8&lt;DATEVALUE("03/31/2022"),"N/A",ANV0084_C2)</f>
        <v>284748905069</v>
      </c>
      <c r="D47" s="102">
        <f t="shared" si="8"/>
        <v>-1.8836216316579515</v>
      </c>
      <c r="E47" s="242">
        <f>IF(E8&lt;DATEVALUE("03/31/2022"),"N/A",ANV0084_C3)</f>
        <v>293518796052</v>
      </c>
      <c r="F47" s="102">
        <f t="shared" si="9"/>
        <v>3.0798682020831269</v>
      </c>
      <c r="G47" s="242">
        <f>IF(G8&lt;DATEVALUE("03/31/2022"),"N/A",ANV0084_C4)</f>
        <v>298147418211</v>
      </c>
      <c r="H47" s="102">
        <f t="shared" si="10"/>
        <v>1.5769423359790524</v>
      </c>
      <c r="I47" s="242">
        <f>IF(I8&lt;DATEVALUE("03/31/2022"),"N/A",ANV0084_C5)</f>
        <v>302196001290</v>
      </c>
      <c r="J47" s="102">
        <f t="shared" si="11"/>
        <v>1.3579131770763158</v>
      </c>
    </row>
    <row r="48" spans="1:10" ht="13.15" customHeight="1" x14ac:dyDescent="0.2">
      <c r="A48" s="175" t="s">
        <v>86</v>
      </c>
      <c r="B48" s="204"/>
      <c r="C48" s="204"/>
      <c r="D48" s="231"/>
      <c r="E48" s="204"/>
      <c r="F48" s="231"/>
      <c r="G48" s="204"/>
      <c r="H48" s="244"/>
      <c r="I48" s="234" t="s">
        <v>890</v>
      </c>
      <c r="J48" s="220"/>
    </row>
    <row r="49" spans="1:10" x14ac:dyDescent="0.2">
      <c r="A49" s="86"/>
      <c r="B49" s="86"/>
      <c r="C49" s="86"/>
      <c r="D49" s="230"/>
      <c r="E49" s="86"/>
      <c r="F49" s="230"/>
      <c r="G49" s="86"/>
      <c r="H49" s="230"/>
      <c r="I49" s="86"/>
      <c r="J49" s="200"/>
    </row>
    <row r="50" spans="1:10" x14ac:dyDescent="0.2">
      <c r="A50" s="83"/>
      <c r="B50" s="83"/>
      <c r="C50" s="83"/>
      <c r="D50" s="200"/>
      <c r="E50" s="83"/>
      <c r="F50" s="200"/>
      <c r="G50" s="83"/>
      <c r="I50" s="83"/>
      <c r="J50" s="200"/>
    </row>
  </sheetData>
  <mergeCells count="1">
    <mergeCell ref="D5:J5"/>
  </mergeCells>
  <hyperlinks>
    <hyperlink ref="A2" location="'Cover Page'!A1" display="Return to cover" xr:uid="{00000000-0004-0000-1700-000000000000}"/>
  </hyperlinks>
  <printOptions gridLines="1"/>
  <pageMargins left="0.7" right="0.7" top="0.75" bottom="0.75" header="0.3" footer="0.3"/>
  <pageSetup orientation="landscape" horizontalDpi="1200" verticalDpi="1200" r:id="rId1"/>
  <ignoredErrors>
    <ignoredError sqref="G12 G14" formula="1"/>
  </ignoredError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11">
    <pageSetUpPr fitToPage="1"/>
  </sheetPr>
  <dimension ref="A1:J81"/>
  <sheetViews>
    <sheetView workbookViewId="0"/>
  </sheetViews>
  <sheetFormatPr defaultRowHeight="12.75" x14ac:dyDescent="0.2"/>
  <cols>
    <col min="1" max="1" width="58.7109375" customWidth="1"/>
    <col min="2" max="3" width="16.7109375" customWidth="1"/>
    <col min="4" max="4" width="6.7109375" style="57" customWidth="1"/>
    <col min="5" max="5" width="16.7109375" customWidth="1"/>
    <col min="6" max="6" width="6.7109375" style="57" customWidth="1"/>
    <col min="7" max="7" width="16.7109375" customWidth="1"/>
    <col min="8" max="8" width="6.7109375" style="57" customWidth="1"/>
    <col min="9" max="9" width="16.7109375" customWidth="1"/>
    <col min="10" max="10" width="6.7109375" style="57" customWidth="1"/>
    <col min="11" max="12" width="9.140625" customWidth="1"/>
    <col min="13" max="13" width="14.7109375" customWidth="1"/>
  </cols>
  <sheetData>
    <row r="1" spans="1:10" s="62" customFormat="1" ht="12" customHeight="1" x14ac:dyDescent="0.2">
      <c r="A1" s="88"/>
      <c r="C1" s="85" t="s">
        <v>27</v>
      </c>
      <c r="D1" s="118"/>
      <c r="F1" s="119"/>
      <c r="H1" s="119"/>
      <c r="J1" s="119"/>
    </row>
    <row r="2" spans="1:10" s="62" customFormat="1" x14ac:dyDescent="0.2">
      <c r="A2" s="60" t="s">
        <v>49</v>
      </c>
      <c r="C2" s="67" t="s">
        <v>50</v>
      </c>
      <c r="D2" s="87" t="str">
        <f>IF(CU_NUMBER="","N/A",CU_NUMBER)</f>
        <v>N/A</v>
      </c>
      <c r="E2" s="120"/>
      <c r="F2" s="119"/>
      <c r="H2" s="119"/>
      <c r="J2" s="119"/>
    </row>
    <row r="3" spans="1:10" s="62" customFormat="1" ht="12" customHeight="1" x14ac:dyDescent="0.2">
      <c r="A3" s="121" t="str">
        <f>IF(Request_Date=0,"N/A",Request_Date)</f>
        <v>12/05/2025</v>
      </c>
      <c r="C3" s="67" t="s">
        <v>42</v>
      </c>
      <c r="D3" s="75">
        <f>IF(CountCu_C5=0,"N/A",CountCu_C5)</f>
        <v>4331</v>
      </c>
      <c r="E3" s="120"/>
      <c r="F3" s="119"/>
      <c r="H3" s="119"/>
      <c r="J3" s="119"/>
    </row>
    <row r="4" spans="1:10" s="62" customFormat="1" ht="12" customHeight="1" x14ac:dyDescent="0.2">
      <c r="A4" s="74" t="str">
        <f>"CU Name:      "&amp;IF(Cu_Name="","N/A",Cu_Name)</f>
        <v>CU Name:      N/A</v>
      </c>
      <c r="C4" s="67" t="s">
        <v>43</v>
      </c>
      <c r="D4" s="89" t="str">
        <f>IF(AssetRange="","N/A",AssetRange)</f>
        <v>N/A</v>
      </c>
      <c r="E4" s="75"/>
      <c r="F4" s="119"/>
      <c r="H4" s="119"/>
      <c r="J4" s="119"/>
    </row>
    <row r="5" spans="1:10" s="62" customFormat="1" ht="12" customHeight="1" x14ac:dyDescent="0.2">
      <c r="A5" s="74" t="str">
        <f>"Peer Group:      "&amp;IF(Peer_Group="","N/A",IF(Peer_Group="0","N/A",Peer_Group))</f>
        <v>Peer Group:      N/A</v>
      </c>
      <c r="B5" s="90"/>
      <c r="C5" s="67" t="s">
        <v>51</v>
      </c>
      <c r="D5" s="24" t="str">
        <f>IF(_xlnm.Criteria="","N/A",_xlnm.Criteria)</f>
        <v xml:space="preserve">Region: Nation * Peer Group: All * Types Included: All  Federally Insured Credit Unions  (FICUs) *  </v>
      </c>
      <c r="E5" s="23"/>
      <c r="F5" s="23"/>
      <c r="G5" s="23"/>
      <c r="H5" s="23"/>
      <c r="I5" s="23"/>
      <c r="J5" s="23"/>
    </row>
    <row r="6" spans="1:10" s="62" customFormat="1" ht="12.75" customHeight="1" x14ac:dyDescent="0.2">
      <c r="A6" s="74"/>
      <c r="B6" s="67"/>
      <c r="C6" s="67" t="s">
        <v>45</v>
      </c>
      <c r="D6" s="75" t="str">
        <f>IF(NoCu_in_Peer_Group="","N/A",NoCu_in_Peer_Group)</f>
        <v>N/A</v>
      </c>
      <c r="E6" s="75" t="str">
        <f>IF(CU_NUMBER&gt;0,"",IF(RetPop=0,"Retroactive Population",""))</f>
        <v/>
      </c>
      <c r="F6" s="119"/>
      <c r="H6" s="119"/>
      <c r="J6" s="119"/>
    </row>
    <row r="7" spans="1:10" ht="12.75" customHeight="1" x14ac:dyDescent="0.2">
      <c r="A7" s="29"/>
      <c r="E7" s="32"/>
      <c r="F7" s="54"/>
      <c r="G7" s="30"/>
      <c r="H7" s="54"/>
      <c r="I7" s="30"/>
      <c r="J7" s="54"/>
    </row>
    <row r="8" spans="1:10" ht="13.15" customHeight="1" x14ac:dyDescent="0.2">
      <c r="A8" s="145"/>
      <c r="B8" s="139">
        <f>(CycDat_C1)</f>
        <v>45565</v>
      </c>
      <c r="C8" s="139">
        <f>(CycDat_C2)</f>
        <v>45657</v>
      </c>
      <c r="D8" s="184" t="s">
        <v>52</v>
      </c>
      <c r="E8" s="139">
        <f>(CycDat_C3)</f>
        <v>45747</v>
      </c>
      <c r="F8" s="184" t="s">
        <v>52</v>
      </c>
      <c r="G8" s="139">
        <f>(CycDat_C4)</f>
        <v>45838</v>
      </c>
      <c r="H8" s="184" t="s">
        <v>52</v>
      </c>
      <c r="I8" s="139">
        <f>(CycDat_C5)</f>
        <v>45930</v>
      </c>
      <c r="J8" s="184" t="s">
        <v>52</v>
      </c>
    </row>
    <row r="9" spans="1:10" ht="13.15" customHeight="1" x14ac:dyDescent="0.2">
      <c r="A9" s="153" t="s">
        <v>891</v>
      </c>
      <c r="B9" s="86"/>
      <c r="C9" s="86"/>
      <c r="D9" s="102"/>
      <c r="E9" s="86"/>
      <c r="F9" s="102"/>
      <c r="G9" s="86"/>
      <c r="H9" s="102"/>
      <c r="I9" s="86"/>
      <c r="J9" s="102"/>
    </row>
    <row r="10" spans="1:10" ht="12" customHeight="1" x14ac:dyDescent="0.2">
      <c r="A10" s="153" t="s">
        <v>892</v>
      </c>
      <c r="B10" s="86"/>
      <c r="C10" s="86"/>
      <c r="D10" s="102"/>
      <c r="E10" s="86"/>
      <c r="F10" s="102"/>
      <c r="G10" s="86"/>
      <c r="H10" s="102"/>
      <c r="I10" s="86"/>
      <c r="J10" s="102"/>
    </row>
    <row r="11" spans="1:10" ht="13.15" customHeight="1" x14ac:dyDescent="0.2">
      <c r="A11" s="127" t="s">
        <v>874</v>
      </c>
      <c r="B11" s="76">
        <f>IF(B8&lt;DATEVALUE("3/31/2022"),"N/A",ANV0001_C1)</f>
        <v>8065351782</v>
      </c>
      <c r="C11" s="76">
        <f>IF(C8&lt;DATEVALUE("3/31/2022"),"N/A",ANV0001_C2)</f>
        <v>8086778293</v>
      </c>
      <c r="D11" s="102">
        <f t="shared" ref="D11:D20" si="0">IF(C11="N/A", " ", IF(B11="N/A", " ",IF(AND(B11=0,C11=0,),"N/A",IF(ABS(B11)=0, "N/A", ((C11-B11)/ABS(B11))*100))))</f>
        <v>0.26566120832843293</v>
      </c>
      <c r="E11" s="76">
        <f>IF(E8&lt;DATEVALUE("3/31/2022"),"N/A",ANV0001_C3)</f>
        <v>8016487500</v>
      </c>
      <c r="F11" s="102">
        <f t="shared" ref="F11:F20" si="1">IF(E11="N/A", " ", IF(C11="N/A", " ",IF(AND(C11=0,E11=0,),"N/A",IF(ABS(C11)=0, "N/A", ((E11-C11)/ABS(C11))*100))))</f>
        <v>-0.86920638174097653</v>
      </c>
      <c r="G11" s="76">
        <f>IF(G8&lt;DATEVALUE("3/31/2022"),"N/A",ANV0001_C4)</f>
        <v>8495757880</v>
      </c>
      <c r="H11" s="102">
        <f t="shared" ref="H11:H20" si="2">IF(G11="N/A", " ", IF(E11="N/A", " ",IF(AND(E11=0,G11=0,),"N/A",IF(ABS(E11)=0, "N/A", ((G11-E11)/ABS(E11))*100))))</f>
        <v>5.9785583149727355</v>
      </c>
      <c r="I11" s="76">
        <f>IF(I8&lt;DATEVALUE("3/31/2022"),"N/A",ANV0001_C5)</f>
        <v>8694910719</v>
      </c>
      <c r="J11" s="102">
        <f t="shared" ref="J11:J20" si="3">IF(I11="N/A", " ", IF(G11="N/A", " ",IF(AND(G11=0,I11=0,),"N/A",IF(ABS(G11)=0, "N/A",((I11-G11)/ABS(G11))*100))))</f>
        <v>2.3441444755485428</v>
      </c>
    </row>
    <row r="12" spans="1:10" ht="13.15" customHeight="1" x14ac:dyDescent="0.2">
      <c r="A12" s="127" t="s">
        <v>875</v>
      </c>
      <c r="B12" s="76">
        <f>IF(B8&lt;DATEVALUE("3/31/2022"),"N/A",ANV0013_C1)</f>
        <v>14326842899</v>
      </c>
      <c r="C12" s="76">
        <f>IF(C8&lt;DATEVALUE("3/31/2022"),"N/A",ANV0013_C2)</f>
        <v>13846157219</v>
      </c>
      <c r="D12" s="102">
        <f t="shared" si="0"/>
        <v>-3.3551403012421628</v>
      </c>
      <c r="E12" s="76">
        <f>IF(E8&lt;DATEVALUE("3/31/2022"),"N/A",ANV0013_C3)</f>
        <v>13536421480</v>
      </c>
      <c r="F12" s="102">
        <f t="shared" si="1"/>
        <v>-2.2369797923063728</v>
      </c>
      <c r="G12" s="76">
        <f>IF(G8&lt;DATEVALUE("3/31/2022"),"N/A",ANV0013_C4)</f>
        <v>13424068356</v>
      </c>
      <c r="H12" s="102">
        <f t="shared" si="2"/>
        <v>-0.83000609995781538</v>
      </c>
      <c r="I12" s="76">
        <f>IF(I8&lt;DATEVALUE("3/31/2022"),"N/A",ANV0013_C5)</f>
        <v>12762127685</v>
      </c>
      <c r="J12" s="102">
        <f t="shared" si="3"/>
        <v>-4.930998959820851</v>
      </c>
    </row>
    <row r="13" spans="1:10" ht="13.15" customHeight="1" x14ac:dyDescent="0.2">
      <c r="A13" s="127" t="s">
        <v>876</v>
      </c>
      <c r="B13" s="76">
        <f>IF(B8&lt;DATEVALUE("3/31/2022"),"N/A",ANV0017_C1)</f>
        <v>16740981749</v>
      </c>
      <c r="C13" s="76">
        <f>IF(C8&lt;DATEVALUE("3/31/2022"),"N/A",ANV0017_C2)</f>
        <v>13582104969</v>
      </c>
      <c r="D13" s="102">
        <f t="shared" si="0"/>
        <v>-18.869125045122825</v>
      </c>
      <c r="E13" s="76">
        <f>IF(E8&lt;DATEVALUE("3/31/2022"),"N/A",ANV0017_C3)</f>
        <v>13751374657</v>
      </c>
      <c r="F13" s="102">
        <f t="shared" si="1"/>
        <v>1.2462699146144407</v>
      </c>
      <c r="G13" s="76">
        <f>IF(G8&lt;DATEVALUE("3/31/2022"),"N/A",ANV0017_C4)</f>
        <v>13608078038</v>
      </c>
      <c r="H13" s="102">
        <f t="shared" si="2"/>
        <v>-1.0420530497804181</v>
      </c>
      <c r="I13" s="76">
        <f>IF(I8&lt;DATEVALUE("3/31/2022"),"N/A",ANV0017_C5)</f>
        <v>13713916138</v>
      </c>
      <c r="J13" s="102">
        <f t="shared" si="3"/>
        <v>0.77775935517456207</v>
      </c>
    </row>
    <row r="14" spans="1:10" ht="13.15" customHeight="1" x14ac:dyDescent="0.2">
      <c r="A14" s="127" t="s">
        <v>877</v>
      </c>
      <c r="B14" s="76">
        <f>IF(B8&lt;DATEVALUE("3/31/2022"),"N/A",ANV0033_C1)</f>
        <v>3795570918</v>
      </c>
      <c r="C14" s="76">
        <f>IF(C8&lt;DATEVALUE("3/31/2022"),"N/A",ANV0033_C2)</f>
        <v>3713029558</v>
      </c>
      <c r="D14" s="102">
        <f t="shared" si="0"/>
        <v>-2.1746757413636608</v>
      </c>
      <c r="E14" s="76">
        <f>IF(E8&lt;DATEVALUE("3/31/2022"),"N/A",ANV0033_C3)</f>
        <v>3477979601</v>
      </c>
      <c r="F14" s="102">
        <f t="shared" si="1"/>
        <v>-6.3304089915892883</v>
      </c>
      <c r="G14" s="76">
        <f>IF(G8&lt;DATEVALUE("3/31/2022"),"N/A",ANV0033_C4)</f>
        <v>3329018943</v>
      </c>
      <c r="H14" s="102">
        <f t="shared" si="2"/>
        <v>-4.2829652582542561</v>
      </c>
      <c r="I14" s="76">
        <f>IF(I8&lt;DATEVALUE("3/31/2022"),"N/A",ANV0033_C5)</f>
        <v>3016016821</v>
      </c>
      <c r="J14" s="102">
        <f t="shared" si="3"/>
        <v>-9.4022331311197949</v>
      </c>
    </row>
    <row r="15" spans="1:10" ht="13.15" customHeight="1" x14ac:dyDescent="0.2">
      <c r="A15" s="127" t="s">
        <v>878</v>
      </c>
      <c r="B15" s="76">
        <f>IF(B8&lt;DATEVALUE("3/31/2022"),"N/A",ANV0049_C1)</f>
        <v>367907435</v>
      </c>
      <c r="C15" s="76">
        <f>IF(C8&lt;DATEVALUE("3/31/2022"),"N/A",ANV0049_C2)</f>
        <v>426191662</v>
      </c>
      <c r="D15" s="102">
        <f t="shared" si="0"/>
        <v>15.842090008319619</v>
      </c>
      <c r="E15" s="76">
        <f>IF(E8&lt;DATEVALUE("3/31/2022"),"N/A",ANV0049_C3)</f>
        <v>462639414</v>
      </c>
      <c r="F15" s="102">
        <f t="shared" si="1"/>
        <v>8.5519627082709082</v>
      </c>
      <c r="G15" s="76">
        <f>IF(G8&lt;DATEVALUE("3/31/2022"),"N/A",ANV0049_C4)</f>
        <v>441527880</v>
      </c>
      <c r="H15" s="102">
        <f t="shared" si="2"/>
        <v>-4.5632804644698943</v>
      </c>
      <c r="I15" s="76">
        <f>IF(I8&lt;DATEVALUE("3/31/2022"),"N/A",ANV0049_C5)</f>
        <v>424506837</v>
      </c>
      <c r="J15" s="102">
        <f t="shared" si="3"/>
        <v>-3.8550324387216497</v>
      </c>
    </row>
    <row r="16" spans="1:10" ht="13.15" customHeight="1" x14ac:dyDescent="0.2">
      <c r="A16" s="127" t="s">
        <v>879</v>
      </c>
      <c r="B16" s="76">
        <f>IF(B8&lt;DATEVALUE("3/31/2022"),"N/A",ANV0065_C1)</f>
        <v>33961666</v>
      </c>
      <c r="C16" s="76">
        <f>IF(C8&lt;DATEVALUE("3/31/2022"),"N/A",ANV0065_C2)</f>
        <v>15206467</v>
      </c>
      <c r="D16" s="102">
        <f t="shared" si="0"/>
        <v>-55.224614128176164</v>
      </c>
      <c r="E16" s="76">
        <f>IF(E8&lt;DATEVALUE("3/31/2022"),"N/A",ANV0065_C3)</f>
        <v>15177886</v>
      </c>
      <c r="F16" s="102">
        <f t="shared" si="1"/>
        <v>-0.18795292818509388</v>
      </c>
      <c r="G16" s="76">
        <f>IF(G8&lt;DATEVALUE("3/31/2022"),"N/A",ANV0065_C4)</f>
        <v>14285373</v>
      </c>
      <c r="H16" s="102">
        <f t="shared" si="2"/>
        <v>-5.8803511898824379</v>
      </c>
      <c r="I16" s="76">
        <f>IF(I8&lt;DATEVALUE("3/31/2022"),"N/A",ANV0065_C5)</f>
        <v>16297745</v>
      </c>
      <c r="J16" s="102">
        <f t="shared" si="3"/>
        <v>14.086940537009429</v>
      </c>
    </row>
    <row r="17" spans="1:10" ht="13.15" customHeight="1" x14ac:dyDescent="0.2">
      <c r="A17" s="127" t="s">
        <v>880</v>
      </c>
      <c r="B17" s="76">
        <f>IF(B8&lt;DATEVALUE("3/31/2022"),"N/A",ANV0069_C1)</f>
        <v>1098507970</v>
      </c>
      <c r="C17" s="76">
        <f>IF(C8&lt;DATEVALUE("3/31/2022"),"N/A",ANV0069_C2)</f>
        <v>1086915968</v>
      </c>
      <c r="D17" s="102">
        <f t="shared" si="0"/>
        <v>-1.0552496947291152</v>
      </c>
      <c r="E17" s="76">
        <f>IF(E8&lt;DATEVALUE("3/31/2022"),"N/A",ANV0069_C3)</f>
        <v>1090938628</v>
      </c>
      <c r="F17" s="102">
        <f t="shared" si="1"/>
        <v>0.37009852816883082</v>
      </c>
      <c r="G17" s="76">
        <f>IF(G8&lt;DATEVALUE("3/31/2022"),"N/A",ANV0069_C4)</f>
        <v>1078963685</v>
      </c>
      <c r="H17" s="102">
        <f t="shared" si="2"/>
        <v>-1.0976733880945684</v>
      </c>
      <c r="I17" s="76">
        <f>IF(I8&lt;DATEVALUE("3/31/2022"),"N/A",ANV0069_C5)</f>
        <v>1105042540</v>
      </c>
      <c r="J17" s="102">
        <f t="shared" si="3"/>
        <v>2.4170280578071539</v>
      </c>
    </row>
    <row r="18" spans="1:10" ht="13.15" customHeight="1" x14ac:dyDescent="0.2">
      <c r="A18" s="127" t="s">
        <v>881</v>
      </c>
      <c r="B18" s="76">
        <f>IF(B8&lt;DATEVALUE("3/31/2022"),"N/A",ANV0073_C1)</f>
        <v>5014211730</v>
      </c>
      <c r="C18" s="76">
        <f>IF(C8&lt;DATEVALUE("3/31/2022"),"N/A",ANV0073_C2)</f>
        <v>5072519881</v>
      </c>
      <c r="D18" s="102">
        <f t="shared" si="0"/>
        <v>1.1628577758522374</v>
      </c>
      <c r="E18" s="76">
        <f>IF(E8&lt;DATEVALUE("3/31/2022"),"N/A",ANV0073_C3)</f>
        <v>4960498397</v>
      </c>
      <c r="F18" s="102">
        <f t="shared" si="1"/>
        <v>-2.2083991118417461</v>
      </c>
      <c r="G18" s="76">
        <f>IF(G8&lt;DATEVALUE("3/31/2022"),"N/A",ANV0073_C4)</f>
        <v>4980870372</v>
      </c>
      <c r="H18" s="102">
        <f t="shared" si="2"/>
        <v>0.4106840355461161</v>
      </c>
      <c r="I18" s="76">
        <f>IF(I8&lt;DATEVALUE("3/31/2022"),"N/A",ANV0073_C5)</f>
        <v>4889262575</v>
      </c>
      <c r="J18" s="102">
        <f t="shared" si="3"/>
        <v>-1.8391925538752005</v>
      </c>
    </row>
    <row r="19" spans="1:10" ht="13.15" customHeight="1" x14ac:dyDescent="0.2">
      <c r="A19" s="124" t="s">
        <v>893</v>
      </c>
      <c r="B19" s="76">
        <f>IF(B8&lt;DATEVALUE("3/31/2022"),"N/A",ANV0077_C1)</f>
        <v>3085249063</v>
      </c>
      <c r="C19" s="76">
        <f>IF(C8&lt;DATEVALUE("3/31/2022"),"N/A",ANV0077_C2)</f>
        <v>2938763221</v>
      </c>
      <c r="D19" s="102">
        <f t="shared" si="0"/>
        <v>-4.7479421923091598</v>
      </c>
      <c r="E19" s="76">
        <f>IF(E8&lt;DATEVALUE("3/31/2022"),"N/A",ANV0077_C3)</f>
        <v>2952656046</v>
      </c>
      <c r="F19" s="102">
        <f t="shared" si="1"/>
        <v>0.47274393869923825</v>
      </c>
      <c r="G19" s="76">
        <f>IF(G8&lt;DATEVALUE("3/31/2022"),"N/A",ANV0077_C4)</f>
        <v>2976285610</v>
      </c>
      <c r="H19" s="102">
        <f t="shared" si="2"/>
        <v>0.80028163226161297</v>
      </c>
      <c r="I19" s="76">
        <f>IF(I8&lt;DATEVALUE("3/31/2022"),"N/A",ANV0077_C5)</f>
        <v>2995339147</v>
      </c>
      <c r="J19" s="102">
        <f t="shared" si="3"/>
        <v>0.64017837992369286</v>
      </c>
    </row>
    <row r="20" spans="1:10" ht="13.15" customHeight="1" x14ac:dyDescent="0.2">
      <c r="A20" s="153" t="s">
        <v>894</v>
      </c>
      <c r="B20" s="76">
        <f>IF(B8&lt;DATEVALUE("3/31/2022"),"N/A",ANV0081_C1)</f>
        <v>52528585212</v>
      </c>
      <c r="C20" s="76">
        <f>IF(C8&lt;DATEVALUE("3/31/2022"),"N/A",ANV0081_C2)</f>
        <v>48767667238</v>
      </c>
      <c r="D20" s="102">
        <f t="shared" si="0"/>
        <v>-7.1597549388039274</v>
      </c>
      <c r="E20" s="76">
        <f>IF(E8&lt;DATEVALUE("3/31/2022"),"N/A",ANV0081_C3)</f>
        <v>48264173609</v>
      </c>
      <c r="F20" s="102">
        <f t="shared" si="1"/>
        <v>-1.032433285239601</v>
      </c>
      <c r="G20" s="76">
        <f>IF(G8&lt;DATEVALUE("3/31/2022"),"N/A",ANV0081_C4)</f>
        <v>48348856137</v>
      </c>
      <c r="H20" s="102">
        <f t="shared" si="2"/>
        <v>0.17545628914323508</v>
      </c>
      <c r="I20" s="76">
        <f>IF(I8&lt;DATEVALUE("3/31/2022"),"N/A",ANV0081_C5)</f>
        <v>47617420207</v>
      </c>
      <c r="J20" s="102">
        <f t="shared" si="3"/>
        <v>-1.5128298546038466</v>
      </c>
    </row>
    <row r="21" spans="1:10" ht="13.15" customHeight="1" x14ac:dyDescent="0.2">
      <c r="A21" s="156"/>
      <c r="B21" s="76"/>
      <c r="C21" s="76"/>
      <c r="D21" s="102"/>
      <c r="E21" s="76"/>
      <c r="F21" s="102"/>
      <c r="G21" s="76"/>
      <c r="H21" s="102"/>
      <c r="I21" s="76"/>
      <c r="J21" s="102"/>
    </row>
    <row r="22" spans="1:10" ht="13.15" customHeight="1" x14ac:dyDescent="0.2">
      <c r="A22" s="153" t="s">
        <v>895</v>
      </c>
      <c r="B22" s="76"/>
      <c r="C22" s="76"/>
      <c r="D22" s="102"/>
      <c r="E22" s="76"/>
      <c r="F22" s="102"/>
      <c r="G22" s="76"/>
      <c r="H22" s="102"/>
      <c r="I22" s="76"/>
      <c r="J22" s="102"/>
    </row>
    <row r="23" spans="1:10" ht="13.15" customHeight="1" x14ac:dyDescent="0.2">
      <c r="A23" s="127" t="s">
        <v>874</v>
      </c>
      <c r="B23" s="76">
        <f>IF(B8&lt;DATEVALUE("3/31/2022"),"N/A",ANV0002_C1)</f>
        <v>7956593514</v>
      </c>
      <c r="C23" s="76">
        <f>IF(C8&lt;DATEVALUE("3/31/2022"),"N/A",ANV0002_C2)</f>
        <v>7926220168</v>
      </c>
      <c r="D23" s="102">
        <f t="shared" ref="D23:D33" si="4">IF(C23="N/A", " ", IF(B23="N/A", " ",IF(AND(B23=0,C23=0,),"N/A",IF(ABS(B23)=0, "N/A", ((C23-B23)/ABS(B23))*100))))</f>
        <v>-0.38173806348856043</v>
      </c>
      <c r="E23" s="76">
        <f>IF(E8&lt;DATEVALUE("3/31/2022"),"N/A",ANV0002_C3)</f>
        <v>7923488926</v>
      </c>
      <c r="F23" s="102">
        <f t="shared" ref="F23:F33" si="5">IF(E23="N/A", " ", IF(C23="N/A", " ",IF(AND(C23=0,E23=0,),"N/A",IF(ABS(C23)=0, "N/A", ((E23-C23)/ABS(C23))*100))))</f>
        <v>-3.4458316096576035E-2</v>
      </c>
      <c r="G23" s="76">
        <f>IF(G8&lt;DATEVALUE("3/31/2022"),"N/A",ANV0002_C4)</f>
        <v>8444098317</v>
      </c>
      <c r="H23" s="102">
        <f t="shared" ref="H23:H33" si="6">IF(G23="N/A", " ", IF(E23="N/A", " ",IF(AND(E23=0,G23=0,),"N/A",IF(ABS(E23)=0, "N/A", ((G23-E23)/ABS(E23))*100))))</f>
        <v>6.5704564726743202</v>
      </c>
      <c r="I23" s="76">
        <f>IF(I8&lt;DATEVALUE("3/31/2022"),"N/A",ANV0002_C5)</f>
        <v>8681008249</v>
      </c>
      <c r="J23" s="102">
        <f t="shared" ref="J23:J33" si="7">IF(I23="N/A", " ", IF(G23="N/A", " ",IF(AND(G23=0,I23=0,),"N/A",IF(ABS(G23)=0, "N/A",((I23-G23)/ABS(G23))*100))))</f>
        <v>2.8056273518635302</v>
      </c>
    </row>
    <row r="24" spans="1:10" ht="13.15" customHeight="1" x14ac:dyDescent="0.2">
      <c r="A24" s="127" t="s">
        <v>875</v>
      </c>
      <c r="B24" s="76">
        <f>IF(B8&lt;DATEVALUE("3/31/2022"),"N/A",ANV0014_C1)</f>
        <v>13729095318</v>
      </c>
      <c r="C24" s="76">
        <f>IF(C8&lt;DATEVALUE("3/31/2022"),"N/A",ANV0014_C2)</f>
        <v>13154889470</v>
      </c>
      <c r="D24" s="102">
        <f t="shared" si="4"/>
        <v>-4.1824012048861503</v>
      </c>
      <c r="E24" s="76">
        <f>IF(E8&lt;DATEVALUE("3/31/2022"),"N/A",ANV0014_C3)</f>
        <v>12992149502</v>
      </c>
      <c r="F24" s="102">
        <f t="shared" si="5"/>
        <v>-1.2371063122281027</v>
      </c>
      <c r="G24" s="76">
        <f>IF(G8&lt;DATEVALUE("3/31/2022"),"N/A",ANV0014_C4)</f>
        <v>12955132153</v>
      </c>
      <c r="H24" s="102">
        <f t="shared" si="6"/>
        <v>-0.28492089776446605</v>
      </c>
      <c r="I24" s="76">
        <f>IF(I8&lt;DATEVALUE("3/31/2022"),"N/A",ANV0014_C5)</f>
        <v>12391140505</v>
      </c>
      <c r="J24" s="102">
        <f t="shared" si="7"/>
        <v>-4.3534225767770138</v>
      </c>
    </row>
    <row r="25" spans="1:10" ht="13.15" customHeight="1" x14ac:dyDescent="0.2">
      <c r="A25" s="127" t="s">
        <v>876</v>
      </c>
      <c r="B25" s="76">
        <f>IF(B8&lt;DATEVALUE("3/31/2022"),"N/A",ANV0018_C1)</f>
        <v>15134781492</v>
      </c>
      <c r="C25" s="76">
        <f>IF(C8&lt;DATEVALUE("3/31/2022"),"N/A",ANV0018_C2)</f>
        <v>12151872956</v>
      </c>
      <c r="D25" s="102">
        <f t="shared" si="4"/>
        <v>-19.708963341008374</v>
      </c>
      <c r="E25" s="76">
        <f>IF(E8&lt;DATEVALUE("3/31/2022"),"N/A",ANV0018_C3)</f>
        <v>12543098416</v>
      </c>
      <c r="F25" s="102">
        <f t="shared" si="5"/>
        <v>3.2194663441311904</v>
      </c>
      <c r="G25" s="76">
        <f>IF(G8&lt;DATEVALUE("3/31/2022"),"N/A",ANV0018_C4)</f>
        <v>12503787858</v>
      </c>
      <c r="H25" s="102">
        <f t="shared" si="6"/>
        <v>-0.31340388711177919</v>
      </c>
      <c r="I25" s="76">
        <f>IF(I8&lt;DATEVALUE("3/31/2022"),"N/A",ANV0018_C5)</f>
        <v>12750278928</v>
      </c>
      <c r="J25" s="102">
        <f t="shared" si="7"/>
        <v>1.9713311901904469</v>
      </c>
    </row>
    <row r="26" spans="1:10" ht="13.15" customHeight="1" x14ac:dyDescent="0.2">
      <c r="A26" s="127" t="s">
        <v>877</v>
      </c>
      <c r="B26" s="76">
        <f>IF(B8&lt;DATEVALUE("3/31/2022"),"N/A",ANV0034_C1)</f>
        <v>3624339285</v>
      </c>
      <c r="C26" s="76">
        <f>IF(C8&lt;DATEVALUE("3/31/2022"),"N/A",ANV0034_C2)</f>
        <v>3528653485</v>
      </c>
      <c r="D26" s="102">
        <f t="shared" si="4"/>
        <v>-2.6400894749565369</v>
      </c>
      <c r="E26" s="76">
        <f>IF(E8&lt;DATEVALUE("3/31/2022"),"N/A",ANV0034_C3)</f>
        <v>3334746774</v>
      </c>
      <c r="F26" s="102">
        <f t="shared" si="5"/>
        <v>-5.4952041004955747</v>
      </c>
      <c r="G26" s="76">
        <f>IF(G8&lt;DATEVALUE("3/31/2022"),"N/A",ANV0034_C4)</f>
        <v>3212518269</v>
      </c>
      <c r="H26" s="102">
        <f t="shared" si="6"/>
        <v>-3.6653009443768938</v>
      </c>
      <c r="I26" s="76">
        <f>IF(I8&lt;DATEVALUE("3/31/2022"),"N/A",ANV0034_C5)</f>
        <v>2940011993</v>
      </c>
      <c r="J26" s="102">
        <f t="shared" si="7"/>
        <v>-8.482637394769629</v>
      </c>
    </row>
    <row r="27" spans="1:10" ht="13.15" customHeight="1" x14ac:dyDescent="0.2">
      <c r="A27" s="86" t="s">
        <v>878</v>
      </c>
      <c r="B27" s="76">
        <f>IF(B8&lt;DATEVALUE("3/31/2022"),"N/A",ANV0050_C1)</f>
        <v>332295132</v>
      </c>
      <c r="C27" s="76">
        <f>IF(C8&lt;DATEVALUE("3/31/2022"),"N/A",ANV0050_C2)</f>
        <v>385314858</v>
      </c>
      <c r="D27" s="102">
        <f t="shared" si="4"/>
        <v>15.955613216747333</v>
      </c>
      <c r="E27" s="76">
        <f>IF(E8&lt;DATEVALUE("3/31/2022"),"N/A",ANV0050_C3)</f>
        <v>426493066</v>
      </c>
      <c r="F27" s="102">
        <f t="shared" si="5"/>
        <v>10.686898557127531</v>
      </c>
      <c r="G27" s="76">
        <f>IF(G8&lt;DATEVALUE("3/31/2022"),"N/A",ANV0050_C4)</f>
        <v>405219863</v>
      </c>
      <c r="H27" s="102">
        <f t="shared" si="6"/>
        <v>-4.9879364275526115</v>
      </c>
      <c r="I27" s="76">
        <f>IF(I8&lt;DATEVALUE("3/31/2022"),"N/A",ANV0050_C5)</f>
        <v>394318159</v>
      </c>
      <c r="J27" s="102">
        <f t="shared" si="7"/>
        <v>-2.6903182680361351</v>
      </c>
    </row>
    <row r="28" spans="1:10" ht="13.15" customHeight="1" x14ac:dyDescent="0.2">
      <c r="A28" s="86" t="s">
        <v>879</v>
      </c>
      <c r="B28" s="76">
        <f>IF(B8&lt;DATEVALUE("3/31/2022"),"N/A",ANV0066_C1)</f>
        <v>33450035</v>
      </c>
      <c r="C28" s="76">
        <f>IF(C8&lt;DATEVALUE("3/31/2022"),"N/A",ANV0066_C2)</f>
        <v>14578852</v>
      </c>
      <c r="D28" s="102">
        <f t="shared" si="4"/>
        <v>-56.416033645405747</v>
      </c>
      <c r="E28" s="76">
        <f>IF(E8&lt;DATEVALUE("3/31/2022"),"N/A",ANV0066_C3)</f>
        <v>14637864</v>
      </c>
      <c r="F28" s="102">
        <f t="shared" si="5"/>
        <v>0.40477809912604912</v>
      </c>
      <c r="G28" s="76">
        <f>IF(G8&lt;DATEVALUE("3/31/2022"),"N/A",ANV0066_C4)</f>
        <v>13886108</v>
      </c>
      <c r="H28" s="102">
        <f t="shared" si="6"/>
        <v>-5.1356946614615362</v>
      </c>
      <c r="I28" s="76">
        <f>IF(I8&lt;DATEVALUE("3/31/2022"),"N/A",ANV0066_C5)</f>
        <v>15789051</v>
      </c>
      <c r="J28" s="102">
        <f t="shared" si="7"/>
        <v>13.703933456372368</v>
      </c>
    </row>
    <row r="29" spans="1:10" ht="13.15" customHeight="1" x14ac:dyDescent="0.2">
      <c r="A29" s="86" t="s">
        <v>880</v>
      </c>
      <c r="B29" s="76">
        <f>IF(B8&lt;DATEVALUE("3/31/2022"),"N/A",ANV0070_C1)</f>
        <v>1050926634</v>
      </c>
      <c r="C29" s="76">
        <f>IF(C8&lt;DATEVALUE("3/31/2022"),"N/A",ANV0070_C2)</f>
        <v>1018380768</v>
      </c>
      <c r="D29" s="102">
        <f t="shared" si="4"/>
        <v>-3.0968732685101976</v>
      </c>
      <c r="E29" s="76">
        <f>IF(E8&lt;DATEVALUE("3/31/2022"),"N/A",ANV0070_C3)</f>
        <v>1033802346</v>
      </c>
      <c r="F29" s="102">
        <f t="shared" si="5"/>
        <v>1.5143233733966195</v>
      </c>
      <c r="G29" s="76">
        <f>IF(G8&lt;DATEVALUE("3/31/2022"),"N/A",ANV0070_C4)</f>
        <v>1023865254</v>
      </c>
      <c r="H29" s="102">
        <f t="shared" si="6"/>
        <v>-0.96121778388767554</v>
      </c>
      <c r="I29" s="76">
        <f>IF(I8&lt;DATEVALUE("3/31/2022"),"N/A",ANV0070_C5)</f>
        <v>1061947829</v>
      </c>
      <c r="J29" s="102">
        <f t="shared" si="7"/>
        <v>3.7194909048061122</v>
      </c>
    </row>
    <row r="30" spans="1:10" ht="13.15" customHeight="1" x14ac:dyDescent="0.2">
      <c r="A30" s="86" t="s">
        <v>881</v>
      </c>
      <c r="B30" s="76">
        <f>IF(B8&lt;DATEVALUE("3/31/2022"),"N/A",ANV0074_C1)</f>
        <v>4970154079</v>
      </c>
      <c r="C30" s="76">
        <f>IF(C8&lt;DATEVALUE("3/31/2022"),"N/A",ANV0074_C2)</f>
        <v>5032934228</v>
      </c>
      <c r="D30" s="102">
        <f t="shared" si="4"/>
        <v>1.2631429127169318</v>
      </c>
      <c r="E30" s="76">
        <f>IF(E8&lt;DATEVALUE("3/31/2022"),"N/A",ANV0074_C3)</f>
        <v>4928042649</v>
      </c>
      <c r="F30" s="102">
        <f t="shared" si="5"/>
        <v>-2.0841039093348548</v>
      </c>
      <c r="G30" s="76">
        <f>IF(G8&lt;DATEVALUE("3/31/2022"),"N/A",ANV0074_C4)</f>
        <v>4951694408</v>
      </c>
      <c r="H30" s="102">
        <f t="shared" si="6"/>
        <v>0.47994225465559681</v>
      </c>
      <c r="I30" s="76">
        <f>IF(I8&lt;DATEVALUE("3/31/2022"),"N/A",ANV0074_C5)</f>
        <v>4884769530</v>
      </c>
      <c r="J30" s="102">
        <f t="shared" si="7"/>
        <v>-1.3515550937851819</v>
      </c>
    </row>
    <row r="31" spans="1:10" ht="13.15" customHeight="1" x14ac:dyDescent="0.2">
      <c r="A31" s="86" t="s">
        <v>893</v>
      </c>
      <c r="B31" s="76">
        <f>IF(B8&lt;DATEVALUE("3/31/2022"),"N/A",ANV0078_C1)</f>
        <v>3055030975</v>
      </c>
      <c r="C31" s="76">
        <f>IF(C8&lt;DATEVALUE("3/31/2022"),"N/A",ANV0078_C2)</f>
        <v>2911151466</v>
      </c>
      <c r="D31" s="102">
        <f t="shared" si="4"/>
        <v>-4.7095924780271661</v>
      </c>
      <c r="E31" s="76">
        <f>IF(E8&lt;DATEVALUE("3/31/2022"),"N/A",ANV0078_C3)</f>
        <v>2922523167</v>
      </c>
      <c r="F31" s="102">
        <f t="shared" si="5"/>
        <v>0.39062553538737793</v>
      </c>
      <c r="G31" s="76">
        <f>IF(G8&lt;DATEVALUE("3/31/2022"),"N/A",ANV0078_C4)</f>
        <v>2953951484</v>
      </c>
      <c r="H31" s="102">
        <f t="shared" si="6"/>
        <v>1.0753829894276421</v>
      </c>
      <c r="I31" s="76">
        <f>IF(I8&lt;DATEVALUE("3/31/2022"),"N/A",ANV0078_C5)</f>
        <v>2987099666</v>
      </c>
      <c r="J31" s="102">
        <f t="shared" si="7"/>
        <v>1.1221640632741008</v>
      </c>
    </row>
    <row r="32" spans="1:10" ht="13.15" customHeight="1" x14ac:dyDescent="0.2">
      <c r="A32" s="153" t="s">
        <v>896</v>
      </c>
      <c r="B32" s="76">
        <f>IF(B8&lt;DATEVALUE("3/31/2022"),"N/A",A801_C1)</f>
        <v>49886666464</v>
      </c>
      <c r="C32" s="76">
        <f>IF(C8&lt;DATEVALUE("3/31/2022"),"N/A",A801_C2)</f>
        <v>46123996251</v>
      </c>
      <c r="D32" s="102">
        <f t="shared" si="4"/>
        <v>-7.5424366463036314</v>
      </c>
      <c r="E32" s="76">
        <f>IF(E8&lt;DATEVALUE("3/31/2022"),"N/A",A801_C3)</f>
        <v>46118982710</v>
      </c>
      <c r="F32" s="102">
        <f t="shared" si="5"/>
        <v>-1.0869702123634405E-2</v>
      </c>
      <c r="G32" s="76">
        <f>IF(G8&lt;DATEVALUE("3/31/2022"),"N/A",A801_C4)</f>
        <v>46464153714</v>
      </c>
      <c r="H32" s="102">
        <f t="shared" si="6"/>
        <v>0.7484358581160907</v>
      </c>
      <c r="I32" s="76">
        <f>IF(I8&lt;DATEVALUE("3/31/2022"),"N/A",A801_C5)</f>
        <v>46106363910</v>
      </c>
      <c r="J32" s="102">
        <f t="shared" si="7"/>
        <v>-0.77003404861798919</v>
      </c>
    </row>
    <row r="33" spans="1:10" s="30" customFormat="1" ht="26.45" customHeight="1" x14ac:dyDescent="0.2">
      <c r="A33" s="124" t="s">
        <v>897</v>
      </c>
      <c r="B33" s="76">
        <f>IF(B8&lt;DATEVALUE("3/31/2019"),"N/A",AAS0041_C1)</f>
        <v>4166229</v>
      </c>
      <c r="C33" s="76">
        <f>IF(C8&lt;DATEVALUE("3/31/2019"),"N/A",AAS0041_C2)</f>
        <v>3973505</v>
      </c>
      <c r="D33" s="102">
        <f t="shared" si="4"/>
        <v>-4.6258619005340318</v>
      </c>
      <c r="E33" s="76">
        <f>IF(E8&lt;DATEVALUE("3/31/2019"),"N/A",AAS0041_C3)</f>
        <v>4107437</v>
      </c>
      <c r="F33" s="102">
        <f t="shared" si="5"/>
        <v>3.3706261851941797</v>
      </c>
      <c r="G33" s="76">
        <f>IF(G8&lt;DATEVALUE("3/31/2019"),"N/A",AAS0041_C4)</f>
        <v>4029122</v>
      </c>
      <c r="H33" s="102">
        <f t="shared" si="6"/>
        <v>-1.9066634497376345</v>
      </c>
      <c r="I33" s="76">
        <f>IF(I8&lt;DATEVALUE("3/31/2019"),"N/A",AAS0041_C5)</f>
        <v>4086650</v>
      </c>
      <c r="J33" s="102">
        <f t="shared" si="7"/>
        <v>1.4278048666682219</v>
      </c>
    </row>
    <row r="34" spans="1:10" s="30" customFormat="1" ht="13.15" customHeight="1" x14ac:dyDescent="0.2">
      <c r="A34" s="208"/>
      <c r="B34" s="76"/>
      <c r="C34" s="76"/>
      <c r="D34" s="102"/>
      <c r="E34" s="76"/>
      <c r="F34" s="102"/>
      <c r="G34" s="76"/>
      <c r="H34" s="102"/>
      <c r="I34" s="76"/>
      <c r="J34" s="102"/>
    </row>
    <row r="35" spans="1:10" s="30" customFormat="1" ht="13.15" customHeight="1" x14ac:dyDescent="0.2">
      <c r="A35" s="153" t="s">
        <v>307</v>
      </c>
      <c r="B35" s="76">
        <f>IF(B8&lt;DATEVALUE("3/31/2019"), "N/A", (IF(B8&lt;DATEVALUE("3/31/2022"),(AAS0055_C1 + AAS0061_C1 + AAS0067_C1 +AAS0001_C1), AAS0013_C1)))</f>
        <v>347815035117</v>
      </c>
      <c r="C35" s="76">
        <f>IF(C8&lt;DATEVALUE("3/31/2019"), "N/A", (IF(C8&lt;DATEVALUE("3/31/2022"),(AAS0055_C2 + AAS0061_C2 + AAS0067_C2 +AAS0001_C2), AAS0013_C2)))</f>
        <v>338657665013</v>
      </c>
      <c r="D35" s="102">
        <f>IF(C35="N/A", " ", IF(B35="N/A", " ",IF(AND(B35=0,C35=0,),"N/A",IF(ABS(B35)=0, "N/A", ((C35-B35)/ABS(B35))*100))))</f>
        <v>-2.632827560464599</v>
      </c>
      <c r="E35" s="76">
        <f>IF(E8&lt;DATEVALUE("3/31/2019"), "N/A", (IF(E8&lt;DATEVALUE("3/31/2022"),(AAS0055_C3 + AAS0061_C3 + AAS0067_C3 +AAS0001_C3), AAS0013_C3)))</f>
        <v>346857130826</v>
      </c>
      <c r="F35" s="102">
        <f>IF(E35="N/A", " ", IF(C35="N/A", " ",IF(AND(C35=0,E35=0,),"N/A",IF(ABS(C35)=0, "N/A", ((E35-C35)/ABS(C35))*100))))</f>
        <v>2.4211664639822188</v>
      </c>
      <c r="G35" s="76">
        <f>IF(G8&lt;DATEVALUE("3/31/2019"), "N/A", (IF(G8&lt;DATEVALUE("3/31/2022"),(AAS0055_C4 + AAS0061_C4 + AAS0067_C4 +AAS0001_C4), AAS0013_C4)))</f>
        <v>351990988997</v>
      </c>
      <c r="H35" s="102">
        <f>IF(G35="N/A", " ", IF(E35="N/A", " ",IF(AND(E35=0,G35=0,),"N/A",IF(ABS(E35)=0, "N/A", ((G35-E35)/ABS(E35))*100))))</f>
        <v>1.4801074317758187</v>
      </c>
      <c r="I35" s="76">
        <f>IF(I8&lt;DATEVALUE("3/31/2019"), "N/A", (IF(I8&lt;DATEVALUE("3/31/2022"),(AAS0055_C5 + AAS0061_C5 + AAS0067_C5 +AAS0001_C5), AAS0013_C5)))</f>
        <v>355678959108</v>
      </c>
      <c r="J35" s="102">
        <f>IF(I35="N/A", " ", IF(G35="N/A", " ",IF(AND(G35=0,I35=0,),"N/A",IF(ABS(G35)=0, "N/A",((I35-G35)/ABS(G35))*100))))</f>
        <v>1.0477456032351533</v>
      </c>
    </row>
    <row r="36" spans="1:10" s="30" customFormat="1" ht="13.15" customHeight="1" x14ac:dyDescent="0.2">
      <c r="A36" s="156"/>
      <c r="B36" s="76"/>
      <c r="C36" s="76"/>
      <c r="D36" s="102"/>
      <c r="E36" s="76"/>
      <c r="F36" s="102"/>
      <c r="G36" s="76"/>
      <c r="H36" s="102"/>
      <c r="I36" s="76"/>
      <c r="J36" s="102"/>
    </row>
    <row r="37" spans="1:10" s="30" customFormat="1" ht="25.5" customHeight="1" x14ac:dyDescent="0.2">
      <c r="A37" s="124" t="s">
        <v>898</v>
      </c>
      <c r="B37" s="76">
        <f t="array" ref="B37">IF(B8&lt;DATEVALUE("9/30/2023"),"N/A",AAS0042_C1)</f>
        <v>361360430</v>
      </c>
      <c r="C37" s="76">
        <f t="array" ref="C37">IF(C8&lt;DATEVALUE("9/30/2023"),"N/A",AAS0042_C2)</f>
        <v>9206483</v>
      </c>
      <c r="D37" s="102">
        <f>IF(C37="N/A", " ", IF(B37="N/A", " ",IF(AND(B37=0,C37=0,),"N/A",IF(ABS(B37)=0, "N/A", ((C37-B37)/ABS(B37))*100))))</f>
        <v>-97.452271406694962</v>
      </c>
      <c r="E37" s="76">
        <f t="array" ref="E37">IF(E8&lt;DATEVALUE("9/30/2023"),"N/A",AAS0042_C3)</f>
        <v>45509401</v>
      </c>
      <c r="F37" s="102">
        <f>IF(E37="N/A", " ", IF(C37="N/A", " ",IF(AND(C37=0,E37=0,),"N/A",IF(ABS(C37)=0, "N/A", ((E37-C37)/ABS(C37))*100))))</f>
        <v>394.31906842167632</v>
      </c>
      <c r="G37" s="76">
        <f t="array" ref="G37">IF(G8&lt;DATEVALUE("9/30/2023"),"N/A",AAS0042_C4)</f>
        <v>18627967</v>
      </c>
      <c r="H37" s="102">
        <f>IF(G37="N/A", " ", IF(E37="N/A", " ",IF(AND(E37=0,G37=0,),"N/A",IF(ABS(E37)=0, "N/A", ((G37-E37)/ABS(E37))*100))))</f>
        <v>-59.067870394514756</v>
      </c>
      <c r="I37" s="76">
        <f t="array" ref="I37">IF(I8&lt;DATEVALUE("9/30/2023"),"N/A",AAS0042_C5)</f>
        <v>19449773</v>
      </c>
      <c r="J37" s="102">
        <f>IF(I37="N/A", " ", IF(G37="N/A", " ",IF(AND(G37=0,I37=0,),"N/A",IF(ABS(G37)=0, "N/A",((I37-G37)/ABS(G37))*100))))</f>
        <v>4.4116784187990028</v>
      </c>
    </row>
    <row r="38" spans="1:10" s="30" customFormat="1" ht="12" customHeight="1" x14ac:dyDescent="0.2">
      <c r="A38" s="124"/>
      <c r="B38" s="76"/>
      <c r="C38" s="76"/>
      <c r="D38" s="102"/>
      <c r="E38" s="76"/>
      <c r="F38" s="102"/>
      <c r="G38" s="76"/>
      <c r="H38" s="102"/>
      <c r="I38" s="76"/>
      <c r="J38" s="102"/>
    </row>
    <row r="39" spans="1:10" s="30" customFormat="1" ht="13.15" customHeight="1" x14ac:dyDescent="0.2">
      <c r="A39" s="153" t="s">
        <v>308</v>
      </c>
      <c r="B39" s="76"/>
      <c r="C39" s="76"/>
      <c r="D39" s="102"/>
      <c r="E39" s="76"/>
      <c r="F39" s="102"/>
      <c r="G39" s="76"/>
      <c r="H39" s="102"/>
      <c r="I39" s="76"/>
      <c r="J39" s="102"/>
    </row>
    <row r="40" spans="1:10" s="30" customFormat="1" ht="13.15" customHeight="1" x14ac:dyDescent="0.2">
      <c r="A40" s="86" t="s">
        <v>899</v>
      </c>
      <c r="B40" s="76">
        <f>A769A_C1</f>
        <v>139415604</v>
      </c>
      <c r="C40" s="76">
        <f>A769A_C2</f>
        <v>138069553</v>
      </c>
      <c r="D40" s="102">
        <f>IF(C40="N/A", " ", IF(B40="N/A", " ",IF(AND(B40=0,C40=0,),"N/A",IF(ABS(B40)=0, "N/A", ((C40-B40)/ABS(B40))*100))))</f>
        <v>-0.96549522534077314</v>
      </c>
      <c r="E40" s="76">
        <f>A769A_C3</f>
        <v>134675221</v>
      </c>
      <c r="F40" s="102">
        <f>IF(E40="N/A", " ", IF(C40="N/A", " ",IF(AND(C40=0,E40=0,),"N/A",IF(ABS(C40)=0, "N/A", ((E40-C40)/ABS(C40))*100))))</f>
        <v>-2.4584218071597581</v>
      </c>
      <c r="G40" s="76">
        <f>A769A_C4</f>
        <v>125743655</v>
      </c>
      <c r="H40" s="102">
        <f>IF(G40="N/A", " ", IF(E40="N/A", " ",IF(AND(E40=0,G40=0,),"N/A",IF(ABS(E40)=0, "N/A", ((G40-E40)/ABS(E40))*100))))</f>
        <v>-6.6319297148211112</v>
      </c>
      <c r="I40" s="76">
        <f>A769A_C5</f>
        <v>128117087</v>
      </c>
      <c r="J40" s="102">
        <f>IF(I40="N/A", " ", IF(G40="N/A", " ",IF(AND(G40=0,I40=0,),"N/A",IF(ABS(G40)=0, "N/A",((I40-G40)/ABS(G40))*100))))</f>
        <v>1.8875163124533003</v>
      </c>
    </row>
    <row r="41" spans="1:10" s="30" customFormat="1" ht="13.15" customHeight="1" x14ac:dyDescent="0.2">
      <c r="A41" s="86" t="s">
        <v>310</v>
      </c>
      <c r="B41" s="76">
        <f>A769B_C1</f>
        <v>1247597919</v>
      </c>
      <c r="C41" s="76">
        <f>A769B_C2</f>
        <v>1263898452</v>
      </c>
      <c r="D41" s="102">
        <f>IF(C41="N/A", " ", IF(B41="N/A", " ",IF(AND(B41=0,C41=0,),"N/A",IF(ABS(B41)=0, "N/A", ((C41-B41)/ABS(B41))*100))))</f>
        <v>1.3065533976736299</v>
      </c>
      <c r="E41" s="76">
        <f>A769B_C3</f>
        <v>1266804674</v>
      </c>
      <c r="F41" s="102">
        <f>IF(E41="N/A", " ", IF(C41="N/A", " ",IF(AND(C41=0,E41=0,),"N/A",IF(ABS(C41)=0, "N/A", ((E41-C41)/ABS(C41))*100))))</f>
        <v>0.22994109973005963</v>
      </c>
      <c r="G41" s="76">
        <f>A769B_C4</f>
        <v>1312691352</v>
      </c>
      <c r="H41" s="102">
        <f>IF(G41="N/A", " ", IF(E41="N/A", " ",IF(AND(E41=0,G41=0,),"N/A",IF(ABS(E41)=0, "N/A", ((G41-E41)/ABS(E41))*100))))</f>
        <v>3.6222378194351377</v>
      </c>
      <c r="I41" s="76">
        <f>A769B_C5</f>
        <v>1332968961</v>
      </c>
      <c r="J41" s="102">
        <f>IF(I41="N/A", " ", IF(G41="N/A", " ",IF(AND(G41=0,I41=0,),"N/A",IF(ABS(G41)=0, "N/A",((I41-G41)/ABS(G41))*100))))</f>
        <v>1.5447354756398213</v>
      </c>
    </row>
    <row r="42" spans="1:10" s="30" customFormat="1" ht="13.15" customHeight="1" x14ac:dyDescent="0.2">
      <c r="A42" s="86" t="s">
        <v>900</v>
      </c>
      <c r="B42" s="76">
        <f>IF(B8&lt;DATEVALUE("3/31/2022"),A766E_C1,AAS0016_C1)</f>
        <v>11995673414</v>
      </c>
      <c r="C42" s="76">
        <f>IF(C8&lt;DATEVALUE("3/31/2022"),A766E_C2,AAS0016_C2)</f>
        <v>11197786391</v>
      </c>
      <c r="D42" s="102">
        <f>IF(C42="N/A", " ", IF(B42="N/A", " ",IF(AND(B42=0,C42=0,),"N/A",IF(ABS(B42)=0, "N/A", ((C42-B42)/ABS(B42))*100))))</f>
        <v>-6.6514566999531359</v>
      </c>
      <c r="E42" s="76">
        <f>IF(E8&lt;DATEVALUE("3/31/2022"),A766E_C3,AAS0016_C3)</f>
        <v>11524966695</v>
      </c>
      <c r="F42" s="102">
        <f>IF(E42="N/A", " ", IF(C42="N/A", " ",IF(AND(C42=0,E42=0,),"N/A",IF(ABS(C42)=0, "N/A", ((E42-C42)/ABS(C42))*100))))</f>
        <v>2.9218301955015389</v>
      </c>
      <c r="G42" s="76">
        <f>IF(G8&lt;DATEVALUE("3/31/2022"),A766E_C4,AAS0016_C4)</f>
        <v>11905898716</v>
      </c>
      <c r="H42" s="102">
        <f>IF(G42="N/A", " ", IF(E42="N/A", " ",IF(AND(E42=0,G42=0,),"N/A",IF(ABS(E42)=0, "N/A", ((G42-E42)/ABS(E42))*100))))</f>
        <v>3.3052765450963415</v>
      </c>
      <c r="I42" s="76">
        <f>IF(I8&lt;DATEVALUE("3/31/2022"),A766E_C5,AAS0016_C5)</f>
        <v>11934888334</v>
      </c>
      <c r="J42" s="102">
        <f>IF(I42="N/A", " ", IF(G42="N/A", " ",IF(AND(G42=0,I42=0,),"N/A",IF(ABS(G42)=0, "N/A",((I42-G42)/ABS(G42))*100))))</f>
        <v>0.243489539861797</v>
      </c>
    </row>
    <row r="43" spans="1:10" s="30" customFormat="1" ht="13.15" customHeight="1" x14ac:dyDescent="0.2">
      <c r="A43" s="153" t="s">
        <v>312</v>
      </c>
      <c r="B43" s="76">
        <f>IF(B8&lt;DATEVALUE("3/31/2022"),A769A_C1+A769B_C1+A766E_C1,AAS0017_C1)</f>
        <v>13382686937</v>
      </c>
      <c r="C43" s="76">
        <f>IF(C8&lt;DATEVALUE("3/31/2022"),A769A_C2+A769B_C2+A766E_C2,AAS0017_C2)</f>
        <v>12599754396</v>
      </c>
      <c r="D43" s="102">
        <f>IF(C43="N/A", " ", IF(B43="N/A", " ",IF(AND(B43=0,C43=0,),"N/A",IF(ABS(B43)=0, "N/A", ((C43-B43)/ABS(B43))*100))))</f>
        <v>-5.8503389094111933</v>
      </c>
      <c r="E43" s="76">
        <f>IF(E8&lt;DATEVALUE("3/31/2022"),A769A_C3+A769B_C3+A766E_C3,AAS0017_C3)</f>
        <v>12926446590</v>
      </c>
      <c r="F43" s="102">
        <f>IF(E43="N/A", " ", IF(C43="N/A", " ",IF(AND(C43=0,E43=0,),"N/A",IF(ABS(C43)=0, "N/A", ((E43-C43)/ABS(C43))*100))))</f>
        <v>2.5928457312129343</v>
      </c>
      <c r="G43" s="76">
        <f>IF(G8&lt;DATEVALUE("3/31/2022"),A769A_C4+A769B_C4+A766E_C4,AAS0017_C4)</f>
        <v>13344333723</v>
      </c>
      <c r="H43" s="102">
        <f>IF(G43="N/A", " ", IF(E43="N/A", " ",IF(AND(E43=0,G43=0,),"N/A",IF(ABS(E43)=0, "N/A", ((G43-E43)/ABS(E43))*100))))</f>
        <v>3.2328074857268256</v>
      </c>
      <c r="I43" s="76">
        <f>IF(I8&lt;DATEVALUE("3/31/2022"),A769A_C5+A769B_C5+A766E_C5,AAS0017_C5)</f>
        <v>13395974382</v>
      </c>
      <c r="J43" s="102">
        <f>IF(I43="N/A", " ", IF(G43="N/A", " ",IF(AND(G43=0,I43=0,),"N/A",IF(ABS(G43)=0, "N/A",((I43-G43)/ABS(G43))*100))))</f>
        <v>0.38698566801423212</v>
      </c>
    </row>
    <row r="44" spans="1:10" s="30" customFormat="1" ht="13.15" customHeight="1" x14ac:dyDescent="0.2">
      <c r="A44" s="145"/>
      <c r="B44" s="76"/>
      <c r="C44" s="76"/>
      <c r="D44" s="102"/>
      <c r="E44" s="76"/>
      <c r="F44" s="102"/>
      <c r="G44" s="76"/>
      <c r="H44" s="102"/>
      <c r="I44" s="76"/>
      <c r="J44" s="102"/>
    </row>
    <row r="45" spans="1:10" s="30" customFormat="1" ht="13.15" customHeight="1" x14ac:dyDescent="0.2">
      <c r="A45" s="153" t="s">
        <v>901</v>
      </c>
      <c r="B45" s="76"/>
      <c r="C45" s="76"/>
      <c r="D45" s="102"/>
      <c r="E45" s="76"/>
      <c r="F45" s="102"/>
      <c r="G45" s="76"/>
      <c r="H45" s="102"/>
      <c r="I45" s="76"/>
      <c r="J45" s="102"/>
    </row>
    <row r="46" spans="1:10" ht="33.75" customHeight="1" x14ac:dyDescent="0.2">
      <c r="A46" s="233" t="s">
        <v>902</v>
      </c>
      <c r="B46" s="76">
        <f>IF(B8&lt;DATEVALUE("3/31/2022"),"N/A",AAS0007_C1)</f>
        <v>30945239971</v>
      </c>
      <c r="C46" s="76">
        <f>IF(C8&lt;DATEVALUE("3/31/2022"),"N/A",AAS0007_C2)</f>
        <v>30569671892</v>
      </c>
      <c r="D46" s="102">
        <f>IF(C46="N/A", " ", IF(B46="N/A", " ",IF(AND(B46=0,C46=0,),"N/A",IF(ABS(B46)=0, "N/A", ((C46-B46)/ABS(B46))*100))))</f>
        <v>-1.2136537940955043</v>
      </c>
      <c r="E46" s="76">
        <f>IF(E8&lt;DATEVALUE("3/31/2022"),"N/A",AAS0007_C3)</f>
        <v>31315308557</v>
      </c>
      <c r="F46" s="102">
        <f>IF(E46="N/A", " ", IF(C46="N/A", " ",IF(AND(C46=0,E46=0,),"N/A",IF(ABS(C46)=0, "N/A", ((E46-C46)/ABS(C46))*100))))</f>
        <v>2.4391385934211844</v>
      </c>
      <c r="G46" s="76">
        <f>IF(G8&lt;DATEVALUE("3/31/2022"),"N/A",AAS0007_C4)</f>
        <v>31530120225</v>
      </c>
      <c r="H46" s="102">
        <f>IF(G46="N/A", " ", IF(E46="N/A", " ",IF(AND(E46=0,G46=0,),"N/A",IF(ABS(E46)=0, "N/A", ((G46-E46)/ABS(E46))*100))))</f>
        <v>0.68596375989398495</v>
      </c>
      <c r="I46" s="76">
        <f>IF(I8&lt;DATEVALUE("3/31/2022"),"N/A",AAS0007_C5)</f>
        <v>31602816748</v>
      </c>
      <c r="J46" s="102">
        <f>IF(I46="N/A", " ", IF(G46="N/A", " ",IF(AND(G46=0,I46=0,),"N/A",IF(ABS(G46)=0, "N/A",((I46-G46)/ABS(G46))*100))))</f>
        <v>0.23056214971980812</v>
      </c>
    </row>
    <row r="47" spans="1:10" s="30" customFormat="1" ht="25.5" customHeight="1" x14ac:dyDescent="0.2">
      <c r="A47" s="2" t="s">
        <v>903</v>
      </c>
      <c r="B47" s="2"/>
      <c r="C47" s="2"/>
      <c r="D47" s="2"/>
      <c r="E47" s="2"/>
      <c r="F47" s="212"/>
      <c r="G47" s="175"/>
      <c r="H47" s="212"/>
      <c r="I47" s="221" t="s">
        <v>904</v>
      </c>
      <c r="J47" s="212"/>
    </row>
    <row r="48" spans="1:10" ht="13.15" customHeight="1" x14ac:dyDescent="0.2">
      <c r="A48" s="11" t="s">
        <v>905</v>
      </c>
      <c r="B48" s="11"/>
      <c r="C48" s="11"/>
      <c r="D48" s="11"/>
      <c r="E48" s="11"/>
      <c r="F48" s="188"/>
      <c r="G48" s="107"/>
      <c r="H48" s="188"/>
      <c r="I48" s="30"/>
      <c r="J48" s="30"/>
    </row>
    <row r="49" spans="1:10" s="30" customFormat="1" ht="11.25" customHeight="1" x14ac:dyDescent="0.2">
      <c r="A49" s="150" t="s">
        <v>86</v>
      </c>
      <c r="B49" s="262"/>
      <c r="C49" s="262"/>
      <c r="D49" s="262"/>
      <c r="E49" s="262"/>
      <c r="F49" s="54"/>
      <c r="H49" s="54"/>
      <c r="J49" s="54"/>
    </row>
    <row r="50" spans="1:10" s="30" customFormat="1" x14ac:dyDescent="0.2">
      <c r="A50" s="62"/>
      <c r="B50"/>
      <c r="C50"/>
      <c r="D50" s="57"/>
      <c r="E50"/>
      <c r="F50" s="57"/>
      <c r="G50"/>
      <c r="H50" s="57"/>
      <c r="I50"/>
      <c r="J50" s="57"/>
    </row>
    <row r="51" spans="1:10" s="30" customFormat="1" x14ac:dyDescent="0.2">
      <c r="A51" s="62"/>
      <c r="B51"/>
      <c r="C51"/>
      <c r="D51" s="57"/>
      <c r="E51"/>
      <c r="F51" s="57"/>
      <c r="G51"/>
      <c r="H51" s="57"/>
      <c r="I51"/>
      <c r="J51" s="57"/>
    </row>
    <row r="52" spans="1:10" s="30" customFormat="1" x14ac:dyDescent="0.2">
      <c r="A52" s="62"/>
      <c r="B52"/>
      <c r="C52"/>
      <c r="D52" s="57"/>
      <c r="E52"/>
      <c r="F52" s="57"/>
      <c r="G52"/>
      <c r="H52" s="57"/>
      <c r="I52"/>
      <c r="J52" s="57"/>
    </row>
    <row r="53" spans="1:10" s="30" customFormat="1" x14ac:dyDescent="0.2">
      <c r="A53" s="74"/>
      <c r="B53"/>
      <c r="C53"/>
      <c r="D53" s="57"/>
      <c r="E53"/>
      <c r="F53" s="57"/>
      <c r="G53"/>
      <c r="H53" s="57"/>
      <c r="I53"/>
      <c r="J53" s="57"/>
    </row>
    <row r="54" spans="1:10" x14ac:dyDescent="0.2">
      <c r="A54" s="62"/>
      <c r="C54" s="32"/>
      <c r="D54" s="55"/>
      <c r="E54" s="32"/>
    </row>
    <row r="55" spans="1:10" s="30" customFormat="1" x14ac:dyDescent="0.2">
      <c r="A55" s="62"/>
      <c r="B55"/>
      <c r="C55"/>
      <c r="D55" s="57"/>
      <c r="E55"/>
      <c r="F55" s="57"/>
      <c r="G55"/>
      <c r="H55" s="57"/>
      <c r="I55"/>
      <c r="J55" s="57"/>
    </row>
    <row r="56" spans="1:10" s="30" customFormat="1" x14ac:dyDescent="0.2">
      <c r="A56" s="62"/>
      <c r="B56"/>
      <c r="C56"/>
      <c r="D56" s="57"/>
      <c r="E56"/>
      <c r="F56" s="57"/>
      <c r="G56"/>
      <c r="H56" s="57"/>
      <c r="I56"/>
      <c r="J56" s="57"/>
    </row>
    <row r="57" spans="1:10" s="30" customFormat="1" x14ac:dyDescent="0.2">
      <c r="A57" s="62"/>
      <c r="B57"/>
      <c r="C57"/>
      <c r="D57" s="57"/>
      <c r="E57"/>
      <c r="F57" s="57"/>
      <c r="G57"/>
      <c r="H57" s="57"/>
      <c r="I57"/>
      <c r="J57" s="57"/>
    </row>
    <row r="58" spans="1:10" s="30" customFormat="1" x14ac:dyDescent="0.2">
      <c r="A58" s="62"/>
      <c r="B58"/>
      <c r="C58"/>
      <c r="D58" s="57"/>
      <c r="E58"/>
      <c r="F58" s="57"/>
      <c r="G58"/>
      <c r="H58" s="57"/>
      <c r="I58"/>
      <c r="J58" s="57"/>
    </row>
    <row r="59" spans="1:10" s="30" customFormat="1" x14ac:dyDescent="0.2">
      <c r="A59" s="62"/>
      <c r="B59"/>
      <c r="C59"/>
      <c r="D59" s="57"/>
      <c r="E59"/>
      <c r="F59" s="57"/>
      <c r="G59"/>
      <c r="H59" s="57"/>
      <c r="I59"/>
      <c r="J59" s="57"/>
    </row>
    <row r="60" spans="1:10" s="30" customFormat="1" x14ac:dyDescent="0.2">
      <c r="A60" s="74"/>
      <c r="B60"/>
      <c r="C60"/>
      <c r="D60" s="57"/>
      <c r="E60"/>
      <c r="F60" s="57"/>
      <c r="G60"/>
      <c r="H60" s="57"/>
      <c r="I60"/>
      <c r="J60" s="57"/>
    </row>
    <row r="61" spans="1:10" s="30" customFormat="1" x14ac:dyDescent="0.2">
      <c r="A61" s="72"/>
      <c r="B61"/>
      <c r="C61"/>
      <c r="D61" s="57"/>
      <c r="E61"/>
      <c r="F61" s="57"/>
      <c r="G61"/>
      <c r="H61" s="57"/>
      <c r="I61"/>
      <c r="J61" s="57"/>
    </row>
    <row r="62" spans="1:10" x14ac:dyDescent="0.2">
      <c r="A62" s="74"/>
    </row>
    <row r="63" spans="1:10" x14ac:dyDescent="0.2">
      <c r="A63" s="73"/>
    </row>
    <row r="64" spans="1:10" x14ac:dyDescent="0.2">
      <c r="A64" s="73"/>
    </row>
    <row r="65" spans="1:1" x14ac:dyDescent="0.2">
      <c r="A65" s="73"/>
    </row>
    <row r="66" spans="1:1" x14ac:dyDescent="0.2">
      <c r="A66" s="73"/>
    </row>
    <row r="67" spans="1:1" x14ac:dyDescent="0.2">
      <c r="A67" s="73"/>
    </row>
    <row r="68" spans="1:1" x14ac:dyDescent="0.2">
      <c r="A68" s="73"/>
    </row>
    <row r="69" spans="1:1" x14ac:dyDescent="0.2">
      <c r="A69" s="75"/>
    </row>
    <row r="70" spans="1:1" x14ac:dyDescent="0.2">
      <c r="A70" s="75"/>
    </row>
    <row r="71" spans="1:1" x14ac:dyDescent="0.2">
      <c r="A71" s="74"/>
    </row>
    <row r="72" spans="1:1" x14ac:dyDescent="0.2">
      <c r="A72" s="73"/>
    </row>
    <row r="73" spans="1:1" x14ac:dyDescent="0.2">
      <c r="A73" s="73"/>
    </row>
    <row r="74" spans="1:1" x14ac:dyDescent="0.2">
      <c r="A74" s="73"/>
    </row>
    <row r="75" spans="1:1" x14ac:dyDescent="0.2">
      <c r="A75" s="73"/>
    </row>
    <row r="76" spans="1:1" x14ac:dyDescent="0.2">
      <c r="A76" s="73"/>
    </row>
    <row r="77" spans="1:1" x14ac:dyDescent="0.2">
      <c r="A77" s="73"/>
    </row>
    <row r="78" spans="1:1" x14ac:dyDescent="0.2">
      <c r="A78" s="74"/>
    </row>
    <row r="80" spans="1:1" x14ac:dyDescent="0.2">
      <c r="A80" s="30"/>
    </row>
    <row r="81" spans="1:1" x14ac:dyDescent="0.2">
      <c r="A81" s="30"/>
    </row>
  </sheetData>
  <mergeCells count="3">
    <mergeCell ref="D5:J5"/>
    <mergeCell ref="A47:E47"/>
    <mergeCell ref="A48:E48"/>
  </mergeCells>
  <phoneticPr fontId="2" type="noConversion"/>
  <hyperlinks>
    <hyperlink ref="A2" location="'Cover Page'!A1" display="Return to cover" xr:uid="{00000000-0004-0000-1800-000000000000}"/>
  </hyperlinks>
  <printOptions horizontalCentered="1" verticalCentered="1" gridLines="1"/>
  <pageMargins left="0.75" right="0.75" top="0.5" bottom="0.5" header="0.5" footer="0.5"/>
  <pageSetup orientation="landscape"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31">
    <pageSetUpPr fitToPage="1"/>
  </sheetPr>
  <dimension ref="A1:J59"/>
  <sheetViews>
    <sheetView workbookViewId="0"/>
  </sheetViews>
  <sheetFormatPr defaultRowHeight="12.75" x14ac:dyDescent="0.2"/>
  <cols>
    <col min="1" max="1" width="58.7109375" customWidth="1"/>
    <col min="2" max="3" width="16.7109375" customWidth="1"/>
    <col min="4" max="4" width="6.7109375" customWidth="1"/>
    <col min="5" max="5" width="16.7109375" customWidth="1"/>
    <col min="6" max="6" width="6.7109375" customWidth="1"/>
    <col min="7" max="7" width="16.7109375" customWidth="1"/>
    <col min="8" max="8" width="6.7109375" customWidth="1"/>
    <col min="9" max="9" width="16.7109375" customWidth="1"/>
    <col min="10" max="10" width="6.7109375" customWidth="1"/>
  </cols>
  <sheetData>
    <row r="1" spans="1:10" x14ac:dyDescent="0.2">
      <c r="A1" s="88"/>
      <c r="B1" s="62"/>
      <c r="C1" s="85" t="s">
        <v>29</v>
      </c>
      <c r="D1" s="118"/>
      <c r="E1" s="62"/>
      <c r="F1" s="119"/>
      <c r="G1" s="62"/>
      <c r="H1" s="119"/>
      <c r="I1" s="62"/>
      <c r="J1" s="119"/>
    </row>
    <row r="2" spans="1:10" x14ac:dyDescent="0.2">
      <c r="A2" s="60" t="s">
        <v>49</v>
      </c>
      <c r="B2" s="62"/>
      <c r="C2" s="67" t="s">
        <v>50</v>
      </c>
      <c r="D2" s="87" t="str">
        <f>IF(CU_NUMBER="","N/A",CU_NUMBER)</f>
        <v>N/A</v>
      </c>
      <c r="E2" s="120"/>
      <c r="F2" s="119"/>
      <c r="G2" s="62"/>
      <c r="H2" s="119"/>
      <c r="I2" s="62"/>
      <c r="J2" s="119"/>
    </row>
    <row r="3" spans="1:10" x14ac:dyDescent="0.2">
      <c r="A3" s="121" t="str">
        <f>IF(Request_Date=0,"N/A",Request_Date)</f>
        <v>12/05/2025</v>
      </c>
      <c r="B3" s="62"/>
      <c r="C3" s="67" t="s">
        <v>42</v>
      </c>
      <c r="D3" s="75">
        <f>IF(CountCu_C5=0,"N/A",CountCu_C5)</f>
        <v>4331</v>
      </c>
      <c r="E3" s="120"/>
      <c r="F3" s="119"/>
      <c r="G3" s="62"/>
      <c r="H3" s="119"/>
      <c r="I3" s="62"/>
      <c r="J3" s="119"/>
    </row>
    <row r="4" spans="1:10" x14ac:dyDescent="0.2">
      <c r="A4" s="74" t="str">
        <f>"CU Name:      "&amp;IF(Cu_Name="","N/A",Cu_Name)</f>
        <v>CU Name:      N/A</v>
      </c>
      <c r="B4" s="62"/>
      <c r="C4" s="67" t="s">
        <v>43</v>
      </c>
      <c r="D4" s="89" t="str">
        <f>IF(AssetRange="","N/A",AssetRange)</f>
        <v>N/A</v>
      </c>
      <c r="E4" s="75"/>
      <c r="F4" s="119"/>
      <c r="G4" s="62"/>
      <c r="H4" s="119"/>
      <c r="I4" s="62"/>
      <c r="J4" s="119"/>
    </row>
    <row r="5" spans="1:10" x14ac:dyDescent="0.2">
      <c r="A5" s="74" t="str">
        <f>"Peer Group:      "&amp;IF(Peer_Group="","N/A",IF(Peer_Group="0","N/A",Peer_Group))</f>
        <v>Peer Group:      N/A</v>
      </c>
      <c r="B5" s="90"/>
      <c r="C5" s="67" t="s">
        <v>51</v>
      </c>
      <c r="D5" s="24" t="str">
        <f>IF(_xlnm.Criteria="","N/A",_xlnm.Criteria)</f>
        <v xml:space="preserve">Region: Nation * Peer Group: All * Types Included: All  Federally Insured Credit Unions  (FICUs) *  </v>
      </c>
      <c r="E5" s="23"/>
      <c r="F5" s="23"/>
      <c r="G5" s="23"/>
      <c r="H5" s="23"/>
      <c r="I5" s="23"/>
      <c r="J5" s="23"/>
    </row>
    <row r="6" spans="1:10" x14ac:dyDescent="0.2">
      <c r="A6" s="74"/>
      <c r="B6" s="67"/>
      <c r="C6" s="67" t="s">
        <v>45</v>
      </c>
      <c r="D6" s="75" t="str">
        <f>IF(NoCu_in_Peer_Group="","N/A",NoCu_in_Peer_Group)</f>
        <v>N/A</v>
      </c>
      <c r="E6" s="75" t="str">
        <f>IF(CU_NUMBER&gt;0,"",IF(RetPop=0,"Retroactive Population",""))</f>
        <v/>
      </c>
      <c r="F6" s="119"/>
      <c r="G6" s="62"/>
      <c r="H6" s="119"/>
      <c r="I6" s="62"/>
      <c r="J6" s="119"/>
    </row>
    <row r="7" spans="1:10" x14ac:dyDescent="0.2">
      <c r="A7" s="29"/>
      <c r="D7" s="57"/>
      <c r="E7" s="32"/>
      <c r="F7" s="54"/>
      <c r="G7" s="30"/>
      <c r="H7" s="54"/>
      <c r="I7" s="30"/>
      <c r="J7" s="54"/>
    </row>
    <row r="8" spans="1:10" x14ac:dyDescent="0.2">
      <c r="A8" s="145"/>
      <c r="B8" s="80">
        <f>(CycDat_C1)</f>
        <v>45565</v>
      </c>
      <c r="C8" s="80">
        <f>(CycDat_C2)</f>
        <v>45657</v>
      </c>
      <c r="D8" s="69" t="s">
        <v>52</v>
      </c>
      <c r="E8" s="80">
        <f>(CycDat_C3)</f>
        <v>45747</v>
      </c>
      <c r="F8" s="69" t="s">
        <v>52</v>
      </c>
      <c r="G8" s="80">
        <f>(CycDat_C4)</f>
        <v>45838</v>
      </c>
      <c r="H8" s="69" t="s">
        <v>52</v>
      </c>
      <c r="I8" s="80">
        <f>(CycDat_C5)</f>
        <v>45930</v>
      </c>
      <c r="J8" s="69" t="s">
        <v>52</v>
      </c>
    </row>
    <row r="9" spans="1:10" x14ac:dyDescent="0.2">
      <c r="A9" s="145" t="s">
        <v>906</v>
      </c>
      <c r="B9" s="71"/>
      <c r="C9" s="71"/>
      <c r="D9" s="71"/>
      <c r="E9" s="71"/>
      <c r="F9" s="71"/>
      <c r="G9" s="71"/>
      <c r="H9" s="71"/>
      <c r="I9" s="71"/>
      <c r="J9" s="71"/>
    </row>
    <row r="10" spans="1:10" x14ac:dyDescent="0.2">
      <c r="A10" s="127" t="s">
        <v>907</v>
      </c>
      <c r="B10" s="239">
        <f t="array" ref="B10">IF(B8&lt;DATEVALUE("3/31/2022"),"N/A",ANV0111_C1)</f>
        <v>16833567523</v>
      </c>
      <c r="C10" s="239">
        <f t="array" ref="C10">IF(C8&lt;DATEVALUE("3/31/2022"),"N/A",ANV0111_C2)</f>
        <v>16603478679</v>
      </c>
      <c r="D10" s="64">
        <f t="shared" ref="D10:D15" si="0">IF(C10="N/A", " ", IF(B10="N/A", " ",IF(AND(B10=0,C10=0,),"N/A",IF(ABS(B10)=0, "N/A", ((C10-B10)/ABS(B10))*100))))</f>
        <v>-1.3668454038968598</v>
      </c>
      <c r="E10" s="239">
        <f t="array" ref="E10">IF(E8&lt;DATEVALUE("3/31/2022"),"N/A",ANV0111_C3)</f>
        <v>17019001911</v>
      </c>
      <c r="F10" s="64">
        <f t="shared" ref="F10:F15" si="1">IF(E10="N/A", " ", IF(C10="N/A", " ",IF(AND(C10=0,E10=0,),"N/A",IF(ABS(C10)=0, "N/A", ((E10-C10)/ABS(C10))*100))))</f>
        <v>2.5026275519331489</v>
      </c>
      <c r="G10" s="239">
        <f t="array" ref="G10">IF(G8&lt;DATEVALUE("3/31/2022"),"N/A",ANV0111_C4)</f>
        <v>16812837634</v>
      </c>
      <c r="H10" s="64">
        <f t="shared" ref="H10:H15" si="2">IF(G10="N/A", " ", IF(E10="N/A", " ",IF(AND(E10=0,G10=0,),"N/A",IF(ABS(E10)=0, "N/A", ((G10-E10)/ABS(E10))*100))))</f>
        <v>-1.2113770130476837</v>
      </c>
      <c r="I10" s="239">
        <f t="array" ref="I10">IF(I8&lt;DATEVALUE("3/31/2022"),"N/A",ANV0111_C5)</f>
        <v>16949496149</v>
      </c>
      <c r="J10" s="64">
        <f t="shared" ref="J10:J15" si="3">IF(I10="N/A", " ", IF(G10="N/A", " ",IF(AND(G10=0,I10=0,),"N/A",IF(ABS(G10)=0, "N/A",((I10-G10)/ABS(G10))*100))))</f>
        <v>0.81282242756951606</v>
      </c>
    </row>
    <row r="11" spans="1:10" x14ac:dyDescent="0.2">
      <c r="A11" s="127" t="s">
        <v>908</v>
      </c>
      <c r="B11" s="239">
        <f>IF(B8&lt;DATEVALUE("3/31/2022"),"N/A",ANV0112_C1)</f>
        <v>11545991658</v>
      </c>
      <c r="C11" s="239">
        <f>IF(C8&lt;DATEVALUE("3/31/2022"),"N/A",ANV0112_C2)</f>
        <v>11357109886</v>
      </c>
      <c r="D11" s="64">
        <f t="shared" si="0"/>
        <v>-1.6359077469896437</v>
      </c>
      <c r="E11" s="239">
        <f>IF(E8&lt;DATEVALUE("3/31/2022"),"N/A",ANV0112_C3)</f>
        <v>11278490086</v>
      </c>
      <c r="F11" s="64">
        <f t="shared" si="1"/>
        <v>-0.69225182101051308</v>
      </c>
      <c r="G11" s="239">
        <f>IF(G8&lt;DATEVALUE("3/31/2022"),"N/A",ANV0112_C4)</f>
        <v>11460184464</v>
      </c>
      <c r="H11" s="64">
        <f t="shared" si="2"/>
        <v>1.6109814045546522</v>
      </c>
      <c r="I11" s="239">
        <f>IF(I8&lt;DATEVALUE("3/31/2022"),"N/A",ANV0112_C5)</f>
        <v>11259165079</v>
      </c>
      <c r="J11" s="64">
        <f t="shared" si="3"/>
        <v>-1.7540676210881627</v>
      </c>
    </row>
    <row r="12" spans="1:10" x14ac:dyDescent="0.2">
      <c r="A12" s="127" t="s">
        <v>909</v>
      </c>
      <c r="B12" s="239">
        <f>IF(B8&lt;DATEVALUE("3/31/2022"),"N/A",ANV0113_C1)</f>
        <v>2407616500</v>
      </c>
      <c r="C12" s="239">
        <f>IF(C8&lt;DATEVALUE("3/31/2022"),"N/A",ANV0113_C2)</f>
        <v>2468408992</v>
      </c>
      <c r="D12" s="64">
        <f t="shared" si="0"/>
        <v>2.5250072841750337</v>
      </c>
      <c r="E12" s="239">
        <f>IF(E8&lt;DATEVALUE("3/31/2022"),"N/A",ANV0113_C3)</f>
        <v>2870814004</v>
      </c>
      <c r="F12" s="64">
        <f t="shared" si="1"/>
        <v>16.302201673392705</v>
      </c>
      <c r="G12" s="239">
        <f>IF(G8&lt;DATEVALUE("3/31/2022"),"N/A",ANV0113_C4)</f>
        <v>3116521590</v>
      </c>
      <c r="H12" s="64">
        <f t="shared" si="2"/>
        <v>8.5588124363907774</v>
      </c>
      <c r="I12" s="239">
        <f>IF(I8&lt;DATEVALUE("3/31/2022"),"N/A",ANV0113_C5)</f>
        <v>3247773283</v>
      </c>
      <c r="J12" s="64">
        <f t="shared" si="3"/>
        <v>4.2114803061576094</v>
      </c>
    </row>
    <row r="13" spans="1:10" x14ac:dyDescent="0.2">
      <c r="A13" s="127" t="s">
        <v>910</v>
      </c>
      <c r="B13" s="239">
        <f>IF(B8&lt;DATEVALUE("3/31/2022"),"N/A",ANV0114_C1)</f>
        <v>149128724</v>
      </c>
      <c r="C13" s="239">
        <f>IF(C8&lt;DATEVALUE("3/31/2022"),"N/A",ANV0114_C2)</f>
        <v>134477566</v>
      </c>
      <c r="D13" s="64">
        <f t="shared" si="0"/>
        <v>-9.8245043657719489</v>
      </c>
      <c r="E13" s="239">
        <f>IF(E8&lt;DATEVALUE("3/31/2022"),"N/A",ANV0114_C3)</f>
        <v>138652366</v>
      </c>
      <c r="F13" s="64">
        <f t="shared" si="1"/>
        <v>3.1044583302466973</v>
      </c>
      <c r="G13" s="239">
        <f>IF(G8&lt;DATEVALUE("3/31/2022"),"N/A",ANV0114_C4)</f>
        <v>128261105</v>
      </c>
      <c r="H13" s="64">
        <f t="shared" si="2"/>
        <v>-7.49447073986462</v>
      </c>
      <c r="I13" s="239">
        <f>IF(I8&lt;DATEVALUE("3/31/2022"),"N/A",ANV0114_C5)</f>
        <v>140102017</v>
      </c>
      <c r="J13" s="64">
        <f t="shared" si="3"/>
        <v>9.2318805455480835</v>
      </c>
    </row>
    <row r="14" spans="1:10" x14ac:dyDescent="0.2">
      <c r="A14" s="127" t="s">
        <v>911</v>
      </c>
      <c r="B14" s="239">
        <f>IF(B8&lt;DATEVALUE("3/31/2022"),"N/A",ANV0115_C1)</f>
        <v>8935563</v>
      </c>
      <c r="C14" s="239">
        <f>IF(C8&lt;DATEVALUE("3/31/2022"),"N/A",ANV0115_C2)</f>
        <v>6196760</v>
      </c>
      <c r="D14" s="64">
        <f t="shared" si="0"/>
        <v>-30.650592469663074</v>
      </c>
      <c r="E14" s="239">
        <f>IF(E8&lt;DATEVALUE("3/31/2022"),"N/A",ANV0115_C3)</f>
        <v>8350159</v>
      </c>
      <c r="F14" s="64">
        <f t="shared" si="1"/>
        <v>34.750401822888087</v>
      </c>
      <c r="G14" s="239">
        <f>IF(G8&lt;DATEVALUE("3/31/2022"),"N/A",ANV0115_C4)</f>
        <v>12315405</v>
      </c>
      <c r="H14" s="64">
        <f t="shared" si="2"/>
        <v>47.48707180306387</v>
      </c>
      <c r="I14" s="239">
        <f>IF(I8&lt;DATEVALUE("3/31/2022"),"N/A",ANV0115_C5)</f>
        <v>6280211</v>
      </c>
      <c r="J14" s="64">
        <f t="shared" si="3"/>
        <v>-49.005241808937669</v>
      </c>
    </row>
    <row r="15" spans="1:10" x14ac:dyDescent="0.2">
      <c r="A15" s="145" t="s">
        <v>912</v>
      </c>
      <c r="B15" s="239">
        <f>IF(B8&lt;DATEVALUE("3/31/2022"),"N/A",ANV0116_C1)</f>
        <v>30945239968</v>
      </c>
      <c r="C15" s="239">
        <f>IF(C8&lt;DATEVALUE("3/31/2022"),"N/A",ANV0116_C2)</f>
        <v>30569671883</v>
      </c>
      <c r="D15" s="64">
        <f t="shared" si="0"/>
        <v>-1.213653813602251</v>
      </c>
      <c r="E15" s="239">
        <f>IF(E8&lt;DATEVALUE("3/31/2022"),"N/A",ANV0116_C3)</f>
        <v>31315308526</v>
      </c>
      <c r="F15" s="64">
        <f t="shared" si="1"/>
        <v>2.4391385221725379</v>
      </c>
      <c r="G15" s="239">
        <f>IF(G8&lt;DATEVALUE("3/31/2022"),"N/A",ANV0116_C4)</f>
        <v>31530120198</v>
      </c>
      <c r="H15" s="64">
        <f t="shared" si="2"/>
        <v>0.68596377334634728</v>
      </c>
      <c r="I15" s="239">
        <f>IF(I8&lt;DATEVALUE("3/31/2022"),"N/A",ANV0116_C5)</f>
        <v>31602816739</v>
      </c>
      <c r="J15" s="64">
        <f t="shared" si="3"/>
        <v>0.23056220700551355</v>
      </c>
    </row>
    <row r="16" spans="1:10" x14ac:dyDescent="0.2">
      <c r="A16" s="145" t="s">
        <v>913</v>
      </c>
      <c r="B16" s="239"/>
      <c r="C16" s="239"/>
      <c r="D16" s="71"/>
      <c r="E16" s="239"/>
      <c r="F16" s="71"/>
      <c r="G16" s="239"/>
      <c r="H16" s="71"/>
      <c r="I16" s="239"/>
      <c r="J16" s="71"/>
    </row>
    <row r="17" spans="1:10" x14ac:dyDescent="0.2">
      <c r="A17" s="127" t="s">
        <v>914</v>
      </c>
      <c r="B17" s="239">
        <f>IF(B8&lt;DATEVALUE("3/31/2019"),"N/A",AAS0050_C1)</f>
        <v>689799729</v>
      </c>
      <c r="C17" s="239">
        <f>IF(C8&lt;DATEVALUE("3/31/2019"),"N/A",AAS0050_C2)</f>
        <v>676987665</v>
      </c>
      <c r="D17" s="64">
        <f t="shared" ref="D17:D22" si="4">IF(C17="N/A", " ", IF(B17="N/A", " ",IF(AND(B17=0,C17=0,),"N/A",IF(ABS(B17)=0, "N/A", ((C17-B17)/ABS(B17))*100))))</f>
        <v>-1.8573599642571041</v>
      </c>
      <c r="E17" s="239">
        <f>IF(E8&lt;DATEVALUE("3/31/2019"),"N/A",AAS0050_C3)</f>
        <v>690498509</v>
      </c>
      <c r="F17" s="64">
        <f t="shared" ref="F17:F22" si="5">IF(E17="N/A", " ", IF(C17="N/A", " ",IF(AND(C17=0,E17=0,),"N/A",IF(ABS(C17)=0, "N/A", ((E17-C17)/ABS(C17))*100))))</f>
        <v>1.9957297154003537</v>
      </c>
      <c r="G17" s="239">
        <f>IF(G8&lt;DATEVALUE("3/31/2019"),"N/A",AAS0050_C4)</f>
        <v>634525956</v>
      </c>
      <c r="H17" s="64">
        <f t="shared" ref="H17:H22" si="6">IF(G17="N/A", " ", IF(E17="N/A", " ",IF(AND(E17=0,G17=0,),"N/A",IF(ABS(E17)=0, "N/A", ((G17-E17)/ABS(E17))*100))))</f>
        <v>-8.1061077280327627</v>
      </c>
      <c r="I17" s="239">
        <f>IF(I8&lt;DATEVALUE("3/31/2019"),"N/A",AAS0050_C5)</f>
        <v>652467020</v>
      </c>
      <c r="J17" s="64">
        <f t="shared" ref="J17:J22" si="7">IF(I17="N/A", " ", IF(G17="N/A", " ",IF(AND(G17=0,I17=0,),"N/A",IF(ABS(G17)=0, "N/A",((I17-G17)/ABS(G17))*100))))</f>
        <v>2.8274751931503332</v>
      </c>
    </row>
    <row r="18" spans="1:10" x14ac:dyDescent="0.2">
      <c r="A18" s="127" t="s">
        <v>915</v>
      </c>
      <c r="B18" s="239">
        <f>IF(B8&lt;DATEVALUE("3/31/2019"),"N/A",AAS0051_C1)</f>
        <v>220167458</v>
      </c>
      <c r="C18" s="239">
        <f>IF(C8&lt;DATEVALUE("3/31/2019"),"N/A",AAS0051_C2)</f>
        <v>224946106</v>
      </c>
      <c r="D18" s="64">
        <f t="shared" si="4"/>
        <v>2.1704606318341559</v>
      </c>
      <c r="E18" s="239">
        <f>IF(E8&lt;DATEVALUE("3/31/2019"),"N/A",AAS0051_C3)</f>
        <v>207913215</v>
      </c>
      <c r="F18" s="64">
        <f t="shared" si="5"/>
        <v>-7.5719874875273456</v>
      </c>
      <c r="G18" s="239">
        <f>IF(G8&lt;DATEVALUE("3/31/2019"),"N/A",AAS0051_C4)</f>
        <v>188760743</v>
      </c>
      <c r="H18" s="64">
        <f t="shared" si="6"/>
        <v>-9.2117627058963034</v>
      </c>
      <c r="I18" s="239">
        <f>IF(I8&lt;DATEVALUE("3/31/2019"),"N/A",AAS0051_C5)</f>
        <v>196602417</v>
      </c>
      <c r="J18" s="64">
        <f t="shared" si="7"/>
        <v>4.1542928234818399</v>
      </c>
    </row>
    <row r="19" spans="1:10" x14ac:dyDescent="0.2">
      <c r="A19" s="127" t="s">
        <v>916</v>
      </c>
      <c r="B19" s="239">
        <f>IF(B8&lt;DATEVALUE("3/31/2019"),"N/A",AAS0052_C1)</f>
        <v>92554018</v>
      </c>
      <c r="C19" s="239">
        <f>IF(C8&lt;DATEVALUE("3/31/2019"),"N/A",AAS0052_C2)</f>
        <v>87884388</v>
      </c>
      <c r="D19" s="64">
        <f t="shared" si="4"/>
        <v>-5.0453023011923701</v>
      </c>
      <c r="E19" s="239">
        <f>IF(E8&lt;DATEVALUE("3/31/2019"),"N/A",AAS0052_C3)</f>
        <v>91815933</v>
      </c>
      <c r="F19" s="64">
        <f t="shared" si="5"/>
        <v>4.4735419901882914</v>
      </c>
      <c r="G19" s="239">
        <f>IF(G8&lt;DATEVALUE("3/31/2019"),"N/A",AAS0052_C4)</f>
        <v>132464081</v>
      </c>
      <c r="H19" s="64">
        <f t="shared" si="6"/>
        <v>44.271344495295821</v>
      </c>
      <c r="I19" s="239">
        <f>IF(I8&lt;DATEVALUE("3/31/2019"),"N/A",AAS0052_C5)</f>
        <v>170558144</v>
      </c>
      <c r="J19" s="64">
        <f t="shared" si="7"/>
        <v>28.758032149107652</v>
      </c>
    </row>
    <row r="20" spans="1:10" x14ac:dyDescent="0.2">
      <c r="A20" s="127" t="s">
        <v>917</v>
      </c>
      <c r="B20" s="239">
        <f>IF(B8&lt;DATEVALUE("3/31/2019"),"N/A",AAS0053_C1)</f>
        <v>2053825367</v>
      </c>
      <c r="C20" s="239">
        <f>IF(C8&lt;DATEVALUE("3/31/2019"),"N/A",AAS0053_C2)</f>
        <v>2061488067</v>
      </c>
      <c r="D20" s="64">
        <f t="shared" si="4"/>
        <v>0.37309403823329057</v>
      </c>
      <c r="E20" s="239">
        <f>IF(E8&lt;DATEVALUE("3/31/2019"),"N/A",AAS0053_C3)</f>
        <v>2003562251</v>
      </c>
      <c r="F20" s="64">
        <f t="shared" si="5"/>
        <v>-2.8099030466034707</v>
      </c>
      <c r="G20" s="239">
        <f>IF(G8&lt;DATEVALUE("3/31/2019"),"N/A",AAS0053_C4)</f>
        <v>2340070598</v>
      </c>
      <c r="H20" s="64">
        <f t="shared" si="6"/>
        <v>16.795502452296901</v>
      </c>
      <c r="I20" s="239">
        <f>IF(I8&lt;DATEVALUE("3/31/2019"),"N/A",AAS0053_C5)</f>
        <v>2432325174</v>
      </c>
      <c r="J20" s="64">
        <f t="shared" si="7"/>
        <v>3.9423843057917867</v>
      </c>
    </row>
    <row r="21" spans="1:10" x14ac:dyDescent="0.2">
      <c r="A21" s="127" t="s">
        <v>918</v>
      </c>
      <c r="B21" s="239">
        <f>IF(B8&lt;DATEVALUE("3/31/2019"),"N/A",AAS0054_C1)</f>
        <v>1506577973</v>
      </c>
      <c r="C21" s="239">
        <f>IF(C8&lt;DATEVALUE("3/31/2019"),"N/A",AAS0054_C2)</f>
        <v>1565686278</v>
      </c>
      <c r="D21" s="64">
        <f t="shared" si="4"/>
        <v>3.9233485461293149</v>
      </c>
      <c r="E21" s="239">
        <f>IF(E8&lt;DATEVALUE("3/31/2019"),"N/A",AAS0054_C3)</f>
        <v>1533070610</v>
      </c>
      <c r="F21" s="64">
        <f t="shared" si="5"/>
        <v>-2.0831547455128172</v>
      </c>
      <c r="G21" s="239">
        <f>IF(G8&lt;DATEVALUE("3/31/2019"),"N/A",AAS0054_C4)</f>
        <v>1623347280</v>
      </c>
      <c r="H21" s="64">
        <f t="shared" si="6"/>
        <v>5.8886178765112458</v>
      </c>
      <c r="I21" s="239">
        <f>IF(I8&lt;DATEVALUE("3/31/2019"),"N/A",AAS0054_C5)</f>
        <v>1716895573</v>
      </c>
      <c r="J21" s="64">
        <f t="shared" si="7"/>
        <v>5.7626790122197384</v>
      </c>
    </row>
    <row r="22" spans="1:10" x14ac:dyDescent="0.2">
      <c r="A22" s="145" t="s">
        <v>872</v>
      </c>
      <c r="B22" s="239">
        <f t="array" ref="B22">IF(B8&lt;DATEVALUE("3/31/2019"),"N/A",ANV0122_C1)</f>
        <v>4562924545</v>
      </c>
      <c r="C22" s="239">
        <f t="array" ref="C22">IF(C8&lt;DATEVALUE("3/31/2019"),"N/A",ANV0122_C2)</f>
        <v>4616992504</v>
      </c>
      <c r="D22" s="64">
        <f t="shared" si="4"/>
        <v>1.1849408962777401</v>
      </c>
      <c r="E22" s="239">
        <f t="array" ref="E22">IF(E8&lt;DATEVALUE("3/31/2019"),"N/A",ANV0122_C3)</f>
        <v>4526860518</v>
      </c>
      <c r="F22" s="64">
        <f t="shared" si="5"/>
        <v>-1.952179604405093</v>
      </c>
      <c r="G22" s="239">
        <f t="array" ref="G22">IF(G8&lt;DATEVALUE("3/31/2019"),"N/A",ANV0122_C4)</f>
        <v>4919168658</v>
      </c>
      <c r="H22" s="64">
        <f t="shared" si="6"/>
        <v>8.6662299056946566</v>
      </c>
      <c r="I22" s="239">
        <f t="array" ref="I22">IF(I8&lt;DATEVALUE("3/31/2019"),"N/A",ANV0122_C5)</f>
        <v>5168848328</v>
      </c>
      <c r="J22" s="64">
        <f t="shared" si="7"/>
        <v>5.075647682743063</v>
      </c>
    </row>
    <row r="23" spans="1:10" x14ac:dyDescent="0.2">
      <c r="A23" s="145" t="s">
        <v>919</v>
      </c>
      <c r="B23" s="239"/>
      <c r="C23" s="239"/>
      <c r="D23" s="71"/>
      <c r="E23" s="239"/>
      <c r="F23" s="71"/>
      <c r="G23" s="239"/>
      <c r="H23" s="71"/>
      <c r="I23" s="239"/>
      <c r="J23" s="71"/>
    </row>
    <row r="24" spans="1:10" x14ac:dyDescent="0.2">
      <c r="A24" s="127" t="s">
        <v>920</v>
      </c>
      <c r="B24" s="239">
        <f>IF(B8&lt;DATEVALUE("3/31/2019"),"N/A",AAS0056_C1)</f>
        <v>92557318</v>
      </c>
      <c r="C24" s="239">
        <f>IF(C8&lt;DATEVALUE("3/31/2019"),"N/A",AAS0056_C2)</f>
        <v>96882867</v>
      </c>
      <c r="D24" s="64">
        <f t="shared" ref="D24:D29" si="8">IF(C24="N/A", " ", IF(B24="N/A", " ",IF(AND(B24=0,C24=0,),"N/A",IF(ABS(B24)=0, "N/A", ((C24-B24)/ABS(B24))*100))))</f>
        <v>4.6733733144687708</v>
      </c>
      <c r="E24" s="239">
        <f>IF(E8&lt;DATEVALUE("3/31/2019"),"N/A",AAS0056_C3)</f>
        <v>99836448</v>
      </c>
      <c r="F24" s="64">
        <f t="shared" ref="F24:F29" si="9">IF(E24="N/A", " ", IF(C24="N/A", " ",IF(AND(C24=0,E24=0,),"N/A",IF(ABS(C24)=0, "N/A", ((E24-C24)/ABS(C24))*100))))</f>
        <v>3.0486102356983307</v>
      </c>
      <c r="G24" s="239">
        <f>IF(G8&lt;DATEVALUE("3/31/2019"),"N/A",AAS0056_C4)</f>
        <v>91110156</v>
      </c>
      <c r="H24" s="64">
        <f t="shared" ref="H24:H29" si="10">IF(G24="N/A", " ", IF(E24="N/A", " ",IF(AND(E24=0,G24=0,),"N/A",IF(ABS(E24)=0, "N/A", ((G24-E24)/ABS(E24))*100))))</f>
        <v>-8.740587405513466</v>
      </c>
      <c r="I24" s="239">
        <f>IF(I8&lt;DATEVALUE("3/31/2019"),"N/A",AAS0056_C5)</f>
        <v>105875064</v>
      </c>
      <c r="J24" s="64">
        <f t="shared" ref="J24:J29" si="11">IF(I24="N/A", " ", IF(G24="N/A", " ",IF(AND(G24=0,I24=0,),"N/A",IF(ABS(G24)=0, "N/A",((I24-G24)/ABS(G24))*100))))</f>
        <v>16.205556710933521</v>
      </c>
    </row>
    <row r="25" spans="1:10" x14ac:dyDescent="0.2">
      <c r="A25" s="127" t="s">
        <v>921</v>
      </c>
      <c r="B25" s="239">
        <f>IF(B8&lt;DATEVALUE("3/31/2019"),"N/A",AAS0057_C1)</f>
        <v>142162773</v>
      </c>
      <c r="C25" s="239">
        <f>IF(C8&lt;DATEVALUE("3/31/2019"),"N/A",AAS0057_C2)</f>
        <v>138708282</v>
      </c>
      <c r="D25" s="64">
        <f t="shared" si="8"/>
        <v>-2.4299547111394628</v>
      </c>
      <c r="E25" s="239">
        <f>IF(E8&lt;DATEVALUE("3/31/2019"),"N/A",AAS0057_C3)</f>
        <v>138008965</v>
      </c>
      <c r="F25" s="64">
        <f t="shared" si="9"/>
        <v>-0.50416383933008413</v>
      </c>
      <c r="G25" s="239">
        <f>IF(G8&lt;DATEVALUE("3/31/2019"),"N/A",AAS0057_C4)</f>
        <v>153364153</v>
      </c>
      <c r="H25" s="64">
        <f t="shared" si="10"/>
        <v>11.126225024584453</v>
      </c>
      <c r="I25" s="239">
        <f>IF(I8&lt;DATEVALUE("3/31/2019"),"N/A",AAS0057_C5)</f>
        <v>173879646</v>
      </c>
      <c r="J25" s="64">
        <f t="shared" si="11"/>
        <v>13.376980603805114</v>
      </c>
    </row>
    <row r="26" spans="1:10" x14ac:dyDescent="0.2">
      <c r="A26" s="127" t="s">
        <v>922</v>
      </c>
      <c r="B26" s="239">
        <f>IF(B8&lt;DATEVALUE("3/31/2019"),"N/A",AAS0058_C1)</f>
        <v>119381490</v>
      </c>
      <c r="C26" s="239">
        <f>IF(C8&lt;DATEVALUE("3/31/2019"),"N/A",AAS0058_C2)</f>
        <v>130197123</v>
      </c>
      <c r="D26" s="64">
        <f t="shared" si="8"/>
        <v>9.059723580263574</v>
      </c>
      <c r="E26" s="239">
        <f>IF(E8&lt;DATEVALUE("3/31/2019"),"N/A",AAS0058_C3)</f>
        <v>151772867</v>
      </c>
      <c r="F26" s="64">
        <f t="shared" si="9"/>
        <v>16.571598129706754</v>
      </c>
      <c r="G26" s="239">
        <f>IF(G8&lt;DATEVALUE("3/31/2019"),"N/A",AAS0058_C4)</f>
        <v>170214438</v>
      </c>
      <c r="H26" s="64">
        <f t="shared" si="10"/>
        <v>12.150769346671167</v>
      </c>
      <c r="I26" s="239">
        <f>IF(I8&lt;DATEVALUE("3/31/2019"),"N/A",AAS0058_C5)</f>
        <v>220913321</v>
      </c>
      <c r="J26" s="64">
        <f t="shared" si="11"/>
        <v>29.785301174040242</v>
      </c>
    </row>
    <row r="27" spans="1:10" x14ac:dyDescent="0.2">
      <c r="A27" s="127" t="s">
        <v>923</v>
      </c>
      <c r="B27" s="239">
        <f>IF(B8&lt;DATEVALUE("3/31/2019"),"N/A",AAS0059_C1)</f>
        <v>124727179</v>
      </c>
      <c r="C27" s="239">
        <f>IF(C8&lt;DATEVALUE("3/31/2019"),"N/A",AAS0059_C2)</f>
        <v>128783476</v>
      </c>
      <c r="D27" s="64">
        <f t="shared" si="8"/>
        <v>3.2521356071077339</v>
      </c>
      <c r="E27" s="239">
        <f>IF(E8&lt;DATEVALUE("3/31/2019"),"N/A",AAS0059_C3)</f>
        <v>133423085</v>
      </c>
      <c r="F27" s="64">
        <f t="shared" si="9"/>
        <v>3.6026430906399822</v>
      </c>
      <c r="G27" s="239">
        <f>IF(G8&lt;DATEVALUE("3/31/2019"),"N/A",AAS0059_C4)</f>
        <v>131280544</v>
      </c>
      <c r="H27" s="64">
        <f t="shared" si="10"/>
        <v>-1.6058248091025629</v>
      </c>
      <c r="I27" s="239">
        <f>IF(I8&lt;DATEVALUE("3/31/2019"),"N/A",AAS0059_C5)</f>
        <v>153251704</v>
      </c>
      <c r="J27" s="64">
        <f t="shared" si="11"/>
        <v>16.736036681871152</v>
      </c>
    </row>
    <row r="28" spans="1:10" x14ac:dyDescent="0.2">
      <c r="A28" s="127" t="s">
        <v>924</v>
      </c>
      <c r="B28" s="239">
        <f>IF(B8&lt;DATEVALUE("3/31/2019"),"N/A",AAS0060_C1)</f>
        <v>33396453</v>
      </c>
      <c r="C28" s="239">
        <f>IF(C8&lt;DATEVALUE("3/31/2019"),"N/A",AAS0060_C2)</f>
        <v>33501955</v>
      </c>
      <c r="D28" s="64">
        <f t="shared" si="8"/>
        <v>0.31590780014871639</v>
      </c>
      <c r="E28" s="239">
        <f>IF(E8&lt;DATEVALUE("3/31/2019"),"N/A",AAS0060_C3)</f>
        <v>28366714</v>
      </c>
      <c r="F28" s="64">
        <f t="shared" si="9"/>
        <v>-15.328183086628824</v>
      </c>
      <c r="G28" s="239">
        <f>IF(G8&lt;DATEVALUE("3/31/2019"),"N/A",AAS0060_C4)</f>
        <v>33605802</v>
      </c>
      <c r="H28" s="64">
        <f t="shared" si="10"/>
        <v>18.469139569708357</v>
      </c>
      <c r="I28" s="239">
        <f>IF(I8&lt;DATEVALUE("3/31/2019"),"N/A",AAS0060_C5)</f>
        <v>46856196</v>
      </c>
      <c r="J28" s="64">
        <f t="shared" si="11"/>
        <v>39.428887904535053</v>
      </c>
    </row>
    <row r="29" spans="1:10" x14ac:dyDescent="0.2">
      <c r="A29" s="145" t="s">
        <v>883</v>
      </c>
      <c r="B29" s="239">
        <f>IF(B8&lt;DATEVALUE("3/31/2019"),"N/A",ANV0128_C1)</f>
        <v>512225213</v>
      </c>
      <c r="C29" s="239">
        <f>IF(C8&lt;DATEVALUE("3/31/2019"),"N/A",ANV0128_C2)</f>
        <v>528073703</v>
      </c>
      <c r="D29" s="64">
        <f t="shared" si="8"/>
        <v>3.0940472272301052</v>
      </c>
      <c r="E29" s="239">
        <f>IF(E8&lt;DATEVALUE("3/31/2019"),"N/A",ANV0128_C3)</f>
        <v>551408079</v>
      </c>
      <c r="F29" s="64">
        <f t="shared" si="9"/>
        <v>4.4187725818265182</v>
      </c>
      <c r="G29" s="239">
        <f>IF(G8&lt;DATEVALUE("3/31/2019"),"N/A",ANV0128_C4)</f>
        <v>579575093</v>
      </c>
      <c r="H29" s="64">
        <f t="shared" si="10"/>
        <v>5.1081975532679857</v>
      </c>
      <c r="I29" s="239">
        <f>IF(I8&lt;DATEVALUE("3/31/2019"),"N/A",ANV0128_C5)</f>
        <v>700775931</v>
      </c>
      <c r="J29" s="64">
        <f t="shared" si="11"/>
        <v>20.912016313992982</v>
      </c>
    </row>
    <row r="30" spans="1:10" x14ac:dyDescent="0.2">
      <c r="A30" s="145" t="s">
        <v>925</v>
      </c>
      <c r="B30" s="239"/>
      <c r="C30" s="239"/>
      <c r="D30" s="71"/>
      <c r="E30" s="239"/>
      <c r="F30" s="71"/>
      <c r="G30" s="239"/>
      <c r="H30" s="71"/>
      <c r="I30" s="239"/>
      <c r="J30" s="71"/>
    </row>
    <row r="31" spans="1:10" x14ac:dyDescent="0.2">
      <c r="A31" s="127" t="s">
        <v>926</v>
      </c>
      <c r="B31" s="239">
        <f>IF(B8&lt;DATEVALUE("3/31/2019"),"N/A",AAS0062_C1)</f>
        <v>70650158399</v>
      </c>
      <c r="C31" s="239">
        <f>IF(C8&lt;DATEVALUE("3/31/2019"),"N/A",AAS0062_C2)</f>
        <v>68374207500</v>
      </c>
      <c r="D31" s="64">
        <f t="shared" ref="D31:D36" si="12">IF(C31="N/A", " ", IF(B31="N/A", " ",IF(AND(B31=0,C31=0,),"N/A",IF(ABS(B31)=0, "N/A", ((C31-B31)/ABS(B31))*100))))</f>
        <v>-3.2214377866592501</v>
      </c>
      <c r="E31" s="239">
        <f>IF(E8&lt;DATEVALUE("3/31/2019"),"N/A",AAS0062_C3)</f>
        <v>67677039543</v>
      </c>
      <c r="F31" s="64">
        <f t="shared" ref="F31:F36" si="13">IF(E31="N/A", " ", IF(C31="N/A", " ",IF(AND(C31=0,E31=0,),"N/A",IF(ABS(C31)=0, "N/A", ((E31-C31)/ABS(C31))*100))))</f>
        <v>-1.0196358868217961</v>
      </c>
      <c r="G31" s="239">
        <f>IF(G8&lt;DATEVALUE("3/31/2019"),"N/A",AAS0062_C4)</f>
        <v>68404150091</v>
      </c>
      <c r="H31" s="64">
        <f t="shared" ref="H31:H36" si="14">IF(G31="N/A", " ", IF(E31="N/A", " ",IF(AND(E31=0,G31=0,),"N/A",IF(ABS(E31)=0, "N/A", ((G31-E31)/ABS(E31))*100))))</f>
        <v>1.07438291170821</v>
      </c>
      <c r="I31" s="239">
        <f>IF(I8&lt;DATEVALUE("3/31/2019"),"N/A",AAS0062_C5)</f>
        <v>69101821862</v>
      </c>
      <c r="J31" s="64">
        <f t="shared" ref="J31:J36" si="15">IF(I31="N/A", " ", IF(G31="N/A", " ",IF(AND(G31=0,I31=0,),"N/A",IF(ABS(G31)=0, "N/A",((I31-G31)/ABS(G31))*100))))</f>
        <v>1.0199260864609343</v>
      </c>
    </row>
    <row r="32" spans="1:10" x14ac:dyDescent="0.2">
      <c r="A32" s="127" t="s">
        <v>927</v>
      </c>
      <c r="B32" s="239">
        <f>IF(B8&lt;DATEVALUE("3/31/2019"),"N/A",AAS0063_C1)</f>
        <v>71606235830</v>
      </c>
      <c r="C32" s="239">
        <f>IF(C8&lt;DATEVALUE("3/31/2019"),"N/A",AAS0063_C2)</f>
        <v>66318748226</v>
      </c>
      <c r="D32" s="64">
        <f t="shared" si="12"/>
        <v>-7.3841161216084554</v>
      </c>
      <c r="E32" s="239">
        <f>IF(E8&lt;DATEVALUE("3/31/2019"),"N/A",AAS0063_C3)</f>
        <v>70131754127</v>
      </c>
      <c r="F32" s="64">
        <f t="shared" si="13"/>
        <v>5.7495142821545695</v>
      </c>
      <c r="G32" s="239">
        <f>IF(G8&lt;DATEVALUE("3/31/2019"),"N/A",AAS0063_C4)</f>
        <v>70305170487</v>
      </c>
      <c r="H32" s="64">
        <f t="shared" si="14"/>
        <v>0.2472722408824457</v>
      </c>
      <c r="I32" s="239">
        <f>IF(I8&lt;DATEVALUE("3/31/2019"),"N/A",AAS0063_C5)</f>
        <v>71648286124</v>
      </c>
      <c r="J32" s="64">
        <f t="shared" si="15"/>
        <v>1.9104080506402485</v>
      </c>
    </row>
    <row r="33" spans="1:10" x14ac:dyDescent="0.2">
      <c r="A33" s="127" t="s">
        <v>928</v>
      </c>
      <c r="B33" s="239">
        <f>IF(B8&lt;DATEVALUE("3/31/2019"),"N/A",AAS0064_C1)</f>
        <v>63061388844</v>
      </c>
      <c r="C33" s="239">
        <f>IF(C8&lt;DATEVALUE("3/31/2019"),"N/A",AAS0064_C2)</f>
        <v>63183501328</v>
      </c>
      <c r="D33" s="64">
        <f t="shared" si="12"/>
        <v>0.19364065117893203</v>
      </c>
      <c r="E33" s="239">
        <f>IF(E8&lt;DATEVALUE("3/31/2019"),"N/A",AAS0064_C3)</f>
        <v>66499173637</v>
      </c>
      <c r="F33" s="64">
        <f t="shared" si="13"/>
        <v>5.2476868791863671</v>
      </c>
      <c r="G33" s="239">
        <f>IF(G8&lt;DATEVALUE("3/31/2019"),"N/A",AAS0064_C4)</f>
        <v>70550634102</v>
      </c>
      <c r="H33" s="64">
        <f t="shared" si="14"/>
        <v>6.0924974603681026</v>
      </c>
      <c r="I33" s="239">
        <f>IF(I8&lt;DATEVALUE("3/31/2019"),"N/A",AAS0064_C5)</f>
        <v>73529362571</v>
      </c>
      <c r="J33" s="64">
        <f t="shared" si="15"/>
        <v>4.2221143819819442</v>
      </c>
    </row>
    <row r="34" spans="1:10" x14ac:dyDescent="0.2">
      <c r="A34" s="127" t="s">
        <v>929</v>
      </c>
      <c r="B34" s="239">
        <f>IF(B8&lt;DATEVALUE("3/31/2019"),"N/A",AAS0065_C1)</f>
        <v>70814092041</v>
      </c>
      <c r="C34" s="239">
        <f>IF(C8&lt;DATEVALUE("3/31/2019"),"N/A",AAS0065_C2)</f>
        <v>74324090083</v>
      </c>
      <c r="D34" s="64">
        <f t="shared" si="12"/>
        <v>4.9566377832928765</v>
      </c>
      <c r="E34" s="239">
        <f>IF(E8&lt;DATEVALUE("3/31/2019"),"N/A",AAS0065_C3)</f>
        <v>75056063024</v>
      </c>
      <c r="F34" s="64">
        <f t="shared" si="13"/>
        <v>0.98483942444849759</v>
      </c>
      <c r="G34" s="239">
        <f>IF(G8&lt;DATEVALUE("3/31/2019"),"N/A",AAS0065_C4)</f>
        <v>75551059130</v>
      </c>
      <c r="H34" s="64">
        <f t="shared" si="14"/>
        <v>0.65950182577751193</v>
      </c>
      <c r="I34" s="239">
        <f>IF(I8&lt;DATEVALUE("3/31/2019"),"N/A",AAS0065_C5)</f>
        <v>75206493858</v>
      </c>
      <c r="J34" s="64">
        <f t="shared" si="15"/>
        <v>-0.45606941314629323</v>
      </c>
    </row>
    <row r="35" spans="1:10" x14ac:dyDescent="0.2">
      <c r="A35" s="127" t="s">
        <v>930</v>
      </c>
      <c r="B35" s="239">
        <f>IF(B8&lt;DATEVALUE("3/31/2019"),"N/A",AAS0066_C1)</f>
        <v>13896852688</v>
      </c>
      <c r="C35" s="239">
        <f>IF(C8&lt;DATEVALUE("3/31/2019"),"N/A",AAS0066_C2)</f>
        <v>12360540924</v>
      </c>
      <c r="D35" s="64">
        <f t="shared" si="12"/>
        <v>-11.055105774609043</v>
      </c>
      <c r="E35" s="239">
        <f>IF(E8&lt;DATEVALUE("3/31/2019"),"N/A",AAS0066_C3)</f>
        <v>13943666652</v>
      </c>
      <c r="F35" s="64">
        <f t="shared" si="13"/>
        <v>12.807900056591407</v>
      </c>
      <c r="G35" s="239">
        <f>IF(G8&lt;DATEVALUE("3/31/2019"),"N/A",AAS0066_C4)</f>
        <v>13133947178</v>
      </c>
      <c r="H35" s="64">
        <f t="shared" si="14"/>
        <v>-5.8070771068229634</v>
      </c>
      <c r="I35" s="239">
        <f>IF(I8&lt;DATEVALUE("3/31/2019"),"N/A",AAS0066_C5)</f>
        <v>12546799686</v>
      </c>
      <c r="J35" s="64">
        <f t="shared" si="15"/>
        <v>-4.470457236066097</v>
      </c>
    </row>
    <row r="36" spans="1:10" x14ac:dyDescent="0.2">
      <c r="A36" s="145" t="s">
        <v>931</v>
      </c>
      <c r="B36" s="239">
        <f>IF(B8&lt;DATEVALUE("3/31/2019"),"N/A",ANV0134_C1)</f>
        <v>290028727802</v>
      </c>
      <c r="C36" s="239">
        <f>IF(C8&lt;DATEVALUE("3/31/2019"),"N/A",ANV0134_C2)</f>
        <v>284561088061</v>
      </c>
      <c r="D36" s="64">
        <f t="shared" si="12"/>
        <v>-1.8852062629922333</v>
      </c>
      <c r="E36" s="239">
        <f>IF(E8&lt;DATEVALUE("3/31/2019"),"N/A",ANV0134_C3)</f>
        <v>293307696983</v>
      </c>
      <c r="F36" s="64">
        <f t="shared" si="13"/>
        <v>3.0737192430628575</v>
      </c>
      <c r="G36" s="239">
        <f>IF(G8&lt;DATEVALUE("3/31/2019"),"N/A",ANV0134_C4)</f>
        <v>297944960988</v>
      </c>
      <c r="H36" s="64">
        <f t="shared" si="14"/>
        <v>1.5810236324172475</v>
      </c>
      <c r="I36" s="239">
        <f>IF(I8&lt;DATEVALUE("3/31/2019"),"N/A",ANV0134_C5)</f>
        <v>302032764101</v>
      </c>
      <c r="J36" s="64">
        <f t="shared" si="15"/>
        <v>1.3719994120540404</v>
      </c>
    </row>
    <row r="37" spans="1:10" x14ac:dyDescent="0.2">
      <c r="A37" s="145" t="s">
        <v>932</v>
      </c>
      <c r="B37" s="239"/>
      <c r="C37" s="239"/>
      <c r="D37" s="71"/>
      <c r="E37" s="239"/>
      <c r="F37" s="71"/>
      <c r="G37" s="239"/>
      <c r="H37" s="71"/>
      <c r="I37" s="239"/>
      <c r="J37" s="71"/>
    </row>
    <row r="38" spans="1:10" x14ac:dyDescent="0.2">
      <c r="A38" s="127" t="s">
        <v>933</v>
      </c>
      <c r="B38" s="239">
        <f>IF(B8&lt;DATEVALUE("3/31/2019"),"N/A",AAS0068_C1)</f>
        <v>12930061196</v>
      </c>
      <c r="C38" s="239">
        <f>IF(C8&lt;DATEVALUE("3/31/2019"),"N/A",AAS0068_C2)</f>
        <v>12364581316</v>
      </c>
      <c r="D38" s="64">
        <f t="shared" ref="D38:D43" si="16">IF(C38="N/A", " ", IF(B38="N/A", " ",IF(AND(B38=0,C38=0,),"N/A",IF(ABS(B38)=0, "N/A", ((C38-B38)/ABS(B38))*100))))</f>
        <v>-4.3733735782699537</v>
      </c>
      <c r="E38" s="239">
        <f>IF(E8&lt;DATEVALUE("3/31/2019"),"N/A",AAS0068_C3)</f>
        <v>12555667267</v>
      </c>
      <c r="F38" s="64">
        <f t="shared" ref="F38:F43" si="17">IF(E38="N/A", " ", IF(C38="N/A", " ",IF(AND(C38=0,E38=0,),"N/A",IF(ABS(C38)=0, "N/A", ((E38-C38)/ABS(C38))*100))))</f>
        <v>1.5454300159175725</v>
      </c>
      <c r="G38" s="239">
        <f>IF(G8&lt;DATEVALUE("3/31/2019"),"N/A",AAS0068_C4)</f>
        <v>12388859459</v>
      </c>
      <c r="H38" s="64">
        <f t="shared" ref="H38:H43" si="18">IF(G38="N/A", " ", IF(E38="N/A", " ",IF(AND(E38=0,G38=0,),"N/A",IF(ABS(E38)=0, "N/A", ((G38-E38)/ABS(E38))*100))))</f>
        <v>-1.3285459422648143</v>
      </c>
      <c r="I38" s="239">
        <f>IF(I8&lt;DATEVALUE("3/31/2019"),"N/A",AAS0068_C5)</f>
        <v>12019236111</v>
      </c>
      <c r="J38" s="64">
        <f t="shared" ref="J38:J43" si="19">IF(I38="N/A", " ", IF(G38="N/A", " ",IF(AND(G38=0,I38=0,),"N/A",IF(ABS(G38)=0, "N/A",((I38-G38)/ABS(G38))*100))))</f>
        <v>-2.9835139322004638</v>
      </c>
    </row>
    <row r="39" spans="1:10" x14ac:dyDescent="0.2">
      <c r="A39" s="127" t="s">
        <v>934</v>
      </c>
      <c r="B39" s="239">
        <f>IF(B8&lt;DATEVALUE("3/31/2019"),"N/A",AAS0069_C1)</f>
        <v>18585341648</v>
      </c>
      <c r="C39" s="239">
        <f>IF(C8&lt;DATEVALUE("3/31/2019"),"N/A",AAS0069_C2)</f>
        <v>17817259802</v>
      </c>
      <c r="D39" s="64">
        <f t="shared" si="16"/>
        <v>-4.1327292257909853</v>
      </c>
      <c r="E39" s="239">
        <f>IF(E8&lt;DATEVALUE("3/31/2019"),"N/A",AAS0069_C3)</f>
        <v>16797489961</v>
      </c>
      <c r="F39" s="64">
        <f t="shared" si="17"/>
        <v>-5.7234942540689122</v>
      </c>
      <c r="G39" s="239">
        <f>IF(G8&lt;DATEVALUE("3/31/2019"),"N/A",AAS0069_C4)</f>
        <v>16242741600</v>
      </c>
      <c r="H39" s="64">
        <f t="shared" si="18"/>
        <v>-3.3025670042845756</v>
      </c>
      <c r="I39" s="239">
        <f>IF(I8&lt;DATEVALUE("3/31/2019"),"N/A",AAS0069_C5)</f>
        <v>15748468553</v>
      </c>
      <c r="J39" s="64">
        <f t="shared" si="19"/>
        <v>-3.0430395260366638</v>
      </c>
    </row>
    <row r="40" spans="1:10" x14ac:dyDescent="0.2">
      <c r="A40" s="127" t="s">
        <v>935</v>
      </c>
      <c r="B40" s="239">
        <f>IF(B8&lt;DATEVALUE("3/31/2019"),"N/A",AAS0070_C1)</f>
        <v>10849918246</v>
      </c>
      <c r="C40" s="239">
        <f>IF(C8&lt;DATEVALUE("3/31/2019"),"N/A",AAS0070_C2)</f>
        <v>10476011436</v>
      </c>
      <c r="D40" s="64">
        <f t="shared" si="16"/>
        <v>-3.4461716809511156</v>
      </c>
      <c r="E40" s="239">
        <f>IF(E8&lt;DATEVALUE("3/31/2019"),"N/A",AAS0070_C3)</f>
        <v>10690567438</v>
      </c>
      <c r="F40" s="64">
        <f t="shared" si="17"/>
        <v>2.0480695664639592</v>
      </c>
      <c r="G40" s="239">
        <f>IF(G8&lt;DATEVALUE("3/31/2019"),"N/A",AAS0070_C4)</f>
        <v>12069150316</v>
      </c>
      <c r="H40" s="64">
        <f t="shared" si="18"/>
        <v>12.895319972443916</v>
      </c>
      <c r="I40" s="239">
        <f>IF(I8&lt;DATEVALUE("3/31/2019"),"N/A",AAS0070_C5)</f>
        <v>12396104118</v>
      </c>
      <c r="J40" s="64">
        <f t="shared" si="19"/>
        <v>2.7090043080046762</v>
      </c>
    </row>
    <row r="41" spans="1:10" x14ac:dyDescent="0.2">
      <c r="A41" s="127" t="s">
        <v>936</v>
      </c>
      <c r="B41" s="239">
        <f>IF(B8&lt;DATEVALUE("3/31/2019"),"N/A",AAS0071_C1)</f>
        <v>9110442991</v>
      </c>
      <c r="C41" s="239">
        <f>IF(C8&lt;DATEVALUE("3/31/2019"),"N/A",AAS0071_C2)</f>
        <v>7175044217</v>
      </c>
      <c r="D41" s="64">
        <f t="shared" si="16"/>
        <v>-21.243739474709809</v>
      </c>
      <c r="E41" s="239">
        <f>IF(E8&lt;DATEVALUE("3/31/2019"),"N/A",AAS0071_C3)</f>
        <v>7096718058</v>
      </c>
      <c r="F41" s="64">
        <f t="shared" si="17"/>
        <v>-1.0916470565354846</v>
      </c>
      <c r="G41" s="239">
        <f>IF(G8&lt;DATEVALUE("3/31/2019"),"N/A",AAS0071_C4)</f>
        <v>6689781701</v>
      </c>
      <c r="H41" s="64">
        <f t="shared" si="18"/>
        <v>-5.7341485694400403</v>
      </c>
      <c r="I41" s="239">
        <f>IF(I8&lt;DATEVALUE("3/31/2019"),"N/A",AAS0071_C5)</f>
        <v>6428904957</v>
      </c>
      <c r="J41" s="64">
        <f t="shared" si="19"/>
        <v>-3.8996301472887178</v>
      </c>
    </row>
    <row r="42" spans="1:10" x14ac:dyDescent="0.2">
      <c r="A42" s="127" t="s">
        <v>937</v>
      </c>
      <c r="B42" s="239">
        <f>IF(B8&lt;DATEVALUE("3/31/2019"),"N/A",AAS0072_C1)</f>
        <v>1239559700</v>
      </c>
      <c r="C42" s="239">
        <f>IF(C8&lt;DATEVALUE("3/31/2019"),"N/A",AAS0072_C2)</f>
        <v>1122587450</v>
      </c>
      <c r="D42" s="64">
        <f t="shared" si="16"/>
        <v>-9.4365967205936112</v>
      </c>
      <c r="E42" s="239">
        <f>IF(E8&lt;DATEVALUE("3/31/2019"),"N/A",AAS0072_C3)</f>
        <v>1334829996</v>
      </c>
      <c r="F42" s="64">
        <f t="shared" si="17"/>
        <v>18.906548973088913</v>
      </c>
      <c r="G42" s="239">
        <f>IF(G8&lt;DATEVALUE("3/31/2019"),"N/A",AAS0072_C4)</f>
        <v>1160780307</v>
      </c>
      <c r="H42" s="64">
        <f t="shared" si="18"/>
        <v>-13.039090335215992</v>
      </c>
      <c r="I42" s="239">
        <f>IF(I8&lt;DATEVALUE("3/31/2019"),"N/A",AAS0072_C5)</f>
        <v>1187943626</v>
      </c>
      <c r="J42" s="64">
        <f t="shared" si="19"/>
        <v>2.3400913020485969</v>
      </c>
    </row>
    <row r="43" spans="1:10" x14ac:dyDescent="0.2">
      <c r="A43" s="145" t="s">
        <v>938</v>
      </c>
      <c r="B43" s="239">
        <f>IF(B8&lt;DATEVALUE("3/31/2019"),"N/A",ANV0140_C1)</f>
        <v>52715323781</v>
      </c>
      <c r="C43" s="239">
        <f>IF(C8&lt;DATEVALUE("3/31/2019"),"N/A",ANV0140_C2)</f>
        <v>48955484221</v>
      </c>
      <c r="D43" s="64">
        <f t="shared" si="16"/>
        <v>-7.1323465177219409</v>
      </c>
      <c r="E43" s="239">
        <f>IF(E8&lt;DATEVALUE("3/31/2019"),"N/A",ANV0140_C3)</f>
        <v>48475272720</v>
      </c>
      <c r="F43" s="64">
        <f t="shared" si="17"/>
        <v>-0.98091461792549872</v>
      </c>
      <c r="G43" s="239">
        <f>IF(G8&lt;DATEVALUE("3/31/2019"),"N/A",ANV0140_C4)</f>
        <v>48551313383</v>
      </c>
      <c r="H43" s="64">
        <f t="shared" si="18"/>
        <v>0.15686484826856278</v>
      </c>
      <c r="I43" s="239">
        <f>IF(I8&lt;DATEVALUE("3/31/2019"),"N/A",ANV0140_C5)</f>
        <v>47780657365</v>
      </c>
      <c r="J43" s="64">
        <f t="shared" si="19"/>
        <v>-1.5873021022534097</v>
      </c>
    </row>
    <row r="44" spans="1:10" x14ac:dyDescent="0.2">
      <c r="A44" s="145" t="s">
        <v>939</v>
      </c>
      <c r="B44" s="239"/>
      <c r="C44" s="239"/>
      <c r="D44" s="71"/>
      <c r="E44" s="239"/>
      <c r="F44" s="71"/>
      <c r="G44" s="239"/>
      <c r="H44" s="71"/>
      <c r="I44" s="239"/>
      <c r="J44" s="71"/>
    </row>
    <row r="45" spans="1:10" x14ac:dyDescent="0.2">
      <c r="A45" s="127" t="s">
        <v>940</v>
      </c>
      <c r="B45" s="239">
        <f>IF(B8&lt;DATEVALUE("3/31/2022"),A766A_C1,ANV0141_C1)</f>
        <v>3558516715</v>
      </c>
      <c r="C45" s="239">
        <f>IF(C8&lt;DATEVALUE("3/31/2022"),A766A_C2,ANV0141_C2)</f>
        <v>2671577241</v>
      </c>
      <c r="D45" s="64">
        <f t="shared" ref="D45:D50" si="20">IF(C45="N/A", " ", IF(B45="N/A", " ",IF(AND(B45=0,C45=0,),"N/A",IF(ABS(B45)=0, "N/A", ((C45-B45)/ABS(B45))*100))))</f>
        <v>-24.924415003063991</v>
      </c>
      <c r="E45" s="239">
        <f>IF(E8&lt;DATEVALUE("3/31/2022"),A766A_C3,ANV0141_C3)</f>
        <v>3049215868</v>
      </c>
      <c r="F45" s="64">
        <f t="shared" ref="F45:F50" si="21">IF(E45="N/A", " ", IF(C45="N/A", " ",IF(AND(C45=0,E45=0,),"N/A",IF(ABS(C45)=0, "N/A", ((E45-C45)/ABS(C45))*100))))</f>
        <v>14.135418628534424</v>
      </c>
      <c r="G45" s="239">
        <f>IF(G8&lt;DATEVALUE("3/31/2022"),A766A_C4,ANV0141_C4)</f>
        <v>3099209409</v>
      </c>
      <c r="H45" s="64">
        <f t="shared" ref="H45:H50" si="22">IF(G45="N/A", " ", IF(E45="N/A", " ",IF(AND(E45=0,G45=0,),"N/A",IF(ABS(E45)=0, "N/A", ((G45-E45)/ABS(E45))*100))))</f>
        <v>1.6395540087750848</v>
      </c>
      <c r="I45" s="239">
        <f>IF(I8&lt;DATEVALUE("3/31/2022"),A766A_C5,ANV0141_C5)</f>
        <v>3085707671</v>
      </c>
      <c r="J45" s="64">
        <f t="shared" ref="J45:J50" si="23">IF(I45="N/A", " ", IF(G45="N/A", " ",IF(AND(G45=0,I45=0,),"N/A",IF(ABS(G45)=0, "N/A",((I45-G45)/ABS(G45))*100))))</f>
        <v>-0.43565103928735521</v>
      </c>
    </row>
    <row r="46" spans="1:10" x14ac:dyDescent="0.2">
      <c r="A46" s="127" t="s">
        <v>941</v>
      </c>
      <c r="B46" s="239">
        <f t="array" ref="B46">IF(B8&lt;DATEVALUE("3/31/2022"),(A766B_C1+ A769A1_C1 + A769B1_C1),ANV0142_C1)</f>
        <v>7160741679</v>
      </c>
      <c r="C46" s="239">
        <f t="array" ref="C46">IF(C8&lt;DATEVALUE("3/31/2022"),(A766B_C2+ A769A1_C2 + A769B1_C2),ANV0142_C2)</f>
        <v>7323646524</v>
      </c>
      <c r="D46" s="64">
        <f t="shared" si="20"/>
        <v>2.2749716761567318</v>
      </c>
      <c r="E46" s="239">
        <f t="array" ref="E46">IF(E8&lt;DATEVALUE("3/31/2022"),(A766B_C3+ A769A1_C3 + A769B1_C3),ANV0142_C3)</f>
        <v>7129534983</v>
      </c>
      <c r="F46" s="64">
        <f t="shared" si="21"/>
        <v>-2.6504766493561043</v>
      </c>
      <c r="G46" s="239">
        <f t="array" ref="G46">IF(G8&lt;DATEVALUE("3/31/2022"),(A766B_C4+ A769A1_C4 + A769B1_C4),ANV0142_C4)</f>
        <v>7285015057</v>
      </c>
      <c r="H46" s="64">
        <f t="shared" si="22"/>
        <v>2.1807884296904922</v>
      </c>
      <c r="I46" s="239">
        <f t="array" ref="I46">IF(I8&lt;DATEVALUE("3/31/2022"),(A766B_C5+ A769A1_C5 + A769B1_C5),ANV0142_C5)</f>
        <v>7190411725</v>
      </c>
      <c r="J46" s="64">
        <f t="shared" si="23"/>
        <v>-1.2986017360265836</v>
      </c>
    </row>
    <row r="47" spans="1:10" x14ac:dyDescent="0.2">
      <c r="A47" s="127" t="s">
        <v>942</v>
      </c>
      <c r="B47" s="239">
        <f t="array" ref="B47">IF(B8&lt;DATEVALUE("3/31/2022"),A766C1_C1,ANV0143_C1)</f>
        <v>253801000</v>
      </c>
      <c r="C47" s="239">
        <f t="array" ref="C47">IF(C8&lt;DATEVALUE("3/31/2022"),A766C1_C2,ANV0143_C2)</f>
        <v>236124434</v>
      </c>
      <c r="D47" s="64">
        <f t="shared" si="20"/>
        <v>-6.9647345755138872</v>
      </c>
      <c r="E47" s="239">
        <f t="array" ref="E47">IF(E8&lt;DATEVALUE("3/31/2022"),A766C1_C3,ANV0143_C3)</f>
        <v>253036498</v>
      </c>
      <c r="F47" s="64">
        <f t="shared" si="21"/>
        <v>7.1623523722242153</v>
      </c>
      <c r="G47" s="239">
        <f t="array" ref="G47">IF(G8&lt;DATEVALUE("3/31/2022"),A766C1_C4,ANV0143_C4)</f>
        <v>361959481</v>
      </c>
      <c r="H47" s="64">
        <f t="shared" si="22"/>
        <v>43.046352546342938</v>
      </c>
      <c r="I47" s="239">
        <f t="array" ref="I47">IF(I8&lt;DATEVALUE("3/31/2022"),A766C1_C5,ANV0143_C5)</f>
        <v>399059183</v>
      </c>
      <c r="J47" s="64">
        <f t="shared" si="23"/>
        <v>10.249683720814042</v>
      </c>
    </row>
    <row r="48" spans="1:10" x14ac:dyDescent="0.2">
      <c r="A48" s="127" t="s">
        <v>943</v>
      </c>
      <c r="B48" s="239">
        <f>IF(B8&lt;DATEVALUE("3/31/2022"),A766C2_C1,ANV0144_C1)</f>
        <v>947960646</v>
      </c>
      <c r="C48" s="239">
        <f>IF(C8&lt;DATEVALUE("3/31/2022"),A766C2_C2,ANV0144_C2)</f>
        <v>942989783</v>
      </c>
      <c r="D48" s="64">
        <f t="shared" si="20"/>
        <v>-0.52437440530627255</v>
      </c>
      <c r="E48" s="239">
        <f>IF(E8&lt;DATEVALUE("3/31/2022"),A766C2_C3,ANV0144_C3)</f>
        <v>1060245318</v>
      </c>
      <c r="F48" s="64">
        <f t="shared" si="21"/>
        <v>12.434443841689005</v>
      </c>
      <c r="G48" s="239">
        <f>IF(G8&lt;DATEVALUE("3/31/2022"),A766C2_C4,ANV0144_C4)</f>
        <v>1114138939</v>
      </c>
      <c r="H48" s="64">
        <f t="shared" si="22"/>
        <v>5.0831274691844479</v>
      </c>
      <c r="I48" s="239">
        <f>IF(I8&lt;DATEVALUE("3/31/2022"),A766C2_C5,ANV0144_C5)</f>
        <v>1192766230</v>
      </c>
      <c r="J48" s="64">
        <f t="shared" si="23"/>
        <v>7.05722493377462</v>
      </c>
    </row>
    <row r="49" spans="1:10" x14ac:dyDescent="0.2">
      <c r="A49" s="127" t="s">
        <v>944</v>
      </c>
      <c r="B49" s="239">
        <f>IF(B8&lt;DATEVALUE("3/31/2022"),A766D_C1,ANV0145_C1)</f>
        <v>1461666897</v>
      </c>
      <c r="C49" s="239">
        <f>IF(C8&lt;DATEVALUE("3/31/2022"),A766D_C2,ANV0145_C2)</f>
        <v>1425416414</v>
      </c>
      <c r="D49" s="64">
        <f t="shared" si="20"/>
        <v>-2.4800782636866407</v>
      </c>
      <c r="E49" s="239">
        <f>IF(E8&lt;DATEVALUE("3/31/2022"),A766D_C3,ANV0145_C3)</f>
        <v>1434413923</v>
      </c>
      <c r="F49" s="64">
        <f t="shared" si="21"/>
        <v>0.63121968511301285</v>
      </c>
      <c r="G49" s="239">
        <f>IF(G8&lt;DATEVALUE("3/31/2022"),A766D_C4,ANV0145_C4)</f>
        <v>1484010837</v>
      </c>
      <c r="H49" s="64">
        <f t="shared" si="22"/>
        <v>3.4576430976262911</v>
      </c>
      <c r="I49" s="239">
        <f>IF(I8&lt;DATEVALUE("3/31/2022"),A766D_C5,ANV0145_C5)</f>
        <v>1528029573</v>
      </c>
      <c r="J49" s="64">
        <f t="shared" si="23"/>
        <v>2.9662004415672607</v>
      </c>
    </row>
    <row r="50" spans="1:10" x14ac:dyDescent="0.2">
      <c r="A50" s="145" t="s">
        <v>312</v>
      </c>
      <c r="B50" s="239">
        <f>IF(B8&lt;DATEVALUE("3/31/2022"),(A766E_C1 + A769A_C1 + A769B_C1),ANV0146_C1)</f>
        <v>13382686937</v>
      </c>
      <c r="C50" s="239">
        <f>IF(C8&lt;DATEVALUE("3/31/2022"),(A766E_C2 + A769A_C2 + A769B_C2),ANV0146_C2)</f>
        <v>12599754396</v>
      </c>
      <c r="D50" s="64">
        <f t="shared" si="20"/>
        <v>-5.8503389094111933</v>
      </c>
      <c r="E50" s="239">
        <f>IF(E8&lt;DATEVALUE("3/31/2022"),(A766E_C3 + A769A_C3 + A769B_C3),ANV0146_C3)</f>
        <v>12926446590</v>
      </c>
      <c r="F50" s="64">
        <f t="shared" si="21"/>
        <v>2.5928457312129343</v>
      </c>
      <c r="G50" s="239">
        <f>IF(G8&lt;DATEVALUE("3/31/2022"),(A766E_C4 + A769A_C4 + A769B_C4),ANV0146_C4)</f>
        <v>13344333723</v>
      </c>
      <c r="H50" s="64">
        <f t="shared" si="22"/>
        <v>3.2328074857268256</v>
      </c>
      <c r="I50" s="239">
        <f>IF(I8&lt;DATEVALUE("3/31/2022"),(A766E_C5 + A769A_C5 + A769B_C5),ANV0146_C5)</f>
        <v>13395974382</v>
      </c>
      <c r="J50" s="64">
        <f t="shared" si="23"/>
        <v>0.38698566801423212</v>
      </c>
    </row>
    <row r="51" spans="1:10" x14ac:dyDescent="0.2">
      <c r="A51" s="145" t="s">
        <v>945</v>
      </c>
      <c r="B51" s="239"/>
      <c r="C51" s="239"/>
      <c r="D51" s="71"/>
      <c r="E51" s="239"/>
      <c r="F51" s="71"/>
      <c r="G51" s="239"/>
      <c r="H51" s="71"/>
      <c r="I51" s="239"/>
      <c r="J51" s="71"/>
    </row>
    <row r="52" spans="1:10" x14ac:dyDescent="0.2">
      <c r="A52" s="127" t="s">
        <v>946</v>
      </c>
      <c r="B52" s="239">
        <f>IF(B8&lt;DATEVALUE("3/31/2022"),A799A1_C1,ANV0153_C1)</f>
        <v>104754660880</v>
      </c>
      <c r="C52" s="239">
        <f>IF(C8&lt;DATEVALUE("3/31/2022"),A799A1_C2,ANV0153_C2)</f>
        <v>100787715268</v>
      </c>
      <c r="D52" s="64">
        <f t="shared" ref="D52:D57" si="24">IF(C52="N/A", " ", IF(B52="N/A", " ",IF(AND(B52=0,C52=0,),"N/A",IF(ABS(B52)=0, "N/A", ((C52-B52)/ABS(B52))*100))))</f>
        <v>-3.7868917513314946</v>
      </c>
      <c r="E52" s="239">
        <f>IF(E8&lt;DATEVALUE("3/31/2022"),A799A1_C3,ANV0153_C3)</f>
        <v>101091259546</v>
      </c>
      <c r="F52" s="64">
        <f t="shared" ref="F52:F57" si="25">IF(E52="N/A", " ", IF(C52="N/A", " ",IF(AND(C52=0,E52=0,),"N/A",IF(ABS(C52)=0, "N/A", ((E52-C52)/ABS(C52))*100))))</f>
        <v>0.30117190095326529</v>
      </c>
      <c r="G52" s="239">
        <f>IF(G8&lt;DATEVALUE("3/31/2022"),A799A1_C4,ANV0153_C4)</f>
        <v>101430692705</v>
      </c>
      <c r="H52" s="64">
        <f t="shared" ref="H52:H57" si="26">IF(G52="N/A", " ", IF(E52="N/A", " ",IF(AND(E52=0,G52=0,),"N/A",IF(ABS(E52)=0, "N/A", ((G52-E52)/ABS(E52))*100))))</f>
        <v>0.33576904721970174</v>
      </c>
      <c r="I52" s="239">
        <f>IF(I8&lt;DATEVALUE("3/31/2022"),A799A1_C5,ANV0153_C5)</f>
        <v>101914603877</v>
      </c>
      <c r="J52" s="64">
        <f t="shared" ref="J52:J57" si="27">IF(I52="N/A", " ", IF(G52="N/A", " ",IF(AND(G52=0,I52=0,),"N/A",IF(ABS(G52)=0, "N/A",((I52-G52)/ABS(G52))*100))))</f>
        <v>0.47708554392643487</v>
      </c>
    </row>
    <row r="53" spans="1:10" x14ac:dyDescent="0.2">
      <c r="A53" s="127" t="s">
        <v>947</v>
      </c>
      <c r="B53" s="239">
        <f>IF(B8&lt;DATEVALUE("3/31/2022"),A799B_C1,ANV0154_C1)</f>
        <v>109260641046</v>
      </c>
      <c r="C53" s="239">
        <f>IF(C8&lt;DATEVALUE("3/31/2022"),A799B_C2,ANV0154_C2)</f>
        <v>103180418826</v>
      </c>
      <c r="D53" s="64">
        <f t="shared" si="24"/>
        <v>-5.5648787722562929</v>
      </c>
      <c r="E53" s="239">
        <f>IF(E8&lt;DATEVALUE("3/31/2022"),A799B_C3,ANV0154_C3)</f>
        <v>105683191337</v>
      </c>
      <c r="F53" s="64">
        <f t="shared" si="25"/>
        <v>2.4256274005057024</v>
      </c>
      <c r="G53" s="239">
        <f>IF(G8&lt;DATEVALUE("3/31/2022"),A799B_C4,ANV0154_C4)</f>
        <v>105635236504</v>
      </c>
      <c r="H53" s="64">
        <f t="shared" si="26"/>
        <v>-4.5376026587882638E-2</v>
      </c>
      <c r="I53" s="239">
        <f>IF(I8&lt;DATEVALUE("3/31/2022"),A799B_C5,ANV0154_C5)</f>
        <v>106216813544</v>
      </c>
      <c r="J53" s="64">
        <f t="shared" si="27"/>
        <v>0.55055212564225942</v>
      </c>
    </row>
    <row r="54" spans="1:10" x14ac:dyDescent="0.2">
      <c r="A54" s="127" t="s">
        <v>948</v>
      </c>
      <c r="B54" s="239">
        <f>IF(B8&lt;DATEVALUE("3/31/2022"),A799C1_C1,ANV0155_C1)</f>
        <v>76784660098</v>
      </c>
      <c r="C54" s="239">
        <f>IF(C8&lt;DATEVALUE("3/31/2022"),A799C1_C2,ANV0155_C2)</f>
        <v>76582127701</v>
      </c>
      <c r="D54" s="64">
        <f t="shared" si="24"/>
        <v>-0.26376674291649999</v>
      </c>
      <c r="E54" s="239">
        <f>IF(E8&lt;DATEVALUE("3/31/2022"),A799C1_C3,ANV0155_C3)</f>
        <v>80557180377</v>
      </c>
      <c r="F54" s="64">
        <f t="shared" si="25"/>
        <v>5.1905748708364685</v>
      </c>
      <c r="G54" s="239">
        <f>IF(G8&lt;DATEVALUE("3/31/2022"),A799C1_C4,ANV0155_C4)</f>
        <v>86400944008</v>
      </c>
      <c r="H54" s="64">
        <f t="shared" si="26"/>
        <v>7.2541809478084236</v>
      </c>
      <c r="I54" s="239">
        <f>IF(I8&lt;DATEVALUE("3/31/2022"),A799C1_C5,ANV0155_C5)</f>
        <v>89963770620</v>
      </c>
      <c r="J54" s="64">
        <f t="shared" si="27"/>
        <v>4.1235968575414086</v>
      </c>
    </row>
    <row r="55" spans="1:10" x14ac:dyDescent="0.2">
      <c r="A55" s="127" t="s">
        <v>949</v>
      </c>
      <c r="B55" s="239">
        <f>IF(B8&lt;DATEVALUE("3/31/2022"),A799C2_C1,ANV0156_C1)</f>
        <v>83200176948</v>
      </c>
      <c r="C55" s="239">
        <f>IF(C8&lt;DATEVALUE("3/31/2022"),A799C2_C2,ANV0156_C2)</f>
        <v>84766873192</v>
      </c>
      <c r="D55" s="64">
        <f t="shared" si="24"/>
        <v>1.883044365373385</v>
      </c>
      <c r="E55" s="239">
        <f>IF(E8&lt;DATEVALUE("3/31/2022"),A799C2_C3,ANV0156_C3)</f>
        <v>85488664102</v>
      </c>
      <c r="F55" s="64">
        <f t="shared" si="25"/>
        <v>0.85150116173934809</v>
      </c>
      <c r="G55" s="239">
        <f>IF(G8&lt;DATEVALUE("3/31/2022"),A799C2_C4,ANV0156_C4)</f>
        <v>85954592017</v>
      </c>
      <c r="H55" s="64">
        <f t="shared" si="26"/>
        <v>0.54501719016697048</v>
      </c>
      <c r="I55" s="239">
        <f>IF(I8&lt;DATEVALUE("3/31/2022"),A799C2_C5,ANV0156_C5)</f>
        <v>85553843940</v>
      </c>
      <c r="J55" s="64">
        <f t="shared" si="27"/>
        <v>-0.46623230661224063</v>
      </c>
    </row>
    <row r="56" spans="1:10" x14ac:dyDescent="0.2">
      <c r="A56" s="127" t="s">
        <v>950</v>
      </c>
      <c r="B56" s="239">
        <f>IF(B8&lt;DATEVALUE("3/31/2022"),A799D_C1,ANV0157_C1)</f>
        <v>18146989274</v>
      </c>
      <c r="C56" s="239">
        <f>IF(C8&lt;DATEVALUE("3/31/2022"),A799D_C2,ANV0157_C2)</f>
        <v>16513929781</v>
      </c>
      <c r="D56" s="64">
        <f t="shared" si="24"/>
        <v>-8.9990657311940829</v>
      </c>
      <c r="E56" s="239">
        <f>IF(E8&lt;DATEVALUE("3/31/2022"),A799D_C3,ANV0157_C3)</f>
        <v>18282698054</v>
      </c>
      <c r="F56" s="64">
        <f t="shared" si="25"/>
        <v>10.71076537478708</v>
      </c>
      <c r="G56" s="239">
        <f>IF(G8&lt;DATEVALUE("3/31/2022"),A799D_C4,ANV0157_C4)</f>
        <v>17448006809</v>
      </c>
      <c r="H56" s="64">
        <f t="shared" si="26"/>
        <v>-4.565470821290412</v>
      </c>
      <c r="I56" s="239">
        <f>IF(I8&lt;DATEVALUE("3/31/2022"),A799D_C5,ANV0157_C5)</f>
        <v>17032804865</v>
      </c>
      <c r="J56" s="64">
        <f t="shared" si="27"/>
        <v>-2.3796525789171015</v>
      </c>
    </row>
    <row r="57" spans="1:10" x14ac:dyDescent="0.2">
      <c r="A57" s="145" t="s">
        <v>945</v>
      </c>
      <c r="B57" s="239">
        <f>IF(B8&lt;DATEVALUE("3/31/2022"),A799I_C1,ANV0158_C1)</f>
        <v>392147128246</v>
      </c>
      <c r="C57" s="239">
        <f>IF(C8&lt;DATEVALUE("3/31/2022"),A799I_C2,ANV0158_C2)</f>
        <v>381831064768</v>
      </c>
      <c r="D57" s="64">
        <f t="shared" si="24"/>
        <v>-2.6306614877282928</v>
      </c>
      <c r="E57" s="239">
        <f>IF(E8&lt;DATEVALUE("3/31/2022"),A799I_C3,ANV0158_C3)</f>
        <v>391102993416</v>
      </c>
      <c r="F57" s="64">
        <f t="shared" si="25"/>
        <v>2.4282803322023079</v>
      </c>
      <c r="G57" s="239">
        <f>IF(G8&lt;DATEVALUE("3/31/2022"),A799I_C4,ANV0158_C4)</f>
        <v>396869472043</v>
      </c>
      <c r="H57" s="64">
        <f t="shared" si="26"/>
        <v>1.4744143420212681</v>
      </c>
      <c r="I57" s="239">
        <f>IF(I8&lt;DATEVALUE("3/31/2022"),A799I_C5,ANV0158_C5)</f>
        <v>400681836846</v>
      </c>
      <c r="J57" s="64">
        <f t="shared" si="27"/>
        <v>0.96060923592201575</v>
      </c>
    </row>
    <row r="58" spans="1:10" x14ac:dyDescent="0.2">
      <c r="A58" s="31" t="s">
        <v>86</v>
      </c>
      <c r="B58" s="176"/>
      <c r="C58" s="176"/>
      <c r="D58" s="176"/>
      <c r="E58" s="176"/>
      <c r="F58" s="176"/>
      <c r="G58" s="176"/>
      <c r="H58" s="176"/>
      <c r="I58" s="176"/>
      <c r="J58" s="176"/>
    </row>
    <row r="59" spans="1:10" x14ac:dyDescent="0.2">
      <c r="I59" s="104" t="s">
        <v>951</v>
      </c>
    </row>
  </sheetData>
  <mergeCells count="1">
    <mergeCell ref="D5:J5"/>
  </mergeCells>
  <hyperlinks>
    <hyperlink ref="A2" location="'Cover Page'!A1" display="Return to cover" xr:uid="{00000000-0004-0000-1900-000000000000}"/>
  </hyperlinks>
  <printOptions gridLines="1"/>
  <pageMargins left="0.7" right="0.7" top="0.75" bottom="0.75" header="0.3" footer="0.3"/>
  <pageSetup orientation="landscape" horizontalDpi="1200" verticalDpi="120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12">
    <pageSetUpPr fitToPage="1"/>
  </sheetPr>
  <dimension ref="A1:J73"/>
  <sheetViews>
    <sheetView workbookViewId="0"/>
  </sheetViews>
  <sheetFormatPr defaultRowHeight="12.75" x14ac:dyDescent="0.2"/>
  <cols>
    <col min="1" max="1" width="52.7109375" style="44" customWidth="1"/>
    <col min="2" max="3" width="16.7109375" customWidth="1"/>
    <col min="4" max="4" width="6.7109375" style="57" customWidth="1"/>
    <col min="5" max="5" width="16.7109375" customWidth="1"/>
    <col min="6" max="6" width="6.7109375" style="57" customWidth="1"/>
    <col min="7" max="7" width="16.7109375" customWidth="1"/>
    <col min="8" max="8" width="6.7109375" style="57" customWidth="1"/>
    <col min="9" max="9" width="16.7109375" customWidth="1"/>
    <col min="10" max="10" width="6.7109375" style="57" customWidth="1"/>
    <col min="11" max="12" width="9.140625" customWidth="1"/>
    <col min="13" max="13" width="14.7109375" customWidth="1"/>
  </cols>
  <sheetData>
    <row r="1" spans="1:10" s="62" customFormat="1" ht="12" customHeight="1" x14ac:dyDescent="0.2">
      <c r="A1" s="292"/>
      <c r="C1" s="85" t="s">
        <v>30</v>
      </c>
      <c r="D1" s="118"/>
      <c r="F1" s="119"/>
      <c r="H1" s="119"/>
      <c r="J1" s="119"/>
    </row>
    <row r="2" spans="1:10" s="62" customFormat="1" x14ac:dyDescent="0.2">
      <c r="A2" s="271" t="s">
        <v>49</v>
      </c>
      <c r="C2" s="67" t="s">
        <v>50</v>
      </c>
      <c r="D2" s="87" t="str">
        <f>IF(CU_NUMBER="","N/A",CU_NUMBER)</f>
        <v>N/A</v>
      </c>
      <c r="E2" s="120"/>
      <c r="F2" s="119"/>
      <c r="H2" s="119"/>
      <c r="J2" s="119"/>
    </row>
    <row r="3" spans="1:10" s="62" customFormat="1" ht="12" customHeight="1" x14ac:dyDescent="0.2">
      <c r="A3" s="121" t="str">
        <f>IF(Request_Date=0,"N/A",Request_Date)</f>
        <v>12/05/2025</v>
      </c>
      <c r="C3" s="67" t="s">
        <v>42</v>
      </c>
      <c r="D3" s="75">
        <f>IF(CountCu_C5=0,"N/A",CountCu_C5)</f>
        <v>4331</v>
      </c>
      <c r="E3" s="120"/>
      <c r="F3" s="119"/>
      <c r="H3" s="119"/>
      <c r="J3" s="119"/>
    </row>
    <row r="4" spans="1:10" s="62" customFormat="1" ht="12" customHeight="1" x14ac:dyDescent="0.2">
      <c r="A4" s="74" t="str">
        <f>"CU Name:      "&amp;IF(Cu_Name="","N/A",Cu_Name)</f>
        <v>CU Name:      N/A</v>
      </c>
      <c r="C4" s="67" t="s">
        <v>43</v>
      </c>
      <c r="D4" s="89" t="str">
        <f>IF(AssetRange="","N/A",AssetRange)</f>
        <v>N/A</v>
      </c>
      <c r="E4" s="75"/>
      <c r="F4" s="119"/>
      <c r="H4" s="119"/>
      <c r="J4" s="119"/>
    </row>
    <row r="5" spans="1:10" s="62" customFormat="1" ht="12" customHeight="1" x14ac:dyDescent="0.2">
      <c r="A5" s="74" t="str">
        <f>"Peer Group:      "&amp;IF(Peer_Group="","N/A",IF(Peer_Group="0","N/A",Peer_Group))</f>
        <v>Peer Group:      N/A</v>
      </c>
      <c r="B5" s="90"/>
      <c r="C5" s="67" t="s">
        <v>51</v>
      </c>
      <c r="D5" s="24" t="str">
        <f>IF(_xlnm.Criteria="","N/A",_xlnm.Criteria)</f>
        <v xml:space="preserve">Region: Nation * Peer Group: All * Types Included: All  Federally Insured Credit Unions  (FICUs) *  </v>
      </c>
      <c r="E5" s="23"/>
      <c r="F5" s="23"/>
      <c r="G5" s="23"/>
      <c r="H5" s="23"/>
      <c r="I5" s="23"/>
      <c r="J5" s="23"/>
    </row>
    <row r="6" spans="1:10" s="62" customFormat="1" ht="12.75" customHeight="1" x14ac:dyDescent="0.2">
      <c r="A6" s="74"/>
      <c r="B6" s="67"/>
      <c r="C6" s="67" t="s">
        <v>45</v>
      </c>
      <c r="D6" s="75" t="str">
        <f>IF(NoCu_in_Peer_Group="","N/A",NoCu_in_Peer_Group)</f>
        <v>N/A</v>
      </c>
      <c r="E6" s="75" t="str">
        <f>IF(CU_NUMBER&gt;0,"",IF(RetPop=0,"Retroactive Population",""))</f>
        <v/>
      </c>
      <c r="F6" s="119"/>
      <c r="H6" s="119"/>
      <c r="J6" s="119"/>
    </row>
    <row r="7" spans="1:10" ht="12.75" customHeight="1" x14ac:dyDescent="0.2">
      <c r="A7" s="29"/>
      <c r="E7" s="32"/>
      <c r="F7" s="54"/>
      <c r="G7" s="30"/>
      <c r="H7" s="54"/>
      <c r="I7" s="30"/>
      <c r="J7" s="54"/>
    </row>
    <row r="8" spans="1:10" x14ac:dyDescent="0.2">
      <c r="A8" s="145"/>
      <c r="B8" s="139">
        <f>(CycDat_C1)</f>
        <v>45565</v>
      </c>
      <c r="C8" s="139">
        <f>(CycDat_C2)</f>
        <v>45657</v>
      </c>
      <c r="D8" s="184" t="s">
        <v>52</v>
      </c>
      <c r="E8" s="139">
        <f>(CycDat_C3)</f>
        <v>45747</v>
      </c>
      <c r="F8" s="184" t="s">
        <v>52</v>
      </c>
      <c r="G8" s="139">
        <f>(CycDat_C4)</f>
        <v>45838</v>
      </c>
      <c r="H8" s="184" t="s">
        <v>52</v>
      </c>
      <c r="I8" s="139">
        <f>(CycDat_C5)</f>
        <v>45930</v>
      </c>
      <c r="J8" s="184" t="s">
        <v>52</v>
      </c>
    </row>
    <row r="9" spans="1:10" ht="13.15" customHeight="1" x14ac:dyDescent="0.2">
      <c r="A9" s="153" t="s">
        <v>952</v>
      </c>
      <c r="B9" s="70"/>
      <c r="C9" s="70"/>
      <c r="D9" s="184"/>
      <c r="E9" s="70"/>
      <c r="F9" s="184"/>
      <c r="G9" s="70"/>
      <c r="H9" s="184"/>
      <c r="I9" s="70"/>
      <c r="J9" s="184"/>
    </row>
    <row r="10" spans="1:10" ht="13.15" customHeight="1" x14ac:dyDescent="0.2">
      <c r="A10" s="144" t="s">
        <v>953</v>
      </c>
      <c r="B10" s="76">
        <f>A784A_C1</f>
        <v>3594675317</v>
      </c>
      <c r="C10" s="76">
        <f>A784A_C2</f>
        <v>3374908738</v>
      </c>
      <c r="D10" s="102">
        <f>IF(C10="N/A", " ", IF(B10="N/A", " ",IF(AND(B10=0,C10=0,),"N/A",IF(ABS(B10)=0, "N/A", ((C10-B10)/ABS(B10))*100))))</f>
        <v>-6.1136697926701791</v>
      </c>
      <c r="E10" s="76">
        <f>A784A_C3</f>
        <v>3359454586</v>
      </c>
      <c r="F10" s="102">
        <f>IF(E10="N/A", " ", IF(C10="N/A", " ",IF(AND(C10=0,E10=0,),"N/A",IF(ABS(C10)=0, "N/A", ((E10-C10)/ABS(C10))*100))))</f>
        <v>-0.45791318224380378</v>
      </c>
      <c r="G10" s="76">
        <f>A784A_C4</f>
        <v>3222342239</v>
      </c>
      <c r="H10" s="102">
        <f>IF(G10="N/A", " ", IF(E10="N/A", " ",IF(AND(E10=0,G10=0,),"N/A",IF(ABS(E10)=0, "N/A", ((G10-E10)/ABS(E10))*100))))</f>
        <v>-4.0813871266899753</v>
      </c>
      <c r="I10" s="76">
        <f>A784A_C5</f>
        <v>3160838618</v>
      </c>
      <c r="J10" s="102">
        <f>IF(I10="N/A", " ", IF(G10="N/A", " ",IF(AND(G10=0,I10=0,),"N/A",IF(ABS(G10)=0, "N/A",((I10-G10)/ABS(G10))*100))))</f>
        <v>-1.908661974374473</v>
      </c>
    </row>
    <row r="11" spans="1:10" ht="26.45" customHeight="1" x14ac:dyDescent="0.2">
      <c r="A11" s="144" t="s">
        <v>954</v>
      </c>
      <c r="B11" s="76">
        <f>A788_C1</f>
        <v>23909442557</v>
      </c>
      <c r="C11" s="76">
        <f>A788_C2</f>
        <v>23501217826</v>
      </c>
      <c r="D11" s="102">
        <f>IF(C11="N/A", " ", IF(B11="N/A", " ",IF(AND(B11=0,C11=0,),"N/A",IF(ABS(B11)=0, "N/A", ((C11-B11)/ABS(B11))*100))))</f>
        <v>-1.70737870624459</v>
      </c>
      <c r="E11" s="76">
        <f>A788_C3</f>
        <v>23191167997</v>
      </c>
      <c r="F11" s="102">
        <f>IF(E11="N/A", " ", IF(C11="N/A", " ",IF(AND(C11=0,E11=0,),"N/A",IF(ABS(C11)=0, "N/A", ((E11-C11)/ABS(C11))*100))))</f>
        <v>-1.3192926055814176</v>
      </c>
      <c r="G11" s="76">
        <f>A788_C4</f>
        <v>23608279675</v>
      </c>
      <c r="H11" s="102">
        <f>IF(G11="N/A", " ", IF(E11="N/A", " ",IF(AND(E11=0,G11=0,),"N/A",IF(ABS(E11)=0, "N/A", ((G11-E11)/ABS(E11))*100))))</f>
        <v>1.7985798647741993</v>
      </c>
      <c r="I11" s="76">
        <f>A788_C5</f>
        <v>23471057624</v>
      </c>
      <c r="J11" s="102">
        <f>IF(I11="N/A", " ", IF(G11="N/A", " ",IF(AND(G11=0,I11=0,),"N/A",IF(ABS(G11)=0, "N/A",((I11-G11)/ABS(G11))*100))))</f>
        <v>-0.58124544816076273</v>
      </c>
    </row>
    <row r="12" spans="1:10" ht="13.15" customHeight="1" x14ac:dyDescent="0.2">
      <c r="A12" s="153" t="s">
        <v>955</v>
      </c>
      <c r="B12" s="76"/>
      <c r="C12" s="76"/>
      <c r="D12" s="102"/>
      <c r="E12" s="76"/>
      <c r="F12" s="102"/>
      <c r="G12" s="76"/>
      <c r="H12" s="102"/>
      <c r="I12" s="76"/>
      <c r="J12" s="102"/>
    </row>
    <row r="13" spans="1:10" ht="13.15" customHeight="1" x14ac:dyDescent="0.2">
      <c r="A13" s="144" t="s">
        <v>956</v>
      </c>
      <c r="B13" s="76">
        <f>IF(B8&lt;DATEVALUE("3/31/2022"),"N/A",ANV0159_C1)</f>
        <v>-995540</v>
      </c>
      <c r="C13" s="76">
        <f>IF(C8&lt;DATEVALUE("3/31/2022"),"N/A",ANV0159_C2)</f>
        <v>-478862</v>
      </c>
      <c r="D13" s="102">
        <f>IF(C13="N/A", " ", IF(B13="N/A", " ",IF(AND(B13=0,C13=0,),"N/A",IF(ABS(B13)=0, "N/A", ((C13-B13)/ABS(B13))*100))))</f>
        <v>51.899270747533997</v>
      </c>
      <c r="E13" s="76">
        <f>IF(E8&lt;DATEVALUE("3/31/2022"),"N/A",ANV0159_C3)</f>
        <v>-1296265</v>
      </c>
      <c r="F13" s="102">
        <f>IF(E13="N/A", " ", IF(C13="N/A", " ",IF(AND(C13=0,E13=0,),"N/A",IF(ABS(C13)=0, "N/A", ((E13-C13)/ABS(C13))*100))))</f>
        <v>-170.69698577043073</v>
      </c>
      <c r="G13" s="76">
        <f>IF(G8&lt;DATEVALUE("3/31/2022"),"N/A",ANV0159_C4)</f>
        <v>-279486</v>
      </c>
      <c r="H13" s="102">
        <f>IF(G13="N/A", " ", IF(E13="N/A", " ",IF(AND(E13=0,G13=0,),"N/A",IF(ABS(E13)=0, "N/A", ((G13-E13)/ABS(E13))*100))))</f>
        <v>78.439130887588576</v>
      </c>
      <c r="I13" s="76">
        <f>IF(I8&lt;DATEVALUE("3/31/2022"),"N/A",ANV0159_C5)</f>
        <v>-887630</v>
      </c>
      <c r="J13" s="102">
        <f>IF(I13="N/A", " ", IF(G13="N/A", " ",IF(AND(G13=0,I13=0,),"N/A",IF(ABS(G13)=0, "N/A",((I13-G13)/ABS(G13))*100))))</f>
        <v>-217.5937256248971</v>
      </c>
    </row>
    <row r="14" spans="1:10" ht="13.15" customHeight="1" x14ac:dyDescent="0.2">
      <c r="A14" s="144" t="s">
        <v>957</v>
      </c>
      <c r="B14" s="76">
        <f>IF(B8&lt;DATEVALUE("3/31/2022"),"N/A",ANV0160_C1)</f>
        <v>-84567488</v>
      </c>
      <c r="C14" s="76">
        <f>IF(C8&lt;DATEVALUE("3/31/2022"),"N/A",ANV0160_C2)</f>
        <v>-225005769</v>
      </c>
      <c r="D14" s="102">
        <f>IF(C14="N/A", " ", IF(B14="N/A", " ",IF(AND(B14=0,C14=0,),"N/A",IF(ABS(B14)=0, "N/A", ((C14-B14)/ABS(B14))*100))))</f>
        <v>-166.06651601144875</v>
      </c>
      <c r="E14" s="76">
        <f>IF(E8&lt;DATEVALUE("3/31/2022"),"N/A",ANV0160_C3)</f>
        <v>-34653772</v>
      </c>
      <c r="F14" s="102">
        <f>IF(E14="N/A", " ", IF(C14="N/A", " ",IF(AND(C14=0,E14=0,),"N/A",IF(ABS(C14)=0, "N/A", ((E14-C14)/ABS(C14))*100))))</f>
        <v>84.598718444414644</v>
      </c>
      <c r="G14" s="76">
        <f>IF(G8&lt;DATEVALUE("3/31/2022"),"N/A",ANV0160_C4)</f>
        <v>-55421963</v>
      </c>
      <c r="H14" s="102">
        <f>IF(G14="N/A", " ", IF(E14="N/A", " ",IF(AND(E14=0,G14=0,),"N/A",IF(ABS(E14)=0, "N/A", ((G14-E14)/ABS(E14))*100))))</f>
        <v>-59.930535123276044</v>
      </c>
      <c r="I14" s="76">
        <f>IF(I8&lt;DATEVALUE("3/31/2022"),"N/A",ANV0160_C5)</f>
        <v>-73635782</v>
      </c>
      <c r="J14" s="102">
        <f>IF(I14="N/A", " ", IF(G14="N/A", " ",IF(AND(G14=0,I14=0,),"N/A",IF(ABS(G14)=0, "N/A",((I14-G14)/ABS(G14))*100))))</f>
        <v>-32.863900905133946</v>
      </c>
    </row>
    <row r="15" spans="1:10" ht="13.15" customHeight="1" x14ac:dyDescent="0.2">
      <c r="A15" s="144" t="s">
        <v>958</v>
      </c>
      <c r="B15" s="76">
        <f>IF(B8&lt;DATEVALUE("3/31/2022"),"N/A",ANV0161_C1)</f>
        <v>313810787</v>
      </c>
      <c r="C15" s="76">
        <f>IF(C8&lt;DATEVALUE("3/31/2022"),"N/A",ANV0161_C2)</f>
        <v>191496846</v>
      </c>
      <c r="D15" s="102">
        <f>IF(C15="N/A", " ", IF(B15="N/A", " ",IF(AND(B15=0,C15=0,),"N/A",IF(ABS(B15)=0, "N/A", ((C15-B15)/ABS(B15))*100))))</f>
        <v>-38.976971495884236</v>
      </c>
      <c r="E15" s="76">
        <f>IF(E8&lt;DATEVALUE("3/31/2022"),"N/A",ANV0161_C3)</f>
        <v>82789609</v>
      </c>
      <c r="F15" s="102">
        <f>IF(E15="N/A", " ", IF(C15="N/A", " ",IF(AND(C15=0,E15=0,),"N/A",IF(ABS(C15)=0, "N/A", ((E15-C15)/ABS(C15))*100))))</f>
        <v>-56.767116153965269</v>
      </c>
      <c r="G15" s="76">
        <f>IF(G8&lt;DATEVALUE("3/31/2022"),"N/A",ANV0161_C4)</f>
        <v>147807410</v>
      </c>
      <c r="H15" s="102">
        <f>IF(G15="N/A", " ", IF(E15="N/A", " ",IF(AND(E15=0,G15=0,),"N/A",IF(ABS(E15)=0, "N/A", ((G15-E15)/ABS(E15))*100))))</f>
        <v>78.533769859934949</v>
      </c>
      <c r="I15" s="76">
        <f>IF(I8&lt;DATEVALUE("3/31/2022"),"N/A",ANV0161_C5)</f>
        <v>190963291</v>
      </c>
      <c r="J15" s="102">
        <f>IF(I15="N/A", " ", IF(G15="N/A", " ",IF(AND(G15=0,I15=0,),"N/A",IF(ABS(G15)=0, "N/A",((I15-G15)/ABS(G15))*100))))</f>
        <v>29.197373122227095</v>
      </c>
    </row>
    <row r="16" spans="1:10" ht="13.15" customHeight="1" x14ac:dyDescent="0.2">
      <c r="A16" s="153" t="s">
        <v>959</v>
      </c>
      <c r="B16" s="76">
        <f>IF(B8&lt;DATEVALUE("3/31/2022"),"N/A",ANV0162_C1)</f>
        <v>228247759</v>
      </c>
      <c r="C16" s="76">
        <f>IF(C8&lt;DATEVALUE("3/31/2022"),"N/A",ANV0162_C2)</f>
        <v>-33987785</v>
      </c>
      <c r="D16" s="102">
        <f>IF(C16="N/A", " ", IF(B16="N/A", " ",IF(AND(B16=0,C16=0,),"N/A",IF(ABS(B16)=0, "N/A", ((C16-B16)/ABS(B16))*100))))</f>
        <v>-114.89074203790979</v>
      </c>
      <c r="E16" s="76">
        <f>IF(E8&lt;DATEVALUE("3/31/2022"),"N/A",ANV0162_C3)</f>
        <v>46839572</v>
      </c>
      <c r="F16" s="102">
        <f>IF(E16="N/A", " ", IF(C16="N/A", " ",IF(AND(C16=0,E16=0,),"N/A",IF(ABS(C16)=0, "N/A", ((E16-C16)/ABS(C16))*100))))</f>
        <v>237.81295839078655</v>
      </c>
      <c r="G16" s="76">
        <f>IF(G8&lt;DATEVALUE("3/31/2022"),"N/A",ANV0162_C4)</f>
        <v>92105961</v>
      </c>
      <c r="H16" s="102">
        <f>IF(G16="N/A", " ", IF(E16="N/A", " ",IF(AND(E16=0,G16=0,),"N/A",IF(ABS(E16)=0, "N/A", ((G16-E16)/ABS(E16))*100))))</f>
        <v>96.641337798731371</v>
      </c>
      <c r="I16" s="76">
        <f>IF(I8&lt;DATEVALUE("3/31/2022"),"N/A",ANV0162_C5)</f>
        <v>116439879</v>
      </c>
      <c r="J16" s="102">
        <f>IF(I16="N/A", " ", IF(G16="N/A", " ",IF(AND(G16=0,I16=0,),"N/A",IF(ABS(G16)=0, "N/A",((I16-G16)/ABS(G16))*100))))</f>
        <v>26.419482230905771</v>
      </c>
    </row>
    <row r="17" spans="1:10" ht="13.15" customHeight="1" x14ac:dyDescent="0.2">
      <c r="A17" s="153" t="s">
        <v>960</v>
      </c>
      <c r="B17" s="76"/>
      <c r="C17" s="76"/>
      <c r="D17" s="102"/>
      <c r="E17" s="76"/>
      <c r="F17" s="102"/>
      <c r="G17" s="76"/>
      <c r="H17" s="102"/>
      <c r="I17" s="76"/>
      <c r="J17" s="102"/>
    </row>
    <row r="18" spans="1:10" ht="13.15" customHeight="1" x14ac:dyDescent="0.2">
      <c r="A18" s="144" t="s">
        <v>961</v>
      </c>
      <c r="B18" s="76">
        <f>A420A_C1</f>
        <v>649922</v>
      </c>
      <c r="C18" s="76">
        <f>A420A_C2</f>
        <v>1225458</v>
      </c>
      <c r="D18" s="102">
        <f>IF(C18="N/A", " ", IF(B18="N/A", " ",IF(AND(B18=0,C18=0,),"N/A",IF(ABS(B18)=0, "N/A", ((C18-B18)/ABS(B18))*100))))</f>
        <v>88.554626555186616</v>
      </c>
      <c r="E18" s="76">
        <f>A420A_C3</f>
        <v>6431</v>
      </c>
      <c r="F18" s="102">
        <f>IF(E18="N/A", " ", IF(C18="N/A", " ",IF(AND(C18=0,E18=0,),"N/A",IF(ABS(C18)=0, "N/A", ((E18-C18)/ABS(C18))*100))))</f>
        <v>-99.475216612890847</v>
      </c>
      <c r="G18" s="76">
        <f>A420A_C4</f>
        <v>41629</v>
      </c>
      <c r="H18" s="102">
        <f>IF(G18="N/A", " ", IF(E18="N/A", " ",IF(AND(E18=0,G18=0,),"N/A",IF(ABS(E18)=0, "N/A", ((G18-E18)/ABS(E18))*100))))</f>
        <v>547.31767998756027</v>
      </c>
      <c r="I18" s="76">
        <f>A420A_C5</f>
        <v>14748</v>
      </c>
      <c r="J18" s="102">
        <f>IF(I18="N/A", " ", IF(G18="N/A", " ",IF(AND(G18=0,I18=0,),"N/A",IF(ABS(G18)=0, "N/A",((I18-G18)/ABS(G18))*100))))</f>
        <v>-64.572773787503905</v>
      </c>
    </row>
    <row r="19" spans="1:10" ht="13.15" customHeight="1" x14ac:dyDescent="0.2">
      <c r="A19" s="144" t="s">
        <v>962</v>
      </c>
      <c r="B19" s="76">
        <f>A420B_C1</f>
        <v>417494</v>
      </c>
      <c r="C19" s="76">
        <f>A420B_C2</f>
        <v>1181984</v>
      </c>
      <c r="D19" s="102">
        <f>IF(C19="N/A", " ", IF(B19="N/A", " ",IF(AND(B19=0,C19=0,),"N/A",IF(ABS(B19)=0, "N/A", ((C19-B19)/ABS(B19))*100))))</f>
        <v>183.11400882407892</v>
      </c>
      <c r="E19" s="76">
        <f>A420B_C3</f>
        <v>2359</v>
      </c>
      <c r="F19" s="102">
        <f>IF(E19="N/A", " ", IF(C19="N/A", " ",IF(AND(C19=0,E19=0,),"N/A",IF(ABS(C19)=0, "N/A", ((E19-C19)/ABS(C19))*100))))</f>
        <v>-99.800420310258005</v>
      </c>
      <c r="G19" s="76">
        <f>A420B_C4</f>
        <v>32542</v>
      </c>
      <c r="H19" s="102">
        <f>IF(G19="N/A", " ", IF(E19="N/A", " ",IF(AND(E19=0,G19=0,),"N/A",IF(ABS(E19)=0, "N/A", ((G19-E19)/ABS(E19))*100))))</f>
        <v>1279.4828317083511</v>
      </c>
      <c r="I19" s="76">
        <f>A420B_C5</f>
        <v>5481</v>
      </c>
      <c r="J19" s="102">
        <f>IF(I19="N/A", " ", IF(G19="N/A", " ",IF(AND(G19=0,I19=0,),"N/A",IF(ABS(G19)=0, "N/A",((I19-G19)/ABS(G19))*100))))</f>
        <v>-83.157150759019117</v>
      </c>
    </row>
    <row r="20" spans="1:10" ht="13.15" customHeight="1" x14ac:dyDescent="0.2">
      <c r="A20" s="153" t="s">
        <v>963</v>
      </c>
      <c r="B20" s="76">
        <f>A420C_C1</f>
        <v>232428</v>
      </c>
      <c r="C20" s="76">
        <f>A420C_C2</f>
        <v>43474</v>
      </c>
      <c r="D20" s="102">
        <f>IF(C20="N/A", " ", IF(B20="N/A", " ",IF(AND(B20=0,C20=0,),"N/A",IF(ABS(B20)=0, "N/A", ((C20-B20)/ABS(B20))*100))))</f>
        <v>-81.295713081040162</v>
      </c>
      <c r="E20" s="76">
        <f>A420C_C3</f>
        <v>4072</v>
      </c>
      <c r="F20" s="102">
        <f>IF(E20="N/A", " ", IF(C20="N/A", " ",IF(AND(C20=0,E20=0,),"N/A",IF(ABS(C20)=0, "N/A", ((E20-C20)/ABS(C20))*100))))</f>
        <v>-90.633482081243969</v>
      </c>
      <c r="G20" s="76">
        <f>A420C_C4</f>
        <v>9087</v>
      </c>
      <c r="H20" s="102">
        <f>IF(G20="N/A", " ", IF(E20="N/A", " ",IF(AND(E20=0,G20=0,),"N/A",IF(ABS(E20)=0, "N/A", ((G20-E20)/ABS(E20))*100))))</f>
        <v>123.1581532416503</v>
      </c>
      <c r="I20" s="76">
        <f>A420C_C5</f>
        <v>9267</v>
      </c>
      <c r="J20" s="102">
        <f>IF(I20="N/A", " ", IF(G20="N/A", " ",IF(AND(G20=0,I20=0,),"N/A",IF(ABS(G20)=0, "N/A",((I20-G20)/ABS(G20))*100))))</f>
        <v>1.9808517662594913</v>
      </c>
    </row>
    <row r="21" spans="1:10" ht="13.15" customHeight="1" x14ac:dyDescent="0.2">
      <c r="A21" s="153" t="s">
        <v>964</v>
      </c>
      <c r="B21" s="76"/>
      <c r="C21" s="76"/>
      <c r="D21" s="102"/>
      <c r="E21" s="76"/>
      <c r="F21" s="102"/>
      <c r="G21" s="76"/>
      <c r="H21" s="102"/>
      <c r="I21" s="76"/>
      <c r="J21" s="102"/>
    </row>
    <row r="22" spans="1:10" ht="26.25" customHeight="1" x14ac:dyDescent="0.2">
      <c r="A22" s="144" t="s">
        <v>965</v>
      </c>
      <c r="B22" s="76" t="str">
        <f>IF(B8&gt;=DATEVALUE("3/31/2023"),"N/A",IF(B8&lt;=DATEVALUE("12/31/2022"),AIS0026_C1,  IF(B8&lt;=DATEVALUE("12/31/2020"),A420D_C1,IF(B8&lt;DATEVALUE("3/31/2014"), "N/A"))))</f>
        <v>N/A</v>
      </c>
      <c r="C22" s="76" t="str">
        <f>IF(C8&gt;=DATEVALUE("3/31/2023"),"N/A",IF(C8&lt;=DATEVALUE("12/31/2022"),AIS0026_C2,  IF(C8&lt;=DATEVALUE("12/31/2020"),A420D_C2,IF(C8&lt;DATEVALUE("3/31/2014"), "N/A"))))</f>
        <v>N/A</v>
      </c>
      <c r="D22" s="102" t="str">
        <f>IF(C22="N/A", " ", IF(B22="N/A", " ",IF(AND(B22=0,C22=0,),"N/A",IF(ABS(B22)=0, "N/A", ((C22-B22)/ABS(B22))*100))))</f>
        <v xml:space="preserve"> </v>
      </c>
      <c r="E22" s="76" t="str">
        <f>IF(E8&gt;=DATEVALUE("3/31/2023"),"N/A",IF(E8&lt;=DATEVALUE("12/31/2022"),AIS0026_C3,  IF(E8&lt;=DATEVALUE("12/31/2020"),A420D_C3,IF(E8&lt;DATEVALUE("3/31/2014"), "N/A"))))</f>
        <v>N/A</v>
      </c>
      <c r="F22" s="102" t="str">
        <f>IF(E22="N/A", " ", IF(C22="N/A", " ",IF(AND(C22=0,E22=0,),"N/A",IF(ABS(C22)=0, "N/A", ((E22-C22)/ABS(C22))*100))))</f>
        <v xml:space="preserve"> </v>
      </c>
      <c r="G22" s="76" t="str">
        <f>IF(G8&gt;=DATEVALUE("3/31/2023"),"N/A",IF(G8&lt;=DATEVALUE("12/31/2022"),AIS0026_C4,  IF(G8&lt;=DATEVALUE("12/31/2020"),A420D_C4,IF(G8&lt;DATEVALUE("3/31/2014"), "N/A"))))</f>
        <v>N/A</v>
      </c>
      <c r="H22" s="102" t="str">
        <f>IF(G22="N/A", " ", IF(E22="N/A", " ",IF(AND(E22=0,G22=0,),"N/A",IF(ABS(E22)=0, "N/A", ((G22-E22)/ABS(E22))*100))))</f>
        <v xml:space="preserve"> </v>
      </c>
      <c r="I22" s="76" t="str">
        <f>IF(I8&gt;=DATEVALUE("3/31/2023"),"N/A",IF(I8&lt;=DATEVALUE("12/31/2022"),AIS0026_C5,  IF(I8&lt;=DATEVALUE("12/31/2020"),A420D_C5,IF(I8&lt;DATEVALUE("3/31/2014"), "N/A"))))</f>
        <v>N/A</v>
      </c>
      <c r="J22" s="102" t="str">
        <f>IF(I22="N/A", " ", IF(G22="N/A", " ",IF(AND(G22=0,I22=0,),"N/A",IF(ABS(G22)=0, "N/A",((I22-G22)/ABS(G22))*100))))</f>
        <v xml:space="preserve"> </v>
      </c>
    </row>
    <row r="23" spans="1:10" ht="26.25" customHeight="1" x14ac:dyDescent="0.2">
      <c r="A23" s="153" t="s">
        <v>966</v>
      </c>
      <c r="B23" s="197"/>
      <c r="C23" s="197"/>
      <c r="D23" s="102"/>
      <c r="E23" s="76"/>
      <c r="F23" s="102"/>
      <c r="G23" s="76"/>
      <c r="H23" s="102"/>
      <c r="I23" s="76"/>
      <c r="J23" s="102"/>
    </row>
    <row r="24" spans="1:10" ht="13.15" customHeight="1" x14ac:dyDescent="0.2">
      <c r="A24" s="144" t="s">
        <v>967</v>
      </c>
      <c r="B24" s="76">
        <f>A789C_C1</f>
        <v>10725955842</v>
      </c>
      <c r="C24" s="76">
        <f>A789C_C2</f>
        <v>10466106143</v>
      </c>
      <c r="D24" s="102">
        <f>IF(C24="N/A", " ", IF(B24="N/A", " ",IF(AND(B24=0,C24=0,),"N/A",IF(ABS(B24)=0, "N/A", ((C24-B24)/ABS(B24))*100))))</f>
        <v>-2.4226251051910683</v>
      </c>
      <c r="E24" s="76">
        <f>A789C_C3</f>
        <v>11066826200</v>
      </c>
      <c r="F24" s="102">
        <f>IF(E24="N/A", " ", IF(C24="N/A", " ",IF(AND(C24=0,E24=0,),"N/A",IF(ABS(C24)=0, "N/A", ((E24-C24)/ABS(C24))*100))))</f>
        <v>5.739670979753793</v>
      </c>
      <c r="G24" s="76">
        <f>A789C_C4</f>
        <v>11820715965</v>
      </c>
      <c r="H24" s="102">
        <f>IF(G24="N/A", " ", IF(E24="N/A", " ",IF(AND(E24=0,G24=0,),"N/A",IF(ABS(E24)=0, "N/A", ((G24-E24)/ABS(E24))*100))))</f>
        <v>6.8121587108687045</v>
      </c>
      <c r="I24" s="76">
        <f>A789C_C5</f>
        <v>12001502256</v>
      </c>
      <c r="J24" s="102">
        <f>IF(I24="N/A", " ", IF(G24="N/A", " ",IF(AND(G24=0,I24=0,),"N/A",IF(ABS(G24)=0, "N/A",((I24-G24)/ABS(G24))*100))))</f>
        <v>1.5294022082527892</v>
      </c>
    </row>
    <row r="25" spans="1:10" ht="13.15" customHeight="1" x14ac:dyDescent="0.2">
      <c r="A25" s="144" t="s">
        <v>968</v>
      </c>
      <c r="B25" s="76">
        <f>A789D_C1</f>
        <v>1982170077</v>
      </c>
      <c r="C25" s="76">
        <f>A789D_C2</f>
        <v>2059818952</v>
      </c>
      <c r="D25" s="102">
        <f>IF(C25="N/A", " ", IF(B25="N/A", " ",IF(AND(B25=0,C25=0,),"N/A",IF(ABS(B25)=0, "N/A", ((C25-B25)/ABS(B25))*100))))</f>
        <v>3.9173669253206067</v>
      </c>
      <c r="E25" s="76">
        <f>A789D_C3</f>
        <v>2087625710</v>
      </c>
      <c r="F25" s="102">
        <f>IF(E25="N/A", " ", IF(C25="N/A", " ",IF(AND(C25=0,E25=0,),"N/A",IF(ABS(C25)=0, "N/A", ((E25-C25)/ABS(C25))*100))))</f>
        <v>1.3499612659161513</v>
      </c>
      <c r="G25" s="76">
        <f>A789D_C4</f>
        <v>2258963906</v>
      </c>
      <c r="H25" s="102">
        <f>IF(G25="N/A", " ", IF(E25="N/A", " ",IF(AND(E25=0,G25=0,),"N/A",IF(ABS(E25)=0, "N/A", ((G25-E25)/ABS(E25))*100))))</f>
        <v>8.2073235244837068</v>
      </c>
      <c r="I25" s="76">
        <f>A789D_C5</f>
        <v>2474427087</v>
      </c>
      <c r="J25" s="102">
        <f>IF(I25="N/A", " ", IF(G25="N/A", " ",IF(AND(G25=0,I25=0,),"N/A",IF(ABS(G25)=0, "N/A",((I25-G25)/ABS(G25))*100))))</f>
        <v>9.538141819252246</v>
      </c>
    </row>
    <row r="26" spans="1:10" ht="13.15" customHeight="1" x14ac:dyDescent="0.2">
      <c r="A26" s="144" t="s">
        <v>969</v>
      </c>
      <c r="B26" s="86"/>
      <c r="C26" s="86"/>
      <c r="D26" s="102"/>
      <c r="E26" s="86"/>
      <c r="F26" s="102"/>
      <c r="G26" s="86"/>
      <c r="H26" s="102"/>
      <c r="I26" s="86"/>
      <c r="J26" s="102"/>
    </row>
    <row r="27" spans="1:10" ht="13.15" customHeight="1" x14ac:dyDescent="0.2">
      <c r="A27" s="144" t="s">
        <v>970</v>
      </c>
      <c r="B27" s="76">
        <f>IF(B8&lt;DATEVALUE("3/31/2022"),"N/A",ANV0169_C1)</f>
        <v>682971590</v>
      </c>
      <c r="C27" s="76">
        <f>IF(C8&lt;DATEVALUE("3/31/2022"),"N/A",ANV0169_C2)</f>
        <v>669994014</v>
      </c>
      <c r="D27" s="102">
        <f>IF(C27="N/A", " ", IF(B27="N/A", " ",IF(AND(B27=0,C27=0,),"N/A",IF(ABS(B27)=0, "N/A", ((C27-B27)/ABS(B27))*100))))</f>
        <v>-1.9001633728278506</v>
      </c>
      <c r="E27" s="76">
        <f>IF(E8&lt;DATEVALUE("3/31/2022"),"N/A",ANV0169_C3)</f>
        <v>641288200</v>
      </c>
      <c r="F27" s="102">
        <f>IF(E27="N/A", " ", IF(C27="N/A", " ",IF(AND(C27=0,E27=0,),"N/A",IF(ABS(C27)=0, "N/A", ((E27-C27)/ABS(C27))*100))))</f>
        <v>-4.2844881297700672</v>
      </c>
      <c r="G27" s="76">
        <f>IF(G8&lt;DATEVALUE("3/31/2022"),"N/A",ANV0169_C4)</f>
        <v>661238908</v>
      </c>
      <c r="H27" s="102">
        <f>IF(G27="N/A", " ", IF(E27="N/A", " ",IF(AND(E27=0,G27=0,),"N/A",IF(ABS(E27)=0, "N/A", ((G27-E27)/ABS(E27))*100))))</f>
        <v>3.1110361924638563</v>
      </c>
      <c r="I27" s="76">
        <f>IF(I8&lt;DATEVALUE("3/31/2022"),"N/A",ANV0169_C5)</f>
        <v>669040442</v>
      </c>
      <c r="J27" s="102">
        <f>IF(I27="N/A", " ", IF(G27="N/A", " ",IF(AND(G27=0,I27=0,),"N/A",IF(ABS(G27)=0, "N/A",((I27-G27)/ABS(G27))*100))))</f>
        <v>1.1798358967709142</v>
      </c>
    </row>
    <row r="28" spans="1:10" ht="13.15" customHeight="1" x14ac:dyDescent="0.2">
      <c r="A28" s="144" t="s">
        <v>971</v>
      </c>
      <c r="B28" s="76">
        <f>IF(B8&lt;DATEVALUE("3/31/2022"),"N/A",ANV0170_C1)</f>
        <v>6287669247</v>
      </c>
      <c r="C28" s="76">
        <f>IF(C8&lt;DATEVALUE("3/31/2022"),"N/A",ANV0170_C2)</f>
        <v>6907881927</v>
      </c>
      <c r="D28" s="102">
        <f>IF(C28="N/A", " ", IF(B28="N/A", " ",IF(AND(B28=0,C28=0,),"N/A",IF(ABS(B28)=0, "N/A", ((C28-B28)/ABS(B28))*100))))</f>
        <v>9.863952056573563</v>
      </c>
      <c r="E28" s="76">
        <f>IF(E8&lt;DATEVALUE("3/31/2022"),"N/A",ANV0170_C3)</f>
        <v>7178218251</v>
      </c>
      <c r="F28" s="102">
        <f>IF(E28="N/A", " ", IF(C28="N/A", " ",IF(AND(C28=0,E28=0,),"N/A",IF(ABS(C28)=0, "N/A", ((E28-C28)/ABS(C28))*100))))</f>
        <v>3.9134473758645067</v>
      </c>
      <c r="G28" s="76">
        <f>IF(G8&lt;DATEVALUE("3/31/2022"),"N/A",ANV0170_C4)</f>
        <v>7510842607</v>
      </c>
      <c r="H28" s="102">
        <f>IF(G28="N/A", " ", IF(E28="N/A", " ",IF(AND(E28=0,G28=0,),"N/A",IF(ABS(E28)=0, "N/A", ((G28-E28)/ABS(E28))*100))))</f>
        <v>4.6338010961656391</v>
      </c>
      <c r="I28" s="76">
        <f>IF(I8&lt;DATEVALUE("3/31/2022"),"N/A",ANV0170_C5)</f>
        <v>7737795129</v>
      </c>
      <c r="J28" s="102">
        <f>IF(I28="N/A", " ", IF(G28="N/A", " ",IF(AND(G28=0,I28=0,),"N/A",IF(ABS(G28)=0, "N/A",((I28-G28)/ABS(G28))*100))))</f>
        <v>3.0216652628093077</v>
      </c>
    </row>
    <row r="29" spans="1:10" ht="13.15" customHeight="1" x14ac:dyDescent="0.2">
      <c r="A29" s="144" t="s">
        <v>972</v>
      </c>
      <c r="B29" s="76">
        <f>A789E_C1</f>
        <v>8010793350</v>
      </c>
      <c r="C29" s="76">
        <f>A789E_C2</f>
        <v>8465603245</v>
      </c>
      <c r="D29" s="102">
        <f>IF(C29="N/A", " ", IF(B29="N/A", " ",IF(AND(B29=0,C29=0,),"N/A",IF(ABS(B29)=0, "N/A", ((C29-B29)/ABS(B29))*100))))</f>
        <v>5.6774638307203373</v>
      </c>
      <c r="E29" s="76">
        <f>A789E_C3</f>
        <v>8778585762</v>
      </c>
      <c r="F29" s="102">
        <f>IF(E29="N/A", " ", IF(C29="N/A", " ",IF(AND(C29=0,E29=0,),"N/A",IF(ABS(C29)=0, "N/A", ((E29-C29)/ABS(C29))*100))))</f>
        <v>3.6971082620113975</v>
      </c>
      <c r="G29" s="76">
        <f>A789E_C4</f>
        <v>9154759929</v>
      </c>
      <c r="H29" s="102">
        <f>IF(G29="N/A", " ", IF(E29="N/A", " ",IF(AND(E29=0,G29=0,),"N/A",IF(ABS(E29)=0, "N/A", ((G29-E29)/ABS(E29))*100))))</f>
        <v>4.2851340432117313</v>
      </c>
      <c r="I29" s="76">
        <f>A789E_C5</f>
        <v>9357880481</v>
      </c>
      <c r="J29" s="102">
        <f>IF(I29="N/A", " ", IF(G29="N/A", " ",IF(AND(G29=0,I29=0,),"N/A",IF(ABS(G29)=0, "N/A",((I29-G29)/ABS(G29))*100))))</f>
        <v>2.2187425292995906</v>
      </c>
    </row>
    <row r="30" spans="1:10" ht="13.15" customHeight="1" x14ac:dyDescent="0.2">
      <c r="A30" s="144" t="s">
        <v>973</v>
      </c>
      <c r="B30" s="76"/>
      <c r="C30" s="76"/>
      <c r="D30" s="102"/>
      <c r="E30" s="76"/>
      <c r="F30" s="102"/>
      <c r="G30" s="76"/>
      <c r="H30" s="102"/>
      <c r="I30" s="76"/>
      <c r="J30" s="102"/>
    </row>
    <row r="31" spans="1:10" ht="13.15" customHeight="1" x14ac:dyDescent="0.2">
      <c r="A31" s="144" t="s">
        <v>970</v>
      </c>
      <c r="B31" s="76">
        <f>IF(B8&lt;DATEVALUE("3/31/2022"),"N/A",ANV0172_C1)</f>
        <v>82336613</v>
      </c>
      <c r="C31" s="76">
        <f>IF(C8&lt;DATEVALUE("3/31/2022"),"N/A",ANV0172_C2)</f>
        <v>88261669</v>
      </c>
      <c r="D31" s="102">
        <f t="shared" ref="D31:D37" si="0">IF(C31="N/A", " ", IF(B31="N/A", " ",IF(AND(B31=0,C31=0,),"N/A",IF(ABS(B31)=0, "N/A", ((C31-B31)/ABS(B31))*100))))</f>
        <v>7.1961376404929362</v>
      </c>
      <c r="E31" s="76">
        <f>IF(E8&lt;DATEVALUE("3/31/2022"),"N/A",ANV0172_C3)</f>
        <v>100798336</v>
      </c>
      <c r="F31" s="102">
        <f t="shared" ref="F31:F37" si="1">IF(E31="N/A", " ", IF(C31="N/A", " ",IF(AND(C31=0,E31=0,),"N/A",IF(ABS(C31)=0, "N/A", ((E31-C31)/ABS(C31))*100))))</f>
        <v>14.203976813536123</v>
      </c>
      <c r="G31" s="76">
        <f>IF(G8&lt;DATEVALUE("3/31/2022"),"N/A",ANV0172_C4)</f>
        <v>112302240</v>
      </c>
      <c r="H31" s="102">
        <f t="shared" ref="H31:H37" si="2">IF(G31="N/A", " ", IF(E31="N/A", " ",IF(AND(E31=0,G31=0,),"N/A",IF(ABS(E31)=0, "N/A", ((G31-E31)/ABS(E31))*100))))</f>
        <v>11.412791576241894</v>
      </c>
      <c r="I31" s="76">
        <f>IF(I8&lt;DATEVALUE("3/31/2022"),"N/A",ANV0172_C5)</f>
        <v>107582147</v>
      </c>
      <c r="J31" s="102">
        <f t="shared" ref="J31:J37" si="3">IF(I31="N/A", " ", IF(G31="N/A", " ",IF(AND(G31=0,I31=0,),"N/A",IF(ABS(G31)=0, "N/A",((I31-G31)/ABS(G31))*100))))</f>
        <v>-4.2030265825508017</v>
      </c>
    </row>
    <row r="32" spans="1:10" s="34" customFormat="1" ht="13.15" customHeight="1" x14ac:dyDescent="0.2">
      <c r="A32" s="144" t="s">
        <v>971</v>
      </c>
      <c r="B32" s="192">
        <f>IF(B8&lt;DATEVALUE("3/31/2022"),"N/A",ANV0173_C1)</f>
        <v>638812990</v>
      </c>
      <c r="C32" s="192">
        <f>IF(C8&lt;DATEVALUE("3/31/2022"),"N/A",ANV0173_C2)</f>
        <v>773730901</v>
      </c>
      <c r="D32" s="102">
        <f t="shared" si="0"/>
        <v>21.120095100132513</v>
      </c>
      <c r="E32" s="192">
        <f>IF(E8&lt;DATEVALUE("3/31/2022"),"N/A",ANV0173_C3)</f>
        <v>692809720</v>
      </c>
      <c r="F32" s="102">
        <f t="shared" si="1"/>
        <v>-10.458569109158535</v>
      </c>
      <c r="G32" s="192">
        <f>IF(G8&lt;DATEVALUE("3/31/2022"),"N/A",ANV0173_C4)</f>
        <v>692353126</v>
      </c>
      <c r="H32" s="102">
        <f t="shared" si="2"/>
        <v>-6.5904675817769987E-2</v>
      </c>
      <c r="I32" s="192">
        <f>IF(I8&lt;DATEVALUE("3/31/2022"),"N/A",ANV0173_C5)</f>
        <v>730953691</v>
      </c>
      <c r="J32" s="102">
        <f t="shared" si="3"/>
        <v>5.5752712814356533</v>
      </c>
    </row>
    <row r="33" spans="1:10" ht="13.15" customHeight="1" x14ac:dyDescent="0.2">
      <c r="A33" s="144" t="s">
        <v>972</v>
      </c>
      <c r="B33" s="76">
        <f>A789E1_C1</f>
        <v>987770450</v>
      </c>
      <c r="C33" s="76">
        <f>A789E1_C2</f>
        <v>958596872</v>
      </c>
      <c r="D33" s="102">
        <f t="shared" si="0"/>
        <v>-2.953477500769536</v>
      </c>
      <c r="E33" s="76">
        <f>A789E1_C3</f>
        <v>896742575</v>
      </c>
      <c r="F33" s="102">
        <f t="shared" si="1"/>
        <v>-6.4525869848655217</v>
      </c>
      <c r="G33" s="76">
        <f>A789E1_C4</f>
        <v>892402308</v>
      </c>
      <c r="H33" s="102">
        <f t="shared" si="2"/>
        <v>-0.48400367296043678</v>
      </c>
      <c r="I33" s="76">
        <f>A789E1_C5</f>
        <v>896170339</v>
      </c>
      <c r="J33" s="102">
        <f t="shared" si="3"/>
        <v>0.42223456463763426</v>
      </c>
    </row>
    <row r="34" spans="1:10" ht="13.15" customHeight="1" x14ac:dyDescent="0.2">
      <c r="A34" s="144" t="s">
        <v>974</v>
      </c>
      <c r="B34" s="192">
        <f>A789E2_C1</f>
        <v>5920906125</v>
      </c>
      <c r="C34" s="76">
        <f>A789E2_C2</f>
        <v>6138402374</v>
      </c>
      <c r="D34" s="102">
        <f t="shared" si="0"/>
        <v>3.6733608743036781</v>
      </c>
      <c r="E34" s="76">
        <f>A789E2_C3</f>
        <v>6054417057</v>
      </c>
      <c r="F34" s="102">
        <f t="shared" si="1"/>
        <v>-1.3681950429924685</v>
      </c>
      <c r="G34" s="76">
        <f>A789E2_C4</f>
        <v>6105141207</v>
      </c>
      <c r="H34" s="102">
        <f t="shared" si="2"/>
        <v>0.83780402840524049</v>
      </c>
      <c r="I34" s="76">
        <f>A789E2_C5</f>
        <v>6160635172</v>
      </c>
      <c r="J34" s="102">
        <f t="shared" si="3"/>
        <v>0.90897103143776636</v>
      </c>
    </row>
    <row r="35" spans="1:10" ht="13.15" customHeight="1" x14ac:dyDescent="0.2">
      <c r="A35" s="144" t="s">
        <v>975</v>
      </c>
      <c r="B35" s="192">
        <f>A789F_C1</f>
        <v>1261570731</v>
      </c>
      <c r="C35" s="192">
        <f>A789F_C2</f>
        <v>1297879399</v>
      </c>
      <c r="D35" s="102">
        <f t="shared" si="0"/>
        <v>2.8780525029476132</v>
      </c>
      <c r="E35" s="76">
        <f>A789F_C3</f>
        <v>1329736132</v>
      </c>
      <c r="F35" s="102">
        <f t="shared" si="1"/>
        <v>2.4545218164758005</v>
      </c>
      <c r="G35" s="76">
        <f>A789F_C4</f>
        <v>1302870557</v>
      </c>
      <c r="H35" s="102">
        <f t="shared" si="2"/>
        <v>-2.0203688802223208</v>
      </c>
      <c r="I35" s="76">
        <f>A789F_C5</f>
        <v>1384606273</v>
      </c>
      <c r="J35" s="102">
        <f t="shared" si="3"/>
        <v>6.273510101280154</v>
      </c>
    </row>
    <row r="36" spans="1:10" ht="26.45" customHeight="1" x14ac:dyDescent="0.2">
      <c r="A36" s="153" t="s">
        <v>976</v>
      </c>
      <c r="B36" s="76">
        <f>A789G_C1</f>
        <v>28889166575</v>
      </c>
      <c r="C36" s="76">
        <f>A789G_C2</f>
        <v>29386406985</v>
      </c>
      <c r="D36" s="102">
        <f t="shared" si="0"/>
        <v>1.7212002593051612</v>
      </c>
      <c r="E36" s="76">
        <f>A789G_C3</f>
        <v>30213933436</v>
      </c>
      <c r="F36" s="102">
        <f t="shared" si="1"/>
        <v>2.8160177983732502</v>
      </c>
      <c r="G36" s="76">
        <f>A789G_C4</f>
        <v>31534853872</v>
      </c>
      <c r="H36" s="102">
        <f t="shared" si="2"/>
        <v>4.3718916598463107</v>
      </c>
      <c r="I36" s="76">
        <f>A789G_C5</f>
        <v>32275221608</v>
      </c>
      <c r="J36" s="102">
        <f t="shared" si="3"/>
        <v>2.3477760163568644</v>
      </c>
    </row>
    <row r="37" spans="1:10" x14ac:dyDescent="0.2">
      <c r="A37" s="153" t="s">
        <v>977</v>
      </c>
      <c r="B37" s="76">
        <f>A789H_C1</f>
        <v>1918644589</v>
      </c>
      <c r="C37" s="76">
        <f>A789H_C2</f>
        <v>2013483854</v>
      </c>
      <c r="D37" s="102">
        <f t="shared" si="0"/>
        <v>4.9430345538581664</v>
      </c>
      <c r="E37" s="76">
        <f>A789H_C3</f>
        <v>1986903746</v>
      </c>
      <c r="F37" s="102">
        <f t="shared" si="1"/>
        <v>-1.3201053461241214</v>
      </c>
      <c r="G37" s="76">
        <f>A789H_C4</f>
        <v>1924119667</v>
      </c>
      <c r="H37" s="102">
        <f t="shared" si="2"/>
        <v>-3.1598953460325299</v>
      </c>
      <c r="I37" s="76">
        <f>A789H_C5</f>
        <v>2032906935</v>
      </c>
      <c r="J37" s="102">
        <f t="shared" si="3"/>
        <v>5.6538722547135629</v>
      </c>
    </row>
    <row r="38" spans="1:10" ht="13.15" customHeight="1" x14ac:dyDescent="0.2">
      <c r="A38" s="153" t="s">
        <v>978</v>
      </c>
      <c r="B38" s="76"/>
      <c r="C38" s="76"/>
      <c r="D38" s="102"/>
      <c r="E38" s="76"/>
      <c r="F38" s="102"/>
      <c r="G38" s="76"/>
      <c r="H38" s="102"/>
      <c r="I38" s="76"/>
      <c r="J38" s="102"/>
    </row>
    <row r="39" spans="1:10" ht="13.15" customHeight="1" x14ac:dyDescent="0.2">
      <c r="A39" s="144" t="s">
        <v>979</v>
      </c>
      <c r="B39" s="76">
        <f>A879G_C1</f>
        <v>1420</v>
      </c>
      <c r="C39" s="76">
        <f>A879G_C2</f>
        <v>1422</v>
      </c>
      <c r="D39" s="102">
        <f t="shared" ref="D39:D46" si="4">IF(C39="N/A", " ", IF(B39="N/A", " ",IF(AND(B39=0,C39=0,),"N/A",IF(ABS(B39)=0, "N/A", ((C39-B39)/ABS(B39))*100))))</f>
        <v>0.14084507042253522</v>
      </c>
      <c r="E39" s="76">
        <f>A879G_C3</f>
        <v>1417</v>
      </c>
      <c r="F39" s="102">
        <f t="shared" ref="F39:F46" si="5">IF(E39="N/A", " ", IF(C39="N/A", " ",IF(AND(C39=0,E39=0,),"N/A",IF(ABS(C39)=0, "N/A", ((E39-C39)/ABS(C39))*100))))</f>
        <v>-0.35161744022503516</v>
      </c>
      <c r="G39" s="76">
        <f>A879G_C4</f>
        <v>1410</v>
      </c>
      <c r="H39" s="102">
        <f t="shared" ref="H39:H46" si="6">IF(G39="N/A", " ", IF(E39="N/A", " ",IF(AND(E39=0,G39=0,),"N/A",IF(ABS(E39)=0, "N/A", ((G39-E39)/ABS(E39))*100))))</f>
        <v>-0.49400141143260412</v>
      </c>
      <c r="I39" s="76">
        <f>A879G_C5</f>
        <v>1405</v>
      </c>
      <c r="J39" s="102">
        <f t="shared" ref="J39:J46" si="7">IF(I39="N/A", " ", IF(G39="N/A", " ",IF(AND(G39=0,I39=0,),"N/A",IF(ABS(G39)=0, "N/A",((I39-G39)/ABS(G39))*100))))</f>
        <v>-0.3546099290780142</v>
      </c>
    </row>
    <row r="40" spans="1:10" ht="13.15" customHeight="1" x14ac:dyDescent="0.2">
      <c r="A40" s="144" t="s">
        <v>980</v>
      </c>
      <c r="B40" s="76">
        <f>A879H_C1</f>
        <v>1233</v>
      </c>
      <c r="C40" s="76">
        <f>A879H_C2</f>
        <v>1222</v>
      </c>
      <c r="D40" s="102">
        <f t="shared" si="4"/>
        <v>-0.89213300892133018</v>
      </c>
      <c r="E40" s="76">
        <f>A879H_C3</f>
        <v>1214</v>
      </c>
      <c r="F40" s="102">
        <f t="shared" si="5"/>
        <v>-0.65466448445171854</v>
      </c>
      <c r="G40" s="76">
        <f>A879H_C4</f>
        <v>1212</v>
      </c>
      <c r="H40" s="102">
        <f t="shared" si="6"/>
        <v>-0.16474464579901155</v>
      </c>
      <c r="I40" s="76">
        <f>A879H_C5</f>
        <v>1202</v>
      </c>
      <c r="J40" s="102">
        <f t="shared" si="7"/>
        <v>-0.82508250825082496</v>
      </c>
    </row>
    <row r="41" spans="1:10" ht="13.15" customHeight="1" x14ac:dyDescent="0.2">
      <c r="A41" s="144" t="s">
        <v>981</v>
      </c>
      <c r="B41" s="76">
        <f>A879J_C1</f>
        <v>0</v>
      </c>
      <c r="C41" s="76">
        <f>A879J_C2</f>
        <v>0</v>
      </c>
      <c r="D41" s="102" t="str">
        <f t="shared" si="4"/>
        <v>N/A</v>
      </c>
      <c r="E41" s="76">
        <f>A879J_C3</f>
        <v>0</v>
      </c>
      <c r="F41" s="102" t="str">
        <f t="shared" si="5"/>
        <v>N/A</v>
      </c>
      <c r="G41" s="76">
        <f>A879J_C4</f>
        <v>0</v>
      </c>
      <c r="H41" s="102" t="str">
        <f t="shared" si="6"/>
        <v>N/A</v>
      </c>
      <c r="I41" s="76">
        <f>A879J_C5</f>
        <v>0</v>
      </c>
      <c r="J41" s="102" t="str">
        <f t="shared" si="7"/>
        <v>N/A</v>
      </c>
    </row>
    <row r="42" spans="1:10" ht="13.15" customHeight="1" x14ac:dyDescent="0.2">
      <c r="A42" s="144" t="s">
        <v>982</v>
      </c>
      <c r="B42" s="76">
        <f>A879T_C1</f>
        <v>575</v>
      </c>
      <c r="C42" s="76">
        <f>A879T_C2</f>
        <v>578</v>
      </c>
      <c r="D42" s="102">
        <f t="shared" si="4"/>
        <v>0.52173913043478271</v>
      </c>
      <c r="E42" s="76">
        <f>A879T_C3</f>
        <v>575</v>
      </c>
      <c r="F42" s="102">
        <f t="shared" si="5"/>
        <v>-0.51903114186851207</v>
      </c>
      <c r="G42" s="76">
        <f>A879T_C4</f>
        <v>575</v>
      </c>
      <c r="H42" s="102">
        <f t="shared" si="6"/>
        <v>0</v>
      </c>
      <c r="I42" s="76">
        <f>A879T_C5</f>
        <v>570</v>
      </c>
      <c r="J42" s="102">
        <f t="shared" si="7"/>
        <v>-0.86956521739130432</v>
      </c>
    </row>
    <row r="43" spans="1:10" s="34" customFormat="1" ht="13.15" customHeight="1" x14ac:dyDescent="0.2">
      <c r="A43" s="144" t="s">
        <v>983</v>
      </c>
      <c r="B43" s="192">
        <f>A879K_C1</f>
        <v>8</v>
      </c>
      <c r="C43" s="192">
        <f>A879K_C2</f>
        <v>8</v>
      </c>
      <c r="D43" s="102">
        <f t="shared" si="4"/>
        <v>0</v>
      </c>
      <c r="E43" s="192">
        <f>A879K_C3</f>
        <v>8</v>
      </c>
      <c r="F43" s="102">
        <f t="shared" si="5"/>
        <v>0</v>
      </c>
      <c r="G43" s="192">
        <f>A879K_C4</f>
        <v>8</v>
      </c>
      <c r="H43" s="102">
        <f t="shared" si="6"/>
        <v>0</v>
      </c>
      <c r="I43" s="192">
        <f>A879K_C5</f>
        <v>8</v>
      </c>
      <c r="J43" s="102">
        <f t="shared" si="7"/>
        <v>0</v>
      </c>
    </row>
    <row r="44" spans="1:10" ht="13.15" customHeight="1" x14ac:dyDescent="0.2">
      <c r="A44" s="144" t="s">
        <v>984</v>
      </c>
      <c r="B44" s="76">
        <f>A879L_C1</f>
        <v>0</v>
      </c>
      <c r="C44" s="76">
        <f>A879L_C2</f>
        <v>0</v>
      </c>
      <c r="D44" s="102" t="str">
        <f t="shared" si="4"/>
        <v>N/A</v>
      </c>
      <c r="E44" s="76">
        <f>A879L_C3</f>
        <v>0</v>
      </c>
      <c r="F44" s="102" t="str">
        <f t="shared" si="5"/>
        <v>N/A</v>
      </c>
      <c r="G44" s="76">
        <f>A879L_C4</f>
        <v>0</v>
      </c>
      <c r="H44" s="102" t="str">
        <f t="shared" si="6"/>
        <v>N/A</v>
      </c>
      <c r="I44" s="76">
        <f>A879L_C5</f>
        <v>0</v>
      </c>
      <c r="J44" s="102" t="str">
        <f t="shared" si="7"/>
        <v>N/A</v>
      </c>
    </row>
    <row r="45" spans="1:10" ht="13.15" customHeight="1" x14ac:dyDescent="0.2">
      <c r="A45" s="144" t="s">
        <v>985</v>
      </c>
      <c r="B45" s="76">
        <f>A879M_C1</f>
        <v>1413</v>
      </c>
      <c r="C45" s="76">
        <f>A879M_C2</f>
        <v>1398</v>
      </c>
      <c r="D45" s="102">
        <f t="shared" si="4"/>
        <v>-1.0615711252653928</v>
      </c>
      <c r="E45" s="76">
        <f>A879M_C3</f>
        <v>1385</v>
      </c>
      <c r="F45" s="102">
        <f t="shared" si="5"/>
        <v>-0.92989985693848354</v>
      </c>
      <c r="G45" s="76">
        <f>A879M_C4</f>
        <v>1373</v>
      </c>
      <c r="H45" s="102">
        <f t="shared" si="6"/>
        <v>-0.86642599277978338</v>
      </c>
      <c r="I45" s="76">
        <f>A879M_C5</f>
        <v>1363</v>
      </c>
      <c r="J45" s="102">
        <f t="shared" si="7"/>
        <v>-0.72833211944646759</v>
      </c>
    </row>
    <row r="46" spans="1:10" ht="13.15" customHeight="1" x14ac:dyDescent="0.2">
      <c r="A46" s="144" t="s">
        <v>986</v>
      </c>
      <c r="B46" s="83">
        <f>A879N_C1</f>
        <v>2399</v>
      </c>
      <c r="C46" s="83">
        <f>A879N_C2</f>
        <v>2367</v>
      </c>
      <c r="D46" s="102">
        <f t="shared" si="4"/>
        <v>-1.3338891204668613</v>
      </c>
      <c r="E46" s="83">
        <f>A879N_C3</f>
        <v>2331</v>
      </c>
      <c r="F46" s="102">
        <f t="shared" si="5"/>
        <v>-1.520912547528517</v>
      </c>
      <c r="G46" s="83">
        <f>A879N_C4</f>
        <v>2300</v>
      </c>
      <c r="H46" s="102">
        <f t="shared" si="6"/>
        <v>-1.3299013299013298</v>
      </c>
      <c r="I46" s="83">
        <f>A879N_C5</f>
        <v>2277</v>
      </c>
      <c r="J46" s="102">
        <f t="shared" si="7"/>
        <v>-1</v>
      </c>
    </row>
    <row r="47" spans="1:10" ht="13.15" customHeight="1" x14ac:dyDescent="0.2">
      <c r="A47" s="175" t="s">
        <v>987</v>
      </c>
      <c r="B47" s="175"/>
      <c r="C47" s="175"/>
      <c r="D47" s="212"/>
      <c r="E47" s="175"/>
      <c r="F47" s="212"/>
      <c r="G47" s="175"/>
      <c r="H47" s="212"/>
      <c r="I47" s="219"/>
      <c r="J47" s="221"/>
    </row>
    <row r="48" spans="1:10" ht="13.15" customHeight="1" x14ac:dyDescent="0.2">
      <c r="A48" s="208" t="s">
        <v>988</v>
      </c>
      <c r="B48" s="107"/>
      <c r="C48" s="171"/>
      <c r="D48" s="171"/>
      <c r="E48" s="171"/>
      <c r="F48" s="188"/>
      <c r="G48" s="107"/>
      <c r="H48" s="100" t="s">
        <v>989</v>
      </c>
      <c r="J48" s="188"/>
    </row>
    <row r="49" spans="1:10" x14ac:dyDescent="0.2">
      <c r="A49" s="81"/>
      <c r="B49" s="83"/>
      <c r="C49" s="83"/>
      <c r="D49" s="200"/>
      <c r="E49" s="83"/>
      <c r="F49" s="200"/>
      <c r="G49" s="83"/>
      <c r="H49" s="200"/>
      <c r="J49" s="200"/>
    </row>
    <row r="55" spans="1:10" x14ac:dyDescent="0.2">
      <c r="C55" s="32"/>
      <c r="D55" s="55"/>
      <c r="E55" s="32"/>
    </row>
    <row r="70" spans="3:5" x14ac:dyDescent="0.2">
      <c r="C70" s="32"/>
      <c r="D70" s="55"/>
      <c r="E70" s="32"/>
    </row>
    <row r="73" spans="3:5" x14ac:dyDescent="0.2">
      <c r="E73" s="27"/>
    </row>
  </sheetData>
  <mergeCells count="1">
    <mergeCell ref="D5:J5"/>
  </mergeCells>
  <phoneticPr fontId="2" type="noConversion"/>
  <hyperlinks>
    <hyperlink ref="A2" location="'Cover Page'!A1" display="Return to cover" xr:uid="{00000000-0004-0000-1A00-000000000000}"/>
  </hyperlinks>
  <printOptions horizontalCentered="1" verticalCentered="1" gridLines="1"/>
  <pageMargins left="0.5" right="0.5" top="0" bottom="0" header="0" footer="0"/>
  <pageSetup orientation="landscape" r:id="rId1"/>
  <headerFooter alignWithMargins="0"/>
  <ignoredErrors>
    <ignoredError sqref="G21 G26" formula="1"/>
  </ignoredError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196CA-5847-479B-8FC8-658B539E3155}">
  <sheetPr>
    <pageSetUpPr fitToPage="1"/>
  </sheetPr>
  <dimension ref="A1:J43"/>
  <sheetViews>
    <sheetView workbookViewId="0"/>
  </sheetViews>
  <sheetFormatPr defaultRowHeight="12.75" x14ac:dyDescent="0.2"/>
  <cols>
    <col min="1" max="1" width="43.28515625" style="30" bestFit="1" customWidth="1"/>
    <col min="2" max="3" width="16.7109375" customWidth="1"/>
    <col min="4" max="4" width="6.7109375" style="57" customWidth="1"/>
    <col min="5" max="5" width="16.7109375" customWidth="1"/>
    <col min="6" max="6" width="6.7109375" style="57" customWidth="1"/>
    <col min="7" max="7" width="16.7109375" customWidth="1"/>
    <col min="8" max="8" width="6.7109375" style="57" customWidth="1"/>
    <col min="9" max="9" width="16.7109375" customWidth="1"/>
    <col min="10" max="10" width="6.7109375" style="57" customWidth="1"/>
    <col min="11" max="12" width="9.140625" customWidth="1"/>
    <col min="13" max="13" width="14.7109375" customWidth="1"/>
  </cols>
  <sheetData>
    <row r="1" spans="1:10" s="62" customFormat="1" ht="12" customHeight="1" x14ac:dyDescent="0.2">
      <c r="A1" s="292"/>
      <c r="C1" s="85" t="s">
        <v>990</v>
      </c>
      <c r="D1" s="118"/>
      <c r="F1" s="119"/>
      <c r="H1" s="119"/>
      <c r="J1" s="119"/>
    </row>
    <row r="2" spans="1:10" s="62" customFormat="1" x14ac:dyDescent="0.2">
      <c r="A2" s="271" t="s">
        <v>49</v>
      </c>
      <c r="C2" s="67" t="s">
        <v>50</v>
      </c>
      <c r="D2" s="87" t="str">
        <f>IF(CU_NUMBER="","N/A",CU_NUMBER)</f>
        <v>N/A</v>
      </c>
      <c r="E2" s="120"/>
      <c r="F2" s="119"/>
      <c r="H2" s="119"/>
      <c r="J2" s="119"/>
    </row>
    <row r="3" spans="1:10" s="62" customFormat="1" ht="12" customHeight="1" x14ac:dyDescent="0.2">
      <c r="A3" s="121" t="str">
        <f>IF(Request_Date=0,"N/A",Request_Date)</f>
        <v>12/05/2025</v>
      </c>
      <c r="C3" s="67" t="s">
        <v>42</v>
      </c>
      <c r="D3" s="75">
        <f>IF(CountCu_C5=0,"N/A",CountCu_C5)</f>
        <v>4331</v>
      </c>
      <c r="E3" s="120"/>
      <c r="F3" s="119"/>
      <c r="H3" s="119"/>
      <c r="J3" s="119"/>
    </row>
    <row r="4" spans="1:10" s="62" customFormat="1" ht="12" customHeight="1" x14ac:dyDescent="0.2">
      <c r="A4" s="74" t="str">
        <f>"CU Name:      "&amp;IF(Cu_Name="","N/A",Cu_Name)</f>
        <v>CU Name:      N/A</v>
      </c>
      <c r="C4" s="67" t="s">
        <v>43</v>
      </c>
      <c r="D4" s="89" t="str">
        <f>IF(AssetRange="","N/A",AssetRange)</f>
        <v>N/A</v>
      </c>
      <c r="E4" s="75"/>
      <c r="F4" s="119"/>
      <c r="H4" s="119"/>
      <c r="J4" s="119"/>
    </row>
    <row r="5" spans="1:10" s="62" customFormat="1" ht="12" customHeight="1" x14ac:dyDescent="0.2">
      <c r="A5" s="74" t="str">
        <f>"Peer Group:      "&amp;IF(Peer_Group="","N/A",IF(Peer_Group="0","N/A",Peer_Group))</f>
        <v>Peer Group:      N/A</v>
      </c>
      <c r="B5" s="90"/>
      <c r="C5" s="67" t="s">
        <v>51</v>
      </c>
      <c r="D5" s="24" t="str">
        <f>IF(_xlnm.Criteria="","N/A",_xlnm.Criteria)</f>
        <v xml:space="preserve">Region: Nation * Peer Group: All * Types Included: All  Federally Insured Credit Unions  (FICUs) *  </v>
      </c>
      <c r="E5" s="23"/>
      <c r="F5" s="23"/>
      <c r="G5" s="23"/>
      <c r="H5" s="23"/>
      <c r="I5" s="23"/>
      <c r="J5" s="23"/>
    </row>
    <row r="6" spans="1:10" s="62" customFormat="1" ht="12" customHeight="1" x14ac:dyDescent="0.2">
      <c r="A6" s="74"/>
      <c r="B6" s="67"/>
      <c r="C6" s="67" t="s">
        <v>45</v>
      </c>
      <c r="D6" s="75" t="str">
        <f>IF(NoCu_in_Peer_Group="","N/A",NoCu_in_Peer_Group)</f>
        <v>N/A</v>
      </c>
      <c r="E6" s="75" t="str">
        <f>IF(CU_NUMBER&gt;0,"",IF(RetPop=0,"Retroactive Population",""))</f>
        <v/>
      </c>
      <c r="F6" s="119"/>
      <c r="H6" s="119"/>
      <c r="J6" s="119"/>
    </row>
    <row r="7" spans="1:10" s="62" customFormat="1" ht="12" customHeight="1" x14ac:dyDescent="0.2">
      <c r="A7" s="74"/>
      <c r="B7" s="90"/>
      <c r="C7" s="67"/>
      <c r="D7" s="280"/>
      <c r="E7" s="72"/>
      <c r="F7" s="72"/>
      <c r="G7" s="72"/>
      <c r="H7" s="72"/>
      <c r="I7" s="72"/>
      <c r="J7" s="72"/>
    </row>
    <row r="8" spans="1:10" x14ac:dyDescent="0.2">
      <c r="A8" s="153"/>
      <c r="B8" s="139">
        <f>(CycDat_C1)</f>
        <v>45565</v>
      </c>
      <c r="C8" s="139">
        <f>(CycDat_C2)</f>
        <v>45657</v>
      </c>
      <c r="D8" s="184" t="s">
        <v>52</v>
      </c>
      <c r="E8" s="139">
        <f>(CycDat_C3)</f>
        <v>45747</v>
      </c>
      <c r="F8" s="184" t="s">
        <v>52</v>
      </c>
      <c r="G8" s="139">
        <f>(CycDat_C4)</f>
        <v>45838</v>
      </c>
      <c r="H8" s="184" t="s">
        <v>52</v>
      </c>
      <c r="I8" s="139">
        <f>(CycDat_C5)</f>
        <v>45930</v>
      </c>
      <c r="J8" s="184" t="s">
        <v>52</v>
      </c>
    </row>
    <row r="9" spans="1:10" ht="13.5" customHeight="1" x14ac:dyDescent="0.2">
      <c r="A9" s="93" t="s">
        <v>991</v>
      </c>
      <c r="B9" s="70"/>
      <c r="C9" s="70"/>
      <c r="D9" s="184"/>
      <c r="E9" s="70"/>
      <c r="F9" s="184"/>
      <c r="G9" s="70"/>
      <c r="H9" s="184"/>
      <c r="I9" s="70"/>
      <c r="J9" s="184"/>
    </row>
    <row r="10" spans="1:10" ht="13.5" customHeight="1" x14ac:dyDescent="0.2">
      <c r="A10" s="124" t="s">
        <v>992</v>
      </c>
      <c r="B10" s="76"/>
      <c r="C10" s="76"/>
      <c r="D10" s="102"/>
      <c r="E10" s="76"/>
      <c r="F10" s="102"/>
      <c r="G10" s="76"/>
      <c r="H10" s="102"/>
      <c r="I10" s="76"/>
      <c r="J10" s="102"/>
    </row>
    <row r="11" spans="1:10" ht="12.75" customHeight="1" x14ac:dyDescent="0.2">
      <c r="A11" s="144" t="s">
        <v>993</v>
      </c>
      <c r="B11" s="164"/>
      <c r="C11" s="164"/>
      <c r="D11" s="102"/>
      <c r="E11" s="164"/>
      <c r="F11" s="102"/>
      <c r="G11" s="164"/>
      <c r="H11" s="102"/>
      <c r="I11" s="76"/>
      <c r="J11" s="102"/>
    </row>
    <row r="12" spans="1:10" ht="17.25" customHeight="1" x14ac:dyDescent="0.2">
      <c r="A12" s="124" t="s">
        <v>994</v>
      </c>
      <c r="B12" s="76" t="str" cm="1">
        <f t="array" ref="B12">IF(B8&lt;DATEVALUE("3/31/2025"),"N/A",ADT0001_C1)</f>
        <v>N/A</v>
      </c>
      <c r="C12" s="76" t="str" cm="1">
        <f t="array" ref="C12">IF(C8&lt;DATEVALUE("3/31/2025"),"N/A",ADT0001_C2)</f>
        <v>N/A</v>
      </c>
      <c r="D12" s="102" t="str">
        <f t="shared" ref="D12:D20" si="0">IF(C12="N/A", " ", IF(B12="N/A", " ",IF(AND(B12=0,C12=0,),"N/A",IF(ABS(B12)=0, "N/A", ((C12-B12)/ABS(B12))*100))))</f>
        <v xml:space="preserve"> </v>
      </c>
      <c r="E12" s="76" cm="1">
        <f t="array" ref="E12">IF(E8&lt;DATEVALUE("3/31/2025"),"N/A",ADT0001_C3)</f>
        <v>4317000000</v>
      </c>
      <c r="F12" s="102" t="str">
        <f t="shared" ref="F12:F20" si="1">IF(E12="N/A", " ", IF(C12="N/A", " ",IF(AND(C12=0,E12=0,),"N/A",IF(ABS(C12)=0, "N/A", ((E12-C12)/ABS(C12))*100))))</f>
        <v xml:space="preserve"> </v>
      </c>
      <c r="G12" s="76" cm="1">
        <f t="array" ref="G12">IF(G8&lt;DATEVALUE("3/31/2025"),"N/A",ADT0001_C4)</f>
        <v>4814500000</v>
      </c>
      <c r="H12" s="102">
        <f t="shared" ref="H12:H20" si="2">IF(G12="N/A", " ", IF(E12="N/A", " ",IF(AND(E12=0,G12=0,),"N/A",IF(ABS(E12)=0, "N/A", ((G12-E12)/ABS(E12))*100))))</f>
        <v>11.524206624971045</v>
      </c>
      <c r="I12" s="76" cm="1">
        <f t="array" ref="I12">IF(I8&lt;DATEVALUE("3/31/2025"),"N/A",ADT0001_C5)</f>
        <v>4954500000</v>
      </c>
      <c r="J12" s="102">
        <f t="shared" ref="J12:J20" si="3">IF(I12="N/A", " ", IF(G12="N/A", " ",IF(AND(G12=0,I12=0,),"N/A",IF(ABS(G12)=0, "N/A",((I12-G12)/ABS(G12))*100))))</f>
        <v>2.9078824384671305</v>
      </c>
    </row>
    <row r="13" spans="1:10" ht="13.15" customHeight="1" x14ac:dyDescent="0.2">
      <c r="A13" s="124" t="s">
        <v>995</v>
      </c>
      <c r="B13" s="76" t="str" cm="1">
        <f t="array" ref="B13">IF(B8&lt;DATEVALUE("3/31/2025"),"N/A",ADT0003_C1)</f>
        <v>N/A</v>
      </c>
      <c r="C13" s="76" t="str" cm="1">
        <f t="array" ref="C13">IF(C8&lt;DATEVALUE("3/31/2025"),"N/A",ADT0003_C2)</f>
        <v>N/A</v>
      </c>
      <c r="D13" s="102" t="str">
        <f t="shared" si="0"/>
        <v xml:space="preserve"> </v>
      </c>
      <c r="E13" s="76" cm="1">
        <f t="array" ref="E13">IF(E8&lt;DATEVALUE("3/31/2025"),"N/A",ADT0003_C3)</f>
        <v>0</v>
      </c>
      <c r="F13" s="102" t="str">
        <f t="shared" si="1"/>
        <v xml:space="preserve"> </v>
      </c>
      <c r="G13" s="76" cm="1">
        <f t="array" ref="G13">IF(G8&lt;DATEVALUE("3/31/2025"),"N/A",ADT0003_C4)</f>
        <v>0</v>
      </c>
      <c r="H13" s="102" t="str">
        <f t="shared" si="2"/>
        <v>N/A</v>
      </c>
      <c r="I13" s="76" cm="1">
        <f t="array" ref="I13">IF(I8&lt;DATEVALUE("3/31/2025"),"N/A",ADT0003_C5)</f>
        <v>0</v>
      </c>
      <c r="J13" s="102" t="str">
        <f t="shared" si="3"/>
        <v>N/A</v>
      </c>
    </row>
    <row r="14" spans="1:10" ht="13.15" customHeight="1" x14ac:dyDescent="0.2">
      <c r="A14" s="124" t="s">
        <v>996</v>
      </c>
      <c r="B14" s="76" t="str" cm="1">
        <f t="array" ref="B14">IF(B8&lt;DATEVALUE("3/31/2025"),"N/A",ADT0005_C1)</f>
        <v>N/A</v>
      </c>
      <c r="C14" s="76" t="str" cm="1">
        <f t="array" ref="C14">IF(C8&lt;DATEVALUE("3/31/2025"),"N/A",ADT0005_C2)</f>
        <v>N/A</v>
      </c>
      <c r="D14" s="102" t="str">
        <f t="shared" si="0"/>
        <v xml:space="preserve"> </v>
      </c>
      <c r="E14" s="76" cm="1">
        <f t="array" ref="E14">IF(E8&lt;DATEVALUE("3/31/2025"),"N/A",ADT0005_C3)</f>
        <v>44721762864</v>
      </c>
      <c r="F14" s="102" t="str">
        <f t="shared" si="1"/>
        <v xml:space="preserve"> </v>
      </c>
      <c r="G14" s="76" cm="1">
        <f t="array" ref="G14">IF(G8&lt;DATEVALUE("3/31/2025"),"N/A",ADT0005_C4)</f>
        <v>43614729291</v>
      </c>
      <c r="H14" s="102">
        <f t="shared" si="2"/>
        <v>-2.4753799986966452</v>
      </c>
      <c r="I14" s="76" cm="1">
        <f t="array" ref="I14">IF(I8&lt;DATEVALUE("3/31/2025"),"N/A",ADT0005_C5)</f>
        <v>43052749562</v>
      </c>
      <c r="J14" s="102">
        <f t="shared" si="3"/>
        <v>-1.2885090384269926</v>
      </c>
    </row>
    <row r="15" spans="1:10" ht="13.15" customHeight="1" x14ac:dyDescent="0.2">
      <c r="A15" s="124" t="s">
        <v>997</v>
      </c>
      <c r="B15" s="76" t="str" cm="1">
        <f t="array" ref="B15">IF(B8&lt;DATEVALUE("3/31/2025"),"N/A",ADT0007_C1)</f>
        <v>N/A</v>
      </c>
      <c r="C15" s="76" t="str" cm="1">
        <f t="array" ref="C15">IF(C8&lt;DATEVALUE("3/31/2025"),"N/A",ADT0007_C2)</f>
        <v>N/A</v>
      </c>
      <c r="D15" s="102" t="str">
        <f t="shared" si="0"/>
        <v xml:space="preserve"> </v>
      </c>
      <c r="E15" s="76" cm="1">
        <f t="array" ref="E15">IF(E8&lt;DATEVALUE("3/31/2025"),"N/A",ADT0007_C3)</f>
        <v>40800000</v>
      </c>
      <c r="F15" s="102" t="str">
        <f t="shared" si="1"/>
        <v xml:space="preserve"> </v>
      </c>
      <c r="G15" s="76" cm="1">
        <f t="array" ref="G15">IF(G8&lt;DATEVALUE("3/31/2025"),"N/A",ADT0007_C4)</f>
        <v>52200000</v>
      </c>
      <c r="H15" s="102">
        <f t="shared" si="2"/>
        <v>27.941176470588236</v>
      </c>
      <c r="I15" s="76" cm="1">
        <f t="array" ref="I15">IF(I8&lt;DATEVALUE("3/31/2025"),"N/A",ADT0007_C5)</f>
        <v>75600000</v>
      </c>
      <c r="J15" s="102">
        <f t="shared" si="3"/>
        <v>44.827586206896555</v>
      </c>
    </row>
    <row r="16" spans="1:10" ht="13.15" customHeight="1" x14ac:dyDescent="0.2">
      <c r="A16" s="144" t="s">
        <v>998</v>
      </c>
      <c r="B16" s="76" t="str" cm="1">
        <f t="array" ref="B16">IF(B8&lt;DATEVALUE("3/31/2025"),"N/A",ADT0009_C1)</f>
        <v>N/A</v>
      </c>
      <c r="C16" s="76" t="str" cm="1">
        <f t="array" ref="C16">IF(C8&lt;DATEVALUE("3/31/2025"),"N/A",ADT0009_C2)</f>
        <v>N/A</v>
      </c>
      <c r="D16" s="102" t="str">
        <f t="shared" si="0"/>
        <v xml:space="preserve"> </v>
      </c>
      <c r="E16" s="76" cm="1">
        <f t="array" ref="E16">IF(E8&lt;DATEVALUE("3/31/2025"),"N/A",ADT0009_C3)</f>
        <v>161268233</v>
      </c>
      <c r="F16" s="102" t="str">
        <f t="shared" si="1"/>
        <v xml:space="preserve"> </v>
      </c>
      <c r="G16" s="76" cm="1">
        <f t="array" ref="G16">IF(G8&lt;DATEVALUE("3/31/2025"),"N/A",ADT0009_C4)</f>
        <v>162386308</v>
      </c>
      <c r="H16" s="102">
        <f t="shared" si="2"/>
        <v>0.69330145137759391</v>
      </c>
      <c r="I16" s="76" cm="1">
        <f t="array" ref="I16">IF(I8&lt;DATEVALUE("3/31/2025"),"N/A",ADT0009_C5)</f>
        <v>155227506</v>
      </c>
      <c r="J16" s="102">
        <f t="shared" si="3"/>
        <v>-4.4085009925836856</v>
      </c>
    </row>
    <row r="17" spans="1:10" ht="13.15" customHeight="1" x14ac:dyDescent="0.2">
      <c r="A17" s="124" t="s">
        <v>999</v>
      </c>
      <c r="B17" s="76" t="str" cm="1">
        <f t="array" ref="B17">IF(B8&lt;DATEVALUE("3/31/2025"),"N/A",ADT0011_C1)</f>
        <v>N/A</v>
      </c>
      <c r="C17" s="76" t="str" cm="1">
        <f t="array" ref="C17">IF(C8&lt;DATEVALUE("3/31/2025"),"N/A",ADT0011_C2)</f>
        <v>N/A</v>
      </c>
      <c r="D17" s="102" t="str">
        <f t="shared" si="0"/>
        <v xml:space="preserve"> </v>
      </c>
      <c r="E17" s="76" cm="1">
        <f t="array" ref="E17">IF(E8&lt;DATEVALUE("3/31/2025"),"N/A",ADT0011_C3)</f>
        <v>5331434231</v>
      </c>
      <c r="F17" s="102" t="str">
        <f t="shared" si="1"/>
        <v xml:space="preserve"> </v>
      </c>
      <c r="G17" s="76" cm="1">
        <f t="array" ref="G17">IF(G8&lt;DATEVALUE("3/31/2025"),"N/A",ADT0011_C4)</f>
        <v>5427398609</v>
      </c>
      <c r="H17" s="102">
        <f t="shared" si="2"/>
        <v>1.7999730249321726</v>
      </c>
      <c r="I17" s="76" cm="1">
        <f t="array" ref="I17">IF(I8&lt;DATEVALUE("3/31/2025"),"N/A",ADT0011_C5)</f>
        <v>5741544385</v>
      </c>
      <c r="J17" s="102">
        <f t="shared" si="3"/>
        <v>5.7881463778810502</v>
      </c>
    </row>
    <row r="18" spans="1:10" ht="13.15" customHeight="1" x14ac:dyDescent="0.2">
      <c r="A18" s="124" t="s">
        <v>1000</v>
      </c>
      <c r="B18" s="76" t="str">
        <f>IF(B8&lt;DATEVALUE("3/31/2025"),"N/A",ADT0013_C1)</f>
        <v>N/A</v>
      </c>
      <c r="C18" s="76" t="str">
        <f>IF(C8&lt;DATEVALUE("3/31/2025"),"N/A",ADT0013_C2)</f>
        <v>N/A</v>
      </c>
      <c r="D18" s="102" t="str">
        <f t="shared" si="0"/>
        <v xml:space="preserve"> </v>
      </c>
      <c r="E18" s="76">
        <f>IF(E8&lt;DATEVALUE("3/31/2025"),"N/A",ADT0013_C3)</f>
        <v>0</v>
      </c>
      <c r="F18" s="102" t="str">
        <f t="shared" si="1"/>
        <v xml:space="preserve"> </v>
      </c>
      <c r="G18" s="76">
        <f>IF(G8&lt;DATEVALUE("3/31/2025"),"N/A",ADT0013_C4)</f>
        <v>0</v>
      </c>
      <c r="H18" s="102" t="str">
        <f t="shared" si="2"/>
        <v>N/A</v>
      </c>
      <c r="I18" s="76">
        <f>IF(I8&lt;DATEVALUE("3/31/2025"),"N/A",ADT0013_C5)</f>
        <v>0</v>
      </c>
      <c r="J18" s="102" t="str">
        <f t="shared" si="3"/>
        <v>N/A</v>
      </c>
    </row>
    <row r="19" spans="1:10" x14ac:dyDescent="0.2">
      <c r="A19" s="124" t="s">
        <v>1001</v>
      </c>
      <c r="B19" s="76" t="str" cm="1">
        <f t="array" ref="B19">IF(B8&lt;DATEVALUE("3/31/2025"),"N/A",ADT0015_C1)</f>
        <v>N/A</v>
      </c>
      <c r="C19" s="76" t="str" cm="1">
        <f t="array" ref="C19">IF(C8&lt;DATEVALUE("3/31/2025"),"N/A",ADT0015_C2)</f>
        <v>N/A</v>
      </c>
      <c r="D19" s="102" t="str">
        <f t="shared" si="0"/>
        <v xml:space="preserve"> </v>
      </c>
      <c r="E19" s="76" cm="1">
        <f t="array" ref="E19">IF(E8&lt;DATEVALUE("3/31/2025"),"N/A",ADT0015_C3)</f>
        <v>226025148</v>
      </c>
      <c r="F19" s="102" t="str">
        <f t="shared" si="1"/>
        <v xml:space="preserve"> </v>
      </c>
      <c r="G19" s="76" cm="1">
        <f t="array" ref="G19">IF(G8&lt;DATEVALUE("3/31/2025"),"N/A",ADT0015_C4)</f>
        <v>166610379</v>
      </c>
      <c r="H19" s="102">
        <f t="shared" si="2"/>
        <v>-26.286795750710006</v>
      </c>
      <c r="I19" s="76" cm="1">
        <f t="array" ref="I19">IF(I8&lt;DATEVALUE("3/31/2025"),"N/A",ADT0015_C5)</f>
        <v>269175594</v>
      </c>
      <c r="J19" s="102">
        <f t="shared" si="3"/>
        <v>61.559919385334325</v>
      </c>
    </row>
    <row r="20" spans="1:10" ht="13.15" customHeight="1" x14ac:dyDescent="0.2">
      <c r="A20" s="93" t="s">
        <v>1002</v>
      </c>
      <c r="B20" s="76">
        <f>IF(B8&lt;DATEVALUE("3/31/2014"),"N/A",A1030_C1)</f>
        <v>56322680587</v>
      </c>
      <c r="C20" s="76">
        <f>IF(C8&lt;DATEVALUE("3/31/2014"),"N/A",A1030_C2)</f>
        <v>56769594266</v>
      </c>
      <c r="D20" s="102">
        <f t="shared" si="0"/>
        <v>0.79348794187745642</v>
      </c>
      <c r="E20" s="76">
        <f>IF(E8&lt;DATEVALUE("3/31/2014"),"N/A",A1030_C3)</f>
        <v>54798290476</v>
      </c>
      <c r="F20" s="102">
        <f t="shared" si="1"/>
        <v>-3.4724641165537409</v>
      </c>
      <c r="G20" s="76">
        <f>IF(G8&lt;DATEVALUE("3/31/2014"),"N/A",A1030_C4)</f>
        <v>54237824587</v>
      </c>
      <c r="H20" s="102">
        <f t="shared" si="2"/>
        <v>-1.0227798789552882</v>
      </c>
      <c r="I20" s="76">
        <f>IF(I8&lt;DATEVALUE("3/31/2014"),"N/A",A1030_C5)</f>
        <v>54248797047</v>
      </c>
      <c r="J20" s="102">
        <f t="shared" si="3"/>
        <v>2.0230273030954003E-2</v>
      </c>
    </row>
    <row r="22" spans="1:10" ht="13.15" customHeight="1" x14ac:dyDescent="0.2">
      <c r="A22" s="124" t="s">
        <v>1003</v>
      </c>
      <c r="B22" s="76"/>
      <c r="C22" s="76"/>
      <c r="D22" s="102"/>
      <c r="E22" s="76"/>
      <c r="F22" s="102"/>
      <c r="G22" s="76"/>
      <c r="H22" s="102"/>
      <c r="I22" s="76"/>
      <c r="J22" s="102"/>
    </row>
    <row r="23" spans="1:10" ht="13.15" customHeight="1" x14ac:dyDescent="0.2">
      <c r="A23" s="124" t="s">
        <v>993</v>
      </c>
      <c r="B23" s="76"/>
      <c r="C23" s="76"/>
      <c r="D23" s="102"/>
      <c r="E23" s="76"/>
      <c r="F23" s="102"/>
      <c r="G23" s="76"/>
      <c r="H23" s="102"/>
      <c r="I23" s="76"/>
      <c r="J23" s="102"/>
    </row>
    <row r="24" spans="1:10" ht="13.15" customHeight="1" x14ac:dyDescent="0.2">
      <c r="A24" s="124" t="s">
        <v>994</v>
      </c>
      <c r="B24" s="76" t="str" cm="1">
        <f t="array" ref="B24">IF(B8&lt;DATEVALUE("3/31/2025"),"N/A",ADT0002_C1)</f>
        <v>N/A</v>
      </c>
      <c r="C24" s="76" t="str" cm="1">
        <f t="array" ref="C24">IF(C8&lt;DATEVALUE("3/31/2025"),"N/A",ADT0002_C2)</f>
        <v>N/A</v>
      </c>
      <c r="D24" s="102" t="str">
        <f t="shared" ref="D24:D32" si="4">IF(C24="N/A", " ", IF(B24="N/A", " ",IF(AND(B24=0,C24=0,),"N/A",IF(ABS(B24)=0, "N/A", ((C24-B24)/ABS(B24))*100))))</f>
        <v xml:space="preserve"> </v>
      </c>
      <c r="E24" s="76" cm="1">
        <f t="array" ref="E24">IF(E8&lt;DATEVALUE("3/31/2025"),"N/A",ADT0002_C3)</f>
        <v>25765336</v>
      </c>
      <c r="F24" s="102" t="str">
        <f t="shared" ref="F24:F32" si="5">IF(E24="N/A", " ", IF(C24="N/A", " ",IF(AND(C24=0,E24=0,),"N/A",IF(ABS(C24)=0, "N/A", ((E24-C24)/ABS(C24))*100))))</f>
        <v xml:space="preserve"> </v>
      </c>
      <c r="G24" s="76" cm="1">
        <f t="array" ref="G24">IF(G8&lt;DATEVALUE("3/31/2025"),"N/A",ADT0002_C4)</f>
        <v>29101496</v>
      </c>
      <c r="H24" s="102">
        <f t="shared" ref="H24:H32" si="6">IF(G24="N/A", " ", IF(E24="N/A", " ",IF(AND(E24=0,G24=0,),"N/A",IF(ABS(E24)=0, "N/A", ((G24-E24)/ABS(E24))*100))))</f>
        <v>12.948249539613998</v>
      </c>
      <c r="I24" s="76" cm="1">
        <f t="array" ref="I24">IF(I8&lt;DATEVALUE("3/31/2025"),"N/A",ADT0002_C5)</f>
        <v>19591202</v>
      </c>
      <c r="J24" s="102">
        <f t="shared" ref="J24:J32" si="7">IF(I24="N/A", " ", IF(G24="N/A", " ",IF(AND(G24=0,I24=0,),"N/A",IF(ABS(G24)=0, "N/A",((I24-G24)/ABS(G24))*100))))</f>
        <v>-32.679742649656227</v>
      </c>
    </row>
    <row r="25" spans="1:10" ht="13.15" customHeight="1" x14ac:dyDescent="0.2">
      <c r="A25" s="124" t="s">
        <v>995</v>
      </c>
      <c r="B25" s="76" t="str" cm="1">
        <f t="array" ref="B25">IF(B8&lt;DATEVALUE("3/31/2025"),"N/A",ADT0004_C1)</f>
        <v>N/A</v>
      </c>
      <c r="C25" s="76" t="str" cm="1">
        <f t="array" ref="C25">IF(C8&lt;DATEVALUE("3/31/2025"),"N/A",ADT0004_C2)</f>
        <v>N/A</v>
      </c>
      <c r="D25" s="102" t="str">
        <f t="shared" si="4"/>
        <v xml:space="preserve"> </v>
      </c>
      <c r="E25" s="76" cm="1">
        <f t="array" ref="E25">IF(E8&lt;DATEVALUE("3/31/2025"),"N/A",ADT0004_C3)</f>
        <v>0</v>
      </c>
      <c r="F25" s="102" t="str">
        <f t="shared" si="5"/>
        <v xml:space="preserve"> </v>
      </c>
      <c r="G25" s="76" cm="1">
        <f t="array" ref="G25">IF(G8&lt;DATEVALUE("3/31/2025"),"N/A",ADT0004_C4)</f>
        <v>0</v>
      </c>
      <c r="H25" s="102" t="str">
        <f t="shared" si="6"/>
        <v>N/A</v>
      </c>
      <c r="I25" s="76" cm="1">
        <f t="array" ref="I25">IF(I8&lt;DATEVALUE("3/31/2025"),"N/A",ADT0004_C5)</f>
        <v>0</v>
      </c>
      <c r="J25" s="102" t="str">
        <f t="shared" si="7"/>
        <v>N/A</v>
      </c>
    </row>
    <row r="26" spans="1:10" ht="13.15" customHeight="1" x14ac:dyDescent="0.2">
      <c r="A26" s="124" t="s">
        <v>996</v>
      </c>
      <c r="B26" s="76" t="str" cm="1">
        <f t="array" ref="B26">IF(B8&lt;DATEVALUE("3/31/2025"),"N/A",ADT0006_C1)</f>
        <v>N/A</v>
      </c>
      <c r="C26" s="76" t="str" cm="1">
        <f t="array" ref="C26">IF(C8&lt;DATEVALUE("3/31/2025"),"N/A",ADT0006_C2)</f>
        <v>N/A</v>
      </c>
      <c r="D26" s="102" t="str">
        <f t="shared" si="4"/>
        <v xml:space="preserve"> </v>
      </c>
      <c r="E26" s="76" cm="1">
        <f t="array" ref="E26">IF(E8&lt;DATEVALUE("3/31/2025"),"N/A",ADT0006_C3)</f>
        <v>303315003</v>
      </c>
      <c r="F26" s="102" t="str">
        <f t="shared" si="5"/>
        <v xml:space="preserve"> </v>
      </c>
      <c r="G26" s="76" cm="1">
        <f t="array" ref="G26">IF(G8&lt;DATEVALUE("3/31/2025"),"N/A",ADT0006_C4)</f>
        <v>58134184</v>
      </c>
      <c r="H26" s="102">
        <f t="shared" si="6"/>
        <v>-80.833726183996248</v>
      </c>
      <c r="I26" s="76" cm="1">
        <f t="array" ref="I26">IF(I8&lt;DATEVALUE("3/31/2025"),"N/A",ADT0006_C5)</f>
        <v>-4430540</v>
      </c>
      <c r="J26" s="102">
        <f t="shared" si="7"/>
        <v>-107.62123022144768</v>
      </c>
    </row>
    <row r="27" spans="1:10" ht="13.15" customHeight="1" x14ac:dyDescent="0.2">
      <c r="A27" s="124" t="s">
        <v>997</v>
      </c>
      <c r="B27" s="76" t="str" cm="1">
        <f t="array" ref="B27">IF(B8&lt;DATEVALUE("3/31/2025"),"N/A",ADT0008_C1)</f>
        <v>N/A</v>
      </c>
      <c r="C27" s="76" t="str" cm="1">
        <f t="array" ref="C27">IF(C8&lt;DATEVALUE("3/31/2025"),"N/A",ADT0008_C2)</f>
        <v>N/A</v>
      </c>
      <c r="D27" s="102" t="str">
        <f t="shared" si="4"/>
        <v xml:space="preserve"> </v>
      </c>
      <c r="E27" s="76" cm="1">
        <f t="array" ref="E27">IF(E8&lt;DATEVALUE("3/31/2025"),"N/A",ADT0008_C3)</f>
        <v>503274</v>
      </c>
      <c r="F27" s="102" t="str">
        <f t="shared" si="5"/>
        <v xml:space="preserve"> </v>
      </c>
      <c r="G27" s="76" cm="1">
        <f t="array" ref="G27">IF(G8&lt;DATEVALUE("3/31/2025"),"N/A",ADT0008_C4)</f>
        <v>868219</v>
      </c>
      <c r="H27" s="102">
        <f t="shared" si="6"/>
        <v>72.514177167904563</v>
      </c>
      <c r="I27" s="76" cm="1">
        <f t="array" ref="I27">IF(I8&lt;DATEVALUE("3/31/2025"),"N/A",ADT0008_C5)</f>
        <v>145527</v>
      </c>
      <c r="J27" s="102">
        <f t="shared" si="7"/>
        <v>-83.23844559955495</v>
      </c>
    </row>
    <row r="28" spans="1:10" ht="13.15" customHeight="1" x14ac:dyDescent="0.2">
      <c r="A28" s="144" t="s">
        <v>998</v>
      </c>
      <c r="B28" s="76" t="str" cm="1">
        <f t="array" ref="B28">IF(B8&lt;DATEVALUE("3/31/2025"),"N/A",ADT0010_C1)</f>
        <v>N/A</v>
      </c>
      <c r="C28" s="76" t="str" cm="1">
        <f t="array" ref="C28">IF(C8&lt;DATEVALUE("3/31/2025"),"N/A",ADT0010_C2)</f>
        <v>N/A</v>
      </c>
      <c r="D28" s="102" t="str">
        <f t="shared" si="4"/>
        <v xml:space="preserve"> </v>
      </c>
      <c r="E28" s="76" cm="1">
        <f t="array" ref="E28">IF(E8&lt;DATEVALUE("3/31/2025"),"N/A",ADT0010_C3)</f>
        <v>909551</v>
      </c>
      <c r="F28" s="102" t="str">
        <f t="shared" si="5"/>
        <v xml:space="preserve"> </v>
      </c>
      <c r="G28" s="76" cm="1">
        <f t="array" ref="G28">IF(G8&lt;DATEVALUE("3/31/2025"),"N/A",ADT0010_C4)</f>
        <v>1021250</v>
      </c>
      <c r="H28" s="102">
        <f t="shared" si="6"/>
        <v>12.280674750508767</v>
      </c>
      <c r="I28" s="76" cm="1">
        <f t="array" ref="I28">IF(I8&lt;DATEVALUE("3/31/2025"),"N/A",ADT0010_C5)</f>
        <v>903267</v>
      </c>
      <c r="J28" s="102">
        <f t="shared" si="7"/>
        <v>-11.5528029375765</v>
      </c>
    </row>
    <row r="29" spans="1:10" ht="13.15" customHeight="1" x14ac:dyDescent="0.2">
      <c r="A29" s="124" t="s">
        <v>999</v>
      </c>
      <c r="B29" s="76" t="str" cm="1">
        <f t="array" ref="B29">IF(B8&lt;DATEVALUE("3/31/2025"),"N/A",ADT0012_C1)</f>
        <v>N/A</v>
      </c>
      <c r="C29" s="76" t="str" cm="1">
        <f t="array" ref="C29">IF(C8&lt;DATEVALUE("3/31/2025"),"N/A",ADT0012_C2)</f>
        <v>N/A</v>
      </c>
      <c r="D29" s="102" t="str">
        <f t="shared" si="4"/>
        <v xml:space="preserve"> </v>
      </c>
      <c r="E29" s="76" cm="1">
        <f t="array" ref="E29">IF(E8&lt;DATEVALUE("3/31/2025"),"N/A",ADT0012_C3)</f>
        <v>33950738</v>
      </c>
      <c r="F29" s="102" t="str">
        <f t="shared" si="5"/>
        <v xml:space="preserve"> </v>
      </c>
      <c r="G29" s="76" cm="1">
        <f t="array" ref="G29">IF(G8&lt;DATEVALUE("3/31/2025"),"N/A",ADT0012_C4)</f>
        <v>27652764</v>
      </c>
      <c r="H29" s="102">
        <f t="shared" si="6"/>
        <v>-18.550330187225974</v>
      </c>
      <c r="I29" s="76" cm="1">
        <f t="array" ref="I29">IF(I8&lt;DATEVALUE("3/31/2025"),"N/A",ADT0012_C5)</f>
        <v>37287068</v>
      </c>
      <c r="J29" s="102">
        <f t="shared" si="7"/>
        <v>34.840292999282099</v>
      </c>
    </row>
    <row r="30" spans="1:10" s="83" customFormat="1" ht="13.15" customHeight="1" x14ac:dyDescent="0.2">
      <c r="A30" s="124" t="s">
        <v>1000</v>
      </c>
      <c r="B30" s="76" t="str" cm="1">
        <f t="array" ref="B30">IF(B8&lt;DATEVALUE("3/31/2025"),"N/A",ADT0014_C1)</f>
        <v>N/A</v>
      </c>
      <c r="C30" s="76" t="str" cm="1">
        <f t="array" ref="C30">IF(C8&lt;DATEVALUE("3/31/2025"),"N/A",ADT0014_C2)</f>
        <v>N/A</v>
      </c>
      <c r="D30" s="102" t="str">
        <f t="shared" si="4"/>
        <v xml:space="preserve"> </v>
      </c>
      <c r="E30" s="76" cm="1">
        <f t="array" ref="E30">IF(E8&lt;DATEVALUE("3/31/2025"),"N/A",ADT0014_C3)</f>
        <v>0</v>
      </c>
      <c r="F30" s="102" t="str">
        <f t="shared" si="5"/>
        <v xml:space="preserve"> </v>
      </c>
      <c r="G30" s="76" cm="1">
        <f t="array" ref="G30">IF(G8&lt;DATEVALUE("3/31/2025"),"N/A",ADT0014_C4)</f>
        <v>0</v>
      </c>
      <c r="H30" s="102" t="str">
        <f t="shared" si="6"/>
        <v>N/A</v>
      </c>
      <c r="I30" s="76" cm="1">
        <f t="array" ref="I30">IF(I8&lt;DATEVALUE("3/31/2025"),"N/A",ADT0014_C5)</f>
        <v>0</v>
      </c>
      <c r="J30" s="102" t="str">
        <f t="shared" si="7"/>
        <v>N/A</v>
      </c>
    </row>
    <row r="31" spans="1:10" ht="13.15" customHeight="1" x14ac:dyDescent="0.2">
      <c r="A31" s="124" t="s">
        <v>1001</v>
      </c>
      <c r="B31" s="76" t="str" cm="1">
        <f t="array" ref="B31">IF(B8&lt;DATEVALUE("3/31/2025"),"N/A",ADT0016_C1)</f>
        <v>N/A</v>
      </c>
      <c r="C31" s="76" t="str" cm="1">
        <f t="array" ref="C31">IF(C8&lt;DATEVALUE("3/31/2025"),"N/A",ADT0016_C2)</f>
        <v>N/A</v>
      </c>
      <c r="D31" s="102" t="str">
        <f t="shared" si="4"/>
        <v xml:space="preserve"> </v>
      </c>
      <c r="E31" s="76" cm="1">
        <f t="array" ref="E31">IF(E8&lt;DATEVALUE("3/31/2025"),"N/A",ADT0016_C3)</f>
        <v>1396296</v>
      </c>
      <c r="F31" s="102" t="str">
        <f t="shared" si="5"/>
        <v xml:space="preserve"> </v>
      </c>
      <c r="G31" s="76" cm="1">
        <f t="array" ref="G31">IF(G8&lt;DATEVALUE("3/31/2025"),"N/A",ADT0016_C4)</f>
        <v>1632093</v>
      </c>
      <c r="H31" s="102">
        <f t="shared" si="6"/>
        <v>16.887321885903848</v>
      </c>
      <c r="I31" s="76" cm="1">
        <f t="array" ref="I31">IF(I8&lt;DATEVALUE("3/31/2025"),"N/A",ADT0016_C5)</f>
        <v>2464057</v>
      </c>
      <c r="J31" s="102">
        <f t="shared" si="7"/>
        <v>50.975281433104612</v>
      </c>
    </row>
    <row r="32" spans="1:10" ht="13.15" customHeight="1" x14ac:dyDescent="0.2">
      <c r="A32" s="93" t="s">
        <v>1004</v>
      </c>
      <c r="B32" s="76">
        <f>IF(B8&lt;DATEVALUE("3/31/2014"),"N/A",A1030C_C1)</f>
        <v>80770125</v>
      </c>
      <c r="C32" s="76">
        <f>IF(C8&lt;DATEVALUE("3/31/2014"),"N/A",A1030C_C2)</f>
        <v>800158234</v>
      </c>
      <c r="D32" s="102">
        <f t="shared" si="4"/>
        <v>890.66113120414252</v>
      </c>
      <c r="E32" s="76">
        <f>IF(E8&lt;DATEVALUE("3/31/2014"),"N/A",A1030C_C3)</f>
        <v>365840198</v>
      </c>
      <c r="F32" s="102">
        <f t="shared" si="5"/>
        <v>-54.279018517229929</v>
      </c>
      <c r="G32" s="76">
        <f>IF(G8&lt;DATEVALUE("3/31/2014"),"N/A",A1030C_C4)</f>
        <v>118410006</v>
      </c>
      <c r="H32" s="102">
        <f t="shared" si="6"/>
        <v>-67.633407524014075</v>
      </c>
      <c r="I32" s="76">
        <f>IF(I8&lt;DATEVALUE("3/31/2014"),"N/A",A1030C_C5)</f>
        <v>55960581</v>
      </c>
      <c r="J32" s="102">
        <f t="shared" si="7"/>
        <v>-52.739989726881696</v>
      </c>
    </row>
    <row r="33" spans="1:10" ht="13.15" customHeight="1" x14ac:dyDescent="0.2">
      <c r="A33" s="178" t="s">
        <v>86</v>
      </c>
      <c r="B33" s="175"/>
      <c r="C33" s="175"/>
      <c r="D33" s="212"/>
      <c r="E33" s="175"/>
      <c r="F33" s="212"/>
      <c r="G33" s="175"/>
      <c r="H33" s="212"/>
      <c r="I33" s="268" t="s">
        <v>1005</v>
      </c>
      <c r="J33" s="268"/>
    </row>
    <row r="34" spans="1:10" x14ac:dyDescent="0.2">
      <c r="A34" s="81"/>
      <c r="B34" s="107"/>
      <c r="C34" s="107"/>
      <c r="D34" s="188"/>
      <c r="E34" s="107"/>
      <c r="F34" s="188"/>
      <c r="G34" s="107"/>
      <c r="H34" s="188"/>
      <c r="I34" s="107"/>
      <c r="J34" s="188"/>
    </row>
    <row r="35" spans="1:10" x14ac:dyDescent="0.2">
      <c r="A35" s="107"/>
      <c r="B35" s="107"/>
      <c r="C35" s="171"/>
      <c r="D35" s="171"/>
      <c r="E35" s="171"/>
      <c r="F35" s="188"/>
      <c r="G35" s="107"/>
      <c r="H35" s="188"/>
      <c r="J35" s="104"/>
    </row>
    <row r="36" spans="1:10" x14ac:dyDescent="0.2">
      <c r="B36" s="30"/>
      <c r="C36" s="30"/>
      <c r="D36" s="54"/>
      <c r="E36" s="30"/>
      <c r="F36" s="54"/>
      <c r="G36" s="30"/>
      <c r="H36" s="54"/>
      <c r="I36" s="30"/>
      <c r="J36" s="54"/>
    </row>
    <row r="37" spans="1:10" x14ac:dyDescent="0.2">
      <c r="C37" s="32"/>
      <c r="D37" s="55"/>
      <c r="E37" s="32"/>
    </row>
    <row r="42" spans="1:10" x14ac:dyDescent="0.2">
      <c r="A42" s="29"/>
    </row>
    <row r="43" spans="1:10" x14ac:dyDescent="0.2">
      <c r="A43" s="29"/>
    </row>
  </sheetData>
  <mergeCells count="1">
    <mergeCell ref="D5:J5"/>
  </mergeCells>
  <hyperlinks>
    <hyperlink ref="A2" location="'Cover Page'!A1" display="Return to cover" xr:uid="{00000000-0004-0000-1B00-000000000000}"/>
  </hyperlinks>
  <printOptions horizontalCentered="1" verticalCentered="1" gridLines="1"/>
  <pageMargins left="0.75" right="0.75" top="0.5" bottom="0.5" header="0.5" footer="0.5"/>
  <pageSetup orientation="landscape"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13">
    <pageSetUpPr fitToPage="1"/>
  </sheetPr>
  <dimension ref="A1:J43"/>
  <sheetViews>
    <sheetView workbookViewId="0"/>
  </sheetViews>
  <sheetFormatPr defaultRowHeight="12.75" x14ac:dyDescent="0.2"/>
  <cols>
    <col min="1" max="1" width="55.7109375" style="30" customWidth="1"/>
    <col min="2" max="3" width="16.7109375" customWidth="1"/>
    <col min="4" max="4" width="6.7109375" style="57" customWidth="1"/>
    <col min="5" max="5" width="16.7109375" customWidth="1"/>
    <col min="6" max="6" width="6.7109375" style="57" customWidth="1"/>
    <col min="7" max="7" width="16.7109375" customWidth="1"/>
    <col min="8" max="8" width="6.7109375" style="57" customWidth="1"/>
    <col min="9" max="9" width="16.7109375" customWidth="1"/>
    <col min="10" max="10" width="6.7109375" style="57" customWidth="1"/>
    <col min="11" max="12" width="9.140625" customWidth="1"/>
    <col min="13" max="13" width="14.7109375" customWidth="1"/>
  </cols>
  <sheetData>
    <row r="1" spans="1:10" s="62" customFormat="1" ht="12" customHeight="1" x14ac:dyDescent="0.2">
      <c r="A1" s="88"/>
      <c r="C1" s="85" t="s">
        <v>1006</v>
      </c>
      <c r="D1" s="118"/>
      <c r="F1" s="119"/>
      <c r="H1" s="119"/>
      <c r="J1" s="119"/>
    </row>
    <row r="2" spans="1:10" s="62" customFormat="1" x14ac:dyDescent="0.2">
      <c r="A2" s="60" t="s">
        <v>49</v>
      </c>
      <c r="C2" s="67" t="s">
        <v>50</v>
      </c>
      <c r="D2" s="87" t="str">
        <f>IF(CU_NUMBER="","N/A",CU_NUMBER)</f>
        <v>N/A</v>
      </c>
      <c r="E2" s="120"/>
      <c r="F2" s="119"/>
      <c r="H2" s="119"/>
      <c r="J2" s="119"/>
    </row>
    <row r="3" spans="1:10" s="62" customFormat="1" ht="12" customHeight="1" x14ac:dyDescent="0.2">
      <c r="A3" s="121" t="str">
        <f>IF(Request_Date=0,"N/A",Request_Date)</f>
        <v>12/05/2025</v>
      </c>
      <c r="C3" s="67" t="s">
        <v>42</v>
      </c>
      <c r="D3" s="75">
        <f>IF(CountCu_C5=0,"N/A",CountCu_C5)</f>
        <v>4331</v>
      </c>
      <c r="E3" s="120"/>
      <c r="F3" s="119"/>
      <c r="H3" s="119"/>
      <c r="J3" s="119"/>
    </row>
    <row r="4" spans="1:10" s="62" customFormat="1" ht="12" customHeight="1" x14ac:dyDescent="0.2">
      <c r="A4" s="74" t="str">
        <f>"CU Name:      "&amp;IF(Cu_Name="","N/A",Cu_Name)</f>
        <v>CU Name:      N/A</v>
      </c>
      <c r="C4" s="67" t="s">
        <v>43</v>
      </c>
      <c r="D4" s="89" t="str">
        <f>IF(AssetRange="","N/A",AssetRange)</f>
        <v>N/A</v>
      </c>
      <c r="E4" s="75"/>
      <c r="F4" s="119"/>
      <c r="H4" s="119"/>
      <c r="J4" s="119"/>
    </row>
    <row r="5" spans="1:10" s="62" customFormat="1" ht="12" customHeight="1" x14ac:dyDescent="0.2">
      <c r="A5" s="74" t="str">
        <f>"Peer Group:      "&amp;IF(Peer_Group="","N/A",IF(Peer_Group="0","N/A",Peer_Group))</f>
        <v>Peer Group:      N/A</v>
      </c>
      <c r="B5" s="90"/>
      <c r="C5" s="67" t="s">
        <v>51</v>
      </c>
      <c r="D5" s="24" t="str">
        <f>IF(_xlnm.Criteria="","N/A",_xlnm.Criteria)</f>
        <v xml:space="preserve">Region: Nation * Peer Group: All * Types Included: All  Federally Insured Credit Unions  (FICUs) *  </v>
      </c>
      <c r="E5" s="23"/>
      <c r="F5" s="23"/>
      <c r="G5" s="23"/>
      <c r="H5" s="23"/>
      <c r="I5" s="23"/>
      <c r="J5" s="23"/>
    </row>
    <row r="6" spans="1:10" s="62" customFormat="1" ht="12.75" customHeight="1" x14ac:dyDescent="0.2">
      <c r="A6" s="74"/>
      <c r="B6" s="67"/>
      <c r="C6" s="67" t="s">
        <v>45</v>
      </c>
      <c r="D6" s="75" t="str">
        <f>IF(NoCu_in_Peer_Group="","N/A",NoCu_in_Peer_Group)</f>
        <v>N/A</v>
      </c>
      <c r="E6" s="92" t="str">
        <f>IF(CU_NUMBER&gt;0,"",IF(RetPop=0,"Retroactive Population",""))</f>
        <v/>
      </c>
      <c r="F6" s="119"/>
      <c r="H6" s="119"/>
      <c r="J6" s="119"/>
    </row>
    <row r="7" spans="1:10" ht="12.75" customHeight="1" x14ac:dyDescent="0.2">
      <c r="A7" s="29"/>
      <c r="E7" s="58"/>
      <c r="F7" s="54"/>
      <c r="G7" s="30"/>
      <c r="H7" s="54"/>
      <c r="I7" s="30"/>
      <c r="J7" s="54"/>
    </row>
    <row r="8" spans="1:10" x14ac:dyDescent="0.2">
      <c r="A8" s="153"/>
      <c r="B8" s="139">
        <f>(CycDat_C1)</f>
        <v>45565</v>
      </c>
      <c r="C8" s="139">
        <f>(CycDat_C2)</f>
        <v>45657</v>
      </c>
      <c r="D8" s="184" t="s">
        <v>52</v>
      </c>
      <c r="E8" s="139">
        <f>(CycDat_C3)</f>
        <v>45747</v>
      </c>
      <c r="F8" s="184" t="s">
        <v>52</v>
      </c>
      <c r="G8" s="139">
        <f>(CycDat_C4)</f>
        <v>45838</v>
      </c>
      <c r="H8" s="184" t="s">
        <v>52</v>
      </c>
      <c r="I8" s="139">
        <f>(CycDat_C5)</f>
        <v>45930</v>
      </c>
      <c r="J8" s="184" t="s">
        <v>52</v>
      </c>
    </row>
    <row r="9" spans="1:10" ht="26.45" customHeight="1" x14ac:dyDescent="0.2">
      <c r="A9" s="93" t="s">
        <v>1007</v>
      </c>
      <c r="B9" s="70"/>
      <c r="C9" s="70"/>
      <c r="D9" s="184"/>
      <c r="E9" s="70"/>
      <c r="F9" s="184"/>
      <c r="G9" s="70"/>
      <c r="H9" s="184"/>
      <c r="I9" s="70"/>
      <c r="J9" s="184"/>
    </row>
    <row r="10" spans="1:10" ht="13.15" customHeight="1" x14ac:dyDescent="0.2">
      <c r="A10" s="124" t="s">
        <v>1008</v>
      </c>
      <c r="B10" s="76">
        <f>A814K_C1</f>
        <v>13562104207</v>
      </c>
      <c r="C10" s="76">
        <f>A814K_C2</f>
        <v>13613379719</v>
      </c>
      <c r="D10" s="102">
        <f>IF(C10="N/A", " ", IF(B10="N/A", " ",IF(AND(B10=0,C10=0,),"N/A",IF(ABS(B10)=0, "N/A", ((C10-B10)/ABS(B10))*100))))</f>
        <v>0.37807932469309924</v>
      </c>
      <c r="E10" s="76">
        <f>A814K_C3</f>
        <v>13739928276</v>
      </c>
      <c r="F10" s="102">
        <f>IF(E10="N/A", " ", IF(C10="N/A", " ",IF(AND(C10=0,E10=0,),"N/A",IF(ABS(C10)=0, "N/A", ((E10-C10)/ABS(C10))*100))))</f>
        <v>0.9295895627107057</v>
      </c>
      <c r="G10" s="76">
        <f>A814K_C4</f>
        <v>14146850265</v>
      </c>
      <c r="H10" s="102">
        <f>IF(G10="N/A", " ", IF(E10="N/A", " ",IF(AND(E10=0,G10=0,),"N/A",IF(ABS(E10)=0, "N/A", ((G10-E10)/ABS(E10))*100))))</f>
        <v>2.9616019882053131</v>
      </c>
      <c r="I10" s="76">
        <f>A814K_C5</f>
        <v>13869495298</v>
      </c>
      <c r="J10" s="102">
        <f>IF(I10="N/A", " ", IF(G10="N/A", " ",IF(AND(G10=0,I10=0,),"N/A",IF(ABS(G10)=0, "N/A",((I10-G10)/ABS(G10))*100))))</f>
        <v>-1.9605421829210263</v>
      </c>
    </row>
    <row r="11" spans="1:10" ht="26.45" customHeight="1" x14ac:dyDescent="0.2">
      <c r="A11" s="153" t="s">
        <v>1009</v>
      </c>
      <c r="B11" s="164"/>
      <c r="C11" s="164"/>
      <c r="D11" s="102"/>
      <c r="E11" s="164"/>
      <c r="F11" s="102"/>
      <c r="G11" s="164"/>
      <c r="H11" s="102"/>
      <c r="I11" s="76"/>
      <c r="J11" s="102"/>
    </row>
    <row r="12" spans="1:10" ht="25.15" customHeight="1" x14ac:dyDescent="0.2">
      <c r="A12" s="124" t="s">
        <v>1010</v>
      </c>
      <c r="B12" s="76">
        <f>A811D_C1</f>
        <v>123036280547</v>
      </c>
      <c r="C12" s="76">
        <f>A811D_C2</f>
        <v>125099446932</v>
      </c>
      <c r="D12" s="102">
        <f t="shared" ref="D12:D18" si="0">IF(C12="N/A", " ", IF(B12="N/A", " ",IF(AND(B12=0,C12=0,),"N/A",IF(ABS(B12)=0, "N/A", ((C12-B12)/ABS(B12))*100))))</f>
        <v>1.676876426877898</v>
      </c>
      <c r="E12" s="76">
        <f>A811D_C3</f>
        <v>128490103550</v>
      </c>
      <c r="F12" s="102">
        <f t="shared" ref="F12:F18" si="1">IF(E12="N/A", " ", IF(C12="N/A", " ",IF(AND(C12=0,E12=0,),"N/A",IF(ABS(C12)=0, "N/A", ((E12-C12)/ABS(C12))*100))))</f>
        <v>2.7103689913537754</v>
      </c>
      <c r="G12" s="76">
        <f>A811D_C4</f>
        <v>132242457553</v>
      </c>
      <c r="H12" s="102">
        <f t="shared" ref="H12:H18" si="2">IF(G12="N/A", " ", IF(E12="N/A", " ",IF(AND(E12=0,G12=0,),"N/A",IF(ABS(E12)=0, "N/A", ((G12-E12)/ABS(E12))*100))))</f>
        <v>2.9203447575554544</v>
      </c>
      <c r="I12" s="76">
        <f>A811D_C5</f>
        <v>135233409804</v>
      </c>
      <c r="J12" s="102">
        <f t="shared" ref="J12:J18" si="3">IF(I12="N/A", " ", IF(G12="N/A", " ",IF(AND(G12=0,I12=0,),"N/A",IF(ABS(G12)=0, "N/A",((I12-G12)/ABS(G12))*100))))</f>
        <v>2.2617185935169792</v>
      </c>
    </row>
    <row r="13" spans="1:10" ht="13.15" customHeight="1" x14ac:dyDescent="0.2">
      <c r="A13" s="124" t="s">
        <v>1011</v>
      </c>
      <c r="B13" s="76">
        <f>A812C_C1</f>
        <v>205602280796</v>
      </c>
      <c r="C13" s="76">
        <f>A812C_C2</f>
        <v>207127727881</v>
      </c>
      <c r="D13" s="102">
        <f t="shared" si="0"/>
        <v>0.74194074068349414</v>
      </c>
      <c r="E13" s="76">
        <f>A812C_C3</f>
        <v>212801597228</v>
      </c>
      <c r="F13" s="102">
        <f t="shared" si="1"/>
        <v>2.7393094131075384</v>
      </c>
      <c r="G13" s="76">
        <f>A812C_C4</f>
        <v>214941003157</v>
      </c>
      <c r="H13" s="102">
        <f t="shared" si="2"/>
        <v>1.0053523830969167</v>
      </c>
      <c r="I13" s="76">
        <f>A812C_C5</f>
        <v>217371779003</v>
      </c>
      <c r="J13" s="102">
        <f t="shared" si="3"/>
        <v>1.1309037411649565</v>
      </c>
    </row>
    <row r="14" spans="1:10" ht="13.15" customHeight="1" x14ac:dyDescent="0.2">
      <c r="A14" s="124" t="s">
        <v>1012</v>
      </c>
      <c r="B14" s="76">
        <f>A815C_C1</f>
        <v>13543931713</v>
      </c>
      <c r="C14" s="76">
        <f>A815C_C2</f>
        <v>13441441110</v>
      </c>
      <c r="D14" s="102">
        <f t="shared" si="0"/>
        <v>-0.7567271097625623</v>
      </c>
      <c r="E14" s="76">
        <f>A815C_C3</f>
        <v>13592123313</v>
      </c>
      <c r="F14" s="102">
        <f t="shared" si="1"/>
        <v>1.1210271411143355</v>
      </c>
      <c r="G14" s="76">
        <f>A815C_C4</f>
        <v>13571396327</v>
      </c>
      <c r="H14" s="102">
        <f t="shared" si="2"/>
        <v>-0.15249262769839617</v>
      </c>
      <c r="I14" s="76">
        <f>A815C_C5</f>
        <v>13455924680</v>
      </c>
      <c r="J14" s="102">
        <f t="shared" si="3"/>
        <v>-0.85084573626570503</v>
      </c>
    </row>
    <row r="15" spans="1:10" ht="13.15" customHeight="1" x14ac:dyDescent="0.2">
      <c r="A15" s="124" t="s">
        <v>1013</v>
      </c>
      <c r="B15" s="76">
        <f>A822C_C1</f>
        <v>28679755746</v>
      </c>
      <c r="C15" s="76">
        <f>A822C_C2</f>
        <v>29017079616</v>
      </c>
      <c r="D15" s="102">
        <f t="shared" si="0"/>
        <v>1.1761741382579487</v>
      </c>
      <c r="E15" s="76">
        <f>A822C_C3</f>
        <v>29656036920</v>
      </c>
      <c r="F15" s="102">
        <f t="shared" si="1"/>
        <v>2.2020041729067708</v>
      </c>
      <c r="G15" s="76">
        <f>A822C_C4</f>
        <v>30217279743</v>
      </c>
      <c r="H15" s="102">
        <f t="shared" si="2"/>
        <v>1.8925078374902427</v>
      </c>
      <c r="I15" s="76">
        <f>A822C_C5</f>
        <v>30511545437</v>
      </c>
      <c r="J15" s="102">
        <f t="shared" si="3"/>
        <v>0.97383251074467836</v>
      </c>
    </row>
    <row r="16" spans="1:10" ht="13.15" customHeight="1" x14ac:dyDescent="0.2">
      <c r="A16" s="144" t="s">
        <v>1014</v>
      </c>
      <c r="B16" s="76">
        <f>IF(B8&lt;=DATEVALUE("12/31/2021"),A816B5_C1+A811E_C1+A811B5_C1+A811C5_C1,A816B5_C1)</f>
        <v>12964896757</v>
      </c>
      <c r="C16" s="76">
        <f>IF(C8&lt;=DATEVALUE("12/31/2021"),A816B5_C2+A811E_C2+A811B5_C2+A811C5_C2,A816B5_C2)</f>
        <v>12414550237</v>
      </c>
      <c r="D16" s="102">
        <f t="shared" si="0"/>
        <v>-4.2448970502048713</v>
      </c>
      <c r="E16" s="76">
        <f>IF(E8&lt;=DATEVALUE("12/31/2021"),A816B5_C3+A811E_C3+A811B5_C3+A811C5_C3,A816B5_C3)</f>
        <v>12489434670</v>
      </c>
      <c r="F16" s="102">
        <f t="shared" si="1"/>
        <v>0.60319892038308731</v>
      </c>
      <c r="G16" s="76">
        <f>IF(G8&lt;=DATEVALUE("12/31/2021"),A816B5_C4+A811E_C4+A811B5_C4+A811C5_C4,A816B5_C4)</f>
        <v>13288413781</v>
      </c>
      <c r="H16" s="102">
        <f t="shared" si="2"/>
        <v>6.3972400041386335</v>
      </c>
      <c r="I16" s="76">
        <f>IF(I8&lt;=DATEVALUE("12/31/2021"),A816B5_C5+A811E_C5+A811B5_C5+A811C5_C5,A816B5_C5)</f>
        <v>13840582155</v>
      </c>
      <c r="J16" s="102">
        <f t="shared" si="3"/>
        <v>4.1552617422968856</v>
      </c>
    </row>
    <row r="17" spans="1:10" ht="13.15" customHeight="1" x14ac:dyDescent="0.2">
      <c r="A17" s="93" t="s">
        <v>1015</v>
      </c>
      <c r="B17" s="76">
        <f>A816T_C1</f>
        <v>383827145559</v>
      </c>
      <c r="C17" s="76">
        <f>A816T_C2</f>
        <v>387100245776</v>
      </c>
      <c r="D17" s="102">
        <f t="shared" si="0"/>
        <v>0.85275370824361763</v>
      </c>
      <c r="E17" s="76">
        <f>A816T_C3</f>
        <v>397029295681</v>
      </c>
      <c r="F17" s="102">
        <f t="shared" si="1"/>
        <v>2.5649815553838629</v>
      </c>
      <c r="G17" s="76">
        <f>A816T_C4</f>
        <v>404260550561</v>
      </c>
      <c r="H17" s="102">
        <f t="shared" si="2"/>
        <v>1.8213403793280978</v>
      </c>
      <c r="I17" s="76">
        <f>A816T_C5</f>
        <v>410413241079</v>
      </c>
      <c r="J17" s="102">
        <f t="shared" si="3"/>
        <v>1.5219616431684455</v>
      </c>
    </row>
    <row r="18" spans="1:10" ht="13.15" customHeight="1" x14ac:dyDescent="0.2">
      <c r="A18" s="93" t="s">
        <v>1016</v>
      </c>
      <c r="B18" s="293">
        <f>A816A_C1</f>
        <v>397389249766</v>
      </c>
      <c r="C18" s="76">
        <f>A816A_C2</f>
        <v>400713625495</v>
      </c>
      <c r="D18" s="102">
        <f t="shared" si="0"/>
        <v>0.83655401623409198</v>
      </c>
      <c r="E18" s="76">
        <f>A816A_C3</f>
        <v>410769223957</v>
      </c>
      <c r="F18" s="102">
        <f t="shared" si="1"/>
        <v>2.5094226455560023</v>
      </c>
      <c r="G18" s="76">
        <f>A816A_C4</f>
        <v>418407400826</v>
      </c>
      <c r="H18" s="102">
        <f t="shared" si="2"/>
        <v>1.8594812910812366</v>
      </c>
      <c r="I18" s="76">
        <f>A816A_C5</f>
        <v>424282736377</v>
      </c>
      <c r="J18" s="102">
        <f t="shared" si="3"/>
        <v>1.4042140601244604</v>
      </c>
    </row>
    <row r="19" spans="1:10" s="34" customFormat="1" ht="13.15" customHeight="1" x14ac:dyDescent="0.2">
      <c r="A19" s="93" t="s">
        <v>1017</v>
      </c>
      <c r="B19" s="192"/>
      <c r="C19" s="192"/>
      <c r="D19" s="102"/>
      <c r="E19" s="192"/>
      <c r="F19" s="102"/>
      <c r="G19" s="192"/>
      <c r="H19" s="102"/>
      <c r="I19" s="192"/>
      <c r="J19" s="102"/>
    </row>
    <row r="20" spans="1:10" ht="24" customHeight="1" x14ac:dyDescent="0.2">
      <c r="A20" s="124" t="s">
        <v>1018</v>
      </c>
      <c r="B20" s="76">
        <f>IF(B8&lt;DATEVALUE("3/31/2022"),"N/A",ALQ0013_C1)</f>
        <v>199761652050</v>
      </c>
      <c r="C20" s="76">
        <f>IF(C8&lt;DATEVALUE("3/31/2022"),"N/A",ALQ0013_C2)</f>
        <v>202964329145</v>
      </c>
      <c r="D20" s="102">
        <f t="shared" ref="D20:D32" si="4">IF(C20="N/A", " ", IF(B20="N/A", " ",IF(AND(B20=0,C20=0,),"N/A",IF(ABS(B20)=0, "N/A", ((C20-B20)/ABS(B20))*100))))</f>
        <v>1.6032492033047341</v>
      </c>
      <c r="E20" s="76">
        <f>IF(E8&lt;DATEVALUE("3/31/2022"),"N/A",ALQ0013_C3)</f>
        <v>209893521981</v>
      </c>
      <c r="F20" s="102">
        <f t="shared" ref="F20:F32" si="5">IF(E20="N/A", " ", IF(C20="N/A", " ",IF(AND(C20=0,E20=0,),"N/A",IF(ABS(C20)=0, "N/A", ((E20-C20)/ABS(C20))*100))))</f>
        <v>3.4139953878544378</v>
      </c>
      <c r="G20" s="76">
        <f>IF(G8&lt;DATEVALUE("3/31/2022"),"N/A",ALQ0013_C4)</f>
        <v>213853841482</v>
      </c>
      <c r="H20" s="102">
        <f t="shared" ref="H20:H32" si="6">IF(G20="N/A", " ", IF(E20="N/A", " ",IF(AND(E20=0,G20=0,),"N/A",IF(ABS(E20)=0, "N/A", ((G20-E20)/ABS(E20))*100))))</f>
        <v>1.8868231204193602</v>
      </c>
      <c r="I20" s="76">
        <f>IF(I8&lt;DATEVALUE("3/31/2022"),"N/A",ALQ0013_C5)</f>
        <v>216249345703</v>
      </c>
      <c r="J20" s="102">
        <f t="shared" ref="J20:J32" si="7">IF(I20="N/A", " ", IF(G20="N/A", " ",IF(AND(G20=0,I20=0,),"N/A",IF(ABS(G20)=0, "N/A",((I20-G20)/ABS(G20))*100))))</f>
        <v>1.120159546538531</v>
      </c>
    </row>
    <row r="21" spans="1:10" ht="13.15" customHeight="1" x14ac:dyDescent="0.2">
      <c r="A21" s="124" t="s">
        <v>1019</v>
      </c>
      <c r="B21" s="76">
        <f>IF(B8&lt;DATEVALUE("3/31/2022"),"N/A",ALQ0017_C1)</f>
        <v>164745701876</v>
      </c>
      <c r="C21" s="76">
        <f>IF(C8&lt;DATEVALUE("3/31/2022"),"N/A",ALQ0017_C2)</f>
        <v>165675333472</v>
      </c>
      <c r="D21" s="102">
        <f t="shared" si="4"/>
        <v>0.5642827615009407</v>
      </c>
      <c r="E21" s="76">
        <f>IF(E8&lt;DATEVALUE("3/31/2022"),"N/A",ALQ0017_C3)</f>
        <v>169825849871</v>
      </c>
      <c r="F21" s="102">
        <f t="shared" si="5"/>
        <v>2.5052108313404777</v>
      </c>
      <c r="G21" s="76">
        <f>IF(G8&lt;DATEVALUE("3/31/2022"),"N/A",ALQ0017_C4)</f>
        <v>172853658060</v>
      </c>
      <c r="H21" s="102">
        <f t="shared" si="6"/>
        <v>1.7828900554891545</v>
      </c>
      <c r="I21" s="76">
        <f>IF(I8&lt;DATEVALUE("3/31/2022"),"N/A",ALQ0017_C5)</f>
        <v>176108030403</v>
      </c>
      <c r="J21" s="102">
        <f t="shared" si="7"/>
        <v>1.8827326997444049</v>
      </c>
    </row>
    <row r="22" spans="1:10" ht="13.15" customHeight="1" x14ac:dyDescent="0.2">
      <c r="A22" s="124" t="s">
        <v>1020</v>
      </c>
      <c r="B22" s="76">
        <f>IF(B8&lt;DATEVALUE("3/31/2022"),"N/A",ALQ0020_C1)</f>
        <v>623028136</v>
      </c>
      <c r="C22" s="76">
        <f>IF(C8&lt;DATEVALUE("3/31/2022"),"N/A",ALQ0020_C2)</f>
        <v>583724500</v>
      </c>
      <c r="D22" s="102">
        <f t="shared" si="4"/>
        <v>-6.3084849188897634</v>
      </c>
      <c r="E22" s="76">
        <f>IF(E8&lt;DATEVALUE("3/31/2022"),"N/A",ALQ0020_C3)</f>
        <v>538654382</v>
      </c>
      <c r="F22" s="102">
        <f t="shared" si="5"/>
        <v>-7.7211283747726887</v>
      </c>
      <c r="G22" s="76">
        <f>IF(G8&lt;DATEVALUE("3/31/2022"),"N/A",ALQ0020_C4)</f>
        <v>523423846</v>
      </c>
      <c r="H22" s="102">
        <f t="shared" si="6"/>
        <v>-2.8275154735490484</v>
      </c>
      <c r="I22" s="76">
        <f>IF(I8&lt;DATEVALUE("3/31/2022"),"N/A",ALQ0020_C5)</f>
        <v>829394058</v>
      </c>
      <c r="J22" s="102">
        <f t="shared" si="7"/>
        <v>58.455535478221222</v>
      </c>
    </row>
    <row r="23" spans="1:10" ht="13.15" customHeight="1" x14ac:dyDescent="0.2">
      <c r="A23" s="124" t="s">
        <v>1021</v>
      </c>
      <c r="B23" s="76">
        <f>IF(B8&lt;DATEVALUE("3/31/2022"),"N/A",ALQ0021_C1)</f>
        <v>9784560294</v>
      </c>
      <c r="C23" s="76">
        <f>IF(C8&lt;DATEVALUE("3/31/2022"),"N/A",ALQ0021_C2)</f>
        <v>10277920426</v>
      </c>
      <c r="D23" s="102">
        <f t="shared" si="4"/>
        <v>5.042230996343636</v>
      </c>
      <c r="E23" s="76">
        <f>IF(E8&lt;DATEVALUE("3/31/2022"),"N/A",ALQ0021_C3)</f>
        <v>10389651758</v>
      </c>
      <c r="F23" s="102">
        <f t="shared" si="5"/>
        <v>1.0871005745223892</v>
      </c>
      <c r="G23" s="76">
        <f>IF(G8&lt;DATEVALUE("3/31/2022"),"N/A",ALQ0021_C4)</f>
        <v>10605314401</v>
      </c>
      <c r="H23" s="102">
        <f t="shared" si="6"/>
        <v>2.0757446738668639</v>
      </c>
      <c r="I23" s="76">
        <f>IF(I8&lt;DATEVALUE("3/31/2022"),"N/A",ALQ0021_C5)</f>
        <v>10537663669</v>
      </c>
      <c r="J23" s="102">
        <f t="shared" si="7"/>
        <v>-0.6378946388767226</v>
      </c>
    </row>
    <row r="24" spans="1:10" ht="13.15" customHeight="1" x14ac:dyDescent="0.2">
      <c r="A24" s="124" t="s">
        <v>1022</v>
      </c>
      <c r="B24" s="76">
        <f>IF(B8&lt;DATEVALUE("3/31/2022"),"N/A",ALQ0022_C1)</f>
        <v>2359766049</v>
      </c>
      <c r="C24" s="76">
        <f>IF(C8&lt;DATEVALUE("3/31/2022"),"N/A",ALQ0022_C2)</f>
        <v>2486576571</v>
      </c>
      <c r="D24" s="102">
        <f t="shared" si="4"/>
        <v>5.3738599236877151</v>
      </c>
      <c r="E24" s="76">
        <f>IF(E8&lt;DATEVALUE("3/31/2022"),"N/A",ALQ0022_C3)</f>
        <v>2058193827</v>
      </c>
      <c r="F24" s="102">
        <f t="shared" si="5"/>
        <v>-17.227812286018679</v>
      </c>
      <c r="G24" s="76">
        <f>IF(G8&lt;DATEVALUE("3/31/2022"),"N/A",ALQ0022_C4)</f>
        <v>1962757111</v>
      </c>
      <c r="H24" s="102">
        <f t="shared" si="6"/>
        <v>-4.6369158603059013</v>
      </c>
      <c r="I24" s="76">
        <f>IF(I8&lt;DATEVALUE("3/31/2022"),"N/A",ALQ0022_C5)</f>
        <v>2187449743</v>
      </c>
      <c r="J24" s="102">
        <f t="shared" si="7"/>
        <v>11.447806289466044</v>
      </c>
    </row>
    <row r="25" spans="1:10" ht="13.15" customHeight="1" x14ac:dyDescent="0.2">
      <c r="A25" s="124" t="s">
        <v>1023</v>
      </c>
      <c r="B25" s="76">
        <f>IF(B8&lt;DATEVALUE("3/31/2022"),"N/A",ALQ0023_C1)</f>
        <v>419200000</v>
      </c>
      <c r="C25" s="76">
        <f>IF(C8&lt;DATEVALUE("3/31/2022"),"N/A",ALQ0023_C2)</f>
        <v>295000000</v>
      </c>
      <c r="D25" s="102">
        <f t="shared" si="4"/>
        <v>-29.627862595419845</v>
      </c>
      <c r="E25" s="76">
        <f>IF(E8&lt;DATEVALUE("3/31/2022"),"N/A",ALQ0023_C3)</f>
        <v>329000000</v>
      </c>
      <c r="F25" s="102">
        <f t="shared" si="5"/>
        <v>11.525423728813559</v>
      </c>
      <c r="G25" s="76">
        <f>IF(G8&lt;DATEVALUE("3/31/2022"),"N/A",ALQ0023_C4)</f>
        <v>286000000</v>
      </c>
      <c r="H25" s="102">
        <f t="shared" si="6"/>
        <v>-13.069908814589665</v>
      </c>
      <c r="I25" s="76">
        <f>IF(I8&lt;DATEVALUE("3/31/2022"),"N/A",ALQ0023_C5)</f>
        <v>306000000</v>
      </c>
      <c r="J25" s="102">
        <f t="shared" si="7"/>
        <v>6.9930069930069934</v>
      </c>
    </row>
    <row r="26" spans="1:10" ht="13.15" customHeight="1" x14ac:dyDescent="0.2">
      <c r="A26" s="124" t="s">
        <v>1024</v>
      </c>
      <c r="B26" s="76">
        <f>IF(B8&lt;DATEVALUE("3/31/2022"),"N/A",ALQ0026_C1)</f>
        <v>14719370</v>
      </c>
      <c r="C26" s="76">
        <f>IF(C8&lt;DATEVALUE("3/31/2022"),"N/A",ALQ0026_C2)</f>
        <v>14628413</v>
      </c>
      <c r="D26" s="102">
        <f t="shared" si="4"/>
        <v>-0.61794084937059124</v>
      </c>
      <c r="E26" s="76">
        <f>IF(E8&lt;DATEVALUE("3/31/2022"),"N/A",ALQ0026_C3)</f>
        <v>15631725</v>
      </c>
      <c r="F26" s="102">
        <f t="shared" si="5"/>
        <v>6.8586524047413748</v>
      </c>
      <c r="G26" s="76">
        <f>IF(G8&lt;DATEVALUE("3/31/2022"),"N/A",ALQ0026_C4)</f>
        <v>15683877</v>
      </c>
      <c r="H26" s="102">
        <f t="shared" si="6"/>
        <v>0.33362920598974199</v>
      </c>
      <c r="I26" s="76">
        <f>IF(I8&lt;DATEVALUE("3/31/2022"),"N/A",ALQ0026_C5)</f>
        <v>15683337</v>
      </c>
      <c r="J26" s="102">
        <f t="shared" si="7"/>
        <v>-3.4430262364337594E-3</v>
      </c>
    </row>
    <row r="27" spans="1:10" ht="13.15" customHeight="1" x14ac:dyDescent="0.2">
      <c r="A27" s="124" t="s">
        <v>1025</v>
      </c>
      <c r="B27" s="76">
        <f>IF(B8&lt;DATEVALUE("3/31/2022"),"N/A",ALQ0027_C1)</f>
        <v>25261797</v>
      </c>
      <c r="C27" s="76">
        <f>IF(C8&lt;DATEVALUE("3/31/2022"),"N/A",ALQ0027_C2)</f>
        <v>24852157</v>
      </c>
      <c r="D27" s="102">
        <f t="shared" si="4"/>
        <v>-1.6215790191014516</v>
      </c>
      <c r="E27" s="76">
        <f>IF(E8&lt;DATEVALUE("3/31/2022"),"N/A",ALQ0027_C3)</f>
        <v>5946338</v>
      </c>
      <c r="F27" s="102">
        <f t="shared" si="5"/>
        <v>-76.073151316402843</v>
      </c>
      <c r="G27" s="76">
        <f>IF(G8&lt;DATEVALUE("3/31/2022"),"N/A",ALQ0027_C4)</f>
        <v>25557504</v>
      </c>
      <c r="H27" s="102">
        <f t="shared" si="6"/>
        <v>329.80240948294568</v>
      </c>
      <c r="I27" s="76">
        <f>IF(I8&lt;DATEVALUE("3/31/2022"),"N/A",ALQ0027_C5)</f>
        <v>25262068</v>
      </c>
      <c r="J27" s="102">
        <f t="shared" si="7"/>
        <v>-1.1559657781917985</v>
      </c>
    </row>
    <row r="28" spans="1:10" s="83" customFormat="1" ht="13.15" customHeight="1" x14ac:dyDescent="0.2">
      <c r="A28" s="124" t="s">
        <v>1026</v>
      </c>
      <c r="B28" s="76">
        <f>IF(B8&lt;DATEVALUE("3/31/2022"),"N/A",ALQ0028_C1)</f>
        <v>262998</v>
      </c>
      <c r="C28" s="76">
        <f>IF(C8&lt;DATEVALUE("3/31/2022"),"N/A",ALQ0028_C2)</f>
        <v>484471</v>
      </c>
      <c r="D28" s="102">
        <f t="shared" si="4"/>
        <v>84.210906546817839</v>
      </c>
      <c r="E28" s="76">
        <f>IF(E8&lt;DATEVALUE("3/31/2022"),"N/A",ALQ0028_C3)</f>
        <v>12944741</v>
      </c>
      <c r="F28" s="102">
        <f t="shared" si="5"/>
        <v>2571.9330981627381</v>
      </c>
      <c r="G28" s="76">
        <f>IF(G8&lt;DATEVALUE("3/31/2022"),"N/A",ALQ0028_C4)</f>
        <v>179316</v>
      </c>
      <c r="H28" s="102">
        <f t="shared" si="6"/>
        <v>-98.614757915975289</v>
      </c>
      <c r="I28" s="76">
        <f>IF(I8&lt;DATEVALUE("3/31/2022"),"N/A",ALQ0028_C5)</f>
        <v>590185</v>
      </c>
      <c r="J28" s="102">
        <f t="shared" si="7"/>
        <v>229.1312543219791</v>
      </c>
    </row>
    <row r="29" spans="1:10" ht="13.15" customHeight="1" x14ac:dyDescent="0.2">
      <c r="A29" s="124" t="s">
        <v>1027</v>
      </c>
      <c r="B29" s="76">
        <f>IF(B8&lt;DATEVALUE("3/31/2022"),"N/A",ALQ0029_C1)</f>
        <v>126000000</v>
      </c>
      <c r="C29" s="76">
        <f>IF(C8&lt;DATEVALUE("3/31/2022"),"N/A",ALQ0029_C2)</f>
        <v>147500</v>
      </c>
      <c r="D29" s="102">
        <f t="shared" si="4"/>
        <v>-99.882936507936506</v>
      </c>
      <c r="E29" s="76">
        <f>IF(E8&lt;DATEVALUE("3/31/2022"),"N/A",ALQ0029_C3)</f>
        <v>162517654</v>
      </c>
      <c r="F29" s="102">
        <f t="shared" si="5"/>
        <v>110081.46033898306</v>
      </c>
      <c r="G29" s="76">
        <f>IF(G8&lt;DATEVALUE("3/31/2022"),"N/A",ALQ0029_C4)</f>
        <v>274572900</v>
      </c>
      <c r="H29" s="102">
        <f t="shared" si="6"/>
        <v>68.949583778756747</v>
      </c>
      <c r="I29" s="76">
        <f>IF(I8&lt;DATEVALUE("3/31/2022"),"N/A",ALQ0029_C5)</f>
        <v>216255312</v>
      </c>
      <c r="J29" s="102">
        <f t="shared" si="7"/>
        <v>-21.239382327971914</v>
      </c>
    </row>
    <row r="30" spans="1:10" ht="13.15" customHeight="1" x14ac:dyDescent="0.2">
      <c r="A30" s="124" t="s">
        <v>1028</v>
      </c>
      <c r="B30" s="76">
        <f>IF(B8&lt;DATEVALUE("3/31/2022"),"N/A",ALQ0030_C1)</f>
        <v>448747095</v>
      </c>
      <c r="C30" s="76">
        <f>IF(C8&lt;DATEVALUE("3/31/2022"),"N/A",ALQ0030_C2)</f>
        <v>356846710</v>
      </c>
      <c r="D30" s="102">
        <f t="shared" si="4"/>
        <v>-20.479327002662824</v>
      </c>
      <c r="E30" s="76">
        <f>IF(E8&lt;DATEVALUE("3/31/2022"),"N/A",ALQ0030_C3)</f>
        <v>239364524</v>
      </c>
      <c r="F30" s="102">
        <f t="shared" si="5"/>
        <v>-32.922311655892806</v>
      </c>
      <c r="G30" s="76">
        <f>IF(G8&lt;DATEVALUE("3/31/2022"),"N/A",ALQ0030_C4)</f>
        <v>228021743</v>
      </c>
      <c r="H30" s="102">
        <f t="shared" si="6"/>
        <v>-4.7387059746581324</v>
      </c>
      <c r="I30" s="76">
        <f>IF(I8&lt;DATEVALUE("3/31/2022"),"N/A",ALQ0030_C5)</f>
        <v>326768340</v>
      </c>
      <c r="J30" s="102">
        <f t="shared" si="7"/>
        <v>43.305781150879106</v>
      </c>
    </row>
    <row r="31" spans="1:10" ht="13.15" customHeight="1" x14ac:dyDescent="0.2">
      <c r="A31" s="124" t="s">
        <v>1029</v>
      </c>
      <c r="B31" s="76">
        <f>A819_C1</f>
        <v>423696294</v>
      </c>
      <c r="C31" s="76">
        <f>A819_C2</f>
        <v>786214848</v>
      </c>
      <c r="D31" s="102">
        <f t="shared" si="4"/>
        <v>85.560945217991446</v>
      </c>
      <c r="E31" s="76">
        <f>A819_C3</f>
        <v>130283810</v>
      </c>
      <c r="F31" s="102">
        <f t="shared" si="5"/>
        <v>-83.428981234401718</v>
      </c>
      <c r="G31" s="76">
        <f>A819_C4</f>
        <v>372468786</v>
      </c>
      <c r="H31" s="102">
        <f t="shared" si="6"/>
        <v>185.89030824321148</v>
      </c>
      <c r="I31" s="76">
        <f>A819_C5</f>
        <v>746904725</v>
      </c>
      <c r="J31" s="102">
        <f t="shared" si="7"/>
        <v>100.52813902102389</v>
      </c>
    </row>
    <row r="32" spans="1:10" ht="13.15" customHeight="1" x14ac:dyDescent="0.2">
      <c r="A32" s="144" t="s">
        <v>1030</v>
      </c>
      <c r="B32" s="76">
        <f>A818A_C1</f>
        <v>346455700</v>
      </c>
      <c r="C32" s="76">
        <f>A818A_C2</f>
        <v>222347530</v>
      </c>
      <c r="D32" s="102">
        <f t="shared" si="4"/>
        <v>-35.822233549628422</v>
      </c>
      <c r="E32" s="76">
        <f>A818A_C3</f>
        <v>221727114</v>
      </c>
      <c r="F32" s="102">
        <f t="shared" si="5"/>
        <v>-0.27902985924781804</v>
      </c>
      <c r="G32" s="76">
        <f>A818A_C4</f>
        <v>230959803</v>
      </c>
      <c r="H32" s="102">
        <f t="shared" si="6"/>
        <v>4.1639873597055885</v>
      </c>
      <c r="I32" s="76">
        <f>A818A_C5</f>
        <v>219344663</v>
      </c>
      <c r="J32" s="102">
        <f t="shared" si="7"/>
        <v>-5.0290742584327548</v>
      </c>
    </row>
    <row r="33" spans="1:10" ht="13.15" customHeight="1" x14ac:dyDescent="0.2">
      <c r="A33" s="178" t="s">
        <v>86</v>
      </c>
      <c r="B33" s="175"/>
      <c r="C33" s="175"/>
      <c r="D33" s="212"/>
      <c r="E33" s="175"/>
      <c r="F33" s="212"/>
      <c r="G33" s="175"/>
      <c r="H33" s="212"/>
      <c r="I33" s="234" t="s">
        <v>1031</v>
      </c>
      <c r="J33" s="212"/>
    </row>
    <row r="34" spans="1:10" x14ac:dyDescent="0.2">
      <c r="A34" s="81"/>
      <c r="B34" s="107"/>
      <c r="C34" s="107"/>
      <c r="D34" s="188"/>
      <c r="E34" s="107"/>
      <c r="F34" s="188"/>
      <c r="G34" s="107"/>
      <c r="H34" s="188"/>
      <c r="I34" s="107"/>
      <c r="J34" s="188"/>
    </row>
    <row r="35" spans="1:10" x14ac:dyDescent="0.2">
      <c r="A35" s="107"/>
      <c r="B35" s="107"/>
      <c r="C35" s="171"/>
      <c r="D35" s="171"/>
      <c r="E35" s="171"/>
      <c r="F35" s="188"/>
      <c r="G35" s="107"/>
      <c r="H35" s="188"/>
      <c r="J35" s="104"/>
    </row>
    <row r="36" spans="1:10" x14ac:dyDescent="0.2">
      <c r="B36" s="30"/>
      <c r="C36" s="30"/>
      <c r="D36" s="54"/>
      <c r="E36" s="30"/>
      <c r="F36" s="54"/>
      <c r="G36" s="30"/>
      <c r="H36" s="54"/>
      <c r="I36" s="30"/>
      <c r="J36" s="54"/>
    </row>
    <row r="37" spans="1:10" x14ac:dyDescent="0.2">
      <c r="C37" s="32"/>
      <c r="D37" s="55"/>
      <c r="E37" s="32"/>
    </row>
    <row r="42" spans="1:10" x14ac:dyDescent="0.2">
      <c r="A42" s="29"/>
    </row>
    <row r="43" spans="1:10" x14ac:dyDescent="0.2">
      <c r="A43" s="29"/>
    </row>
  </sheetData>
  <mergeCells count="1">
    <mergeCell ref="D5:J5"/>
  </mergeCells>
  <phoneticPr fontId="2" type="noConversion"/>
  <hyperlinks>
    <hyperlink ref="A2" location="'Cover Page'!A1" display="Return to cover" xr:uid="{00000000-0004-0000-1C00-000000000000}"/>
  </hyperlinks>
  <printOptions horizontalCentered="1" verticalCentered="1" gridLines="1"/>
  <pageMargins left="0.75" right="0.75" top="0.5" bottom="0.5" header="0.5" footer="0.5"/>
  <pageSetup orientation="landscape" r:id="rId1"/>
  <headerFooter alignWithMargins="0"/>
  <ignoredErrors>
    <ignoredError sqref="D29 H29 F29 G11" formula="1"/>
    <ignoredError sqref="D28 H28 F28" twoDigitTextYear="1"/>
  </ignoredError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5">
    <pageSetUpPr fitToPage="1"/>
  </sheetPr>
  <dimension ref="A1:J58"/>
  <sheetViews>
    <sheetView workbookViewId="0"/>
  </sheetViews>
  <sheetFormatPr defaultRowHeight="12.75" x14ac:dyDescent="0.2"/>
  <cols>
    <col min="1" max="1" width="50.7109375" style="30" customWidth="1"/>
    <col min="2" max="3" width="16.7109375" customWidth="1"/>
    <col min="4" max="4" width="6.7109375" style="57" customWidth="1"/>
    <col min="5" max="5" width="16.7109375" customWidth="1"/>
    <col min="6" max="6" width="6.7109375" style="57" customWidth="1"/>
    <col min="7" max="7" width="16.7109375" customWidth="1"/>
    <col min="8" max="8" width="6.7109375" style="57" customWidth="1"/>
    <col min="9" max="9" width="16.7109375" customWidth="1"/>
    <col min="10" max="10" width="6.7109375" style="57" customWidth="1"/>
    <col min="11" max="12" width="9.140625" customWidth="1"/>
    <col min="13" max="13" width="14.7109375" customWidth="1"/>
  </cols>
  <sheetData>
    <row r="1" spans="1:10" s="62" customFormat="1" ht="12" customHeight="1" x14ac:dyDescent="0.2">
      <c r="A1" s="88"/>
      <c r="C1" s="85" t="s">
        <v>1032</v>
      </c>
      <c r="D1" s="118"/>
      <c r="F1" s="119"/>
      <c r="H1" s="119"/>
      <c r="J1" s="119"/>
    </row>
    <row r="2" spans="1:10" s="62" customFormat="1" x14ac:dyDescent="0.2">
      <c r="A2" s="60" t="s">
        <v>49</v>
      </c>
      <c r="C2" s="67" t="s">
        <v>50</v>
      </c>
      <c r="D2" s="87" t="str">
        <f>IF(CU_NUMBER="","N/A",CU_NUMBER)</f>
        <v>N/A</v>
      </c>
      <c r="E2" s="120"/>
      <c r="F2" s="119"/>
      <c r="H2" s="119"/>
      <c r="J2" s="119"/>
    </row>
    <row r="3" spans="1:10" s="62" customFormat="1" ht="12" customHeight="1" x14ac:dyDescent="0.2">
      <c r="A3" s="121" t="str">
        <f>IF(Request_Date=0,"N/A",Request_Date)</f>
        <v>12/05/2025</v>
      </c>
      <c r="C3" s="67" t="s">
        <v>42</v>
      </c>
      <c r="D3" s="75">
        <f>IF(CountCu_C5=0,"N/A",CountCu_C5)</f>
        <v>4331</v>
      </c>
      <c r="E3" s="120"/>
      <c r="F3" s="119"/>
      <c r="H3" s="119"/>
      <c r="J3" s="119"/>
    </row>
    <row r="4" spans="1:10" s="62" customFormat="1" ht="12" customHeight="1" x14ac:dyDescent="0.2">
      <c r="A4" s="74" t="str">
        <f>"CU Name:      "&amp;IF(Cu_Name="","N/A",Cu_Name)</f>
        <v>CU Name:      N/A</v>
      </c>
      <c r="C4" s="67" t="s">
        <v>43</v>
      </c>
      <c r="D4" s="89" t="str">
        <f>IF(AssetRange="","N/A",AssetRange)</f>
        <v>N/A</v>
      </c>
      <c r="E4" s="75"/>
      <c r="F4" s="119"/>
      <c r="H4" s="119"/>
      <c r="J4" s="119"/>
    </row>
    <row r="5" spans="1:10" s="62" customFormat="1" ht="12" customHeight="1" x14ac:dyDescent="0.2">
      <c r="A5" s="74" t="str">
        <f>"Peer Group:      "&amp;IF(Peer_Group="","N/A",IF(Peer_Group="0","N/A",Peer_Group))</f>
        <v>Peer Group:      N/A</v>
      </c>
      <c r="B5" s="90"/>
      <c r="C5" s="67" t="s">
        <v>51</v>
      </c>
      <c r="D5" s="24" t="str">
        <f>IF(_xlnm.Criteria="","N/A",_xlnm.Criteria)</f>
        <v xml:space="preserve">Region: Nation * Peer Group: All * Types Included: All  Federally Insured Credit Unions  (FICUs) *  </v>
      </c>
      <c r="E5" s="23"/>
      <c r="F5" s="23"/>
      <c r="G5" s="23"/>
      <c r="H5" s="23"/>
      <c r="I5" s="23"/>
      <c r="J5" s="23"/>
    </row>
    <row r="6" spans="1:10" s="62" customFormat="1" ht="12.75" customHeight="1" x14ac:dyDescent="0.2">
      <c r="A6" s="74"/>
      <c r="B6" s="67"/>
      <c r="C6" s="67" t="s">
        <v>45</v>
      </c>
      <c r="D6" s="75" t="str">
        <f>IF(NoCu_in_Peer_Group="","N/A",NoCu_in_Peer_Group)</f>
        <v>N/A</v>
      </c>
      <c r="E6" s="92" t="str">
        <f>IF(CU_NUMBER&gt;0,"",IF(RetPop=0,"Retroactive Population",""))</f>
        <v/>
      </c>
      <c r="F6" s="119"/>
      <c r="H6" s="119"/>
      <c r="J6" s="119"/>
    </row>
    <row r="7" spans="1:10" ht="12.75" customHeight="1" x14ac:dyDescent="0.2">
      <c r="A7" s="29"/>
      <c r="E7" s="58"/>
      <c r="F7" s="54"/>
      <c r="G7" s="30"/>
      <c r="H7" s="54"/>
      <c r="I7" s="30"/>
      <c r="J7" s="54"/>
    </row>
    <row r="8" spans="1:10" x14ac:dyDescent="0.2">
      <c r="A8" s="145"/>
      <c r="B8" s="139">
        <f>(CycDat_C1)</f>
        <v>45565</v>
      </c>
      <c r="C8" s="139">
        <f>(CycDat_C2)</f>
        <v>45657</v>
      </c>
      <c r="D8" s="184" t="s">
        <v>52</v>
      </c>
      <c r="E8" s="139">
        <f>(CycDat_C3)</f>
        <v>45747</v>
      </c>
      <c r="F8" s="184" t="s">
        <v>52</v>
      </c>
      <c r="G8" s="139">
        <f>(CycDat_C4)</f>
        <v>45838</v>
      </c>
      <c r="H8" s="184" t="s">
        <v>52</v>
      </c>
      <c r="I8" s="139">
        <f>(CycDat_C5)</f>
        <v>45930</v>
      </c>
      <c r="J8" s="184" t="s">
        <v>52</v>
      </c>
    </row>
    <row r="9" spans="1:10" ht="15" customHeight="1" x14ac:dyDescent="0.2">
      <c r="A9" s="145"/>
      <c r="B9" s="70"/>
      <c r="C9" s="70"/>
      <c r="D9" s="184"/>
      <c r="E9" s="70"/>
      <c r="F9" s="184"/>
      <c r="G9" s="70"/>
      <c r="H9" s="184"/>
      <c r="I9" s="70"/>
      <c r="J9" s="184"/>
    </row>
    <row r="10" spans="1:10" ht="13.15" customHeight="1" x14ac:dyDescent="0.2">
      <c r="A10" s="153" t="s">
        <v>1033</v>
      </c>
      <c r="B10" s="76"/>
      <c r="C10" s="76"/>
      <c r="D10" s="102"/>
      <c r="E10" s="76"/>
      <c r="F10" s="102"/>
      <c r="G10" s="76"/>
      <c r="H10" s="102"/>
      <c r="I10" s="76"/>
      <c r="J10" s="102"/>
    </row>
    <row r="11" spans="1:10" ht="13.15" customHeight="1" x14ac:dyDescent="0.2">
      <c r="A11" s="153" t="s">
        <v>1034</v>
      </c>
      <c r="B11" s="76"/>
      <c r="C11" s="76"/>
      <c r="D11" s="102"/>
      <c r="E11" s="76"/>
      <c r="F11" s="102"/>
      <c r="G11" s="76"/>
      <c r="H11" s="102"/>
      <c r="I11" s="76"/>
      <c r="J11" s="102"/>
    </row>
    <row r="12" spans="1:10" ht="13.15" customHeight="1" x14ac:dyDescent="0.2">
      <c r="A12" s="144" t="s">
        <v>1035</v>
      </c>
      <c r="B12" s="76">
        <f>IF(B8&lt;DATEVALUE("3/31/2009"),"N/A",A884_C1)</f>
        <v>51401218627</v>
      </c>
      <c r="C12" s="76">
        <f>IF(C8&lt;DATEVALUE("3/31/2009"),"N/A",A884_C2)</f>
        <v>51745146774</v>
      </c>
      <c r="D12" s="102">
        <f>IF(C12="N/A", " ", IF(B12="N/A", " ",IF(AND(B12=0,C12=0,),"N/A",IF(ABS(B12)=0, "N/A", ((C12-B12)/ABS(B12))*100))))</f>
        <v>0.66910504495187517</v>
      </c>
      <c r="E12" s="76">
        <f>IF(E8&lt;DATEVALUE("3/31/2009"),"N/A",A884_C3)</f>
        <v>52113294059</v>
      </c>
      <c r="F12" s="102">
        <f>IF(E12="N/A", " ", IF(C12="N/A", " ",IF(AND(C12=0,E12=0,),"N/A",IF(ABS(C12)=0, "N/A", ((E12-C12)/ABS(C12))*100))))</f>
        <v>0.71146244228063571</v>
      </c>
      <c r="G12" s="76">
        <f>IF(G8&lt;DATEVALUE("3/31/2009"),"N/A",A884_C4)</f>
        <v>53072100771</v>
      </c>
      <c r="H12" s="102">
        <f t="shared" ref="H12:H19" si="0">IF(G12="N/A", " ", IF(E12="N/A", " ",IF(AND(E12=0,G12=0,),"N/A",IF(ABS(E12)=0, "N/A", ((G12-E12)/ABS(E12))*100))))</f>
        <v>1.839850520511116</v>
      </c>
      <c r="I12" s="76">
        <f>IF(I8&lt;DATEVALUE("3/31/2009"),"N/A",A884_C5)</f>
        <v>53339121208</v>
      </c>
      <c r="J12" s="102">
        <f>IF(I12="N/A", " ", IF(G12="N/A", " ",IF(AND(G12=0,I12=0,),"N/A",IF(ABS(G12)=0, "N/A",((I12-G12)/ABS(G12))*100))))</f>
        <v>0.50312769443998906</v>
      </c>
    </row>
    <row r="13" spans="1:10" ht="13.15" customHeight="1" x14ac:dyDescent="0.2">
      <c r="A13" s="144" t="s">
        <v>1036</v>
      </c>
      <c r="B13" s="76">
        <f>IF(B8&lt;DATEVALUE("6/30/2013"),"N/A",A884C_C1)</f>
        <v>1296192021</v>
      </c>
      <c r="C13" s="76">
        <f>IF(C8&lt;DATEVALUE("6/30/2013"),"N/A",A884C_C2)</f>
        <v>1017192253</v>
      </c>
      <c r="D13" s="102">
        <f>IF(C13="N/A", " ", IF(B13="N/A", " ",IF(AND(B13=0,C13=0,),"N/A",IF(ABS(B13)=0, "N/A", ((C13-B13)/ABS(B13))*100))))</f>
        <v>-21.524570702476186</v>
      </c>
      <c r="E13" s="76">
        <f>IF(E8&lt;DATEVALUE("6/30/2013"),"N/A",A884C_C3)</f>
        <v>935365775</v>
      </c>
      <c r="F13" s="102">
        <f>IF(E13="N/A", " ", IF(C13="N/A", " ",IF(AND(C13=0,E13=0,),"N/A",IF(ABS(C13)=0, "N/A", ((E13-C13)/ABS(C13))*100))))</f>
        <v>-8.0443473452210803</v>
      </c>
      <c r="G13" s="76">
        <f>IF(G8&lt;DATEVALUE("6/30/2013"),"N/A",A884C_C4)</f>
        <v>1329878548</v>
      </c>
      <c r="H13" s="102">
        <f t="shared" si="0"/>
        <v>42.17737953903648</v>
      </c>
      <c r="I13" s="76">
        <f>IF(I8&lt;DATEVALUE("6/30/2013"),"N/A",A884C_C5)</f>
        <v>1005080711</v>
      </c>
      <c r="J13" s="102">
        <f>IF(I13="N/A", " ", IF(G13="N/A", " ",IF(AND(G13=0,I13=0,),"N/A",IF(ABS(G13)=0, "N/A",((I13-G13)/ABS(G13))*100))))</f>
        <v>-24.423120253233833</v>
      </c>
    </row>
    <row r="14" spans="1:10" ht="13.15" customHeight="1" x14ac:dyDescent="0.2">
      <c r="A14" s="144" t="s">
        <v>1037</v>
      </c>
      <c r="B14" s="76">
        <f>IF(B8&lt;DATEVALUE("3/31/2022"),"N/A",ALQ0040_C1)</f>
        <v>401753597516</v>
      </c>
      <c r="C14" s="76">
        <f>IF(C8&lt;DATEVALUE("3/31/2022"),"N/A",ALQ0040_C2)</f>
        <v>407117835130</v>
      </c>
      <c r="D14" s="102">
        <f>IF(C14="N/A", " ", IF(B14="N/A", " ",IF(AND(B14=0,C14=0,),"N/A",IF(ABS(B14)=0, "N/A", ((C14-B14)/ABS(B14))*100))))</f>
        <v>1.3352058692607891</v>
      </c>
      <c r="E14" s="76">
        <f>IF(E8&lt;DATEVALUE("3/31/2022"),"N/A",ALQ0040_C3)</f>
        <v>412075003023</v>
      </c>
      <c r="F14" s="102">
        <f>IF(E14="N/A", " ", IF(C14="N/A", " ",IF(AND(C14=0,E14=0,),"N/A",IF(ABS(C14)=0, "N/A", ((E14-C14)/ABS(C14))*100))))</f>
        <v>1.2176248410775441</v>
      </c>
      <c r="G14" s="76">
        <f>IF(G8&lt;DATEVALUE("3/31/2022"),"N/A",ALQ0040_C4)</f>
        <v>420413064260</v>
      </c>
      <c r="H14" s="102">
        <f t="shared" si="0"/>
        <v>2.0234329128997448</v>
      </c>
      <c r="I14" s="76">
        <f>IF(I8&lt;DATEVALUE("3/31/2022"),"N/A",ALQ0040_C5)</f>
        <v>426211780838</v>
      </c>
      <c r="J14" s="102">
        <f>IF(I14="N/A", " ", IF(G14="N/A", " ",IF(AND(G14=0,I14=0,),"N/A",IF(ABS(G14)=0, "N/A",((I14-G14)/ABS(G14))*100))))</f>
        <v>1.3792902911346838</v>
      </c>
    </row>
    <row r="15" spans="1:10" ht="13.15" customHeight="1" x14ac:dyDescent="0.2">
      <c r="A15" s="144" t="s">
        <v>1038</v>
      </c>
      <c r="B15" s="76">
        <f>IF(B8&lt;DATEVALUE("3/31/2023"),"N/A",ALQ0060_C1)</f>
        <v>7288964097</v>
      </c>
      <c r="C15" s="76">
        <f t="array" ref="C15">IF(C8&lt;DATEVALUE("3/31/2023"),"N/A",ALQ0060_C2)</f>
        <v>7790269669</v>
      </c>
      <c r="D15" s="102">
        <f>IF(C15="N/A", " ", IF(B15="N/A", " ",IF(AND(B15=0,C15=0,),"N/A",IF(ABS(B15)=0, "N/A", ((C15-B15)/ABS(B15))*100))))</f>
        <v>6.8775969442122502</v>
      </c>
      <c r="E15" s="76">
        <f t="array" ref="E15">IF(E8&lt;DATEVALUE("3/31/2023"),"N/A",ALQ0060_C3)</f>
        <v>8057582681</v>
      </c>
      <c r="F15" s="102">
        <f>IF(E15="N/A", " ", IF(C15="N/A", " ",IF(AND(C15=0,E15=0,),"N/A",IF(ABS(C15)=0, "N/A", ((E15-C15)/ABS(C15))*100))))</f>
        <v>3.431370457735563</v>
      </c>
      <c r="G15" s="76">
        <f t="array" ref="G15">IF(G8&lt;DATEVALUE("3/31/2023"),"N/A",ALQ0060_C4)</f>
        <v>6974763783</v>
      </c>
      <c r="H15" s="102">
        <f t="shared" si="0"/>
        <v>-13.438508059660577</v>
      </c>
      <c r="I15" s="76">
        <f t="array" ref="I15">IF(I8&lt;DATEVALUE("3/31/2023"),"N/A",ALQ0060_C5)</f>
        <v>7175459289</v>
      </c>
      <c r="J15" s="102">
        <f>IF(I15="N/A", " ", IF(G15="N/A", " ",IF(AND(G15=0,I15=0,),"N/A",IF(ABS(G15)=0, "N/A",((I15-G15)/ABS(G15))*100))))</f>
        <v>2.8774523732139419</v>
      </c>
    </row>
    <row r="16" spans="1:10" ht="26.25" customHeight="1" x14ac:dyDescent="0.2">
      <c r="A16" s="144" t="s">
        <v>1039</v>
      </c>
      <c r="B16" s="76">
        <f>IF(B8&lt;DATEVALUE("3/31/2023"),"N/A",ALQ0061_C1)</f>
        <v>181765180610</v>
      </c>
      <c r="C16" s="76">
        <f t="array" ref="C16">IF(C8&lt;DATEVALUE("3/31/2023"),"N/A",ALQ0061_C2)</f>
        <v>164412978370</v>
      </c>
      <c r="D16" s="102">
        <f>IF(C16="N/A", " ", IF(B16="N/A", " ",IF(AND(B16=0,C16=0,),"N/A",IF(ABS(B16)=0, "N/A", ((C16-B16)/ABS(B16))*100))))</f>
        <v>-9.5464940984661553</v>
      </c>
      <c r="E16" s="76">
        <f t="array" ref="E16">IF(E8&lt;DATEVALUE("3/31/2023"),"N/A",ALQ0061_C3)</f>
        <v>164182250328</v>
      </c>
      <c r="F16" s="102">
        <f>IF(E16="N/A", " ", IF(C16="N/A", " ",IF(AND(C16=0,E16=0,),"N/A",IF(ABS(C16)=0, "N/A", ((E16-C16)/ABS(C16))*100))))</f>
        <v>-0.14033444578855725</v>
      </c>
      <c r="G16" s="76">
        <f t="array" ref="G16">IF(G8&lt;DATEVALUE("3/31/2023"),"N/A",ALQ0061_C4)</f>
        <v>162105325303</v>
      </c>
      <c r="H16" s="102">
        <f t="shared" si="0"/>
        <v>-1.2650119125854109</v>
      </c>
      <c r="I16" s="76">
        <f t="array" ref="I16">IF(I8&lt;DATEVALUE("3/31/2023"),"N/A",ALQ0061_C5)</f>
        <v>162706324997</v>
      </c>
      <c r="J16" s="102">
        <f>IF(I16="N/A", " ", IF(G16="N/A", " ",IF(AND(G16=0,I16=0,),"N/A",IF(ABS(G16)=0, "N/A",((I16-G16)/ABS(G16))*100))))</f>
        <v>0.37074642235018396</v>
      </c>
    </row>
    <row r="17" spans="1:10" ht="13.15" customHeight="1" x14ac:dyDescent="0.2">
      <c r="A17" s="144" t="s">
        <v>1040</v>
      </c>
      <c r="B17" s="76">
        <f t="array" ref="B17">IF(B8&lt;DATEVALUE("3/31/2023"),"N/A",ALQ0062_C1)</f>
        <v>848000</v>
      </c>
      <c r="C17" s="76">
        <f t="array" ref="C17">IF(C8&lt;DATEVALUE("3/31/2023"),"N/A",ALQ0062_C2)</f>
        <v>0</v>
      </c>
      <c r="D17" s="102"/>
      <c r="E17" s="76">
        <f t="array" ref="E17">IF(E8&lt;DATEVALUE("3/31/2023"),"N/A",ALQ0062_C3)</f>
        <v>10000000</v>
      </c>
      <c r="F17" s="102"/>
      <c r="G17" s="76">
        <f t="array" ref="G17">IF(G8&lt;DATEVALUE("3/31/2023"),"N/A",ALQ0062_C4)</f>
        <v>28585312</v>
      </c>
      <c r="H17" s="102">
        <f t="shared" si="0"/>
        <v>185.85312000000002</v>
      </c>
      <c r="I17" s="76">
        <f t="array" ref="I17">IF(I8&lt;DATEVALUE("3/31/2023"),"N/A",ALQ0062_C5)</f>
        <v>43857279</v>
      </c>
      <c r="J17" s="102"/>
    </row>
    <row r="18" spans="1:10" ht="13.15" customHeight="1" x14ac:dyDescent="0.2">
      <c r="A18" s="144" t="s">
        <v>1041</v>
      </c>
      <c r="B18" s="76">
        <f>IF(B8&lt;DATEVALUE("6/30/2013"),"N/A",A884D_C1)</f>
        <v>9534312775</v>
      </c>
      <c r="C18" s="76">
        <f>IF(C8&lt;DATEVALUE("6/30/2013"),"N/A",A884D_C2)</f>
        <v>8970985613</v>
      </c>
      <c r="D18" s="102">
        <f>IF(C18="N/A", " ", IF(B18="N/A", " ",IF(AND(B18=0,C18=0,),"N/A",IF(ABS(B18)=0, "N/A", ((C18-B18)/ABS(B18))*100))))</f>
        <v>-5.9084191518984444</v>
      </c>
      <c r="E18" s="76">
        <f>IF(E8&lt;DATEVALUE("6/30/2013"),"N/A",A884D_C3)</f>
        <v>8925509385</v>
      </c>
      <c r="F18" s="102">
        <f>IF(E18="N/A", " ", IF(C18="N/A", " ",IF(AND(C18=0,E18=0,),"N/A",IF(ABS(C18)=0, "N/A", ((E18-C18)/ABS(C18))*100))))</f>
        <v>-0.50692565969674119</v>
      </c>
      <c r="G18" s="76">
        <f>IF(G8&lt;DATEVALUE("6/30/2013"),"N/A",A884D_C4)</f>
        <v>9118301973</v>
      </c>
      <c r="H18" s="102">
        <f t="shared" si="0"/>
        <v>2.1600177612720084</v>
      </c>
      <c r="I18" s="76">
        <f>IF(I8&lt;DATEVALUE("6/30/2013"),"N/A",A884D_C5)</f>
        <v>8558264389</v>
      </c>
      <c r="J18" s="102">
        <f>IF(I18="N/A", " ", IF(G18="N/A", " ",IF(AND(G18=0,I18=0,),"N/A",IF(ABS(G18)=0, "N/A",((I18-G18)/ABS(G18))*100))))</f>
        <v>-6.1419065266572082</v>
      </c>
    </row>
    <row r="19" spans="1:10" ht="13.15" customHeight="1" x14ac:dyDescent="0.2">
      <c r="A19" s="153" t="s">
        <v>1042</v>
      </c>
      <c r="B19" s="76">
        <f>IF(B8&lt;DATEVALUE("6/30/2006"),"N/A",A881_C1)</f>
        <v>653040313646</v>
      </c>
      <c r="C19" s="76">
        <f>IF(C8&lt;DATEVALUE("6/30/2006"),"N/A",A881_C2)</f>
        <v>641054407809</v>
      </c>
      <c r="D19" s="102">
        <f>IF(C19="N/A", " ", IF(B19="N/A", " ",IF(AND(B19=0,C19=0,),"N/A",IF(ABS(B19)=0, "N/A", ((C19-B19)/ABS(B19))*100))))</f>
        <v>-1.8354006003214862</v>
      </c>
      <c r="E19" s="76">
        <f>IF(E8&lt;DATEVALUE("6/30/2006"),"N/A",A881_C3)</f>
        <v>646299005251</v>
      </c>
      <c r="F19" s="102">
        <f>IF(E19="N/A", " ", IF(C19="N/A", " ",IF(AND(C19=0,E19=0,),"N/A",IF(ABS(C19)=0, "N/A", ((E19-C19)/ABS(C19))*100))))</f>
        <v>0.81812048682810246</v>
      </c>
      <c r="G19" s="76">
        <f>IF(G8&lt;DATEVALUE("6/30/2006"),"N/A",A881_C4)</f>
        <v>653042019950</v>
      </c>
      <c r="H19" s="102">
        <f t="shared" si="0"/>
        <v>1.0433274141248676</v>
      </c>
      <c r="I19" s="76">
        <f>IF(I8&lt;DATEVALUE("6/30/2006"),"N/A",A881_C5)</f>
        <v>659039888711</v>
      </c>
      <c r="J19" s="102">
        <f>IF(I19="N/A", " ", IF(G19="N/A", " ",IF(AND(G19=0,I19=0,),"N/A",IF(ABS(G19)=0, "N/A",((I19-G19)/ABS(G19))*100))))</f>
        <v>0.91845066286228039</v>
      </c>
    </row>
    <row r="20" spans="1:10" ht="13.15" customHeight="1" x14ac:dyDescent="0.2">
      <c r="A20" s="153" t="s">
        <v>1043</v>
      </c>
      <c r="B20" s="76"/>
      <c r="C20" s="76"/>
      <c r="D20" s="102"/>
      <c r="E20" s="76"/>
      <c r="F20" s="102"/>
      <c r="G20" s="76"/>
      <c r="H20" s="102"/>
      <c r="I20" s="76"/>
      <c r="J20" s="102"/>
    </row>
    <row r="21" spans="1:10" ht="13.15" customHeight="1" x14ac:dyDescent="0.2">
      <c r="A21" s="144" t="s">
        <v>1035</v>
      </c>
      <c r="B21" s="76">
        <f>IF(B8&lt;DATEVALUE("3/31/2009"),"N/A", IF(B8&lt;=DATEVALUE("03/31/2013"),(A885A_C1 + A885B_C1), IF(B8&lt;=DATEVALUE("12/31/2021"), A885D_C1, IF(B8&lt;=DATEVALUE("12/31/2022"),(A885A_C1 + ALQ0034_C1), A885A_C1))))</f>
        <v>948933910</v>
      </c>
      <c r="C21" s="76">
        <f>IF(C8&lt;DATEVALUE("3/31/2009"),"N/A", IF(C8&lt;=DATEVALUE("03/31/2013"),(A885A_C2 + A885B_C2), IF(C8&lt;=DATEVALUE("12/31/2021"), A885D_C2, IF(C8&lt;=DATEVALUE("12/31/2022"),(A885A_C2 + ALQ0034_C2), A885A_C2))))</f>
        <v>842306474</v>
      </c>
      <c r="D21" s="102">
        <f t="shared" ref="D21:D28" si="1">IF(C21="N/A", " ", IF(B21="N/A", " ",IF(AND(B21=0,C21=0,),"N/A",IF(ABS(B21)=0, "N/A", ((C21-B21)/ABS(B21))*100))))</f>
        <v>-11.236550288312491</v>
      </c>
      <c r="E21" s="76">
        <f>IF(E8&lt;DATEVALUE("3/31/2009"),"N/A", IF(E8&lt;=DATEVALUE("03/31/2013"),(A885A_C3 + A885B_C3), IF(E8&lt;=DATEVALUE("12/31/2021"), A885D_C3, IF(E8&lt;=DATEVALUE("12/31/2022"),(A885A_C3 + ALQ0034_C3), A885A_C3))))</f>
        <v>643980092</v>
      </c>
      <c r="F21" s="102">
        <f t="shared" ref="F21:F28" si="2">IF(E21="N/A", " ", IF(C21="N/A", " ",IF(AND(C21=0,E21=0,),"N/A",IF(ABS(C21)=0, "N/A", ((E21-C21)/ABS(C21))*100))))</f>
        <v>-23.545631919243686</v>
      </c>
      <c r="G21" s="76">
        <f>IF(G8&lt;DATEVALUE("3/31/2009"),"N/A", IF(G8&lt;=DATEVALUE("03/31/2013"),(A885A_C4 + A885B_C4), IF(G8&lt;=DATEVALUE("12/31/2021"), A885D_C4, IF(G8&lt;=DATEVALUE("12/31/2022"),(A885A_C4 + ALQ0034_C4), A885A_C4))))</f>
        <v>635243632</v>
      </c>
      <c r="H21" s="102">
        <f t="shared" ref="H21:H28" si="3">IF(G21="N/A", " ", IF(E21="N/A", " ",IF(AND(E21=0,G21=0,),"N/A",IF(ABS(E21)=0, "N/A", ((G21-E21)/ABS(E21))*100))))</f>
        <v>-1.3566351054218615</v>
      </c>
      <c r="I21" s="76">
        <f>IF(I8&lt;DATEVALUE("3/31/2009"),"N/A", IF(I8&lt;=DATEVALUE("03/31/2013"),(A885A_C5 + A885B_C5), IF(I8&lt;=DATEVALUE("12/31/2021"), A885D_C5, IF(I8&lt;=DATEVALUE("12/31/2022"),(A885A_C5 + ALQ0034_C5), A885A_C5))))</f>
        <v>691970413</v>
      </c>
      <c r="J21" s="102">
        <f t="shared" ref="J21:J28" si="4">IF(I21="N/A", " ", IF(G21="N/A", " ",IF(AND(G21=0,I21=0,),"N/A",IF(ABS(G21)=0, "N/A",((I21-G21)/ABS(G21))*100))))</f>
        <v>8.9299251723943289</v>
      </c>
    </row>
    <row r="22" spans="1:10" ht="13.15" customHeight="1" x14ac:dyDescent="0.2">
      <c r="A22" s="144" t="s">
        <v>1036</v>
      </c>
      <c r="B22" s="76">
        <f>IF(B8&lt;DATEVALUE("6/30/2013"),"N/A", IF(B8&lt;=DATEVALUE("12/31/2021"), A885D1_C1, IF(B8&lt;=DATEVALUE("12/31/2022"), A885A1_C1 + ALQ0038_C1,A885A1_C1)))</f>
        <v>928079933</v>
      </c>
      <c r="C22" s="76">
        <f>IF(C8&lt;DATEVALUE("6/30/2013"),"N/A", IF(C8&lt;=DATEVALUE("12/31/2021"), A885D1_C2, IF(C8&lt;=DATEVALUE("12/31/2022"), A885A1_C2 + ALQ0038_C2,A885A1_C2)))</f>
        <v>726048698</v>
      </c>
      <c r="D22" s="102">
        <f t="shared" si="1"/>
        <v>-21.768732176649703</v>
      </c>
      <c r="E22" s="76">
        <f>IF(E8&lt;DATEVALUE("6/30/2013"),"N/A", IF(E8&lt;=DATEVALUE("12/31/2021"), A885D1_C3, IF(E8&lt;=DATEVALUE("12/31/2022"), A885A1_C3 + ALQ0038_C3,A885A1_C3)))</f>
        <v>723509920</v>
      </c>
      <c r="F22" s="102">
        <f t="shared" si="2"/>
        <v>-0.34967048449964994</v>
      </c>
      <c r="G22" s="76">
        <f>IF(G8&lt;DATEVALUE("6/30/2013"),"N/A", IF(G8&lt;=DATEVALUE("12/31/2021"), A885D1_C4, IF(G8&lt;=DATEVALUE("12/31/2022"), A885A1_C4 + ALQ0038_C4,A885A1_C4)))</f>
        <v>796337908</v>
      </c>
      <c r="H22" s="102">
        <f t="shared" si="3"/>
        <v>10.065928052513778</v>
      </c>
      <c r="I22" s="76">
        <f>IF(I8&lt;DATEVALUE("6/30/2013"),"N/A", IF(I8&lt;=DATEVALUE("12/31/2021"), A885D1_C5, IF(I8&lt;=DATEVALUE("12/31/2022"), A885A1_C5 + ALQ0038_C5,A885A1_C5)))</f>
        <v>739120444</v>
      </c>
      <c r="J22" s="102">
        <f t="shared" si="4"/>
        <v>-7.1850735002307582</v>
      </c>
    </row>
    <row r="23" spans="1:10" ht="13.15" customHeight="1" x14ac:dyDescent="0.2">
      <c r="A23" s="144" t="s">
        <v>1037</v>
      </c>
      <c r="B23" s="76">
        <f>IF(B8&lt;DATEVALUE("6/30/2013"),"N/A", IF(B8&lt;=DATEVALUE("12/31/2021"),A885D3_C1, IF(B8&lt;=DATEVALUE("12/31/2022"),A885A3_C1 + ALQ0042_C1,A885A3_C1)))</f>
        <v>85494176503</v>
      </c>
      <c r="C23" s="76">
        <f>IF(C8&lt;DATEVALUE("6/30/2013"),"N/A", IF(C8&lt;=DATEVALUE("12/31/2021"),A885D3_C2, IF(C8&lt;=DATEVALUE("12/31/2022"),A885A3_C2 + ALQ0042_C2,A885A3_C2)))</f>
        <v>88220368161</v>
      </c>
      <c r="D23" s="102">
        <f t="shared" si="1"/>
        <v>3.1887454438541059</v>
      </c>
      <c r="E23" s="76">
        <f>IF(E8&lt;DATEVALUE("6/30/2013"),"N/A", IF(E8&lt;=DATEVALUE("12/31/2021"),A885D3_C3, IF(E8&lt;=DATEVALUE("12/31/2022"),A885A3_C3 + ALQ0042_C3,A885A3_C3)))</f>
        <v>81853546464</v>
      </c>
      <c r="F23" s="102">
        <f t="shared" si="2"/>
        <v>-7.2169520822909146</v>
      </c>
      <c r="G23" s="76">
        <f>IF(G8&lt;DATEVALUE("6/30/2013"),"N/A", IF(G8&lt;=DATEVALUE("12/31/2021"),A885D3_C4, IF(G8&lt;=DATEVALUE("12/31/2022"),A885A3_C4 + ALQ0042_C4,A885A3_C4)))</f>
        <v>84348221254</v>
      </c>
      <c r="H23" s="102">
        <f t="shared" si="3"/>
        <v>3.0477296314792941</v>
      </c>
      <c r="I23" s="76">
        <f>IF(I8&lt;DATEVALUE("6/30/2013"),"N/A", IF(I8&lt;=DATEVALUE("12/31/2021"),A885D3_C5, IF(I8&lt;=DATEVALUE("12/31/2022"),A885A3_C5 + ALQ0042_C5,A885A3_C5)))</f>
        <v>80824484494</v>
      </c>
      <c r="J23" s="102">
        <f t="shared" si="4"/>
        <v>-4.1776064837086242</v>
      </c>
    </row>
    <row r="24" spans="1:10" ht="13.15" customHeight="1" x14ac:dyDescent="0.2">
      <c r="A24" s="144" t="s">
        <v>1038</v>
      </c>
      <c r="B24" s="76">
        <f>IF(B8&lt;DATEVALUE("6/30/2013"), "N/A", IF(B8&lt;=DATEVALUE("12/31/2021"), A885D4_C1,ALQ0044_C1))</f>
        <v>500000</v>
      </c>
      <c r="C24" s="76">
        <f>IF(C8&lt;DATEVALUE("6/30/2013"), "N/A", IF(C8&lt;=DATEVALUE("12/31/2021"), A885D4_C2,ALQ0044_C2))</f>
        <v>500000</v>
      </c>
      <c r="D24" s="102">
        <f t="shared" si="1"/>
        <v>0</v>
      </c>
      <c r="E24" s="76">
        <f>IF(E8&lt;DATEVALUE("6/30/2013"), "N/A", IF(E8&lt;=DATEVALUE("12/31/2021"), A885D4_C3,ALQ0044_C3))</f>
        <v>0</v>
      </c>
      <c r="F24" s="102">
        <f t="shared" si="2"/>
        <v>-100</v>
      </c>
      <c r="G24" s="76">
        <f>IF(G8&lt;DATEVALUE("6/30/2013"), "N/A", IF(G8&lt;=DATEVALUE("12/31/2021"), A885D4_C4,ALQ0044_C4))</f>
        <v>0</v>
      </c>
      <c r="H24" s="102" t="str">
        <f t="shared" si="3"/>
        <v>N/A</v>
      </c>
      <c r="I24" s="76">
        <f>IF(I8&lt;DATEVALUE("6/30/2013"), "N/A", IF(I8&lt;=DATEVALUE("12/31/2021"), A885D4_C5,ALQ0044_C5))</f>
        <v>19000000</v>
      </c>
      <c r="J24" s="102" t="str">
        <f t="shared" si="4"/>
        <v>N/A</v>
      </c>
    </row>
    <row r="25" spans="1:10" ht="24.75" customHeight="1" x14ac:dyDescent="0.2">
      <c r="A25" s="144" t="s">
        <v>1039</v>
      </c>
      <c r="B25" s="76">
        <f>IF(B8&lt;DATEVALUE("6/30/2013"),"N/A", IF(B8&lt;=DATEVALUE("12/31/2021"), A885D5_C1 - ALC0085_C1,ALQ0046_C1))</f>
        <v>28712535860</v>
      </c>
      <c r="C25" s="76">
        <f>IF(C8&lt;DATEVALUE("6/30/2013"),"N/A", IF(C8&lt;=DATEVALUE("12/31/2021"), A885D5_C2 - ALC0085_C2,ALQ0046_C2))</f>
        <v>2980281316</v>
      </c>
      <c r="D25" s="102">
        <f t="shared" si="1"/>
        <v>-89.620278297494821</v>
      </c>
      <c r="E25" s="76">
        <f>IF(E8&lt;DATEVALUE("6/30/2013"),"N/A", IF(E8&lt;=DATEVALUE("12/31/2021"), A885D5_C3 - ALC0085_C3,ALQ0046_C3))</f>
        <v>362400000</v>
      </c>
      <c r="F25" s="102">
        <f t="shared" si="2"/>
        <v>-87.840074087824803</v>
      </c>
      <c r="G25" s="76">
        <f>IF(G8&lt;DATEVALUE("6/30/2013"),"N/A", IF(G8&lt;=DATEVALUE("12/31/2021"), A885D5_C4 - ALC0085_C4,ALQ0046_C4))</f>
        <v>223161000</v>
      </c>
      <c r="H25" s="102">
        <f t="shared" si="3"/>
        <v>-38.421357615894038</v>
      </c>
      <c r="I25" s="76">
        <f>IF(I8&lt;DATEVALUE("6/30/2013"),"N/A", IF(I8&lt;=DATEVALUE("12/31/2021"), A885D5_C5 - ALC0085_C5,ALQ0046_C5))</f>
        <v>1756251000</v>
      </c>
      <c r="J25" s="102">
        <f t="shared" si="4"/>
        <v>686.98831785123741</v>
      </c>
    </row>
    <row r="26" spans="1:10" ht="13.15" customHeight="1" x14ac:dyDescent="0.2">
      <c r="A26" s="144" t="s">
        <v>1040</v>
      </c>
      <c r="B26" s="76">
        <f>IF(B8&lt;DATEVALUE("06/30/2020"),"N/A",ALC0085_C1)</f>
        <v>0</v>
      </c>
      <c r="C26" s="76">
        <f>IF(C8&lt;DATEVALUE("06/30/2020"),"N/A",ALC0085_C2)</f>
        <v>0</v>
      </c>
      <c r="D26" s="102" t="str">
        <f t="shared" si="1"/>
        <v>N/A</v>
      </c>
      <c r="E26" s="76">
        <f>IF(E8&lt;DATEVALUE("06/30/2020"),"N/A",ALC0085_C3)</f>
        <v>0</v>
      </c>
      <c r="F26" s="102" t="str">
        <f t="shared" si="2"/>
        <v>N/A</v>
      </c>
      <c r="G26" s="76">
        <f>IF(G8&lt;DATEVALUE("06/30/2020"),"N/A",ALC0085_C4)</f>
        <v>0</v>
      </c>
      <c r="H26" s="102" t="str">
        <f t="shared" si="3"/>
        <v>N/A</v>
      </c>
      <c r="I26" s="76">
        <f>IF(I8&lt;DATEVALUE("06/30/2020"),"N/A",ALC0085_C5)</f>
        <v>0</v>
      </c>
      <c r="J26" s="102" t="str">
        <f t="shared" si="4"/>
        <v>N/A</v>
      </c>
    </row>
    <row r="27" spans="1:10" ht="13.15" customHeight="1" x14ac:dyDescent="0.2">
      <c r="A27" s="144" t="s">
        <v>1041</v>
      </c>
      <c r="B27" s="76">
        <f>IF(B8&lt;DATEVALUE("6/30/2013"),"N/A", IF(B8&lt;=DATEVALUE("12/31/2021"),A885D2_C1, IF(B8&lt;=DATEVALUE("12/31/2022"),A885A2_C1 + ALQ0052_C1,A885A2_C1)))</f>
        <v>5776270311</v>
      </c>
      <c r="C27" s="76">
        <f>IF(C8&lt;DATEVALUE("6/30/2013"),"N/A", IF(C8&lt;=DATEVALUE("12/31/2021"),A885D2_C2, IF(C8&lt;=DATEVALUE("12/31/2022"),A885A2_C2 + ALQ0052_C2,A885A2_C2)))</f>
        <v>3684193729</v>
      </c>
      <c r="D27" s="102">
        <f t="shared" si="1"/>
        <v>-36.218467442840556</v>
      </c>
      <c r="E27" s="76">
        <f>IF(E8&lt;DATEVALUE("6/30/2013"),"N/A", IF(E8&lt;=DATEVALUE("12/31/2021"),A885D2_C3, IF(E8&lt;=DATEVALUE("12/31/2022"),A885A2_C3 + ALQ0052_C3,A885A2_C3)))</f>
        <v>3845895062</v>
      </c>
      <c r="F27" s="102">
        <f t="shared" si="2"/>
        <v>4.3890561923270681</v>
      </c>
      <c r="G27" s="76">
        <f>IF(G8&lt;DATEVALUE("6/30/2013"),"N/A", IF(G8&lt;=DATEVALUE("12/31/2021"),A885D2_C4, IF(G8&lt;=DATEVALUE("12/31/2022"),A885A2_C4 + ALQ0052_C4,A885A2_C4)))</f>
        <v>4109909688</v>
      </c>
      <c r="H27" s="102">
        <f t="shared" si="3"/>
        <v>6.8648421692167325</v>
      </c>
      <c r="I27" s="76">
        <f>IF(I8&lt;DATEVALUE("6/30/2013"),"N/A", IF(I8&lt;=DATEVALUE("12/31/2021"),A885D2_C5, IF(I8&lt;=DATEVALUE("12/31/2022"),A885A2_C5 + ALQ0052_C5,A885A2_C5)))</f>
        <v>3869978198</v>
      </c>
      <c r="J27" s="102">
        <f t="shared" si="4"/>
        <v>-5.8378774283178361</v>
      </c>
    </row>
    <row r="28" spans="1:10" ht="13.15" customHeight="1" x14ac:dyDescent="0.2">
      <c r="A28" s="153" t="s">
        <v>1044</v>
      </c>
      <c r="B28" s="76">
        <f>IF(B8&lt;DATEVALUE("6/30/2013"),"N/A", IF(B8&lt;=DATEVALUE("12/31/2021"),A885D6_C1, IF(B8&lt;=DATEVALUE("12/31/2022"), A885A4_C1 + ALQ0056_C1,A885A4_C1)))</f>
        <v>121860496517</v>
      </c>
      <c r="C28" s="76">
        <f>IF(C8&lt;DATEVALUE("6/30/2013"),"N/A", IF(C8&lt;=DATEVALUE("12/31/2021"),A885D6_C2, IF(C8&lt;=DATEVALUE("12/31/2022"), A885A4_C2 + ALQ0056_C2,A885A4_C2)))</f>
        <v>96453698378</v>
      </c>
      <c r="D28" s="102">
        <f t="shared" si="1"/>
        <v>-20.849084703553341</v>
      </c>
      <c r="E28" s="76">
        <f>IF(E8&lt;DATEVALUE("6/30/2013"),"N/A", IF(E8&lt;=DATEVALUE("12/31/2021"),A885D6_C3, IF(E8&lt;=DATEVALUE("12/31/2022"), A885A4_C3 + ALQ0056_C3,A885A4_C3)))</f>
        <v>87429331538</v>
      </c>
      <c r="F28" s="102">
        <f t="shared" si="2"/>
        <v>-9.3561646590612799</v>
      </c>
      <c r="G28" s="76">
        <f>IF(G8&lt;DATEVALUE("6/30/2013"),"N/A", IF(G8&lt;=DATEVALUE("12/31/2021"),A885D6_C4, IF(G8&lt;=DATEVALUE("12/31/2022"), A885A4_C4 + ALQ0056_C4,A885A4_C4)))</f>
        <v>90112873482</v>
      </c>
      <c r="H28" s="102">
        <f t="shared" si="3"/>
        <v>3.0693840348460562</v>
      </c>
      <c r="I28" s="76">
        <f>IF(I8&lt;DATEVALUE("6/30/2013"),"N/A", IF(I8&lt;=DATEVALUE("12/31/2021"),A885D6_C5, IF(I8&lt;=DATEVALUE("12/31/2022"), A885A4_C5 + ALQ0056_C5,A885A4_C5)))</f>
        <v>87900804549</v>
      </c>
      <c r="J28" s="102">
        <f t="shared" si="4"/>
        <v>-2.4547757135298318</v>
      </c>
    </row>
    <row r="29" spans="1:10" ht="13.15" customHeight="1" x14ac:dyDescent="0.2">
      <c r="A29" s="153" t="s">
        <v>1045</v>
      </c>
      <c r="B29" s="76"/>
      <c r="C29" s="76"/>
      <c r="D29" s="102"/>
      <c r="E29" s="76"/>
      <c r="F29" s="102"/>
      <c r="G29" s="76"/>
      <c r="H29" s="102"/>
      <c r="I29" s="76"/>
      <c r="J29" s="102"/>
    </row>
    <row r="30" spans="1:10" ht="13.15" customHeight="1" x14ac:dyDescent="0.2">
      <c r="A30" s="144" t="s">
        <v>1035</v>
      </c>
      <c r="B30" s="76">
        <f t="array" ref="B30">IF(B8&lt;DATEVALUE("3/31/2022"),"N/A",ALQ0035_C1)</f>
        <v>74448146437</v>
      </c>
      <c r="C30" s="76">
        <f t="array" ref="C30">IF(C8&lt;DATEVALUE("3/31/2022"),"N/A",ALQ0035_C2)</f>
        <v>75040821974</v>
      </c>
      <c r="D30" s="102">
        <f t="shared" ref="D30:D39" si="5">IF(C30="N/A", " ", IF(B30="N/A", " ",IF(AND(B30=0,C30=0,),"N/A",IF(ABS(B30)=0, "N/A", ((C30-B30)/ABS(B30))*100))))</f>
        <v>0.79609173010309642</v>
      </c>
      <c r="E30" s="76">
        <f t="array" ref="E30">IF(E8&lt;DATEVALUE("3/31/2022"),"N/A",ALQ0035_C3)</f>
        <v>81704687183</v>
      </c>
      <c r="F30" s="102">
        <f t="shared" ref="F30:F39" si="6">IF(E30="N/A", " ", IF(C30="N/A", " ",IF(AND(C30=0,E30=0,),"N/A",IF(ABS(C30)=0, "N/A", ((E30-C30)/ABS(C30))*100))))</f>
        <v>8.8803201160414833</v>
      </c>
      <c r="G30" s="76">
        <f t="array" ref="G30">IF(G8&lt;DATEVALUE("3/31/2022"),"N/A",ALQ0035_C4)</f>
        <v>85235425007</v>
      </c>
      <c r="H30" s="102">
        <f t="shared" ref="H30:H39" si="7">IF(G30="N/A", " ", IF(E30="N/A", " ",IF(AND(E30=0,G30=0,),"N/A",IF(ABS(E30)=0, "N/A", ((G30-E30)/ABS(E30))*100))))</f>
        <v>4.3213406057010495</v>
      </c>
      <c r="I30" s="76">
        <f t="array" ref="I30">IF(I8&lt;DATEVALUE("3/31/2022"),"N/A",ALQ0035_C5)</f>
        <v>84148108200</v>
      </c>
      <c r="J30" s="102">
        <f t="shared" ref="J30:J39" si="8">IF(I30="N/A", " ", IF(G30="N/A", " ",IF(AND(G30=0,I30=0,),"N/A",IF(ABS(G30)=0, "N/A",((I30-G30)/ABS(G30))*100))))</f>
        <v>-1.2756630320206692</v>
      </c>
    </row>
    <row r="31" spans="1:10" ht="13.15" customHeight="1" x14ac:dyDescent="0.2">
      <c r="A31" s="144" t="s">
        <v>1036</v>
      </c>
      <c r="B31" s="76">
        <f>IF(B8&lt;DATEVALUE("3/31/2022"),"N/A",ALQ0039_C1)</f>
        <v>531408020</v>
      </c>
      <c r="C31" s="76">
        <f>IF(C8&lt;DATEVALUE("3/31/2022"),"N/A",ALQ0039_C2)</f>
        <v>307465917</v>
      </c>
      <c r="D31" s="102">
        <f t="shared" si="5"/>
        <v>-42.141272726745825</v>
      </c>
      <c r="E31" s="76">
        <f>IF(E8&lt;DATEVALUE("3/31/2022"),"N/A",ALQ0039_C3)</f>
        <v>51415821</v>
      </c>
      <c r="F31" s="102">
        <f t="shared" si="6"/>
        <v>-83.277554305311824</v>
      </c>
      <c r="G31" s="76">
        <f>IF(G8&lt;DATEVALUE("3/31/2022"),"N/A",ALQ0039_C4)</f>
        <v>573495193</v>
      </c>
      <c r="H31" s="102">
        <f t="shared" si="7"/>
        <v>1015.4060789965797</v>
      </c>
      <c r="I31" s="76">
        <f>IF(I8&lt;DATEVALUE("3/31/2022"),"N/A",ALQ0039_C5)</f>
        <v>25836617</v>
      </c>
      <c r="J31" s="102">
        <f t="shared" si="8"/>
        <v>-95.494885168113342</v>
      </c>
    </row>
    <row r="32" spans="1:10" ht="13.15" customHeight="1" x14ac:dyDescent="0.2">
      <c r="A32" s="144" t="s">
        <v>1037</v>
      </c>
      <c r="B32" s="76">
        <f>IF(B8&lt;DATEVALUE("3/31/2022"),"N/A",ALQ0043_C1)</f>
        <v>506641599450</v>
      </c>
      <c r="C32" s="76">
        <f>IF(C8&lt;DATEVALUE("3/31/2022"),"N/A",ALQ0043_C2)</f>
        <v>520447534449</v>
      </c>
      <c r="D32" s="102">
        <f t="shared" si="5"/>
        <v>2.7249904101809737</v>
      </c>
      <c r="E32" s="76">
        <f>IF(E8&lt;DATEVALUE("3/31/2022"),"N/A",ALQ0043_C3)</f>
        <v>531770706869</v>
      </c>
      <c r="F32" s="102">
        <f t="shared" si="6"/>
        <v>2.1756606901765596</v>
      </c>
      <c r="G32" s="76">
        <f>IF(G8&lt;DATEVALUE("3/31/2022"),"N/A",ALQ0043_C4)</f>
        <v>542051962502</v>
      </c>
      <c r="H32" s="102">
        <f t="shared" si="7"/>
        <v>1.9334001478823002</v>
      </c>
      <c r="I32" s="76">
        <f>IF(I8&lt;DATEVALUE("3/31/2022"),"N/A",ALQ0043_C5)</f>
        <v>547454367127</v>
      </c>
      <c r="J32" s="102">
        <f t="shared" si="8"/>
        <v>0.9966580694706122</v>
      </c>
    </row>
    <row r="33" spans="1:10" ht="13.15" customHeight="1" x14ac:dyDescent="0.2">
      <c r="A33" s="144" t="s">
        <v>1038</v>
      </c>
      <c r="B33" s="76">
        <f>IF(B8&lt;DATEVALUE("3/31/2022"),"N/A",ALQ0045_C1)</f>
        <v>5565955270</v>
      </c>
      <c r="C33" s="76">
        <f>IF(C8&lt;DATEVALUE("3/31/2022"),"N/A",ALQ0045_C2)</f>
        <v>5242206342</v>
      </c>
      <c r="D33" s="102">
        <f t="shared" si="5"/>
        <v>-5.8165923421084198</v>
      </c>
      <c r="E33" s="76">
        <f>IF(E8&lt;DATEVALUE("3/31/2022"),"N/A",ALQ0045_C3)</f>
        <v>5298858112</v>
      </c>
      <c r="F33" s="102">
        <f t="shared" si="6"/>
        <v>1.0806856179260256</v>
      </c>
      <c r="G33" s="76">
        <f>IF(G8&lt;DATEVALUE("3/31/2022"),"N/A",ALQ0045_C4)</f>
        <v>4986506390</v>
      </c>
      <c r="H33" s="102">
        <f t="shared" si="7"/>
        <v>-5.8946987331598129</v>
      </c>
      <c r="I33" s="76">
        <f>IF(I8&lt;DATEVALUE("3/31/2022"),"N/A",ALQ0045_C5)</f>
        <v>5127713434</v>
      </c>
      <c r="J33" s="102">
        <f t="shared" si="8"/>
        <v>2.8317830752844979</v>
      </c>
    </row>
    <row r="34" spans="1:10" ht="24" customHeight="1" x14ac:dyDescent="0.2">
      <c r="A34" s="144" t="s">
        <v>1046</v>
      </c>
      <c r="B34" s="76">
        <f t="array" ref="B34">IF(B8&lt;DATEVALUE("3/31/2022"),"N/A",ALQ0047_C1)</f>
        <v>220281763638</v>
      </c>
      <c r="C34" s="76">
        <f t="array" ref="C34">IF(C8&lt;DATEVALUE("3/31/2022"),"N/A",ALQ0047_C2)</f>
        <v>190678066689</v>
      </c>
      <c r="D34" s="102">
        <f t="shared" si="5"/>
        <v>-13.439013951989795</v>
      </c>
      <c r="E34" s="76">
        <f t="array" ref="E34">IF(E8&lt;DATEVALUE("3/31/2022"),"N/A",ALQ0047_C3)</f>
        <v>192161679700</v>
      </c>
      <c r="F34" s="102">
        <f t="shared" si="6"/>
        <v>0.77807219087227508</v>
      </c>
      <c r="G34" s="76">
        <f t="array" ref="G34">IF(G8&lt;DATEVALUE("3/31/2022"),"N/A",ALQ0047_C4)</f>
        <v>189077516104</v>
      </c>
      <c r="H34" s="102">
        <f t="shared" si="7"/>
        <v>-1.6049836787516383</v>
      </c>
      <c r="I34" s="76">
        <f t="array" ref="I34">IF(I8&lt;DATEVALUE("3/31/2022"),"N/A",ALQ0047_C5)</f>
        <v>189854338870</v>
      </c>
      <c r="J34" s="102">
        <f t="shared" si="8"/>
        <v>0.41084883174195991</v>
      </c>
    </row>
    <row r="35" spans="1:10" ht="13.15" customHeight="1" x14ac:dyDescent="0.2">
      <c r="A35" s="144" t="s">
        <v>1040</v>
      </c>
      <c r="B35" s="76">
        <f>IF(B8&lt;DATEVALUE("6/30/2020"),"N/A",ALC0047_C1)</f>
        <v>0</v>
      </c>
      <c r="C35" s="76">
        <f>IF(C8&lt;DATEVALUE("6/30/2020"),"N/A",ALC0047_C2)</f>
        <v>0</v>
      </c>
      <c r="D35" s="102" t="str">
        <f t="shared" si="5"/>
        <v>N/A</v>
      </c>
      <c r="E35" s="76">
        <f>IF(E8&lt;DATEVALUE("6/30/2020"),"N/A",ALC0047_C3)</f>
        <v>0</v>
      </c>
      <c r="F35" s="102" t="str">
        <f t="shared" si="6"/>
        <v>N/A</v>
      </c>
      <c r="G35" s="76">
        <f>IF(G8&lt;DATEVALUE("6/30/2020"),"N/A",ALC0047_C4)</f>
        <v>0</v>
      </c>
      <c r="H35" s="102" t="str">
        <f t="shared" si="7"/>
        <v>N/A</v>
      </c>
      <c r="I35" s="76">
        <f>IF(I8&lt;DATEVALUE("6/30/2020"),"N/A",ALC0047_C5)</f>
        <v>0</v>
      </c>
      <c r="J35" s="102" t="str">
        <f t="shared" si="8"/>
        <v>N/A</v>
      </c>
    </row>
    <row r="36" spans="1:10" ht="13.15" customHeight="1" x14ac:dyDescent="0.2">
      <c r="A36" s="144" t="s">
        <v>1041</v>
      </c>
      <c r="B36" s="76">
        <f>IF(B8&lt;DATEVALUE("3/31/2022"),"N/A",ALQ0053_C1)</f>
        <v>7659585795</v>
      </c>
      <c r="C36" s="76">
        <f>IF(C8&lt;DATEVALUE("3/31/2022"),"N/A",ALQ0053_C2)</f>
        <v>5380752914</v>
      </c>
      <c r="D36" s="102">
        <f t="shared" si="5"/>
        <v>-29.751385283621595</v>
      </c>
      <c r="E36" s="76">
        <f>IF(E8&lt;DATEVALUE("3/31/2022"),"N/A",ALQ0053_C3)</f>
        <v>4149559945</v>
      </c>
      <c r="F36" s="102">
        <f t="shared" si="6"/>
        <v>-22.881425493384029</v>
      </c>
      <c r="G36" s="76">
        <f>IF(G8&lt;DATEVALUE("3/31/2022"),"N/A",ALQ0053_C4)</f>
        <v>4583527313</v>
      </c>
      <c r="H36" s="102">
        <f t="shared" si="7"/>
        <v>10.458153966974443</v>
      </c>
      <c r="I36" s="76">
        <f>IF(I8&lt;DATEVALUE("3/31/2022"),"N/A",ALQ0053_C5)</f>
        <v>4213553511</v>
      </c>
      <c r="J36" s="102">
        <f t="shared" si="8"/>
        <v>-8.0718140579344677</v>
      </c>
    </row>
    <row r="37" spans="1:10" ht="13.15" customHeight="1" x14ac:dyDescent="0.2">
      <c r="A37" s="153" t="s">
        <v>1047</v>
      </c>
      <c r="B37" s="76">
        <f>IF(B8&lt;DATEVALUE("3/31/2009"),"NA",A878_C1)</f>
        <v>815128458610</v>
      </c>
      <c r="C37" s="76">
        <f>IF(C8&lt;DATEVALUE("3/31/2009"),"NA",A878_C2)</f>
        <v>797096848285</v>
      </c>
      <c r="D37" s="102">
        <f t="shared" si="5"/>
        <v>-2.2121188549530526</v>
      </c>
      <c r="E37" s="76">
        <f>IF(E8&lt;DATEVALUE("3/31/2009"),"NA",A878_C3)</f>
        <v>815136907630</v>
      </c>
      <c r="F37" s="102">
        <f t="shared" si="6"/>
        <v>2.2632205087517572</v>
      </c>
      <c r="G37" s="76">
        <f>IF(G8&lt;DATEVALUE("3/31/2009"),"NA",A878_C4)</f>
        <v>826508432509</v>
      </c>
      <c r="H37" s="102">
        <f t="shared" si="7"/>
        <v>1.3950447799085139</v>
      </c>
      <c r="I37" s="76">
        <f>IF(I8&lt;DATEVALUE("3/31/2009"),"NA",A878_C5)</f>
        <v>830823917759</v>
      </c>
      <c r="J37" s="102">
        <f t="shared" si="8"/>
        <v>0.52213444899765227</v>
      </c>
    </row>
    <row r="38" spans="1:10" ht="13.15" customHeight="1" x14ac:dyDescent="0.2">
      <c r="A38" s="144" t="s">
        <v>1048</v>
      </c>
      <c r="B38" s="76">
        <f>IF(B8&lt;DATEVALUE("06/30/2006"),"N/A",A865A_C1)</f>
        <v>6536294841</v>
      </c>
      <c r="C38" s="76">
        <f>IF(C8&lt;DATEVALUE("06/30/2006"),"N/A",A865A_C2)</f>
        <v>6575076020</v>
      </c>
      <c r="D38" s="102">
        <f t="shared" si="5"/>
        <v>0.59332052704750382</v>
      </c>
      <c r="E38" s="76">
        <f>IF(E8&lt;DATEVALUE("06/30/2006"),"N/A",A865A_C3)</f>
        <v>6758871145</v>
      </c>
      <c r="F38" s="102">
        <f t="shared" si="6"/>
        <v>2.7953307983198039</v>
      </c>
      <c r="G38" s="76">
        <f>IF(G8&lt;DATEVALUE("06/30/2006"),"N/A",A865A_C4)</f>
        <v>6929521179</v>
      </c>
      <c r="H38" s="102">
        <f t="shared" si="7"/>
        <v>2.5248304093834002</v>
      </c>
      <c r="I38" s="76">
        <f>IF(I8&lt;DATEVALUE("06/30/2006"),"N/A",A865A_C5)</f>
        <v>6840821179</v>
      </c>
      <c r="J38" s="102">
        <f t="shared" si="8"/>
        <v>-1.2800307223074294</v>
      </c>
    </row>
    <row r="39" spans="1:10" ht="13.15" customHeight="1" x14ac:dyDescent="0.2">
      <c r="A39" s="144" t="s">
        <v>1049</v>
      </c>
      <c r="B39" s="76">
        <f>IF(B8&lt;DATEVALUE("06/30/2006"),"N/A",A896_C1)</f>
        <v>1559</v>
      </c>
      <c r="C39" s="76">
        <f>IF(C8&lt;DATEVALUE("06/30/2006"),"N/A",A896_C2)</f>
        <v>1570</v>
      </c>
      <c r="D39" s="102">
        <f t="shared" si="5"/>
        <v>0.7055805003207184</v>
      </c>
      <c r="E39" s="76">
        <f>IF(E8&lt;DATEVALUE("06/30/2006"),"N/A",A896_C3)</f>
        <v>1570</v>
      </c>
      <c r="F39" s="102">
        <f t="shared" si="6"/>
        <v>0</v>
      </c>
      <c r="G39" s="76">
        <f>IF(G8&lt;DATEVALUE("06/30/2006"),"N/A",A896_C4)</f>
        <v>1571</v>
      </c>
      <c r="H39" s="102">
        <f t="shared" si="7"/>
        <v>6.3694267515923567E-2</v>
      </c>
      <c r="I39" s="76">
        <f>IF(I8&lt;DATEVALUE("06/30/2006"),"N/A",A896_C5)</f>
        <v>1572</v>
      </c>
      <c r="J39" s="102">
        <f t="shared" si="8"/>
        <v>6.3653723742838952E-2</v>
      </c>
    </row>
    <row r="40" spans="1:10" ht="13.15" customHeight="1" x14ac:dyDescent="0.2">
      <c r="A40" s="153" t="s">
        <v>1050</v>
      </c>
      <c r="B40" s="130"/>
      <c r="C40" s="130"/>
      <c r="D40" s="102"/>
      <c r="E40" s="130"/>
      <c r="F40" s="102"/>
      <c r="G40" s="91"/>
      <c r="H40" s="64"/>
      <c r="I40" s="130"/>
      <c r="J40" s="102"/>
    </row>
    <row r="41" spans="1:10" s="30" customFormat="1" ht="13.15" customHeight="1" x14ac:dyDescent="0.2">
      <c r="A41" s="144" t="s">
        <v>1051</v>
      </c>
      <c r="B41" s="76">
        <f>IF(B8&lt;DATEVALUE("03/31/2005"),"N/A",A883A_C1)</f>
        <v>64161094347</v>
      </c>
      <c r="C41" s="281">
        <f>IF(C8&lt;DATEVALUE("03/31/2005"),"N/A",A883A_C2)</f>
        <v>44194325676</v>
      </c>
      <c r="D41" s="102">
        <f t="shared" ref="D41:D56" si="9">IF(C41="N/A", " ", IF(B41="N/A", " ",IF(AND(B41=0,C41=0,),"N/A",IF(ABS(B41)=0, "N/A", ((C41-B41)/ABS(B41))*100))))</f>
        <v>-31.119744565163565</v>
      </c>
      <c r="E41" s="76">
        <f>IF(E8&lt;DATEVALUE("03/31/2005"),"N/A",A883A_C3)</f>
        <v>38576858437</v>
      </c>
      <c r="F41" s="102">
        <f t="shared" ref="F41:F56" si="10">IF(E41="N/A", " ", IF(C41="N/A", " ",IF(AND(C41=0,E41=0,),"N/A",IF(ABS(C41)=0, "N/A", ((E41-C41)/ABS(C41))*100))))</f>
        <v>-12.710833694314291</v>
      </c>
      <c r="G41" s="281">
        <f>IF(G8&lt;DATEVALUE("03/31/2005"),"N/A",A883A_C4)</f>
        <v>43082333031</v>
      </c>
      <c r="H41" s="102">
        <f t="shared" ref="H41:H56" si="11">IF(G41="N/A", " ", IF(E41="N/A", " ",IF(AND(E41=0,G41=0,),"N/A",IF(ABS(E41)=0, "N/A", ((G41-E41)/ABS(E41))*100))))</f>
        <v>11.679215925158617</v>
      </c>
      <c r="I41" s="281">
        <f>IF(I8&lt;DATEVALUE("03/31/2005"),"N/A",A883A_C5)</f>
        <v>44101459094</v>
      </c>
      <c r="J41" s="102">
        <f t="shared" ref="J41:J56" si="12">IF(I41="N/A", " ", IF(G41="N/A", " ",IF(AND(G41=0,I41=0,),"N/A",IF(ABS(G41)=0, "N/A",((I41-G41)/ABS(G41))*100))))</f>
        <v>2.3655312776740418</v>
      </c>
    </row>
    <row r="42" spans="1:10" s="30" customFormat="1" ht="13.15" customHeight="1" x14ac:dyDescent="0.2">
      <c r="A42" s="86" t="s">
        <v>1052</v>
      </c>
      <c r="B42" s="76" cm="1">
        <f t="array" ref="B42">IF(B8&lt;DATEVALUE("03/31/2005"),"N/A",A883B1_C1)</f>
        <v>27237785405</v>
      </c>
      <c r="C42" s="281">
        <f>IF(C8&lt;DATEVALUE("03/31/2005"),"N/A",A883B1_C2)</f>
        <v>26985995048</v>
      </c>
      <c r="D42" s="102">
        <f t="shared" si="9"/>
        <v>-0.92441567203837072</v>
      </c>
      <c r="E42" s="76">
        <f>IF(E8&lt;DATEVALUE("03/31/2005"),"N/A",A883B1_C3)</f>
        <v>25382009725</v>
      </c>
      <c r="F42" s="102">
        <f t="shared" si="10"/>
        <v>-5.9437694261300749</v>
      </c>
      <c r="G42" s="281">
        <f>IF(G8&lt;DATEVALUE("03/31/2005"),"N/A",A883B1_C4)</f>
        <v>25712239813</v>
      </c>
      <c r="H42" s="102">
        <f t="shared" si="11"/>
        <v>1.3010399553772924</v>
      </c>
      <c r="I42" s="281">
        <f>IF(I8&lt;DATEVALUE("03/31/2005"),"N/A",A883B1_C5)</f>
        <v>25104869095</v>
      </c>
      <c r="J42" s="102">
        <f t="shared" si="12"/>
        <v>-2.3621851787992267</v>
      </c>
    </row>
    <row r="43" spans="1:10" s="30" customFormat="1" ht="13.15" customHeight="1" x14ac:dyDescent="0.2">
      <c r="A43" s="86" t="s">
        <v>1053</v>
      </c>
      <c r="B43" s="76">
        <f>IF(B8&lt;DATEVALUE("03/31/2005"),"N/A",A883B2_C1)</f>
        <v>24444943148</v>
      </c>
      <c r="C43" s="281">
        <f>IF(C8&lt;DATEVALUE("03/31/2005"),"N/A",A883B2_C2)</f>
        <v>21041519125</v>
      </c>
      <c r="D43" s="102">
        <f t="shared" si="9"/>
        <v>-13.922814229488017</v>
      </c>
      <c r="E43" s="76">
        <f>IF(E8&lt;DATEVALUE("03/31/2005"),"N/A",A883B2_C3)</f>
        <v>19068685248</v>
      </c>
      <c r="F43" s="102">
        <f t="shared" si="10"/>
        <v>-9.3759099106871169</v>
      </c>
      <c r="G43" s="281">
        <f>IF(G8&lt;DATEVALUE("03/31/2005"),"N/A",A883B2_C4)</f>
        <v>16623556006</v>
      </c>
      <c r="H43" s="102">
        <f t="shared" si="11"/>
        <v>-12.822746876355595</v>
      </c>
      <c r="I43" s="281">
        <f>IF(I8&lt;DATEVALUE("03/31/2005"),"N/A",A883B2_C5)</f>
        <v>14193244166</v>
      </c>
      <c r="J43" s="102">
        <f t="shared" si="12"/>
        <v>-14.619686901664233</v>
      </c>
    </row>
    <row r="44" spans="1:10" s="30" customFormat="1" ht="13.15" customHeight="1" x14ac:dyDescent="0.2">
      <c r="A44" s="86" t="s">
        <v>1054</v>
      </c>
      <c r="B44" s="76">
        <f>IF(B8&lt;DATEVALUE("03/31/2005"),"N/A",A883C_C1)</f>
        <v>115843822900</v>
      </c>
      <c r="C44" s="281">
        <f>IF(C8&lt;DATEVALUE("03/31/2005"),"N/A",A883C_C2)</f>
        <v>92221839849</v>
      </c>
      <c r="D44" s="102">
        <f t="shared" si="9"/>
        <v>-20.391232315762949</v>
      </c>
      <c r="E44" s="76">
        <f>IF(E8&lt;DATEVALUE("03/31/2005"),"N/A",A883C_C3)</f>
        <v>83027553410</v>
      </c>
      <c r="F44" s="102">
        <f t="shared" si="10"/>
        <v>-9.9697495235990967</v>
      </c>
      <c r="G44" s="281">
        <f>IF(G8&lt;DATEVALUE("03/31/2005"),"N/A",A883C_C4)</f>
        <v>85418128850</v>
      </c>
      <c r="H44" s="102">
        <f t="shared" si="11"/>
        <v>2.8792555504978599</v>
      </c>
      <c r="I44" s="281">
        <f>IF(I8&lt;DATEVALUE("03/31/2005"),"N/A",A883C_C5)</f>
        <v>83399572355</v>
      </c>
      <c r="J44" s="102">
        <f t="shared" si="12"/>
        <v>-2.3631476387696591</v>
      </c>
    </row>
    <row r="45" spans="1:10" s="30" customFormat="1" ht="13.15" customHeight="1" x14ac:dyDescent="0.2">
      <c r="A45" s="86" t="s">
        <v>1055</v>
      </c>
      <c r="B45" s="76">
        <f>IF(B8&lt;DATEVALUE("06/30/1990"),"N/A",A058A_C1)</f>
        <v>1886349333</v>
      </c>
      <c r="C45" s="281">
        <f>IF(C8&lt;DATEVALUE("06/30/1990"),"N/A",A058A_C2)</f>
        <v>64903530</v>
      </c>
      <c r="D45" s="102">
        <f t="shared" si="9"/>
        <v>-96.559304850667331</v>
      </c>
      <c r="E45" s="76">
        <f>IF(E8&lt;DATEVALUE("06/30/1990"),"N/A",A058A_C3)</f>
        <v>208857732</v>
      </c>
      <c r="F45" s="102">
        <f t="shared" si="10"/>
        <v>221.7971842209507</v>
      </c>
      <c r="G45" s="281">
        <f>IF(G8&lt;DATEVALUE("06/30/1990"),"N/A",A058A_C4)</f>
        <v>478570569</v>
      </c>
      <c r="H45" s="102">
        <f t="shared" si="11"/>
        <v>129.13710898670487</v>
      </c>
      <c r="I45" s="281">
        <f>IF(I8&lt;DATEVALUE("06/30/1990"),"N/A",A058A_C5)</f>
        <v>275822354</v>
      </c>
      <c r="J45" s="102">
        <f t="shared" si="12"/>
        <v>-42.365374749988021</v>
      </c>
    </row>
    <row r="46" spans="1:10" s="30" customFormat="1" ht="13.15" customHeight="1" x14ac:dyDescent="0.2">
      <c r="A46" s="86" t="s">
        <v>1056</v>
      </c>
      <c r="B46" s="76">
        <f>IF(B8&lt;DATEVALUE("06/30/1990"),"N/A",A058B1_C1)</f>
        <v>0</v>
      </c>
      <c r="C46" s="281">
        <f>IF(C8&lt;DATEVALUE("06/30/1990"),"N/A",A058B1_C2)</f>
        <v>0</v>
      </c>
      <c r="D46" s="102" t="str">
        <f t="shared" si="9"/>
        <v>N/A</v>
      </c>
      <c r="E46" s="76">
        <f>IF(E8&lt;DATEVALUE("06/30/1990"),"N/A",A058B1_C3)</f>
        <v>0</v>
      </c>
      <c r="F46" s="102" t="str">
        <f t="shared" si="10"/>
        <v>N/A</v>
      </c>
      <c r="G46" s="281">
        <f>IF(G8&lt;DATEVALUE("06/30/1990"),"N/A",A058B1_C4)</f>
        <v>8117</v>
      </c>
      <c r="H46" s="102" t="str">
        <f t="shared" si="11"/>
        <v>N/A</v>
      </c>
      <c r="I46" s="281">
        <f>IF(I8&lt;DATEVALUE("06/30/1990"),"N/A",A058B1_C5)</f>
        <v>7502</v>
      </c>
      <c r="J46" s="102">
        <f t="shared" si="12"/>
        <v>-7.5766908956511028</v>
      </c>
    </row>
    <row r="47" spans="1:10" s="30" customFormat="1" ht="13.15" customHeight="1" x14ac:dyDescent="0.2">
      <c r="A47" s="86" t="s">
        <v>1057</v>
      </c>
      <c r="B47" s="76">
        <f>IF(B8&lt;DATEVALUE("06/30/1990"),"N/A",A058B2_C1)</f>
        <v>14927102</v>
      </c>
      <c r="C47" s="281">
        <f>IF(C8&lt;DATEVALUE("06/30/1990"),"N/A",A058B2_C2)</f>
        <v>13930558</v>
      </c>
      <c r="D47" s="102">
        <f t="shared" si="9"/>
        <v>-6.6760714839357309</v>
      </c>
      <c r="E47" s="76">
        <f>IF(E8&lt;DATEVALUE("06/30/1990"),"N/A",A058B2_C3)</f>
        <v>12099427</v>
      </c>
      <c r="F47" s="102">
        <f t="shared" si="10"/>
        <v>-13.144706766232911</v>
      </c>
      <c r="G47" s="281">
        <f>IF(G8&lt;DATEVALUE("06/30/1990"),"N/A",A058B2_C4)</f>
        <v>10776074</v>
      </c>
      <c r="H47" s="102">
        <f t="shared" si="11"/>
        <v>-10.937319593729521</v>
      </c>
      <c r="I47" s="281" cm="1">
        <f t="array" ref="I47">IF(I8&lt;DATEVALUE("06/30/1990"),"N/A",A058B2_C5)</f>
        <v>9228525</v>
      </c>
      <c r="J47" s="102">
        <f t="shared" si="12"/>
        <v>-14.360972279885978</v>
      </c>
    </row>
    <row r="48" spans="1:10" s="30" customFormat="1" ht="13.15" customHeight="1" x14ac:dyDescent="0.2">
      <c r="A48" s="86" t="s">
        <v>1058</v>
      </c>
      <c r="B48" s="76">
        <f>IF(B8&lt;DATEVALUE("06/30/1990"),"N/A",A058C_C1)</f>
        <v>1901276435</v>
      </c>
      <c r="C48" s="281">
        <f>IF(C8&lt;DATEVALUE("06/30/1990"),"N/A",A058C_C2)</f>
        <v>78834088</v>
      </c>
      <c r="D48" s="102">
        <f t="shared" si="9"/>
        <v>-95.85362304245885</v>
      </c>
      <c r="E48" s="76">
        <f>IF(E8&lt;DATEVALUE("06/30/1990"),"N/A",A058C_C3)</f>
        <v>220957159</v>
      </c>
      <c r="F48" s="102">
        <f t="shared" si="10"/>
        <v>180.28123950644294</v>
      </c>
      <c r="G48" s="281">
        <f>IF(G8&lt;DATEVALUE("06/30/1990"),"N/A",A058C_C4)</f>
        <v>489354760</v>
      </c>
      <c r="H48" s="102">
        <f t="shared" si="11"/>
        <v>121.47042540495372</v>
      </c>
      <c r="I48" s="281">
        <f>IF(I8&lt;DATEVALUE("06/30/1990"),"N/A",A058C_C5)</f>
        <v>285058381</v>
      </c>
      <c r="J48" s="102">
        <f t="shared" si="12"/>
        <v>-41.748113168450637</v>
      </c>
    </row>
    <row r="49" spans="1:10" s="30" customFormat="1" ht="13.15" customHeight="1" x14ac:dyDescent="0.2">
      <c r="A49" s="86" t="s">
        <v>1059</v>
      </c>
      <c r="B49" s="76">
        <f>IF(B8&lt;DATEVALUE("06/30/1990"),"N/A",A867A_C1)</f>
        <v>39633500</v>
      </c>
      <c r="C49" s="281">
        <f>IF(C8&lt;DATEVALUE("06/30/1990"),"N/A",A867A_C2)</f>
        <v>40976417</v>
      </c>
      <c r="D49" s="102">
        <f t="shared" si="9"/>
        <v>3.388338148283649</v>
      </c>
      <c r="E49" s="76">
        <f>IF(E8&lt;DATEVALUE("06/30/1990"),"N/A",A867A_C3)</f>
        <v>42116917</v>
      </c>
      <c r="F49" s="102">
        <f t="shared" si="10"/>
        <v>2.7833082624085947</v>
      </c>
      <c r="G49" s="281">
        <f>IF(G8&lt;DATEVALUE("06/30/1990"),"N/A",A867A_C4)</f>
        <v>50226667</v>
      </c>
      <c r="H49" s="102">
        <f t="shared" si="11"/>
        <v>19.255326784721682</v>
      </c>
      <c r="I49" s="281">
        <f>IF(I8&lt;DATEVALUE("06/30/1990"),"N/A",A867A_C5)</f>
        <v>46347813</v>
      </c>
      <c r="J49" s="102">
        <f t="shared" si="12"/>
        <v>-7.7226983825146114</v>
      </c>
    </row>
    <row r="50" spans="1:10" s="30" customFormat="1" ht="13.15" customHeight="1" x14ac:dyDescent="0.2">
      <c r="A50" s="86" t="s">
        <v>1060</v>
      </c>
      <c r="B50" s="76">
        <f>IF(B8&lt;DATEVALUE("06/30/1990"),"N/A",A867B1_C1)</f>
        <v>78719917</v>
      </c>
      <c r="C50" s="281">
        <f>IF(C8&lt;DATEVALUE("06/30/1990"),"N/A",A867B1_C2)</f>
        <v>88587396</v>
      </c>
      <c r="D50" s="102">
        <f t="shared" si="9"/>
        <v>12.534920482703251</v>
      </c>
      <c r="E50" s="76">
        <f>IF(E8&lt;DATEVALUE("06/30/1990"),"N/A",A867B1_C3)</f>
        <v>97496565</v>
      </c>
      <c r="F50" s="102">
        <f t="shared" si="10"/>
        <v>10.056926156854187</v>
      </c>
      <c r="G50" s="281">
        <f>IF(G8&lt;DATEVALUE("06/30/1990"),"N/A",A867B1_C4)</f>
        <v>102168440</v>
      </c>
      <c r="H50" s="102">
        <f t="shared" si="11"/>
        <v>4.7918354867168906</v>
      </c>
      <c r="I50" s="281">
        <f>IF(I8&lt;DATEVALUE("06/30/1990"),"N/A",A867B1_C5)</f>
        <v>116220524</v>
      </c>
      <c r="J50" s="102">
        <f t="shared" si="12"/>
        <v>13.753840226982032</v>
      </c>
    </row>
    <row r="51" spans="1:10" s="30" customFormat="1" ht="13.15" customHeight="1" x14ac:dyDescent="0.2">
      <c r="A51" s="86" t="s">
        <v>1061</v>
      </c>
      <c r="B51" s="76">
        <f>IF(B8&lt;DATEVALUE("06/30/1990"),"N/A",A867B2_C1)</f>
        <v>3997043765</v>
      </c>
      <c r="C51" s="281">
        <f>IF(C8&lt;DATEVALUE("06/30/1990"),"N/A",A867B2_C2)</f>
        <v>4023460628</v>
      </c>
      <c r="D51" s="102">
        <f t="shared" si="9"/>
        <v>0.66091002633792784</v>
      </c>
      <c r="E51" s="76">
        <f>IF(E8&lt;DATEVALUE("06/30/1990"),"N/A",A867B2_C3)</f>
        <v>4041207487</v>
      </c>
      <c r="F51" s="102">
        <f t="shared" si="10"/>
        <v>0.44108444547701936</v>
      </c>
      <c r="G51" s="281">
        <f>IF(G8&lt;DATEVALUE("06/30/1990"),"N/A",A867B2_C4)</f>
        <v>4052994765</v>
      </c>
      <c r="H51" s="102">
        <f t="shared" si="11"/>
        <v>0.29167712961826453</v>
      </c>
      <c r="I51" s="281">
        <f>IF(I8&lt;DATEVALUE("06/30/1990"),"N/A",A867B2_C5)</f>
        <v>4053605476</v>
      </c>
      <c r="J51" s="102">
        <f t="shared" si="12"/>
        <v>1.5068141841036897E-2</v>
      </c>
    </row>
    <row r="52" spans="1:10" s="30" customFormat="1" ht="13.15" customHeight="1" x14ac:dyDescent="0.2">
      <c r="A52" s="86" t="s">
        <v>1062</v>
      </c>
      <c r="B52" s="76">
        <f>IF(B8&lt;DATEVALUE("06/30/1990"),"N/A",A867C_C1)</f>
        <v>4115397182</v>
      </c>
      <c r="C52" s="281">
        <f>IF(C8&lt;DATEVALUE("06/30/1990"),"N/A",A867C_C2)</f>
        <v>4153024441</v>
      </c>
      <c r="D52" s="102">
        <f t="shared" si="9"/>
        <v>0.91430443614470069</v>
      </c>
      <c r="E52" s="76">
        <f>IF(E8&lt;DATEVALUE("06/30/1990"),"N/A",A867C_C3)</f>
        <v>4180820969</v>
      </c>
      <c r="F52" s="102">
        <f t="shared" si="10"/>
        <v>0.66930807643662504</v>
      </c>
      <c r="G52" s="281">
        <f>IF(G8&lt;DATEVALUE("06/30/1990"),"N/A",A867C_C4)</f>
        <v>4205389872</v>
      </c>
      <c r="H52" s="102">
        <f t="shared" si="11"/>
        <v>0.58765738074349005</v>
      </c>
      <c r="I52" s="281">
        <f>IF(I8&lt;DATEVALUE("06/30/1990"),"N/A",A867C_C5)</f>
        <v>4216173813</v>
      </c>
      <c r="J52" s="102">
        <f t="shared" si="12"/>
        <v>0.25643142082499409</v>
      </c>
    </row>
    <row r="53" spans="1:10" ht="13.15" customHeight="1" x14ac:dyDescent="0.2">
      <c r="A53" s="86" t="s">
        <v>1063</v>
      </c>
      <c r="B53" s="76">
        <f>IF(B8&lt;DATEVALUE("6/30/1990"),"N/A",A860A_C1)</f>
        <v>66087077180</v>
      </c>
      <c r="C53" s="76">
        <f>IF(C8&lt;DATEVALUE("6/30/1990"),"N/A",A860A_C2)</f>
        <v>44300205623</v>
      </c>
      <c r="D53" s="102">
        <f t="shared" si="9"/>
        <v>-32.966916508744291</v>
      </c>
      <c r="E53" s="76">
        <f>IF(E8&lt;DATEVALUE("6/30/1990"),"N/A", A860A_C3)</f>
        <v>38827833086</v>
      </c>
      <c r="F53" s="102">
        <f t="shared" si="10"/>
        <v>-12.352928073450807</v>
      </c>
      <c r="G53" s="76">
        <f>IF(G8&lt;DATEVALUE("6/30/1990"),"N/A",A860A_C4)</f>
        <v>43611130267</v>
      </c>
      <c r="H53" s="102">
        <f t="shared" si="11"/>
        <v>12.319248335093659</v>
      </c>
      <c r="I53" s="76">
        <f>IF(I8&lt;DATEVALUE("6/30/1990"),"N/A",A860A_C5)</f>
        <v>44423629261</v>
      </c>
      <c r="J53" s="102">
        <f t="shared" si="12"/>
        <v>1.8630541997550747</v>
      </c>
    </row>
    <row r="54" spans="1:10" ht="13.15" customHeight="1" x14ac:dyDescent="0.2">
      <c r="A54" s="86" t="s">
        <v>1064</v>
      </c>
      <c r="B54" s="76">
        <f>IF(B8&lt;DATEVALUE("6/30/1990"),"N/A",A860B1_C1)</f>
        <v>27316505322</v>
      </c>
      <c r="C54" s="76">
        <f>IF(C8&lt;DATEVALUE("6/30/1990"),"N/A",A860B1_C2)</f>
        <v>27074582444</v>
      </c>
      <c r="D54" s="102">
        <f t="shared" si="9"/>
        <v>-0.88562894538768699</v>
      </c>
      <c r="E54" s="76">
        <f>IF(E8&lt;DATEVALUE("6/30/1990"),"N/A",A860B1_C3)</f>
        <v>25479506290</v>
      </c>
      <c r="F54" s="102">
        <f t="shared" si="10"/>
        <v>-5.891415527087787</v>
      </c>
      <c r="G54" s="76">
        <f>IF(G8&lt;DATEVALUE("6/30/1990"),"N/A",A860B1_C4)</f>
        <v>25814416370</v>
      </c>
      <c r="H54" s="102">
        <f t="shared" si="11"/>
        <v>1.3144292365329029</v>
      </c>
      <c r="I54" s="76">
        <f>IF(I8&lt;DATEVALUE("6/30/1990"),"N/A",A860B1_C5)</f>
        <v>25221097121</v>
      </c>
      <c r="J54" s="102">
        <f t="shared" si="12"/>
        <v>-2.2984027238730094</v>
      </c>
    </row>
    <row r="55" spans="1:10" ht="13.15" customHeight="1" x14ac:dyDescent="0.2">
      <c r="A55" s="62" t="s">
        <v>1065</v>
      </c>
      <c r="B55" s="76">
        <f>IF(B8&lt;DATEVALUE("06/30/1990"),"N/A",A860B2_C1)</f>
        <v>28456914015</v>
      </c>
      <c r="C55" s="76">
        <f>IF(C8&lt;DATEVALUE("06/30/1990"),"N/A",A860B2_C2)</f>
        <v>25078910311</v>
      </c>
      <c r="D55" s="64">
        <f t="shared" si="9"/>
        <v>-11.870590402808299</v>
      </c>
      <c r="E55" s="76">
        <f>IF(E8&lt;DATEVALUE("06/30/1990"),"N/A",A860B2_C3)</f>
        <v>23121992162</v>
      </c>
      <c r="F55" s="64">
        <f t="shared" si="10"/>
        <v>-7.803042974086738</v>
      </c>
      <c r="G55" s="76">
        <f>IF(G8&lt;DATEVALUE("06/30/1990"),"N/A",A860B2_C4)</f>
        <v>20687326845</v>
      </c>
      <c r="H55" s="64">
        <f t="shared" si="11"/>
        <v>-10.529652029729808</v>
      </c>
      <c r="I55" s="76">
        <f>IF(I8&lt;DATEVALUE("06/30/1990"),"N/A",A860B2_C5)</f>
        <v>18256078167</v>
      </c>
      <c r="J55" s="64">
        <f t="shared" si="12"/>
        <v>-11.752357838285027</v>
      </c>
    </row>
    <row r="56" spans="1:10" ht="13.15" customHeight="1" x14ac:dyDescent="0.2">
      <c r="A56" s="74" t="s">
        <v>1066</v>
      </c>
      <c r="B56" s="76">
        <f>IF(B8&lt;DATEVALUE("3/31/2022"),"N/A",ALQ0860_C1)</f>
        <v>121860496517</v>
      </c>
      <c r="C56" s="76">
        <f>IF(C8&lt;DATEVALUE("3/31/2022"),"N/A",ALQ0860_C2)</f>
        <v>96453698378</v>
      </c>
      <c r="D56" s="64">
        <f t="shared" si="9"/>
        <v>-20.849084703553341</v>
      </c>
      <c r="E56" s="76">
        <f>IF(E8&lt;DATEVALUE("3/31/2022"),"N/A",ALQ0860_C3)</f>
        <v>87429331538</v>
      </c>
      <c r="F56" s="64">
        <f t="shared" si="10"/>
        <v>-9.3561646590612799</v>
      </c>
      <c r="G56" s="76">
        <f>IF(G8&lt;DATEVALUE("3/31/2022"),"N/A",ALQ0860_C4)</f>
        <v>90112873482</v>
      </c>
      <c r="H56" s="64">
        <f t="shared" si="11"/>
        <v>3.0693840348460562</v>
      </c>
      <c r="I56" s="76">
        <f>IF(I8&lt;DATEVALUE("3/31/2022"),"N/A",ALQ0860_C5)</f>
        <v>87900804549</v>
      </c>
      <c r="J56" s="64">
        <f t="shared" si="12"/>
        <v>-2.4547757135298318</v>
      </c>
    </row>
    <row r="57" spans="1:10" ht="13.15" customHeight="1" x14ac:dyDescent="0.2">
      <c r="A57" s="31" t="s">
        <v>86</v>
      </c>
      <c r="B57" s="176"/>
      <c r="C57" s="176"/>
      <c r="D57" s="244"/>
      <c r="E57" s="176"/>
      <c r="F57" s="244"/>
      <c r="G57" s="249"/>
      <c r="H57" s="249"/>
      <c r="I57" s="249"/>
      <c r="J57" s="249"/>
    </row>
    <row r="58" spans="1:10" x14ac:dyDescent="0.2">
      <c r="H58" s="100" t="s">
        <v>1067</v>
      </c>
      <c r="I58" s="100"/>
      <c r="J58" s="269"/>
    </row>
  </sheetData>
  <mergeCells count="1">
    <mergeCell ref="D5:J5"/>
  </mergeCells>
  <phoneticPr fontId="2" type="noConversion"/>
  <hyperlinks>
    <hyperlink ref="A2" location="'Cover Page'!A1" display="Return to cover" xr:uid="{00000000-0004-0000-1D00-000000000000}"/>
  </hyperlinks>
  <printOptions horizontalCentered="1" verticalCentered="1" gridLines="1"/>
  <pageMargins left="0.25" right="0.25" top="0.75" bottom="0.75" header="0.5" footer="0.5"/>
  <pageSetup orientation="landscape"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4">
    <pageSetUpPr fitToPage="1"/>
  </sheetPr>
  <dimension ref="A1:J43"/>
  <sheetViews>
    <sheetView workbookViewId="0"/>
  </sheetViews>
  <sheetFormatPr defaultRowHeight="12.75" x14ac:dyDescent="0.2"/>
  <cols>
    <col min="1" max="1" width="67.7109375" style="30" bestFit="1" customWidth="1"/>
    <col min="2" max="3" width="16.7109375" customWidth="1"/>
    <col min="4" max="4" width="5.85546875" style="57" bestFit="1" customWidth="1"/>
    <col min="5" max="5" width="16.7109375" customWidth="1"/>
    <col min="6" max="6" width="6.7109375" style="57" customWidth="1"/>
    <col min="7" max="7" width="16.7109375" customWidth="1"/>
    <col min="8" max="8" width="6.7109375" style="57" customWidth="1"/>
    <col min="9" max="9" width="16.7109375" customWidth="1"/>
    <col min="10" max="10" width="6.7109375" style="57" customWidth="1"/>
    <col min="11" max="12" width="9.140625" customWidth="1"/>
    <col min="13" max="13" width="14.7109375" customWidth="1"/>
  </cols>
  <sheetData>
    <row r="1" spans="1:10" s="62" customFormat="1" ht="12" customHeight="1" x14ac:dyDescent="0.2">
      <c r="A1" s="88"/>
      <c r="C1" s="85" t="s">
        <v>1068</v>
      </c>
      <c r="D1" s="118"/>
      <c r="F1" s="119"/>
      <c r="H1" s="119"/>
      <c r="J1" s="119"/>
    </row>
    <row r="2" spans="1:10" s="62" customFormat="1" x14ac:dyDescent="0.2">
      <c r="A2" s="60" t="s">
        <v>49</v>
      </c>
      <c r="C2" s="67" t="s">
        <v>50</v>
      </c>
      <c r="D2" s="87" t="str">
        <f>IF(CU_NUMBER="","N/A",CU_NUMBER)</f>
        <v>N/A</v>
      </c>
      <c r="E2" s="120"/>
      <c r="F2" s="119"/>
      <c r="H2" s="119"/>
      <c r="J2" s="119"/>
    </row>
    <row r="3" spans="1:10" s="62" customFormat="1" ht="12" customHeight="1" x14ac:dyDescent="0.2">
      <c r="A3" s="121" t="str">
        <f>IF(Request_Date=0,"N/A",Request_Date)</f>
        <v>12/05/2025</v>
      </c>
      <c r="C3" s="67" t="s">
        <v>42</v>
      </c>
      <c r="D3" s="75">
        <f>IF(CountCu_C5=0,"N/A",CountCu_C5)</f>
        <v>4331</v>
      </c>
      <c r="E3" s="120"/>
      <c r="F3" s="119"/>
      <c r="H3" s="119"/>
      <c r="J3" s="119"/>
    </row>
    <row r="4" spans="1:10" s="62" customFormat="1" ht="12" customHeight="1" x14ac:dyDescent="0.2">
      <c r="A4" s="74" t="str">
        <f>"CU Name:      "&amp;IF(Cu_Name="","N/A",Cu_Name)</f>
        <v>CU Name:      N/A</v>
      </c>
      <c r="C4" s="67" t="s">
        <v>43</v>
      </c>
      <c r="D4" s="89" t="str">
        <f>IF(AssetRange="","N/A",AssetRange)</f>
        <v>N/A</v>
      </c>
      <c r="E4" s="75"/>
      <c r="F4" s="119"/>
      <c r="H4" s="119"/>
      <c r="J4" s="119"/>
    </row>
    <row r="5" spans="1:10" s="62" customFormat="1" ht="12" customHeight="1" x14ac:dyDescent="0.2">
      <c r="A5" s="74" t="str">
        <f>"Peer Group:      "&amp;IF(Peer_Group="","N/A",IF(Peer_Group="0","N/A",Peer_Group))</f>
        <v>Peer Group:      N/A</v>
      </c>
      <c r="B5" s="90"/>
      <c r="C5" s="67" t="s">
        <v>51</v>
      </c>
      <c r="D5" s="24" t="str">
        <f>IF(_xlnm.Criteria="","N/A",_xlnm.Criteria)</f>
        <v xml:space="preserve">Region: Nation * Peer Group: All * Types Included: All  Federally Insured Credit Unions  (FICUs) *  </v>
      </c>
      <c r="E5" s="23"/>
      <c r="F5" s="23"/>
      <c r="G5" s="23"/>
      <c r="H5" s="23"/>
      <c r="I5" s="23"/>
      <c r="J5" s="23"/>
    </row>
    <row r="6" spans="1:10" s="62" customFormat="1" ht="12.75" customHeight="1" x14ac:dyDescent="0.2">
      <c r="A6" s="74"/>
      <c r="B6" s="67"/>
      <c r="C6" s="67" t="s">
        <v>45</v>
      </c>
      <c r="D6" s="75" t="str">
        <f>IF(NoCu_in_Peer_Group="","N/A",NoCu_in_Peer_Group)</f>
        <v>N/A</v>
      </c>
      <c r="E6" s="92" t="str">
        <f>IF(CU_NUMBER&gt;0,"",IF(RetPop=0,"Retroactive Population",""))</f>
        <v/>
      </c>
      <c r="F6" s="119"/>
      <c r="H6" s="119"/>
      <c r="J6" s="119"/>
    </row>
    <row r="7" spans="1:10" ht="14.45" customHeight="1" x14ac:dyDescent="0.2">
      <c r="A7" s="29"/>
      <c r="B7" s="116"/>
      <c r="C7" s="92"/>
      <c r="E7" s="58"/>
      <c r="F7" s="54"/>
      <c r="G7" s="30"/>
      <c r="H7" s="54"/>
      <c r="I7" s="30"/>
      <c r="J7" s="54"/>
    </row>
    <row r="8" spans="1:10" ht="13.15" customHeight="1" x14ac:dyDescent="0.2">
      <c r="A8" s="153"/>
      <c r="B8" s="139">
        <f>(CycDat_C1)</f>
        <v>45565</v>
      </c>
      <c r="C8" s="139">
        <f>(CycDat_C2)</f>
        <v>45657</v>
      </c>
      <c r="D8" s="184" t="s">
        <v>52</v>
      </c>
      <c r="E8" s="139">
        <f>(CycDat_C3)</f>
        <v>45747</v>
      </c>
      <c r="F8" s="184" t="s">
        <v>52</v>
      </c>
      <c r="G8" s="139">
        <f>(CycDat_C4)</f>
        <v>45838</v>
      </c>
      <c r="H8" s="184" t="s">
        <v>52</v>
      </c>
      <c r="I8" s="139">
        <f>(CycDat_C5)</f>
        <v>45930</v>
      </c>
      <c r="J8" s="184" t="s">
        <v>52</v>
      </c>
    </row>
    <row r="9" spans="1:10" ht="13.5" customHeight="1" x14ac:dyDescent="0.2">
      <c r="A9" s="153" t="s">
        <v>1069</v>
      </c>
      <c r="B9" s="76"/>
      <c r="C9" s="76"/>
      <c r="D9" s="102"/>
      <c r="E9" s="76"/>
      <c r="F9" s="102"/>
      <c r="G9" s="76"/>
      <c r="H9" s="102"/>
      <c r="I9" s="76"/>
      <c r="J9" s="102"/>
    </row>
    <row r="10" spans="1:10" ht="13.5" customHeight="1" x14ac:dyDescent="0.2">
      <c r="A10" s="144" t="s">
        <v>1070</v>
      </c>
      <c r="B10" s="76">
        <f>A083_C1</f>
        <v>141889994</v>
      </c>
      <c r="C10" s="76">
        <f>A083_C2</f>
        <v>142333530</v>
      </c>
      <c r="D10" s="102">
        <f>IF(C10="N/A", " ", IF(B10="N/A", " ",IF(AND(B10=0,C10=0,),"N/A",IF(ABS(B10)=0, "N/A", ((C10-B10)/ABS(B10))*100))))</f>
        <v>0.31259145729472654</v>
      </c>
      <c r="E10" s="76">
        <f>A083_C3</f>
        <v>143240983</v>
      </c>
      <c r="F10" s="102">
        <f>IF(E10="N/A", " ", IF(C10="N/A", " ",IF(AND(C10=0,E10=0,),"N/A",IF(ABS(C10)=0, "N/A", ((E10-C10)/ABS(C10))*100))))</f>
        <v>0.63755392000746414</v>
      </c>
      <c r="G10" s="76">
        <f>A083_C4</f>
        <v>143782416</v>
      </c>
      <c r="H10" s="102">
        <f>IF(G10="N/A", " ", IF(E10="N/A", " ",IF(AND(E10=0,G10=0,),"N/A",IF(ABS(E10)=0, "N/A", ((G10-E10)/ABS(E10))*100))))</f>
        <v>0.37798749258792785</v>
      </c>
      <c r="I10" s="76">
        <f>A083_C5</f>
        <v>144966230</v>
      </c>
      <c r="J10" s="102">
        <f>IF(I10="N/A", " ", IF(G10="N/A", " ",IF(AND(G10=0,I10=0,),"N/A",IF(ABS(G10)=0, "N/A",((I10-G10)/ABS(G10))*100))))</f>
        <v>0.82333711794076414</v>
      </c>
    </row>
    <row r="11" spans="1:10" ht="13.5" customHeight="1" x14ac:dyDescent="0.2">
      <c r="A11" s="144" t="s">
        <v>1071</v>
      </c>
      <c r="B11" s="76">
        <f>A084_C1</f>
        <v>4959988443</v>
      </c>
      <c r="C11" s="76">
        <f>A084_C2</f>
        <v>4979168561</v>
      </c>
      <c r="D11" s="102">
        <f>IF(C11="N/A", " ", IF(B11="N/A", " ",IF(AND(B11=0,C11=0,),"N/A",IF(ABS(B11)=0, "N/A", ((C11-B11)/ABS(B11))*100))))</f>
        <v>0.38669682843855774</v>
      </c>
      <c r="E11" s="76">
        <f>A084_C3</f>
        <v>5080659238</v>
      </c>
      <c r="F11" s="102">
        <f>IF(E11="N/A", " ", IF(C11="N/A", " ",IF(AND(C11=0,E11=0,),"N/A",IF(ABS(C11)=0, "N/A", ((E11-C11)/ABS(C11))*100))))</f>
        <v>2.038305708204764</v>
      </c>
      <c r="G11" s="76">
        <f>A084_C4</f>
        <v>5089495033</v>
      </c>
      <c r="H11" s="102">
        <f>IF(G11="N/A", " ", IF(E11="N/A", " ",IF(AND(E11=0,G11=0,),"N/A",IF(ABS(E11)=0, "N/A", ((G11-E11)/ABS(E11))*100))))</f>
        <v>0.1739104038687351</v>
      </c>
      <c r="I11" s="76">
        <f>A084_C5</f>
        <v>5228186790</v>
      </c>
      <c r="J11" s="102">
        <f>IF(I11="N/A", " ", IF(G11="N/A", " ",IF(AND(G11=0,I11=0,),"N/A",IF(ABS(G11)=0, "N/A",((I11-G11)/ABS(G11))*100))))</f>
        <v>2.7250592858570535</v>
      </c>
    </row>
    <row r="12" spans="1:10" ht="13.5" customHeight="1" x14ac:dyDescent="0.2">
      <c r="A12" s="144" t="s">
        <v>1072</v>
      </c>
      <c r="B12" s="131">
        <f>IF(A084_C1=0,0,(A083_C1/A084_C1)*100)</f>
        <v>2.8606920284310022</v>
      </c>
      <c r="C12" s="131">
        <f>IF(A084_C2=0,0,(A083_C2/A084_C2)*100)</f>
        <v>2.8585802680962904</v>
      </c>
      <c r="D12" s="102">
        <f>IF(C12="N/A", " ", IF(B12="N/A", " ",IF(AND(B12=0,C12=0,),"N/A",IF(ABS(B12)=0, "N/A", ((C12-B12)/ABS(B12))*100))))</f>
        <v>-7.3819911885798659E-2</v>
      </c>
      <c r="E12" s="131">
        <f>IF(A084_C3=0,0,(A083_C3/A084_C3)*100)</f>
        <v>2.8193385206520318</v>
      </c>
      <c r="F12" s="102">
        <f>IF(E12="N/A", " ", IF(C12="N/A", " ",IF(AND(C12=0,E12=0,),"N/A",IF(ABS(C12)=0, "N/A", ((E12-C12)/ABS(C12))*100))))</f>
        <v>-1.3727705281612446</v>
      </c>
      <c r="G12" s="131">
        <f>IF(A084_C4=0,0,(A083_C4/A084_C4)*100)</f>
        <v>2.8250821558469532</v>
      </c>
      <c r="H12" s="102">
        <f>IF(G12="N/A", " ", IF(E12="N/A", " ",IF(AND(E12=0,G12=0,),"N/A",IF(ABS(E12)=0, "N/A", ((G12-E12)/ABS(E12))*100))))</f>
        <v>0.20372279358610132</v>
      </c>
      <c r="I12" s="131">
        <f>IF(A084_C5=0,0,(A083_C5/A084_C5)*100)</f>
        <v>2.7727821484358253</v>
      </c>
      <c r="J12" s="102">
        <f>IF(I12="N/A", " ", IF(G12="N/A", " ",IF(AND(G12=0,I12=0,),"N/A",IF(ABS(G12)=0, "N/A",((I12-G12)/ABS(G12))*100))))</f>
        <v>-1.8512738577490511</v>
      </c>
    </row>
    <row r="13" spans="1:10" ht="13.5" customHeight="1" x14ac:dyDescent="0.2">
      <c r="A13" s="144" t="s">
        <v>1073</v>
      </c>
      <c r="B13" s="131">
        <f>IF(pA083_C1=0,0,(((A083_C1-pA083_C1)/pA083_C1)*100)*Anu_C1)</f>
        <v>2.5254549844132219</v>
      </c>
      <c r="C13" s="131">
        <f>IF(pA083_C2=0,0,(((A083_C2-pA083_C2)/pA083_C2)*100)*Anu_C2)</f>
        <v>2.2126034630089677</v>
      </c>
      <c r="D13" s="102">
        <f>IF(C13="N/A", " ", IF(B13="N/A", " ",IF(AND(B13=0,C13=0,),"N/A",IF(ABS(B13)=0, "N/A", ((C13*Anu_C2-B13*Anu_C1)/ABS(B13*Anu_C1))*100))))</f>
        <v>-34.290945295059686</v>
      </c>
      <c r="E13" s="131">
        <f>IF(pA083_C3=0,0,(((A083_C3-pA083_C3)/pA083_C3)*100)*Anu_C3)</f>
        <v>2.5502156800298565</v>
      </c>
      <c r="F13" s="102">
        <f>IF(E13="N/A", " ", IF(C13="N/A", " ",IF(AND(C13=0,E13=0,),"N/A",IF(ABS(C13)=0, "N/A", ((E13*Anu_C3-C13*Anu_C2)/ABS(C13*Anu_C2))*100))))</f>
        <v>361.03438282822947</v>
      </c>
      <c r="G13" s="131">
        <f>IF(pA083_C4=0,0,(((A083_C4-pA083_C4)/pA083_C4)*100)*Anu_C4)</f>
        <v>2.0359025733430487</v>
      </c>
      <c r="H13" s="102">
        <f>IF(G13="N/A", " ", IF(E13="N/A", " ",IF(AND(E13=0,G13=0,),"N/A",IF(ABS(E13)=0, "N/A", ((G13*Anu_C4-E13*Anu_C3)/ABS(E13*Anu_C3))*100))))</f>
        <v>-60.083717834422281</v>
      </c>
      <c r="I13" s="131">
        <f>IF(pA083_C5=0,0,(((A083_C5-pA083_C5)/pA083_C5)*100)*Anu_C5)</f>
        <v>2.4662261005306805</v>
      </c>
      <c r="J13" s="102">
        <f>IF(I13="N/A", " ", IF(G13="N/A", " ",IF(AND(G13=0,I13=0,),"N/A",IF(ABS(G13)=0, "N/A",((I13*Anu_C5-G13*Anu_C4)/ABS(G13*Anu_C4))*100))))</f>
        <v>-19.242170268130927</v>
      </c>
    </row>
    <row r="14" spans="1:10" ht="13.5" customHeight="1" x14ac:dyDescent="0.2">
      <c r="A14" s="153" t="s">
        <v>1074</v>
      </c>
      <c r="B14" s="76"/>
      <c r="C14" s="76"/>
      <c r="D14" s="102"/>
      <c r="E14" s="76"/>
      <c r="F14" s="102"/>
      <c r="G14" s="76"/>
      <c r="H14" s="102"/>
      <c r="I14" s="76"/>
      <c r="J14" s="102"/>
    </row>
    <row r="15" spans="1:10" ht="13.5" customHeight="1" x14ac:dyDescent="0.2">
      <c r="A15" s="144" t="s">
        <v>1075</v>
      </c>
      <c r="B15" s="76">
        <f>A631_C1</f>
        <v>6970318762</v>
      </c>
      <c r="C15" s="76">
        <f>A631_C2</f>
        <v>6907868628</v>
      </c>
      <c r="D15" s="102">
        <f t="shared" ref="D15:D22" si="0">IF(C15="N/A", " ", IF(B15="N/A", " ",IF(AND(B15=0,C15=0,),"N/A",IF(ABS(B15)=0, "N/A", ((C15-B15)/ABS(B15))*100))))</f>
        <v>-0.89594373130334604</v>
      </c>
      <c r="E15" s="76">
        <f>A631_C3</f>
        <v>6771158594</v>
      </c>
      <c r="F15" s="102">
        <f t="shared" ref="F15:F22" si="1">IF(E15="N/A", " ", IF(C15="N/A", " ",IF(AND(C15=0,E15=0,),"N/A",IF(ABS(C15)=0, "N/A", ((E15-C15)/ABS(C15))*100))))</f>
        <v>-1.9790479721323386</v>
      </c>
      <c r="G15" s="76">
        <f>A631_C4</f>
        <v>6584161926</v>
      </c>
      <c r="H15" s="102">
        <f t="shared" ref="H15:H22" si="2">IF(G15="N/A", " ", IF(E15="N/A", " ",IF(AND(E15=0,G15=0,),"N/A",IF(ABS(E15)=0, "N/A", ((G15-E15)/ABS(E15))*100))))</f>
        <v>-2.7616642765641295</v>
      </c>
      <c r="I15" s="76">
        <f>A631_C5</f>
        <v>7057352053</v>
      </c>
      <c r="J15" s="102">
        <f t="shared" ref="J15:J22" si="3">IF(I15="N/A", " ", IF(G15="N/A", " ",IF(AND(G15=0,I15=0,),"N/A",IF(ABS(G15)=0, "N/A",((I15-G15)/ABS(G15))*100))))</f>
        <v>7.1867935861576191</v>
      </c>
    </row>
    <row r="16" spans="1:10" ht="13.5" customHeight="1" x14ac:dyDescent="0.2">
      <c r="A16" s="144" t="s">
        <v>1076</v>
      </c>
      <c r="B16" s="76">
        <f>A632_C1</f>
        <v>3942384285</v>
      </c>
      <c r="C16" s="76">
        <f>A632_C2</f>
        <v>4001081044</v>
      </c>
      <c r="D16" s="102">
        <f t="shared" si="0"/>
        <v>1.4888644727843927</v>
      </c>
      <c r="E16" s="76">
        <f>A632_C3</f>
        <v>3359086063</v>
      </c>
      <c r="F16" s="102">
        <f t="shared" si="1"/>
        <v>-16.045538041843272</v>
      </c>
      <c r="G16" s="76">
        <f>A632_C4</f>
        <v>3129882289</v>
      </c>
      <c r="H16" s="102">
        <f t="shared" si="2"/>
        <v>-6.8233968913347249</v>
      </c>
      <c r="I16" s="76">
        <f>A632_C5</f>
        <v>3170798190</v>
      </c>
      <c r="J16" s="102">
        <f t="shared" si="3"/>
        <v>1.3072664471695727</v>
      </c>
    </row>
    <row r="17" spans="1:10" ht="13.5" customHeight="1" x14ac:dyDescent="0.2">
      <c r="A17" s="144" t="s">
        <v>1077</v>
      </c>
      <c r="B17" s="76">
        <f>A636_C1</f>
        <v>0</v>
      </c>
      <c r="C17" s="76">
        <f>A636_C2</f>
        <v>0</v>
      </c>
      <c r="D17" s="102" t="str">
        <f t="shared" si="0"/>
        <v>N/A</v>
      </c>
      <c r="E17" s="76">
        <f>A636_C3</f>
        <v>0</v>
      </c>
      <c r="F17" s="102" t="str">
        <f t="shared" si="1"/>
        <v>N/A</v>
      </c>
      <c r="G17" s="76">
        <f>A636_C4</f>
        <v>460602</v>
      </c>
      <c r="H17" s="102" t="str">
        <f t="shared" si="2"/>
        <v>N/A</v>
      </c>
      <c r="I17" s="76">
        <f>A636_C5</f>
        <v>0</v>
      </c>
      <c r="J17" s="102">
        <f t="shared" si="3"/>
        <v>-100</v>
      </c>
    </row>
    <row r="18" spans="1:10" ht="13.5" customHeight="1" x14ac:dyDescent="0.2">
      <c r="A18" s="144" t="s">
        <v>1078</v>
      </c>
      <c r="B18" s="76">
        <f>A638_C1</f>
        <v>320266774325</v>
      </c>
      <c r="C18" s="76">
        <f>A638_C2</f>
        <v>328808037499</v>
      </c>
      <c r="D18" s="102">
        <f t="shared" si="0"/>
        <v>2.666921410128078</v>
      </c>
      <c r="E18" s="76">
        <f>A638_C3</f>
        <v>335957945025</v>
      </c>
      <c r="F18" s="102">
        <f t="shared" si="1"/>
        <v>2.1744929291826529</v>
      </c>
      <c r="G18" s="76">
        <f>A638_C4</f>
        <v>341593426389</v>
      </c>
      <c r="H18" s="102">
        <f t="shared" si="2"/>
        <v>1.6774365504529563</v>
      </c>
      <c r="I18" s="76">
        <f>A638_C5</f>
        <v>350421952709</v>
      </c>
      <c r="J18" s="102">
        <f t="shared" si="3"/>
        <v>2.5845129437433156</v>
      </c>
    </row>
    <row r="19" spans="1:10" ht="13.5" customHeight="1" x14ac:dyDescent="0.2">
      <c r="A19" s="144" t="s">
        <v>1079</v>
      </c>
      <c r="B19" s="76">
        <f>A639_C1</f>
        <v>35993255407</v>
      </c>
      <c r="C19" s="76">
        <f>A639_C2</f>
        <v>36156247462</v>
      </c>
      <c r="D19" s="102">
        <f t="shared" si="0"/>
        <v>0.45284054792193412</v>
      </c>
      <c r="E19" s="76">
        <f>A639_C3</f>
        <v>36842425340</v>
      </c>
      <c r="F19" s="102">
        <f t="shared" si="1"/>
        <v>1.8978127603567514</v>
      </c>
      <c r="G19" s="76">
        <f>A639_C4</f>
        <v>37444502597</v>
      </c>
      <c r="H19" s="102">
        <f t="shared" si="2"/>
        <v>1.6341955000077637</v>
      </c>
      <c r="I19" s="76">
        <f>A639_C5</f>
        <v>37800173623</v>
      </c>
      <c r="J19" s="102">
        <f t="shared" si="3"/>
        <v>0.94986179901477941</v>
      </c>
    </row>
    <row r="20" spans="1:10" ht="13.5" customHeight="1" x14ac:dyDescent="0.2">
      <c r="A20" s="144" t="s">
        <v>1080</v>
      </c>
      <c r="B20" s="76">
        <f>A641_C1</f>
        <v>10569444461</v>
      </c>
      <c r="C20" s="76">
        <f>A641_C2</f>
        <v>10194610974</v>
      </c>
      <c r="D20" s="102">
        <f t="shared" si="0"/>
        <v>-3.5463877820929115</v>
      </c>
      <c r="E20" s="76">
        <f>A641_C3</f>
        <v>9587142672</v>
      </c>
      <c r="F20" s="102">
        <f t="shared" si="1"/>
        <v>-5.9587197937152006</v>
      </c>
      <c r="G20" s="76">
        <f>A641_C4</f>
        <v>9500096745</v>
      </c>
      <c r="H20" s="102">
        <f t="shared" si="2"/>
        <v>-0.90794442075243575</v>
      </c>
      <c r="I20" s="76">
        <f>A641_C5</f>
        <v>9546622227</v>
      </c>
      <c r="J20" s="102">
        <f t="shared" si="3"/>
        <v>0.48973692846324796</v>
      </c>
    </row>
    <row r="21" spans="1:10" ht="13.5" customHeight="1" x14ac:dyDescent="0.2">
      <c r="A21" s="144" t="s">
        <v>1081</v>
      </c>
      <c r="B21" s="76">
        <f>A643_C1</f>
        <v>87298131086</v>
      </c>
      <c r="C21" s="76">
        <f>A643_C2</f>
        <v>86328768725</v>
      </c>
      <c r="D21" s="102">
        <f t="shared" si="0"/>
        <v>-1.1104044828234092</v>
      </c>
      <c r="E21" s="76">
        <f>A643_C3</f>
        <v>88238759734</v>
      </c>
      <c r="F21" s="102">
        <f t="shared" si="1"/>
        <v>2.2124617751520006</v>
      </c>
      <c r="G21" s="76">
        <f>A643_C4</f>
        <v>92052533631</v>
      </c>
      <c r="H21" s="102">
        <f t="shared" si="2"/>
        <v>4.3221073239206955</v>
      </c>
      <c r="I21" s="76">
        <f>A643_C5</f>
        <v>95592171857</v>
      </c>
      <c r="J21" s="102">
        <f t="shared" si="3"/>
        <v>3.845237155762518</v>
      </c>
    </row>
    <row r="22" spans="1:10" ht="13.5" customHeight="1" x14ac:dyDescent="0.2">
      <c r="A22" s="144" t="s">
        <v>1082</v>
      </c>
      <c r="B22" s="76">
        <f>A644_C1</f>
        <v>714573793</v>
      </c>
      <c r="C22" s="76">
        <f>A644_C2</f>
        <v>704666277</v>
      </c>
      <c r="D22" s="102">
        <f t="shared" si="0"/>
        <v>-1.3864930532094115</v>
      </c>
      <c r="E22" s="76">
        <f>A644_C3</f>
        <v>594469080</v>
      </c>
      <c r="F22" s="102">
        <f t="shared" si="1"/>
        <v>-15.638210681678471</v>
      </c>
      <c r="G22" s="76">
        <f>A644_C4</f>
        <v>689199761</v>
      </c>
      <c r="H22" s="102">
        <f t="shared" si="2"/>
        <v>15.935342002985253</v>
      </c>
      <c r="I22" s="76">
        <f>A644_C5</f>
        <v>709241018</v>
      </c>
      <c r="J22" s="102">
        <f t="shared" si="3"/>
        <v>2.9079024883759357</v>
      </c>
    </row>
    <row r="23" spans="1:10" ht="13.5" customHeight="1" x14ac:dyDescent="0.2">
      <c r="A23" s="153" t="s">
        <v>1083</v>
      </c>
      <c r="B23" s="76"/>
      <c r="C23" s="76"/>
      <c r="D23" s="102"/>
      <c r="E23" s="76"/>
      <c r="F23" s="102"/>
      <c r="G23" s="76"/>
      <c r="H23" s="102"/>
      <c r="I23" s="76"/>
      <c r="J23" s="102"/>
    </row>
    <row r="24" spans="1:10" ht="13.5" customHeight="1" x14ac:dyDescent="0.2">
      <c r="A24" s="144" t="s">
        <v>1084</v>
      </c>
      <c r="B24" s="76">
        <f>A065A4_C1</f>
        <v>171765674828</v>
      </c>
      <c r="C24" s="76">
        <f>A065A4_C2</f>
        <v>177827371098</v>
      </c>
      <c r="D24" s="102">
        <f>IF(C24="N/A", " ", IF(B24="N/A", " ",IF(AND(B24=0,C24=0,),"N/A",IF(ABS(B24)=0, "N/A", ((C24-B24)/ABS(B24))*100))))</f>
        <v>3.529049838432484</v>
      </c>
      <c r="E24" s="76">
        <f>A065A4_C3</f>
        <v>185499979966</v>
      </c>
      <c r="F24" s="102">
        <f>IF(E24="N/A", " ", IF(C24="N/A", " ",IF(AND(C24=0,E24=0,),"N/A",IF(ABS(C24)=0, "N/A", ((E24-C24)/ABS(C24))*100))))</f>
        <v>4.3146388661235138</v>
      </c>
      <c r="G24" s="76">
        <f>A065A4_C4</f>
        <v>188502143659</v>
      </c>
      <c r="H24" s="102">
        <f>IF(G24="N/A", " ", IF(E24="N/A", " ",IF(AND(E24=0,G24=0,),"N/A",IF(ABS(E24)=0, "N/A", ((G24-E24)/ABS(E24))*100))))</f>
        <v>1.6184172599642661</v>
      </c>
      <c r="I24" s="76">
        <f>A065A4_C5</f>
        <v>194419599048</v>
      </c>
      <c r="J24" s="102">
        <f>IF(I24="N/A", " ", IF(G24="N/A", " ",IF(AND(G24=0,I24=0,),"N/A",IF(ABS(G24)=0, "N/A",((I24-G24)/ABS(G24))*100))))</f>
        <v>3.1391979285416856</v>
      </c>
    </row>
    <row r="25" spans="1:10" ht="13.5" customHeight="1" x14ac:dyDescent="0.2">
      <c r="A25" s="144" t="s">
        <v>1085</v>
      </c>
      <c r="B25" s="76">
        <f>A067A2_C1</f>
        <v>3097169584</v>
      </c>
      <c r="C25" s="76">
        <f>A067A2_C2</f>
        <v>3225836078</v>
      </c>
      <c r="D25" s="102">
        <f>IF(C25="N/A", " ", IF(B25="N/A", " ",IF(AND(B25=0,C25=0,),"N/A",IF(ABS(B25)=0, "N/A", ((C25-B25)/ABS(B25))*100))))</f>
        <v>4.1543251188017605</v>
      </c>
      <c r="E25" s="76">
        <f>A067A2_C3</f>
        <v>3152137134</v>
      </c>
      <c r="F25" s="102">
        <f>IF(E25="N/A", " ", IF(C25="N/A", " ",IF(AND(C25=0,E25=0,),"N/A",IF(ABS(C25)=0, "N/A", ((E25-C25)/ABS(C25))*100))))</f>
        <v>-2.2846462813973156</v>
      </c>
      <c r="G25" s="76">
        <f>A067A2_C4</f>
        <v>3757054492</v>
      </c>
      <c r="H25" s="102">
        <f>IF(G25="N/A", " ", IF(E25="N/A", " ",IF(AND(E25=0,G25=0,),"N/A",IF(ABS(E25)=0, "N/A", ((G25-E25)/ABS(E25))*100))))</f>
        <v>19.190705616045701</v>
      </c>
      <c r="I25" s="76">
        <f>A067A2_C5</f>
        <v>3818249514</v>
      </c>
      <c r="J25" s="102">
        <f>IF(I25="N/A", " ", IF(G25="N/A", " ",IF(AND(G25=0,I25=0,),"N/A",IF(ABS(G25)=0, "N/A",((I25-G25)/ABS(G25))*100))))</f>
        <v>1.6288031523179727</v>
      </c>
    </row>
    <row r="26" spans="1:10" ht="13.5" customHeight="1" x14ac:dyDescent="0.2">
      <c r="A26" s="144" t="s">
        <v>1086</v>
      </c>
      <c r="B26" s="76">
        <f>A068A_C1</f>
        <v>174862844412</v>
      </c>
      <c r="C26" s="76">
        <f>A068A_C2</f>
        <v>181053207176</v>
      </c>
      <c r="D26" s="102">
        <f>IF(C26="N/A", " ", IF(B26="N/A", " ",IF(AND(B26=0,C26=0,),"N/A",IF(ABS(B26)=0, "N/A", ((C26-B26)/ABS(B26))*100))))</f>
        <v>3.5401247102069813</v>
      </c>
      <c r="E26" s="76">
        <f>A068A_C3</f>
        <v>188652117100</v>
      </c>
      <c r="F26" s="102">
        <f>IF(E26="N/A", " ", IF(C26="N/A", " ",IF(AND(C26=0,E26=0,),"N/A",IF(ABS(C26)=0, "N/A", ((E26-C26)/ABS(C26))*100))))</f>
        <v>4.1970589985811051</v>
      </c>
      <c r="G26" s="76">
        <f>A068A_C4</f>
        <v>192259198151</v>
      </c>
      <c r="H26" s="102">
        <f>IF(G26="N/A", " ", IF(E26="N/A", " ",IF(AND(E26=0,G26=0,),"N/A",IF(ABS(E26)=0, "N/A", ((G26-E26)/ABS(E26))*100))))</f>
        <v>1.9120278671921671</v>
      </c>
      <c r="I26" s="76">
        <f>A068A_C5</f>
        <v>198237848562</v>
      </c>
      <c r="J26" s="102">
        <f>IF(I26="N/A", " ", IF(G26="N/A", " ",IF(AND(G26=0,I26=0,),"N/A",IF(ABS(G26)=0, "N/A",((I26-G26)/ABS(G26))*100))))</f>
        <v>3.1096823811281995</v>
      </c>
    </row>
    <row r="27" spans="1:10" ht="13.5" customHeight="1" x14ac:dyDescent="0.2">
      <c r="A27" s="144" t="s">
        <v>1087</v>
      </c>
      <c r="B27" s="76">
        <f>A069A_C1</f>
        <v>1759878358731</v>
      </c>
      <c r="C27" s="76">
        <f>A069A_C2</f>
        <v>1778193527048</v>
      </c>
      <c r="D27" s="102">
        <f>IF(C27="N/A", " ", IF(B27="N/A", " ",IF(AND(B27=0,C27=0,),"N/A",IF(ABS(B27)=0, "N/A", ((C27-B27)/ABS(B27))*100))))</f>
        <v>1.040706491226278</v>
      </c>
      <c r="E27" s="76">
        <f>A069A_C3</f>
        <v>1831817436733</v>
      </c>
      <c r="F27" s="102">
        <f>IF(E27="N/A", " ", IF(C27="N/A", " ",IF(AND(C27=0,E27=0,),"N/A",IF(ABS(C27)=0, "N/A", ((E27-C27)/ABS(C27))*100))))</f>
        <v>3.0156396854071157</v>
      </c>
      <c r="G27" s="76">
        <f>A069A_C4</f>
        <v>1829780680753</v>
      </c>
      <c r="H27" s="102">
        <f>IF(G27="N/A", " ", IF(E27="N/A", " ",IF(AND(E27=0,G27=0,),"N/A",IF(ABS(E27)=0, "N/A", ((G27-E27)/ABS(E27))*100))))</f>
        <v>-0.11118771658995139</v>
      </c>
      <c r="I27" s="76">
        <f>A069A_C5</f>
        <v>1835457459792</v>
      </c>
      <c r="J27" s="102">
        <f>IF(I27="N/A", " ", IF(G27="N/A", " ",IF(AND(G27=0,I27=0,),"N/A",IF(ABS(G27)=0, "N/A",((I27-G27)/ABS(G27))*100))))</f>
        <v>0.31024368650913209</v>
      </c>
    </row>
    <row r="28" spans="1:10" ht="13.5" customHeight="1" x14ac:dyDescent="0.2">
      <c r="A28" s="144"/>
      <c r="B28" s="76"/>
      <c r="C28" s="76"/>
      <c r="D28" s="102"/>
      <c r="E28" s="76"/>
      <c r="F28" s="102"/>
      <c r="G28" s="76"/>
      <c r="H28" s="102"/>
      <c r="I28" s="76"/>
      <c r="J28" s="102"/>
    </row>
    <row r="29" spans="1:10" ht="13.5" customHeight="1" x14ac:dyDescent="0.2">
      <c r="A29" s="145" t="s">
        <v>1088</v>
      </c>
      <c r="B29" s="76"/>
      <c r="C29" s="76"/>
      <c r="D29" s="102"/>
      <c r="E29" s="76"/>
      <c r="F29" s="102"/>
      <c r="G29" s="76"/>
      <c r="H29" s="102"/>
      <c r="I29" s="76"/>
      <c r="J29" s="102"/>
    </row>
    <row r="30" spans="1:10" ht="13.5" customHeight="1" x14ac:dyDescent="0.2">
      <c r="A30" s="144" t="s">
        <v>1089</v>
      </c>
      <c r="B30" s="76">
        <f>A875_C1</f>
        <v>378</v>
      </c>
      <c r="C30" s="76">
        <f>A875_C2</f>
        <v>392</v>
      </c>
      <c r="D30" s="102">
        <f>IF(C30="N/A", " ", IF(B30="N/A", " ",IF(AND(B30=0,C30=0,),"N/A",IF(ABS(B30)=0, "N/A", ((C30-B30)/ABS(B30))*100))))</f>
        <v>3.7037037037037033</v>
      </c>
      <c r="E30" s="76">
        <f>A875_C3</f>
        <v>396</v>
      </c>
      <c r="F30" s="102">
        <f>IF(E30="N/A", " ", IF(C30="N/A", " ",IF(AND(C30=0,E30=0,),"N/A",IF(ABS(C30)=0, "N/A", ((E30-C30)/ABS(C30))*100))))</f>
        <v>1.0204081632653061</v>
      </c>
      <c r="G30" s="76">
        <f>A875_C4</f>
        <v>397</v>
      </c>
      <c r="H30" s="102">
        <f>IF(G30="N/A", " ", IF(E30="N/A", " ",IF(AND(E30=0,G30=0,),"N/A",IF(ABS(E30)=0, "N/A", ((G30-E30)/ABS(E30))*100))))</f>
        <v>0.25252525252525254</v>
      </c>
      <c r="I30" s="76">
        <f>A875_C5</f>
        <v>404</v>
      </c>
      <c r="J30" s="102">
        <f>IF(I30="N/A", " ", IF(G30="N/A", " ",IF(AND(G30=0,I30=0,),"N/A",IF(ABS(G30)=0, "N/A",((I30-G30)/ABS(G30))*100))))</f>
        <v>1.7632241813602016</v>
      </c>
    </row>
    <row r="31" spans="1:10" ht="13.5" customHeight="1" x14ac:dyDescent="0.2">
      <c r="A31" s="144" t="s">
        <v>1090</v>
      </c>
      <c r="B31" s="76">
        <f>A877_C1</f>
        <v>7251415119</v>
      </c>
      <c r="C31" s="76">
        <f>A877_C2</f>
        <v>7563023818</v>
      </c>
      <c r="D31" s="102">
        <f>IF(C31="N/A", " ", IF(B31="N/A", " ",IF(AND(B31=0,C31=0,),"N/A",IF(ABS(B31)=0, "N/A", ((C31-B31)/ABS(B31))*100))))</f>
        <v>4.2972122528681291</v>
      </c>
      <c r="E31" s="76">
        <f>A877_C3</f>
        <v>7819403589</v>
      </c>
      <c r="F31" s="102">
        <f>IF(E31="N/A", " ", IF(C31="N/A", " ",IF(AND(C31=0,E31=0,),"N/A",IF(ABS(C31)=0, "N/A", ((E31-C31)/ABS(C31))*100))))</f>
        <v>3.3899109294065166</v>
      </c>
      <c r="G31" s="76">
        <f>A877_C4</f>
        <v>7891898017</v>
      </c>
      <c r="H31" s="102">
        <f>IF(G31="N/A", " ", IF(E31="N/A", " ",IF(AND(E31=0,G31=0,),"N/A",IF(ABS(E31)=0, "N/A", ((G31-E31)/ABS(E31))*100))))</f>
        <v>0.92710942944525898</v>
      </c>
      <c r="I31" s="76">
        <f>A877_C5</f>
        <v>8235499357</v>
      </c>
      <c r="J31" s="102">
        <f>IF(I31="N/A", " ", IF(G31="N/A", " ",IF(AND(G31=0,I31=0,),"N/A",IF(ABS(G31)=0, "N/A",((I31-G31)/ABS(G31))*100))))</f>
        <v>4.3538492167517324</v>
      </c>
    </row>
    <row r="32" spans="1:10" s="30" customFormat="1" ht="14.25" customHeight="1" x14ac:dyDescent="0.2">
      <c r="A32" s="175" t="s">
        <v>1091</v>
      </c>
      <c r="B32" s="178"/>
      <c r="C32" s="178"/>
      <c r="D32" s="178"/>
      <c r="E32" s="175"/>
      <c r="F32" s="175"/>
      <c r="G32" s="175"/>
      <c r="H32" s="234" t="s">
        <v>1092</v>
      </c>
      <c r="I32" s="175"/>
      <c r="J32" s="175"/>
    </row>
    <row r="33" spans="1:10" x14ac:dyDescent="0.2">
      <c r="A33" s="107" t="s">
        <v>239</v>
      </c>
      <c r="B33" s="107"/>
      <c r="C33" s="171"/>
      <c r="D33" s="171"/>
      <c r="E33" s="171"/>
      <c r="F33" s="188"/>
      <c r="G33" s="107"/>
      <c r="H33" s="188"/>
      <c r="I33" s="189"/>
      <c r="J33" s="104"/>
    </row>
    <row r="34" spans="1:10" x14ac:dyDescent="0.2">
      <c r="A34" s="107"/>
      <c r="B34" s="107"/>
      <c r="C34" s="107"/>
      <c r="D34" s="188"/>
      <c r="E34" s="107"/>
      <c r="F34" s="188"/>
      <c r="H34" s="188"/>
      <c r="I34" s="107"/>
      <c r="J34" s="188"/>
    </row>
    <row r="35" spans="1:10" x14ac:dyDescent="0.2">
      <c r="C35" s="32"/>
      <c r="D35" s="55"/>
      <c r="E35" s="32"/>
    </row>
    <row r="38" spans="1:10" ht="13.15" customHeight="1" x14ac:dyDescent="0.2">
      <c r="A38" s="144"/>
      <c r="B38" s="76"/>
      <c r="C38" s="76"/>
      <c r="D38" s="102"/>
      <c r="E38" s="76"/>
      <c r="F38" s="102"/>
      <c r="G38" s="76"/>
      <c r="H38" s="102"/>
      <c r="I38" s="76"/>
      <c r="J38" s="102"/>
    </row>
    <row r="39" spans="1:10" ht="13.15" customHeight="1" x14ac:dyDescent="0.2">
      <c r="A39" s="153"/>
      <c r="B39" s="164"/>
      <c r="C39" s="164"/>
      <c r="D39" s="102"/>
      <c r="E39" s="164"/>
      <c r="F39" s="102"/>
      <c r="G39" s="164"/>
      <c r="H39" s="102"/>
      <c r="I39" s="76"/>
      <c r="J39" s="102"/>
    </row>
    <row r="40" spans="1:10" ht="13.15" customHeight="1" x14ac:dyDescent="0.2">
      <c r="A40" s="124"/>
      <c r="B40" s="76"/>
      <c r="C40" s="76"/>
      <c r="D40" s="102"/>
      <c r="E40" s="76"/>
      <c r="F40" s="102"/>
      <c r="G40" s="76"/>
      <c r="H40" s="102"/>
      <c r="I40" s="76"/>
      <c r="J40" s="102"/>
    </row>
    <row r="41" spans="1:10" ht="13.15" customHeight="1" x14ac:dyDescent="0.2">
      <c r="A41" s="124"/>
      <c r="B41" s="76"/>
      <c r="C41" s="76"/>
      <c r="D41" s="102"/>
      <c r="E41" s="76"/>
      <c r="F41" s="102"/>
      <c r="G41" s="76"/>
      <c r="H41" s="102"/>
      <c r="I41" s="76"/>
      <c r="J41" s="102"/>
    </row>
    <row r="42" spans="1:10" ht="13.15" customHeight="1" x14ac:dyDescent="0.2">
      <c r="A42" s="124"/>
      <c r="B42" s="76"/>
      <c r="C42" s="76"/>
      <c r="D42" s="102"/>
      <c r="E42" s="76"/>
      <c r="F42" s="102"/>
      <c r="G42" s="76"/>
      <c r="H42" s="102"/>
      <c r="I42" s="76"/>
      <c r="J42" s="102"/>
    </row>
    <row r="43" spans="1:10" ht="13.15" customHeight="1" x14ac:dyDescent="0.2">
      <c r="A43" s="93"/>
      <c r="B43" s="76"/>
      <c r="C43" s="76"/>
      <c r="D43" s="102"/>
      <c r="E43" s="76"/>
      <c r="F43" s="102"/>
      <c r="G43" s="76"/>
      <c r="H43" s="102"/>
      <c r="I43" s="76"/>
      <c r="J43" s="102"/>
    </row>
  </sheetData>
  <mergeCells count="1">
    <mergeCell ref="D5:J5"/>
  </mergeCells>
  <phoneticPr fontId="2" type="noConversion"/>
  <hyperlinks>
    <hyperlink ref="A2" location="'Cover Page'!A1" display="Return to cover" xr:uid="{00000000-0004-0000-1E00-000000000000}"/>
  </hyperlinks>
  <printOptions horizontalCentered="1" verticalCentered="1" gridLines="1"/>
  <pageMargins left="0.75" right="0.75" top="0.5" bottom="0.5" header="0.5" footer="0.5"/>
  <pageSetup orientation="landscape"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78832-2942-4687-826B-7298EB433033}">
  <sheetPr>
    <pageSetUpPr fitToPage="1"/>
  </sheetPr>
  <dimension ref="A1:K60"/>
  <sheetViews>
    <sheetView workbookViewId="0"/>
  </sheetViews>
  <sheetFormatPr defaultRowHeight="12.75" x14ac:dyDescent="0.2"/>
  <cols>
    <col min="1" max="1" width="61.7109375" style="30" customWidth="1"/>
    <col min="2" max="3" width="16.7109375" customWidth="1"/>
    <col min="4" max="4" width="7.28515625" style="57" customWidth="1"/>
    <col min="5" max="5" width="16.7109375" customWidth="1"/>
    <col min="6" max="6" width="7" style="57" customWidth="1"/>
    <col min="7" max="7" width="16.7109375" customWidth="1"/>
    <col min="8" max="8" width="6.7109375" style="57" customWidth="1"/>
    <col min="9" max="9" width="16.7109375" customWidth="1"/>
    <col min="10" max="10" width="7.42578125" style="57" customWidth="1"/>
    <col min="11" max="12" width="9.140625" customWidth="1"/>
    <col min="13" max="13" width="14.7109375" customWidth="1"/>
  </cols>
  <sheetData>
    <row r="1" spans="1:11" s="62" customFormat="1" ht="12" customHeight="1" x14ac:dyDescent="0.2">
      <c r="A1" s="88"/>
      <c r="C1" s="85" t="s">
        <v>1068</v>
      </c>
      <c r="D1" s="118"/>
      <c r="F1" s="119"/>
      <c r="H1" s="119"/>
      <c r="J1" s="119"/>
    </row>
    <row r="2" spans="1:11" s="62" customFormat="1" x14ac:dyDescent="0.2">
      <c r="A2" s="60" t="s">
        <v>49</v>
      </c>
      <c r="C2" s="67" t="s">
        <v>50</v>
      </c>
      <c r="D2" s="87" t="str">
        <f>IF(CU_NUMBER="","N/A",CU_NUMBER)</f>
        <v>N/A</v>
      </c>
      <c r="E2" s="120"/>
      <c r="F2" s="119"/>
      <c r="H2" s="119"/>
      <c r="J2" s="119"/>
    </row>
    <row r="3" spans="1:11" s="62" customFormat="1" ht="12" customHeight="1" x14ac:dyDescent="0.2">
      <c r="A3" s="121" t="str">
        <f>IF(Request_Date=0,"N/A",Request_Date)</f>
        <v>12/05/2025</v>
      </c>
      <c r="C3" s="67" t="s">
        <v>42</v>
      </c>
      <c r="D3" s="75">
        <f>IF(CountCu_C5=0,"N/A",CountCu_C5)</f>
        <v>4331</v>
      </c>
      <c r="E3" s="120"/>
      <c r="F3" s="119"/>
      <c r="H3" s="119"/>
      <c r="J3" s="119"/>
    </row>
    <row r="4" spans="1:11" s="62" customFormat="1" ht="12" customHeight="1" x14ac:dyDescent="0.2">
      <c r="A4" s="74" t="str">
        <f>"CU Name:      "&amp;IF(Cu_Name="","N/A",Cu_Name)</f>
        <v>CU Name:      N/A</v>
      </c>
      <c r="C4" s="67" t="s">
        <v>43</v>
      </c>
      <c r="D4" s="89" t="str">
        <f>IF(AssetRange="","N/A",AssetRange)</f>
        <v>N/A</v>
      </c>
      <c r="E4" s="75"/>
      <c r="F4" s="119"/>
      <c r="H4" s="119"/>
      <c r="J4" s="119"/>
    </row>
    <row r="5" spans="1:11" s="62" customFormat="1" ht="12" customHeight="1" x14ac:dyDescent="0.2">
      <c r="A5" s="74" t="str">
        <f>"Peer Group:      "&amp;IF(Peer_Group="","N/A",IF(Peer_Group="0","N/A",Peer_Group))</f>
        <v>Peer Group:      N/A</v>
      </c>
      <c r="B5" s="90"/>
      <c r="C5" s="67" t="s">
        <v>51</v>
      </c>
      <c r="D5" s="24" t="str">
        <f>IF(_xlnm.Criteria="","N/A",_xlnm.Criteria)</f>
        <v xml:space="preserve">Region: Nation * Peer Group: All * Types Included: All  Federally Insured Credit Unions  (FICUs) *  </v>
      </c>
      <c r="E5" s="23"/>
      <c r="F5" s="23"/>
      <c r="G5" s="23"/>
      <c r="H5" s="23"/>
      <c r="I5" s="23"/>
      <c r="J5" s="23"/>
    </row>
    <row r="6" spans="1:11" s="62" customFormat="1" ht="12.75" customHeight="1" x14ac:dyDescent="0.2">
      <c r="A6" s="74"/>
      <c r="B6" s="67"/>
      <c r="C6" s="67" t="s">
        <v>45</v>
      </c>
      <c r="D6" s="75" t="str">
        <f>IF(NoCu_in_Peer_Group="","N/A",NoCu_in_Peer_Group)</f>
        <v>N/A</v>
      </c>
      <c r="E6" s="92" t="str">
        <f>IF(CU_NUMBER&gt;0,"",IF(RetPop=0,"Retroactive Population",""))</f>
        <v/>
      </c>
      <c r="F6" s="119"/>
      <c r="H6" s="119"/>
      <c r="J6" s="119"/>
    </row>
    <row r="7" spans="1:11" ht="14.45" customHeight="1" x14ac:dyDescent="0.2">
      <c r="A7" s="29"/>
      <c r="B7" s="116"/>
      <c r="C7" s="92"/>
      <c r="E7" s="58"/>
      <c r="F7" s="54"/>
      <c r="G7" s="30"/>
      <c r="H7" s="54"/>
      <c r="I7" s="30"/>
      <c r="J7" s="54"/>
    </row>
    <row r="8" spans="1:11" ht="13.15" customHeight="1" x14ac:dyDescent="0.2">
      <c r="A8" s="153"/>
      <c r="B8" s="139">
        <f>(CycDat_C1)</f>
        <v>45565</v>
      </c>
      <c r="C8" s="139">
        <f>(CycDat_C2)</f>
        <v>45657</v>
      </c>
      <c r="D8" s="184" t="s">
        <v>52</v>
      </c>
      <c r="E8" s="139">
        <f>(CycDat_C3)</f>
        <v>45747</v>
      </c>
      <c r="F8" s="184" t="s">
        <v>52</v>
      </c>
      <c r="G8" s="139">
        <f>(CycDat_C4)</f>
        <v>45838</v>
      </c>
      <c r="H8" s="184" t="s">
        <v>52</v>
      </c>
      <c r="I8" s="139">
        <f>(CycDat_C5)</f>
        <v>45930</v>
      </c>
      <c r="J8" s="184" t="s">
        <v>52</v>
      </c>
    </row>
    <row r="9" spans="1:11" ht="13.15" customHeight="1" x14ac:dyDescent="0.2">
      <c r="A9" s="153" t="s">
        <v>1093</v>
      </c>
      <c r="B9" s="139"/>
      <c r="C9" s="139"/>
      <c r="D9" s="184"/>
      <c r="E9" s="139"/>
      <c r="F9" s="184"/>
      <c r="G9" s="139"/>
      <c r="H9" s="184"/>
      <c r="I9" s="139"/>
      <c r="J9" s="184"/>
    </row>
    <row r="10" spans="1:11" ht="13.15" customHeight="1" x14ac:dyDescent="0.2">
      <c r="A10" s="153"/>
      <c r="B10" s="139"/>
      <c r="C10" s="139"/>
      <c r="D10" s="184"/>
      <c r="E10" s="139"/>
      <c r="F10" s="184"/>
      <c r="G10" s="139"/>
      <c r="H10" s="184"/>
      <c r="I10" s="139"/>
      <c r="J10" s="184"/>
    </row>
    <row r="11" spans="1:11" ht="13.15" customHeight="1" x14ac:dyDescent="0.2">
      <c r="A11" s="144" t="s">
        <v>1094</v>
      </c>
      <c r="B11" s="76">
        <f>IF(B8&lt;DATEVALUE("6/30/1990"),"N/A",A452_C1)</f>
        <v>88353945</v>
      </c>
      <c r="C11" s="76">
        <f>IF(C8&lt;DATEVALUE("06/30/1990"),"N/A",A452_C2)</f>
        <v>88923624</v>
      </c>
      <c r="D11" s="102">
        <f>IF(C11="N/A", " ", IF(B11="N/A", " ",IF(AND(B11=0,C11=0,),"N/A",IF(ABS(B11)=0, "N/A", ((C11-B11)/ABS(B11))*100))))</f>
        <v>0.64476917244611998</v>
      </c>
      <c r="E11" s="76">
        <f>IF(E8&lt;DATEVALUE("06/30/1990"),"N/A",A452_C3)</f>
        <v>89904912</v>
      </c>
      <c r="F11" s="102">
        <f>IF(E11="N/A", " ", IF(C11="N/A", " ",IF(AND(C11=0,E11=0,),"N/A",IF(ABS(C11)=0, "N/A", ((E11-C11)/ABS(C11))*100))))</f>
        <v>1.1035177783577512</v>
      </c>
      <c r="G11" s="76">
        <f>IF(G8&lt;DATEVALUE("06/30/1990"),"N/A",A452_C4)</f>
        <v>90801132</v>
      </c>
      <c r="H11" s="102">
        <f>IF(G11="N/A", " ", IF(E11="N/A", " ",IF(AND(E11=0,G11=0,),"N/A",IF(ABS(E11)=0, "N/A", ((G11-E11)/ABS(E11))*100))))</f>
        <v>0.99685320864337201</v>
      </c>
      <c r="I11" s="76">
        <f>IF(I8&lt;DATEVALUE("06/30/1990"),"N/A",A452_C5)</f>
        <v>91356511</v>
      </c>
      <c r="J11" s="102">
        <f>IF(I11="N/A", " ", IF(G11="N/A", " ",IF(AND(G11=0,I11=0,),"N/A",IF(ABS(G11)=0, "N/A", ((I11-G11)/ABS(G11))*100))))</f>
        <v>0.61164325572504985</v>
      </c>
      <c r="K11" s="130"/>
    </row>
    <row r="12" spans="1:11" ht="13.15" customHeight="1" x14ac:dyDescent="0.2">
      <c r="A12" s="144" t="s">
        <v>1095</v>
      </c>
      <c r="B12" s="76">
        <f>IF(B8&lt;DATEVALUE("06/30/1990"),"N/A",A902A_C1)</f>
        <v>372690170711</v>
      </c>
      <c r="C12" s="76">
        <f>IF(C8&lt;DATEVALUE("06/30/1990"),"N/A",A902A_C2)</f>
        <v>378544315456</v>
      </c>
      <c r="D12" s="102">
        <f>IF(C12="N/A", " ", IF(B12="N/A", " ",IF(AND(B12=0,C12=0,),"N/A",IF(ABS(B12)=0, "N/A", ((C12-B12)/ABS(B12))*100))))</f>
        <v>1.5707805585083583</v>
      </c>
      <c r="E12" s="76">
        <f>IF(E8&lt;DATEVALUE("06/30/1990"),"N/A",A902A_C3)</f>
        <v>397835948987</v>
      </c>
      <c r="F12" s="102">
        <f>IF(E12="N/A", " ", IF(C12="N/A", " ",IF(AND(C12=0,E12=0,),"N/A",IF(ABS(C12)=0, "N/A", ((E12-C12)/ABS(C12))*100))))</f>
        <v>5.0962681893032835</v>
      </c>
      <c r="G12" s="76">
        <f>IF(G8&lt;DATEVALUE("06/30/1990"),"N/A",A902A_C4)</f>
        <v>390792884811</v>
      </c>
      <c r="H12" s="102">
        <f>IF(G12="N/A", " ", IF(E12="N/A", " ",IF(AND(E12=0,G12=0,),"N/A",IF(ABS(E12)=0, "N/A", ((G12-E12)/ABS(E12))*100))))</f>
        <v>-1.7703438298961125</v>
      </c>
      <c r="I12" s="76">
        <f>IF(I8&lt;DATEVALUE("06/30/1990"),"N/A",A902A_C5)</f>
        <v>391032036269</v>
      </c>
      <c r="J12" s="102">
        <f>IF(I12="N/A", " ", IF(G12="N/A", " ",IF(AND(G12=0,I12=0,),"N/A",IF(ABS(G12)=0, "N/A", ((I12-G12)/ABS(G12))*100))))</f>
        <v>6.1196471915209334E-2</v>
      </c>
      <c r="K12" s="130"/>
    </row>
    <row r="13" spans="1:11" ht="13.15" customHeight="1" x14ac:dyDescent="0.2">
      <c r="A13" s="144" t="s">
        <v>1096</v>
      </c>
      <c r="B13" s="76">
        <f>IF(B8&lt;DATEVALUE("06/30/1990"),"N/A",A902_C1)</f>
        <v>372690170711</v>
      </c>
      <c r="C13" s="76">
        <f>IF(C8&lt;DATEVALUE("06/30/1990"),"N/A",A902_C2)</f>
        <v>378544315456</v>
      </c>
      <c r="D13" s="102">
        <f>IF(C13="N/A", " ", IF(B13="N/A", " ",IF(AND(B13=0,C13=0,),"N/A",IF(ABS(B13)=0, "N/A", ((C13-B13)/ABS(B13))*100))))</f>
        <v>1.5707805585083583</v>
      </c>
      <c r="E13" s="76">
        <f>IF(E8&lt;DATEVALUE("06/30/1990"),"N/A",A902_C3)</f>
        <v>397835948987</v>
      </c>
      <c r="F13" s="102">
        <f>IF(E13="N/A", " ", IF(C13="N/A", " ",IF(AND(C13=0,E13=0,),"N/A",IF(ABS(C13)=0, "N/A", ((E13-C13)/ABS(C13))*100))))</f>
        <v>5.0962681893032835</v>
      </c>
      <c r="G13" s="76">
        <f>IF(G8&lt;DATEVALUE("06/30/1990"),"N/A",A902_C4)</f>
        <v>390792884811</v>
      </c>
      <c r="H13" s="102">
        <f>IF(G13="N/A", " ", IF(E13="N/A", " ",IF(AND(E13=0,G13=0,),"N/A",IF(ABS(E13)=0, "N/A", ((G13-E13)/ABS(E13))*100))))</f>
        <v>-1.7703438298961125</v>
      </c>
      <c r="I13" s="76">
        <f>IF(I8&lt;DATEVALUE("06/30/1990"),"N/A",A902_C5)</f>
        <v>391032036269</v>
      </c>
      <c r="J13" s="102">
        <f>IF(I13="N/A", " ", IF(G13="N/A", " ",IF(AND(G13=0,I13=0,),"N/A",IF(ABS(G13)=0, "N/A", ((I13-G13)/ABS(G13))*100))))</f>
        <v>6.1196471915209334E-2</v>
      </c>
      <c r="K13" s="130"/>
    </row>
    <row r="14" spans="1:11" ht="13.15" customHeight="1" x14ac:dyDescent="0.2">
      <c r="A14" s="144"/>
      <c r="B14" s="76"/>
      <c r="C14" s="76"/>
      <c r="D14" s="102"/>
      <c r="E14" s="76"/>
      <c r="F14" s="102"/>
      <c r="G14" s="76"/>
      <c r="H14" s="102"/>
      <c r="I14" s="76"/>
      <c r="J14" s="102"/>
      <c r="K14" s="130"/>
    </row>
    <row r="15" spans="1:11" ht="13.15" customHeight="1" x14ac:dyDescent="0.2">
      <c r="A15" s="144" t="s">
        <v>1097</v>
      </c>
      <c r="B15" s="76">
        <f>IF(B8&lt;DATEVALUE("06/30/1990"),"N/A",A454_C1)</f>
        <v>161050298</v>
      </c>
      <c r="C15" s="76">
        <f>IF(C8&lt;DATEVALUE("06/30/1990"),"N/A",A454_C2)</f>
        <v>161483098</v>
      </c>
      <c r="D15" s="102">
        <f>IF(C15="N/A", " ", IF(B15="N/A", " ",IF(AND(B15=0,C15=0,),"N/A",IF(ABS(B15)=0, "N/A", ((C15-B15)/ABS(B15))*100))))</f>
        <v>0.26873592000432062</v>
      </c>
      <c r="E15" s="76">
        <f>IF(E8&lt;DATEVALUE("06/30/1990"),"N/A",A454_C3)</f>
        <v>162838668</v>
      </c>
      <c r="F15" s="102">
        <f>IF(E15="N/A", " ", IF(C15="N/A", " ",IF(AND(C15=0,E15=0,),"N/A",IF(ABS(C15)=0, "N/A", ((E15-C15)/ABS(C15))*100))))</f>
        <v>0.83945008288112</v>
      </c>
      <c r="G15" s="76">
        <f>IF(G8&lt;DATEVALUE("06/30/1990"),"N/A",A454_C4)</f>
        <v>163707768</v>
      </c>
      <c r="H15" s="102">
        <f>IF(G15="N/A", " ", IF(E15="N/A", " ",IF(AND(E15=0,G15=0,),"N/A",IF(ABS(E15)=0, "N/A", ((G15-E15)/ABS(E15))*100))))</f>
        <v>0.53371844088039333</v>
      </c>
      <c r="I15" s="76">
        <f>IF(I8&lt;DATEVALUE("06/30/1990"),"N/A",A454_C5)</f>
        <v>164941339</v>
      </c>
      <c r="J15" s="102">
        <f>IF(I15="N/A", " ", IF(G15="N/A", " ",IF(AND(G15=0,I15=0,),"N/A",IF(ABS(G15)=0, "N/A", ((I15-G15)/ABS(G15))*100))))</f>
        <v>0.75352013839685361</v>
      </c>
      <c r="K15" s="130"/>
    </row>
    <row r="16" spans="1:11" ht="13.15" customHeight="1" x14ac:dyDescent="0.2">
      <c r="A16" s="144" t="s">
        <v>1098</v>
      </c>
      <c r="B16" s="76">
        <f>IF(B8&lt;DATEVALUE("06/30/1990"),"N/A",A657A_C1)</f>
        <v>553435146032</v>
      </c>
      <c r="C16" s="76">
        <f>IF(C8&lt;DATEVALUE("06/30/1990"),"N/A",A657A_C2)</f>
        <v>555502701343</v>
      </c>
      <c r="D16" s="102">
        <f>IF(C16="N/A", " ", IF(B16="N/A", " ",IF(AND(B16=0,C16=0,),"N/A",IF(ABS(B16)=0, "N/A", ((C16-B16)/ABS(B16))*100))))</f>
        <v>0.37358583491198305</v>
      </c>
      <c r="E16" s="76">
        <f>IF(E8&lt;DATEVALUE("06/30/1990"),"N/A",A657A_C3)</f>
        <v>575783571345</v>
      </c>
      <c r="F16" s="102">
        <f>IF(E16="N/A", " ", IF(C16="N/A", " ",IF(AND(C16=0,E16=0,),"N/A",IF(ABS(C16)=0, "N/A", ((E16-C16)/ABS(C16))*100))))</f>
        <v>3.6509039385350168</v>
      </c>
      <c r="G16" s="76">
        <f>IF(G8&lt;DATEVALUE("06/30/1990"),"N/A",A657A_C4)</f>
        <v>572994656342</v>
      </c>
      <c r="H16" s="102">
        <f>IF(G16="N/A", " ", IF(E16="N/A", " ",IF(AND(E16=0,G16=0,),"N/A",IF(ABS(E16)=0, "N/A", ((G16-E16)/ABS(E16))*100))))</f>
        <v>-0.48436863116556828</v>
      </c>
      <c r="I16" s="76">
        <f>IF(I8&lt;DATEVALUE("06/30/1990"),"N/A",A657A_C5)</f>
        <v>566676892092</v>
      </c>
      <c r="J16" s="102">
        <f>IF(I16="N/A", " ", IF(G16="N/A", " ",IF(AND(G16=0,I16=0,),"N/A",IF(ABS(G16)=0, "N/A", ((I16-G16)/ABS(G16))*100))))</f>
        <v>-1.1025869403970763</v>
      </c>
      <c r="K16" s="130"/>
    </row>
    <row r="17" spans="1:11" ht="13.15" customHeight="1" x14ac:dyDescent="0.2">
      <c r="A17" s="144" t="s">
        <v>1099</v>
      </c>
      <c r="B17" s="76">
        <f>IF(B8&lt;DATEVALUE("06/30/1990"),"N/A",A657_C1)</f>
        <v>553435146032</v>
      </c>
      <c r="C17" s="76">
        <f>IF(C8&lt;DATEVALUE("06/30/1990"),"N/A",A657_C2)</f>
        <v>555502701343</v>
      </c>
      <c r="D17" s="102">
        <f>IF(C17="N/A", " ", IF(B17="N/A", " ",IF(AND(B17=0,C17=0,),"N/A",IF(ABS(B17)=0, "N/A", ((C17-B17)/ABS(B17))*100))))</f>
        <v>0.37358583491198305</v>
      </c>
      <c r="E17" s="76">
        <f>IF(E8&lt;DATEVALUE("06/30/1990"),"N/A",A657_C3)</f>
        <v>575783571345</v>
      </c>
      <c r="F17" s="102">
        <f>IF(E17="N/A", " ", IF(C17="N/A", " ",IF(AND(C17=0,E17=0,),"N/A",IF(ABS(C17)=0, "N/A", ((E17-C17)/ABS(C17))*100))))</f>
        <v>3.6509039385350168</v>
      </c>
      <c r="G17" s="76">
        <f>IF(G8&lt;DATEVALUE("06/30/1990"),"N/A",A657_C4)</f>
        <v>572994656342</v>
      </c>
      <c r="H17" s="102">
        <f>IF(G17="N/A", " ", IF(E17="N/A", " ",IF(AND(E17=0,G17=0,),"N/A",IF(ABS(E17)=0, "N/A", ((G17-E17)/ABS(E17))*100))))</f>
        <v>-0.48436863116556828</v>
      </c>
      <c r="I17" s="76">
        <f>IF(I8&lt;DATEVALUE("06/30/1990"),"N/A",A657_C5)</f>
        <v>566676892092</v>
      </c>
      <c r="J17" s="102">
        <f>IF(I17="N/A", " ", IF(G17="N/A", " ",IF(AND(G17=0,I17=0,),"N/A",IF(ABS(G17)=0, "N/A", ((I17-G17)/ABS(G17))*100))))</f>
        <v>-1.1025869403970763</v>
      </c>
      <c r="K17" s="130"/>
    </row>
    <row r="18" spans="1:11" ht="13.15" customHeight="1" x14ac:dyDescent="0.2">
      <c r="A18" s="144"/>
      <c r="B18" s="76"/>
      <c r="C18" s="76"/>
      <c r="D18" s="102"/>
      <c r="E18" s="76"/>
      <c r="F18" s="102"/>
      <c r="G18" s="76"/>
      <c r="H18" s="102"/>
      <c r="I18" s="76"/>
      <c r="J18" s="102"/>
      <c r="K18" s="130"/>
    </row>
    <row r="19" spans="1:11" ht="13.15" customHeight="1" x14ac:dyDescent="0.2">
      <c r="A19" s="144" t="s">
        <v>1100</v>
      </c>
      <c r="B19" s="76">
        <f>IF(B8&lt;DATEVALUE("06/30/1990"),"N/A",A458_C1)</f>
        <v>10206849</v>
      </c>
      <c r="C19" s="76">
        <f>IF(C8&lt;DATEVALUE("06/30/1990"),"N/A",A458_C2)</f>
        <v>10372040</v>
      </c>
      <c r="D19" s="102">
        <f>IF(C19="N/A", " ", IF(B19="N/A", " ",IF(AND(B19=0,C19=0,),"N/A",IF(ABS(B19)=0, "N/A", ((C19-B19)/ABS(B19))*100))))</f>
        <v>1.6184328777666839</v>
      </c>
      <c r="E19" s="76">
        <f>IF(E8&lt;DATEVALUE("06/30/1990"),"N/A",A458_C3)</f>
        <v>10575257</v>
      </c>
      <c r="F19" s="102">
        <f>IF(E19="N/A", " ", IF(C19="N/A", " ",IF(AND(C19=0,E19=0,),"N/A",IF(ABS(C19)=0, "N/A", ((E19-C19)/ABS(C19))*100))))</f>
        <v>1.9592770563939206</v>
      </c>
      <c r="G19" s="76">
        <f>IF(G8&lt;DATEVALUE("06/30/1990"),"N/A",A458_C4)</f>
        <v>10761518</v>
      </c>
      <c r="H19" s="102">
        <f>IF(G19="N/A", " ", IF(E19="N/A", " ",IF(AND(E19=0,G19=0,),"N/A",IF(ABS(E19)=0, "N/A", ((G19-E19)/ABS(E19))*100))))</f>
        <v>1.761290529393281</v>
      </c>
      <c r="I19" s="76">
        <f>IF(I8&lt;DATEVALUE("06/30/1990"),"N/A",A458_C5)</f>
        <v>10974666</v>
      </c>
      <c r="J19" s="102">
        <f>IF(I19="N/A", " ", IF(G19="N/A", " ",IF(AND(G19=0,I19=0,),"N/A",IF(ABS(G19)=0, "N/A", ((I19-G19)/ABS(G19))*100))))</f>
        <v>1.9806499417647214</v>
      </c>
      <c r="K19" s="130"/>
    </row>
    <row r="20" spans="1:11" ht="13.15" customHeight="1" x14ac:dyDescent="0.2">
      <c r="A20" s="144" t="s">
        <v>1101</v>
      </c>
      <c r="B20" s="76">
        <f>IF(B8&lt;DATEVALUE("06/30/1990"),"N/A",A911A_C1)</f>
        <v>331176762084</v>
      </c>
      <c r="C20" s="76">
        <f>IF(C8&lt;DATEVALUE("06/30/1990"),"N/A",A911A_C2)</f>
        <v>338434703713</v>
      </c>
      <c r="D20" s="102">
        <f>IF(C20="N/A", " ", IF(B20="N/A", " ",IF(AND(B20=0,C20=0,),"N/A",IF(ABS(B20)=0, "N/A", ((C20-B20)/ABS(B20))*100))))</f>
        <v>2.1915612627310757</v>
      </c>
      <c r="E20" s="76">
        <f>IF(E8&lt;DATEVALUE("06/30/1990"),"N/A",A911A_C3)</f>
        <v>350688342320</v>
      </c>
      <c r="F20" s="102">
        <f>IF(E20="N/A", " ", IF(C20="N/A", " ",IF(AND(C20=0,E20=0,),"N/A",IF(ABS(C20)=0, "N/A", ((E20-C20)/ABS(C20))*100))))</f>
        <v>3.6206802885650147</v>
      </c>
      <c r="G20" s="76">
        <f>IF(G8&lt;DATEVALUE("06/30/1990"),"N/A",A911A_C4)</f>
        <v>354495491767</v>
      </c>
      <c r="H20" s="102">
        <f>IF(G20="N/A", " ", IF(E20="N/A", " ",IF(AND(E20=0,G20=0,),"N/A",IF(ABS(E20)=0, "N/A", ((G20-E20)/ABS(E20))*100))))</f>
        <v>1.0856219005780381</v>
      </c>
      <c r="I20" s="76">
        <f>IF(I8&lt;DATEVALUE("06/30/1990"),"N/A",A911A_C5)</f>
        <v>359385884889</v>
      </c>
      <c r="J20" s="102">
        <f>IF(I20="N/A", " ", IF(G20="N/A", " ",IF(AND(G20=0,I20=0,),"N/A",IF(ABS(G20)=0, "N/A", ((I20-G20)/ABS(G20))*100))))</f>
        <v>1.3795360549223341</v>
      </c>
      <c r="K20" s="130"/>
    </row>
    <row r="21" spans="1:11" ht="13.15" customHeight="1" x14ac:dyDescent="0.2">
      <c r="A21" s="144" t="s">
        <v>1102</v>
      </c>
      <c r="B21" s="76">
        <f>IF(B8&lt;DATEVALUE("06/30/1990"),"N/A",A911_C1)</f>
        <v>331176762084</v>
      </c>
      <c r="C21" s="76">
        <f>IF(C8&lt;DATEVALUE("06/30/1990"),"N/A",A911_C2)</f>
        <v>338434703713</v>
      </c>
      <c r="D21" s="102">
        <f>IF(C21="N/A", " ", IF(B21="N/A", " ",IF(AND(B21=0,C21=0,),"N/A",IF(ABS(B21)=0, "N/A", ((C21-B21)/ABS(B21))*100))))</f>
        <v>2.1915612627310757</v>
      </c>
      <c r="E21" s="76">
        <f>IF(E8&lt;DATEVALUE("06/30/1990"),"N/A",A911_C3)</f>
        <v>350688342320</v>
      </c>
      <c r="F21" s="102">
        <f>IF(E21="N/A", " ", IF(C21="N/A", " ",IF(AND(C21=0,E21=0,),"N/A",IF(ABS(C21)=0, "N/A", ((E21-C21)/ABS(C21))*100))))</f>
        <v>3.6206802885650147</v>
      </c>
      <c r="G21" s="76">
        <f>IF(G8&lt;DATEVALUE("06/30/1990"),"N/A",A911_C4)</f>
        <v>354495491767</v>
      </c>
      <c r="H21" s="102">
        <f>IF(G21="N/A", " ", IF(E21="N/A", " ",IF(AND(E21=0,G21=0,),"N/A",IF(ABS(E21)=0, "N/A", ((G21-E21)/ABS(E21))*100))))</f>
        <v>1.0856219005780381</v>
      </c>
      <c r="I21" s="76">
        <f>IF(I8&lt;DATEVALUE("06/30/1990"),"N/A",A911_C5)</f>
        <v>359385884889</v>
      </c>
      <c r="J21" s="102">
        <f>IF(I21="N/A", " ", IF(G21="N/A", " ",IF(AND(G21=0,I21=0,),"N/A",IF(ABS(G21)=0, "N/A", ((I21-G21)/ABS(G21))*100))))</f>
        <v>1.3795360549223341</v>
      </c>
      <c r="K21" s="130"/>
    </row>
    <row r="22" spans="1:11" ht="13.15" customHeight="1" x14ac:dyDescent="0.2">
      <c r="A22" s="144"/>
      <c r="B22" s="76"/>
      <c r="C22" s="76"/>
      <c r="D22" s="102"/>
      <c r="E22" s="76"/>
      <c r="F22" s="102"/>
      <c r="G22" s="76"/>
      <c r="H22" s="102"/>
      <c r="I22" s="76"/>
      <c r="J22" s="102"/>
      <c r="K22" s="130"/>
    </row>
    <row r="23" spans="1:11" ht="13.15" customHeight="1" x14ac:dyDescent="0.2">
      <c r="A23" s="144" t="s">
        <v>1103</v>
      </c>
      <c r="B23" s="76">
        <f>IF(B8&lt;DATEVALUE("06/30/1990"),"N/A",A451_C1)</f>
        <v>15349721</v>
      </c>
      <c r="C23" s="76">
        <f>IF(C8&lt;DATEVALUE("06/30/1990"),"N/A",A451_C2)</f>
        <v>15353773</v>
      </c>
      <c r="D23" s="102">
        <f>IF(C23="N/A", " ", IF(B23="N/A", " ",IF(AND(B23=0,C23=0,),"N/A",IF(ABS(B23)=0, "N/A", ((C23-B23)/ABS(B23))*100))))</f>
        <v>2.6397873941813012E-2</v>
      </c>
      <c r="E23" s="76">
        <f>IF(E8&lt;DATEVALUE("06/30/1990"),"N/A",A451_C3)</f>
        <v>15386766</v>
      </c>
      <c r="F23" s="102">
        <f>IF(E23="N/A", " ", IF(C23="N/A", " ",IF(AND(C23=0,E23=0,),"N/A",IF(ABS(C23)=0, "N/A", ((E23-C23)/ABS(C23))*100))))</f>
        <v>0.2148852923642938</v>
      </c>
      <c r="G23" s="76">
        <f>IF(G8&lt;DATEVALUE("06/30/1990"),"N/A",A451_C4)</f>
        <v>15332289</v>
      </c>
      <c r="H23" s="102">
        <f>IF(G23="N/A", " ", IF(E23="N/A", " ",IF(AND(E23=0,G23=0,),"N/A",IF(ABS(E23)=0, "N/A", ((G23-E23)/ABS(E23))*100))))</f>
        <v>-0.35405100720970217</v>
      </c>
      <c r="I23" s="76">
        <f>IF(I8&lt;DATEVALUE("06/30/1990"),"N/A",A451_C5)</f>
        <v>15450297</v>
      </c>
      <c r="J23" s="102">
        <f>IF(I23="N/A", " ", IF(G23="N/A", " ",IF(AND(G23=0,I23=0,),"N/A",IF(ABS(G23)=0, "N/A", ((I23-G23)/ABS(G23))*100))))</f>
        <v>0.7696698125113608</v>
      </c>
      <c r="K23" s="130"/>
    </row>
    <row r="24" spans="1:11" ht="13.15" customHeight="1" x14ac:dyDescent="0.2">
      <c r="A24" s="144" t="s">
        <v>1104</v>
      </c>
      <c r="B24" s="76">
        <f>IF(B8&lt;DATEVALUE("06/30/1990"),"N/A",A908A_C1)</f>
        <v>454132456265</v>
      </c>
      <c r="C24" s="76">
        <f>IF(C8&lt;DATEVALUE("06/30/1990"),"N/A",A908A_C2)</f>
        <v>474859055055</v>
      </c>
      <c r="D24" s="102">
        <f>IF(C24="N/A", " ", IF(B24="N/A", " ",IF(AND(B24=0,C24=0,),"N/A",IF(ABS(B24)=0, "N/A", ((C24-B24)/ABS(B24))*100))))</f>
        <v>4.5639985656311257</v>
      </c>
      <c r="E24" s="76">
        <f>IF(E8&lt;DATEVALUE("06/30/1990"),"N/A",A908A_C3)</f>
        <v>479604673323</v>
      </c>
      <c r="F24" s="102">
        <f>IF(E24="N/A", " ", IF(C24="N/A", " ",IF(AND(C24=0,E24=0,),"N/A",IF(ABS(C24)=0, "N/A", ((E24-C24)/ABS(C24))*100))))</f>
        <v>0.99937407057560357</v>
      </c>
      <c r="G24" s="76">
        <f>IF(G8&lt;DATEVALUE("06/30/1990"),"N/A",A908A_C4)</f>
        <v>483799567755</v>
      </c>
      <c r="H24" s="102">
        <f>IF(G24="N/A", " ", IF(E24="N/A", " ",IF(AND(E24=0,G24=0,),"N/A",IF(ABS(E24)=0, "N/A", ((G24-E24)/ABS(E24))*100))))</f>
        <v>0.87465670485134295</v>
      </c>
      <c r="I24" s="76">
        <f>IF(I8&lt;DATEVALUE("06/30/1990"),"N/A",A908A_C5)</f>
        <v>491650197754</v>
      </c>
      <c r="J24" s="102">
        <f>IF(I24="N/A", " ", IF(G24="N/A", " ",IF(AND(G24=0,I24=0,),"N/A",IF(ABS(G24)=0, "N/A", ((I24-G24)/ABS(G24))*100))))</f>
        <v>1.6227029791344549</v>
      </c>
      <c r="K24" s="130"/>
    </row>
    <row r="25" spans="1:11" ht="13.15" customHeight="1" x14ac:dyDescent="0.2">
      <c r="A25" s="144" t="s">
        <v>1105</v>
      </c>
      <c r="B25" s="76">
        <f>IF(B8&lt;DATEVALUE("06/30/1990"),"N/A",A908B1_C1)</f>
        <v>76661462399</v>
      </c>
      <c r="C25" s="76">
        <f>IF(C8&lt;DATEVALUE("06/30/1990"),"N/A",A908B1_C2)</f>
        <v>67929747401</v>
      </c>
      <c r="D25" s="102">
        <f>IF(C25="N/A", " ", IF(B25="N/A", " ",IF(AND(B25=0,C25=0,),"N/A",IF(ABS(B25)=0, "N/A", ((C25-B25)/ABS(B25))*100))))</f>
        <v>-11.389966646545343</v>
      </c>
      <c r="E25" s="76">
        <f>IF(E8&lt;DATEVALUE("06/30/1990"),"N/A",A908B1_C3)</f>
        <v>74545104711</v>
      </c>
      <c r="F25" s="102">
        <f>IF(E25="N/A", " ", IF(C25="N/A", " ",IF(AND(C25=0,E25=0,),"N/A",IF(ABS(C25)=0, "N/A", ((E25-C25)/ABS(C25))*100))))</f>
        <v>9.7385277630262674</v>
      </c>
      <c r="G25" s="76">
        <f>IF(G8&lt;DATEVALUE("06/30/1990"),"N/A",A908B1_C4)</f>
        <v>77242281416</v>
      </c>
      <c r="H25" s="102">
        <f>IF(G25="N/A", " ", IF(E25="N/A", " ",IF(AND(E25=0,G25=0,),"N/A",IF(ABS(E25)=0, "N/A", ((G25-E25)/ABS(E25))*100))))</f>
        <v>3.6181808523263101</v>
      </c>
      <c r="I25" s="76">
        <f>IF(I8&lt;DATEVALUE("06/30/1990"),"N/A",A908B1_C5)</f>
        <v>81292491431</v>
      </c>
      <c r="J25" s="102">
        <f>IF(I25="N/A", " ", IF(G25="N/A", " ",IF(AND(G25=0,I25=0,),"N/A",IF(ABS(G25)=0, "N/A", ((I25-G25)/ABS(G25))*100))))</f>
        <v>5.2435142266021124</v>
      </c>
      <c r="K25" s="130"/>
    </row>
    <row r="26" spans="1:11" ht="13.15" customHeight="1" x14ac:dyDescent="0.2">
      <c r="A26" s="144" t="s">
        <v>1106</v>
      </c>
      <c r="B26" s="76">
        <f>IF(B8&lt;DATEVALUE("06/30/1990"),"N/A",A908B2_C1)</f>
        <v>20293242507</v>
      </c>
      <c r="C26" s="76">
        <f>IF(C8&lt;DATEVALUE("06/30/1990"),"N/A",A908B2_C2)</f>
        <v>18432478119</v>
      </c>
      <c r="D26" s="102">
        <f>IF(C26="N/A", " ", IF(B26="N/A", " ",IF(AND(B26=0,C26=0,),"N/A",IF(ABS(B26)=0, "N/A", ((C26-B26)/ABS(B26))*100))))</f>
        <v>-9.1693793505800922</v>
      </c>
      <c r="E26" s="76">
        <f>IF(E8&lt;DATEVALUE("06/30/1990"),"N/A",A908B2_C3)</f>
        <v>16887995617</v>
      </c>
      <c r="F26" s="102">
        <f>IF(E26="N/A", " ", IF(C26="N/A", " ",IF(AND(C26=0,E26=0,),"N/A",IF(ABS(C26)=0, "N/A", ((E26-C26)/ABS(C26))*100))))</f>
        <v>-8.3791365004142548</v>
      </c>
      <c r="G26" s="76">
        <f>IF(G8&lt;DATEVALUE("06/30/1990"),"N/A",A908B2_C4)</f>
        <v>16174269239</v>
      </c>
      <c r="H26" s="102">
        <f>IF(G26="N/A", " ", IF(E26="N/A", " ",IF(AND(E26=0,G26=0,),"N/A",IF(ABS(E26)=0, "N/A", ((G26-E26)/ABS(E26))*100))))</f>
        <v>-4.2262349788955422</v>
      </c>
      <c r="I26" s="76">
        <f>IF(I8&lt;DATEVALUE("06/30/1990"),"N/A",A908B2_C5)</f>
        <v>16579228782</v>
      </c>
      <c r="J26" s="102">
        <f>IF(I26="N/A", " ", IF(G26="N/A", " ",IF(AND(G26=0,I26=0,),"N/A",IF(ABS(G26)=0, "N/A", ((I26-G26)/ABS(G26))*100))))</f>
        <v>2.5037269815167074</v>
      </c>
      <c r="K26" s="130"/>
    </row>
    <row r="27" spans="1:11" x14ac:dyDescent="0.2">
      <c r="A27" s="144" t="s">
        <v>1107</v>
      </c>
      <c r="B27" s="76">
        <f>IF(B8&lt;DATEVALUE("06/30/1990"),"N/A",A908C_C1)</f>
        <v>551087161171</v>
      </c>
      <c r="C27" s="76">
        <f>IF(C8&lt;DATEVALUE("06/30/1990"),"N/A",A908C_C2)</f>
        <v>561221280575</v>
      </c>
      <c r="D27" s="102">
        <f>IF(C27="N/A", " ", IF(B27="N/A", " ",IF(AND(B27=0,C27=0,),"N/A",IF(ABS(B27)=0, "N/A", ((C27-B27)/ABS(B27))*100))))</f>
        <v>1.8389322267036858</v>
      </c>
      <c r="E27" s="76">
        <f>IF(E8&lt;DATEVALUE("06/30/1990"),"N/A",A908C_C3)</f>
        <v>571037773651</v>
      </c>
      <c r="F27" s="102">
        <f>IF(E27="N/A", " ", IF(C27="N/A", " ",IF(AND(C27=0,E27=0,),"N/A",IF(ABS(C27)=0, "N/A", ((E27-C27)/ABS(C27))*100))))</f>
        <v>1.7491305864137046</v>
      </c>
      <c r="G27" s="76">
        <f>IF(G8&lt;DATEVALUE("06/30/1990"),"N/A",A908C_C4)</f>
        <v>577216118410</v>
      </c>
      <c r="H27" s="102">
        <f>IF(G27="N/A", " ", IF(E27="N/A", " ",IF(AND(E27=0,G27=0,),"N/A",IF(ABS(E27)=0, "N/A", ((G27-E27)/ABS(E27))*100))))</f>
        <v>1.0819502744096936</v>
      </c>
      <c r="I27" s="76">
        <f>IF(I8&lt;DATEVALUE("06/30/1990"),"N/A",A908C_C5)</f>
        <v>589521917967</v>
      </c>
      <c r="J27" s="102">
        <f>IF(I27="N/A", " ", IF(G27="N/A", " ",IF(AND(G27=0,I27=0,),"N/A",IF(ABS(G27)=0, "N/A", ((I27-G27)/ABS(G27))*100))))</f>
        <v>2.131922370930591</v>
      </c>
      <c r="K27" s="130"/>
    </row>
    <row r="28" spans="1:11" x14ac:dyDescent="0.2">
      <c r="A28" s="144"/>
      <c r="B28" s="76"/>
      <c r="C28" s="76"/>
      <c r="D28" s="102"/>
      <c r="E28" s="76"/>
      <c r="F28" s="102"/>
      <c r="G28" s="76"/>
      <c r="H28" s="102"/>
      <c r="I28" s="76"/>
      <c r="J28" s="102"/>
      <c r="K28" s="130"/>
    </row>
    <row r="29" spans="1:11" ht="13.15" customHeight="1" x14ac:dyDescent="0.2">
      <c r="A29" s="144" t="s">
        <v>1108</v>
      </c>
      <c r="B29" s="76">
        <f>IF(B8&lt;DATEVALUE("06/30/1990"),"N/A",A453_C1)</f>
        <v>4378926</v>
      </c>
      <c r="C29" s="76">
        <f>IF(C8&lt;DATEVALUE("06/30/1990"),"N/A",A453_C2)</f>
        <v>4362644</v>
      </c>
      <c r="D29" s="102">
        <f>IF(C29="N/A", " ", IF(B29="N/A", " ",IF(AND(B29=0,C29=0,),"N/A",IF(ABS(B29)=0, "N/A", ((C29-B29)/ABS(B29))*100))))</f>
        <v>-0.37182633367177248</v>
      </c>
      <c r="E29" s="76">
        <f>IF(E8&lt;DATEVALUE("06/30/1990"),"N/A",A453_C3)</f>
        <v>4342366</v>
      </c>
      <c r="F29" s="102">
        <f>IF(E29="N/A", " ", IF(C29="N/A", " ",IF(AND(C29=0,E29=0,),"N/A",IF(ABS(C29)=0, "N/A", ((E29-C29)/ABS(C29))*100))))</f>
        <v>-0.46480987217843128</v>
      </c>
      <c r="G29" s="76">
        <f>IF(G8&lt;DATEVALUE("06/30/1990"),"N/A",A453_C4)</f>
        <v>4348814</v>
      </c>
      <c r="H29" s="102">
        <f>IF(G29="N/A", " ", IF(E29="N/A", " ",IF(AND(E29=0,G29=0,),"N/A",IF(ABS(E29)=0, "N/A", ((G29-E29)/ABS(E29))*100))))</f>
        <v>0.14849047731121698</v>
      </c>
      <c r="I29" s="76">
        <f>IF(I8&lt;DATEVALUE("06/30/1990"),"N/A",A453_C5)</f>
        <v>4322182</v>
      </c>
      <c r="J29" s="102">
        <f>IF(I29="N/A", " ", IF(G29="N/A", " ",IF(AND(G29=0,I29=0,),"N/A",IF(ABS(G29)=0, "N/A", ((I29-G29)/ABS(G29))*100))))</f>
        <v>-0.61239685118747311</v>
      </c>
      <c r="K29" s="130"/>
    </row>
    <row r="30" spans="1:11" ht="13.15" customHeight="1" x14ac:dyDescent="0.2">
      <c r="A30" s="144" t="s">
        <v>1109</v>
      </c>
      <c r="B30" s="76">
        <f>IF(B8&lt;DATEVALUE("06/30/1990"),"N/A",A906A_C1)</f>
        <v>65045923961</v>
      </c>
      <c r="C30" s="76">
        <f>IF(C8&lt;DATEVALUE("06/30/1990"),"N/A",A906A_C2)</f>
        <v>65383810093</v>
      </c>
      <c r="D30" s="102">
        <f>IF(C30="N/A", " ", IF(B30="N/A", " ",IF(AND(B30=0,C30=0,),"N/A",IF(ABS(B30)=0, "N/A", ((C30-B30)/ABS(B30))*100))))</f>
        <v>0.51945780984307111</v>
      </c>
      <c r="E30" s="76">
        <f>IF(E8&lt;DATEVALUE("06/30/1990"),"N/A",A906A_C3)</f>
        <v>65524472948</v>
      </c>
      <c r="F30" s="102">
        <f>IF(E30="N/A", " ", IF(C30="N/A", " ",IF(AND(C30=0,E30=0,),"N/A",IF(ABS(C30)=0, "N/A", ((E30-C30)/ABS(C30))*100))))</f>
        <v>0.21513407493372644</v>
      </c>
      <c r="G30" s="76">
        <f>IF(G8&lt;DATEVALUE("06/30/1990"),"N/A",A906A_C4)</f>
        <v>66311285147</v>
      </c>
      <c r="H30" s="102">
        <f>IF(G30="N/A", " ", IF(E30="N/A", " ",IF(AND(E30=0,G30=0,),"N/A",IF(ABS(E30)=0, "N/A", ((G30-E30)/ABS(E30))*100))))</f>
        <v>1.2007913434487472</v>
      </c>
      <c r="I30" s="76">
        <f>IF(I8&lt;DATEVALUE("06/30/1990"),"N/A",A906A_C5)</f>
        <v>66188735947</v>
      </c>
      <c r="J30" s="102">
        <f>IF(I30="N/A", " ", IF(G30="N/A", " ",IF(AND(G30=0,I30=0,),"N/A",IF(ABS(G30)=0, "N/A", ((I30-G30)/ABS(G30))*100))))</f>
        <v>-0.18480896536438832</v>
      </c>
      <c r="K30" s="130"/>
    </row>
    <row r="31" spans="1:11" ht="13.15" customHeight="1" x14ac:dyDescent="0.2">
      <c r="A31" s="144" t="s">
        <v>1110</v>
      </c>
      <c r="B31" s="76">
        <f>IF(B8&lt;DATEVALUE("06/30/1990"),"N/A",A906B1_C1)</f>
        <v>13482845175</v>
      </c>
      <c r="C31" s="76">
        <f>IF(C8&lt;DATEVALUE("06/30/1990"),"N/A",A906B1_C2)</f>
        <v>13720521865</v>
      </c>
      <c r="D31" s="102">
        <f>IF(C31="N/A", " ", IF(B31="N/A", " ",IF(AND(B31=0,C31=0,),"N/A",IF(ABS(B31)=0, "N/A", ((C31-B31)/ABS(B31))*100))))</f>
        <v>1.7628081233232733</v>
      </c>
      <c r="E31" s="76">
        <f>IF(E8&lt;DATEVALUE("06/30/1990"),"N/A",A906B1_C3)</f>
        <v>14663832860</v>
      </c>
      <c r="F31" s="102">
        <f>IF(E31="N/A", " ", IF(C31="N/A", " ",IF(AND(C31=0,E31=0,),"N/A",IF(ABS(C31)=0, "N/A", ((E31-C31)/ABS(C31))*100))))</f>
        <v>6.8751830599557158</v>
      </c>
      <c r="G31" s="76">
        <f>IF(G8&lt;DATEVALUE("06/30/1990"),"N/A",A906B1_C4)</f>
        <v>15026849092</v>
      </c>
      <c r="H31" s="102">
        <f>IF(G31="N/A", " ", IF(E31="N/A", " ",IF(AND(E31=0,G31=0,),"N/A",IF(ABS(E31)=0, "N/A", ((G31-E31)/ABS(E31))*100))))</f>
        <v>2.4755889914037112</v>
      </c>
      <c r="I31" s="76">
        <f>IF(I8&lt;DATEVALUE("06/30/1990"),"N/A",A906B1_C5)</f>
        <v>15461513611</v>
      </c>
      <c r="J31" s="102">
        <f>IF(I31="N/A", " ", IF(G31="N/A", " ",IF(AND(G31=0,I31=0,),"N/A",IF(ABS(G31)=0, "N/A", ((I31-G31)/ABS(G31))*100))))</f>
        <v>2.8925859063255439</v>
      </c>
      <c r="K31" s="130"/>
    </row>
    <row r="32" spans="1:11" ht="13.15" customHeight="1" x14ac:dyDescent="0.2">
      <c r="A32" s="144" t="s">
        <v>1111</v>
      </c>
      <c r="B32" s="76">
        <f>IF(B8&lt;DATEVALUE("06/30/1990"),"N/A",A906B2_C1)</f>
        <v>8282599602</v>
      </c>
      <c r="C32" s="76">
        <f>IF(C8&lt;DATEVALUE("06/30/1990"),"N/A",A906B2_C2)</f>
        <v>7668706864</v>
      </c>
      <c r="D32" s="102">
        <f>IF(C32="N/A", " ", IF(B32="N/A", " ",IF(AND(B32=0,C32=0,),"N/A",IF(ABS(B32)=0, "N/A", ((C32-B32)/ABS(B32))*100))))</f>
        <v>-7.4118364704212345</v>
      </c>
      <c r="E32" s="76">
        <f>IF(E8&lt;DATEVALUE("06/30/1990"),"N/A",A906B2_C3)</f>
        <v>7023317885</v>
      </c>
      <c r="F32" s="102">
        <f>IF(E32="N/A", " ", IF(C32="N/A", " ",IF(AND(C32=0,E32=0,),"N/A",IF(ABS(C32)=0, "N/A", ((E32-C32)/ABS(C32))*100))))</f>
        <v>-8.4158775455313855</v>
      </c>
      <c r="G32" s="76">
        <f>IF(G8&lt;DATEVALUE("06/30/1990"),"N/A",A906B2_C4)</f>
        <v>6650939937</v>
      </c>
      <c r="H32" s="102">
        <f>IF(G32="N/A", " ", IF(E32="N/A", " ",IF(AND(E32=0,G32=0,),"N/A",IF(ABS(E32)=0, "N/A", ((G32-E32)/ABS(E32))*100))))</f>
        <v>-5.302023261616899</v>
      </c>
      <c r="I32" s="76">
        <f>IF(I8&lt;DATEVALUE("06/30/1990"),"N/A",A906B2_C5)</f>
        <v>6507669651</v>
      </c>
      <c r="J32" s="102">
        <f>IF(I32="N/A", " ", IF(G32="N/A", " ",IF(AND(G32=0,I32=0,),"N/A",IF(ABS(G32)=0, "N/A", ((I32-G32)/ABS(G32))*100))))</f>
        <v>-2.1541359169847514</v>
      </c>
      <c r="K32" s="130"/>
    </row>
    <row r="33" spans="1:11" s="30" customFormat="1" ht="14.25" customHeight="1" x14ac:dyDescent="0.2">
      <c r="A33" s="144" t="s">
        <v>1112</v>
      </c>
      <c r="B33" s="76">
        <f>IF(B8&lt;DATEVALUE("06/30/1990"),"N/A",A906C_C1)</f>
        <v>86811368738</v>
      </c>
      <c r="C33" s="76">
        <f>IF(C8&lt;DATEVALUE("06/30/1990"),"N/A",A906C_C2)</f>
        <v>86773038822</v>
      </c>
      <c r="D33" s="102">
        <f>IF(C33="N/A", " ", IF(B33="N/A", " ",IF(AND(B33=0,C33=0,),"N/A",IF(ABS(B33)=0, "N/A", ((C33-B33)/ABS(B33))*100))))</f>
        <v>-4.4153106392874807E-2</v>
      </c>
      <c r="E33" s="76">
        <f>IF(E8&lt;DATEVALUE("06/30/1990"),"N/A",A906C_C3)</f>
        <v>87211623693</v>
      </c>
      <c r="F33" s="102">
        <f>IF(E33="N/A", " ", IF(C33="N/A", " ",IF(AND(C33=0,E33=0,),"N/A",IF(ABS(C33)=0, "N/A", ((E33-C33)/ABS(C33))*100))))</f>
        <v>0.50543910522677626</v>
      </c>
      <c r="G33" s="76">
        <f>IF(G8&lt;DATEVALUE("06/30/1990"),"N/A",A906C_C4)</f>
        <v>87989074176</v>
      </c>
      <c r="H33" s="102">
        <f>IF(G33="N/A", " ", IF(E33="N/A", " ",IF(AND(E33=0,G33=0,),"N/A",IF(ABS(E33)=0, "N/A", ((G33-E33)/ABS(E33))*100))))</f>
        <v>0.89145282483990906</v>
      </c>
      <c r="I33" s="76">
        <f>IF(I8&lt;DATEVALUE("06/30/1990"),"N/A",A906C_C5)</f>
        <v>88157919209</v>
      </c>
      <c r="J33" s="102">
        <f>IF(I33="N/A", " ", IF(G33="N/A", " ",IF(AND(G33=0,I33=0,),"N/A",IF(ABS(G33)=0, "N/A", ((I33-G33)/ABS(G33))*100))))</f>
        <v>0.19189318058088439</v>
      </c>
      <c r="K33" s="130"/>
    </row>
    <row r="34" spans="1:11" x14ac:dyDescent="0.2">
      <c r="A34" s="144"/>
      <c r="B34" s="130"/>
      <c r="C34" s="91"/>
      <c r="D34" s="102"/>
      <c r="E34" s="91"/>
      <c r="F34" s="102"/>
      <c r="G34" s="130"/>
      <c r="H34" s="102"/>
      <c r="I34" s="91"/>
      <c r="J34" s="102"/>
      <c r="K34" s="130"/>
    </row>
    <row r="35" spans="1:11" x14ac:dyDescent="0.2">
      <c r="A35" s="144" t="s">
        <v>1113</v>
      </c>
      <c r="B35" s="76">
        <f>IF(B8&lt;DATEVALUE("06/30/1990"),"N/A",A455_C1)</f>
        <v>3833734</v>
      </c>
      <c r="C35" s="76" cm="1">
        <f t="array" ref="C35">IF(C8&lt;DATEVALUE("06/30/1990"),"N/A",A455_C2)</f>
        <v>3842566</v>
      </c>
      <c r="D35" s="279">
        <f>IF(C35="N/A", " ", IF(B35="N/A", " ",IF(AND(B35=0,C35=0,),"N/A",IF(ABS(B35)=0, "N/A", ((C35-B35)/ABS(B35))*100))))</f>
        <v>0.2303759207081138</v>
      </c>
      <c r="E35" s="76">
        <f>IF(E8&lt;DATEVALUE("06/30/1990"),"N/A",A455_C3)</f>
        <v>3831303</v>
      </c>
      <c r="F35" s="279">
        <f>IF(E35="N/A", " ", IF(C35="N/A", " ",IF(AND(C35=0,E35=0,),"N/A",IF(ABS(C35)=0, "N/A", ((E35-C35)/ABS(C35))*100))))</f>
        <v>-0.29311142606268831</v>
      </c>
      <c r="G35" s="76">
        <f>IF(G8&lt;DATEVALUE("06/30/1990"),"N/A",A455_C4)</f>
        <v>3847769</v>
      </c>
      <c r="H35" s="279">
        <f>IF(G35="N/A", " ", IF(E35="N/A", " ",IF(AND(E35=0,G35=0,),"N/A",IF(ABS(E35)=0, "N/A", ((G35-E35)/ABS(E35))*100))))</f>
        <v>0.4297754575923648</v>
      </c>
      <c r="I35" s="76">
        <f>IF(I8&lt;DATEVALUE("06/30/1990"),"N/A",A455_C5)</f>
        <v>3815553</v>
      </c>
      <c r="J35" s="279">
        <f>IF(I35="N/A", " ", IF(G35="N/A", " ",IF(AND(G35=0,I35=0,),"N/A",IF(ABS(G35)=0, "N/A", ((I35-G35)/ABS(G35))*100))))</f>
        <v>-0.83726439918820494</v>
      </c>
      <c r="K35" s="130"/>
    </row>
    <row r="36" spans="1:11" x14ac:dyDescent="0.2">
      <c r="A36" s="144" t="s">
        <v>1114</v>
      </c>
      <c r="B36" s="76">
        <f>IF(B8&lt;DATEVALUE("06/30/1990"),"N/A",A630A_C1)</f>
        <v>13158056409</v>
      </c>
      <c r="C36" s="76">
        <f>IF(C8&lt;DATEVALUE("06/30/1990"),"N/A",A630A_C2)</f>
        <v>12427465901</v>
      </c>
      <c r="D36" s="279">
        <f>IF(C36="N/A", " ", IF(B36="N/A", " ",IF(AND(B36=0,C36=0,),"N/A",IF(ABS(B36)=0, "N/A", ((C36-B36)/ABS(B36))*100))))</f>
        <v>-5.5524196377535073</v>
      </c>
      <c r="E36" s="76">
        <f>IF(E8&lt;DATEVALUE("06/30/1990"),"N/A",A630A_C3)</f>
        <v>13057535470</v>
      </c>
      <c r="F36" s="279">
        <f>IF(E36="N/A", " ", IF(C36="N/A", " ",IF(AND(C36=0,E36=0,),"N/A",IF(ABS(C36)=0, "N/A", ((E36-C36)/ABS(C36))*100))))</f>
        <v>5.0699762447089087</v>
      </c>
      <c r="G36" s="76">
        <f>IF(G8&lt;DATEVALUE("06/30/1990"),"N/A",A630A_C4)</f>
        <v>13786993131</v>
      </c>
      <c r="H36" s="279">
        <f>IF(G36="N/A", " ", IF(E36="N/A", " ",IF(AND(E36=0,G36=0,),"N/A",IF(ABS(E36)=0, "N/A", ((G36-E36)/ABS(E36))*100))))</f>
        <v>5.5864880679508504</v>
      </c>
      <c r="I36" s="76">
        <f>IF(I8&lt;DATEVALUE("06/30/1990"),"N/A",A630A_C5)</f>
        <v>13829295543</v>
      </c>
      <c r="J36" s="279">
        <f>IF(I36="N/A", " ", IF(G36="N/A", " ",IF(AND(G36=0,I36=0,),"N/A",IF(ABS(G36)=0, "N/A", ((I36-G36)/ABS(G36))*100))))</f>
        <v>0.30682841137334865</v>
      </c>
      <c r="K36" s="130"/>
    </row>
    <row r="37" spans="1:11" x14ac:dyDescent="0.2">
      <c r="A37" s="144" t="s">
        <v>1115</v>
      </c>
      <c r="B37" s="76">
        <f>IF(B8&lt;DATEVALUE("06/30/1990"),"N/A",A630B1_C1)</f>
        <v>39348669</v>
      </c>
      <c r="C37" s="76">
        <f>IF(C8&lt;DATEVALUE("06/30/1990"),"N/A",A630B1_C2)</f>
        <v>22251811</v>
      </c>
      <c r="D37" s="279">
        <f>IF(C37="N/A", " ", IF(B37="N/A", " ",IF(AND(B37=0,C37=0,),"N/A",IF(ABS(B37)=0, "N/A", ((C37-B37)/ABS(B37))*100))))</f>
        <v>-43.449647559870449</v>
      </c>
      <c r="E37" s="76">
        <f>IF(E8&lt;DATEVALUE("06/30/1990"),"N/A",A630B1_C3)</f>
        <v>20679542</v>
      </c>
      <c r="F37" s="279">
        <f>IF(E37="N/A", " ", IF(C37="N/A", " ",IF(AND(C37=0,E37=0,),"N/A",IF(ABS(C37)=0, "N/A", ((E37-C37)/ABS(C37))*100))))</f>
        <v>-7.0658024194075715</v>
      </c>
      <c r="G37" s="76">
        <f>IF(G8&lt;DATEVALUE("06/30/1990"),"N/A",A630B1_C4)</f>
        <v>21567065</v>
      </c>
      <c r="H37" s="279">
        <f>IF(G37="N/A", " ", IF(E37="N/A", " ",IF(AND(E37=0,G37=0,),"N/A",IF(ABS(E37)=0, "N/A", ((G37-E37)/ABS(E37))*100))))</f>
        <v>4.2917923424029416</v>
      </c>
      <c r="I37" s="76">
        <f>IF(I8&lt;DATEVALUE("06/30/1990"),"N/A",A630B1_C5)</f>
        <v>24908056</v>
      </c>
      <c r="J37" s="279">
        <f>IF(I37="N/A", " ", IF(G37="N/A", " ",IF(AND(G37=0,I37=0,),"N/A",IF(ABS(G37)=0, "N/A", ((I37-G37)/ABS(G37))*100))))</f>
        <v>15.491171376355567</v>
      </c>
      <c r="K37" s="130"/>
    </row>
    <row r="38" spans="1:11" x14ac:dyDescent="0.2">
      <c r="A38" s="144" t="s">
        <v>1116</v>
      </c>
      <c r="B38" s="76">
        <f>IF(B8&lt;DATEVALUE("06/30/1990"),"N/A",A630B2_C1)</f>
        <v>9249610</v>
      </c>
      <c r="C38" s="76">
        <f>IF(C8&lt;DATEVALUE("06/30/1990"),"N/A",A630B2_C2)</f>
        <v>8176251</v>
      </c>
      <c r="D38" s="279">
        <f>IF(C38="N/A", " ", IF(B38="N/A", " ",IF(AND(B38=0,C38=0,),"N/A",IF(ABS(B38)=0, "N/A", ((C38-B38)/ABS(B38))*100))))</f>
        <v>-11.604370346425418</v>
      </c>
      <c r="E38" s="76">
        <f>IF(E8&lt;DATEVALUE("06/30/1990"),"N/A",A630B2_C3)</f>
        <v>8538262</v>
      </c>
      <c r="F38" s="279">
        <f>IF(E38="N/A", " ", IF(C38="N/A", " ",IF(AND(C38=0,E38=0,),"N/A",IF(ABS(C38)=0, "N/A", ((E38-C38)/ABS(C38))*100))))</f>
        <v>4.4275915697793522</v>
      </c>
      <c r="G38" s="76">
        <f>IF(G8&lt;DATEVALUE("06/30/1990"),"N/A",A630B2_C4)</f>
        <v>9826302</v>
      </c>
      <c r="H38" s="279">
        <f>IF(G38="N/A", " ", IF(E38="N/A", " ",IF(AND(E38=0,G38=0,),"N/A",IF(ABS(E38)=0, "N/A", ((G38-E38)/ABS(E38))*100))))</f>
        <v>15.085505691907791</v>
      </c>
      <c r="I38" s="76">
        <f>IF(I8&lt;DATEVALUE("06/30/1990"),"N/A",A630B2_C5)</f>
        <v>7917195</v>
      </c>
      <c r="J38" s="279">
        <f>IF(I38="N/A", " ", IF(G38="N/A", " ",IF(AND(G38=0,I38=0,),"N/A",IF(ABS(G38)=0, "N/A", ((I38-G38)/ABS(G38))*100))))</f>
        <v>-19.428539851512809</v>
      </c>
      <c r="K38" s="130"/>
    </row>
    <row r="39" spans="1:11" x14ac:dyDescent="0.2">
      <c r="A39" s="144" t="s">
        <v>1117</v>
      </c>
      <c r="B39" s="76">
        <f>IF(B8&lt;DATEVALUE("06/30/1990"),"N/A",A630_C1)</f>
        <v>13206654688</v>
      </c>
      <c r="C39" s="76">
        <f>IF(C8&lt;DATEVALUE("06/30/1990"),"N/A",A630_C2)</f>
        <v>12457893963</v>
      </c>
      <c r="D39" s="279">
        <f>IF(C39="N/A", " ", IF(B39="N/A", " ",IF(AND(B39=0,C39=0,),"N/A",IF(ABS(B39)=0, "N/A", ((C39-B39)/ABS(B39))*100))))</f>
        <v>-5.6695714599121647</v>
      </c>
      <c r="E39" s="76">
        <f>IF(E8&lt;DATEVALUE("06/30/1990"),"N/A",A630_C3)</f>
        <v>13086753274</v>
      </c>
      <c r="F39" s="279">
        <f>IF(E39="N/A", " ", IF(C39="N/A", " ",IF(AND(C39=0,E39=0,),"N/A",IF(ABS(C39)=0, "N/A", ((E39-C39)/ABS(C39))*100))))</f>
        <v>5.0478781796322476</v>
      </c>
      <c r="G39" s="76">
        <f>IF(G8&lt;DATEVALUE("06/30/1990"),"N/A",A630_C4)</f>
        <v>13818386498</v>
      </c>
      <c r="H39" s="279">
        <f>IF(G39="N/A", " ", IF(E39="N/A", " ",IF(AND(E39=0,G39=0,),"N/A",IF(ABS(E39)=0, "N/A", ((G39-E39)/ABS(E39))*100))))</f>
        <v>5.5906397001735053</v>
      </c>
      <c r="I39" s="76">
        <f>IF(I8&lt;DATEVALUE("06/30/1990"),"N/A",A630_C5)</f>
        <v>13862120794</v>
      </c>
      <c r="J39" s="279">
        <f>IF(I39="N/A", " ", IF(G39="N/A", " ",IF(AND(G39=0,I39=0,),"N/A",IF(ABS(G39)=0, "N/A", ((I39-G39)/ABS(G39))*100))))</f>
        <v>0.31649350672258209</v>
      </c>
      <c r="K39" s="130"/>
    </row>
    <row r="40" spans="1:11" x14ac:dyDescent="0.2">
      <c r="A40" s="144"/>
      <c r="B40" s="76"/>
      <c r="C40" s="76"/>
      <c r="D40" s="279"/>
      <c r="E40" s="76"/>
      <c r="F40" s="279"/>
      <c r="G40" s="76"/>
      <c r="H40" s="279"/>
      <c r="I40" s="76"/>
      <c r="J40" s="279"/>
      <c r="K40" s="130"/>
    </row>
    <row r="41" spans="1:11" x14ac:dyDescent="0.2">
      <c r="A41" s="144" t="s">
        <v>1118</v>
      </c>
      <c r="B41" s="76">
        <f>IF(B8&lt;DATEVALUE("06/30/1990"),"N/A",A966_C1)</f>
        <v>283173473</v>
      </c>
      <c r="C41" s="76">
        <f>IF(C8&lt;DATEVALUE("06/30/1990"),"N/A",A966_C2)</f>
        <v>284337745</v>
      </c>
      <c r="D41" s="279">
        <f>IF(C41="N/A", " ", IF(B41="N/A", " ",IF(AND(B41=0,C41=0,),"N/A",IF(ABS(B41)=0, "N/A", ((C41-B41)/ABS(B41))*100))))</f>
        <v>0.41115150641246678</v>
      </c>
      <c r="E41" s="76" cm="1">
        <f t="array" ref="E41">IF(E8&lt;DATEVALUE("06/30/1990"),"N/A",A966_C3)</f>
        <v>286879272</v>
      </c>
      <c r="F41" s="279">
        <f>IF(E41="N/A", " ", IF(C41="N/A", " ",IF(AND(C41=0,E41=0,),"N/A",IF(ABS(C41)=0, "N/A", ((E41-C41)/ABS(C41))*100))))</f>
        <v>0.89384087926842071</v>
      </c>
      <c r="G41" s="76" cm="1">
        <f t="array" ref="G41">IF(G8&lt;DATEVALUE("06/30/1990"),"N/A",A966_C4)</f>
        <v>288799290</v>
      </c>
      <c r="H41" s="279">
        <f>IF(G41="N/A", " ", IF(E41="N/A", " ",IF(AND(E41=0,G41=0,),"N/A",IF(ABS(E41)=0, "N/A", ((G41-E41)/ABS(E41))*100))))</f>
        <v>0.66927735371553787</v>
      </c>
      <c r="I41" s="76">
        <f>IF(I8&lt;DATEVALUE("06/30/1990"),"N/A",A966_C5)</f>
        <v>290860548</v>
      </c>
      <c r="J41" s="279">
        <f>IF(I41="N/A", " ", IF(G41="N/A", " ",IF(AND(G41=0,I41=0,),"N/A",IF(ABS(G41)=0, "N/A", ((I41-G41)/ABS(G41))*100))))</f>
        <v>0.71373374913767962</v>
      </c>
      <c r="K41" s="130"/>
    </row>
    <row r="42" spans="1:11" x14ac:dyDescent="0.2">
      <c r="A42" s="144" t="s">
        <v>1119</v>
      </c>
      <c r="B42" s="76">
        <f>IF(B8&lt;DATEVALUE("06/30/1990"),"N/A",A013A_C1)</f>
        <v>1789638515462</v>
      </c>
      <c r="C42" s="76">
        <f>IF(C8&lt;DATEVALUE("06/30/1990"),"N/A",A013A_C2)</f>
        <v>1825152051561</v>
      </c>
      <c r="D42" s="279">
        <f>IF(C42="N/A", " ", IF(B42="N/A", " ",IF(AND(B42=0,C42=0,),"N/A",IF(ABS(B42)=0, "N/A", ((C42-B42)/ABS(B42))*100))))</f>
        <v>1.9843971725112368</v>
      </c>
      <c r="E42" s="76">
        <f>IF(E8&lt;DATEVALUE("06/30/1990"),"N/A",A013A_C3)</f>
        <v>1882494544393</v>
      </c>
      <c r="F42" s="279">
        <f>IF(E42="N/A", " ", IF(C42="N/A", " ",IF(AND(C42=0,E42=0,),"N/A",IF(ABS(C42)=0, "N/A", ((E42-C42)/ABS(C42))*100))))</f>
        <v>3.1417926403970897</v>
      </c>
      <c r="G42" s="76">
        <f>IF(G8&lt;DATEVALUE("06/30/1990"),"N/A",A013A_C4)</f>
        <v>1882180878953</v>
      </c>
      <c r="H42" s="279">
        <f>IF(G42="N/A", " ", IF(E42="N/A", " ",IF(AND(E42=0,G42=0,),"N/A",IF(ABS(E42)=0, "N/A", ((G42-E42)/ABS(E42))*100))))</f>
        <v>-1.6662223055798533E-2</v>
      </c>
      <c r="I42" s="76">
        <f>IF(I8&lt;DATEVALUE("06/30/1990"),"N/A",A013A_C5)</f>
        <v>1888763042494</v>
      </c>
      <c r="J42" s="279">
        <f>IF(I42="N/A", " ", IF(G42="N/A", " ",IF(AND(G42=0,I42=0,),"N/A",IF(ABS(G42)=0, "N/A", ((I42-G42)/ABS(G42))*100))))</f>
        <v>0.34970940437252013</v>
      </c>
      <c r="K42" s="130"/>
    </row>
    <row r="43" spans="1:11" x14ac:dyDescent="0.2">
      <c r="A43" s="144" t="s">
        <v>1120</v>
      </c>
      <c r="B43" s="76">
        <f>IF(B8&lt;DATEVALUE("06/30/1990"),"N/A",A013B1_C1)</f>
        <v>90183656243</v>
      </c>
      <c r="C43" s="76">
        <f>IF(C8&lt;DATEVALUE("06/30/1990"),"N/A",A013B1_C2)</f>
        <v>81672521077</v>
      </c>
      <c r="D43" s="279">
        <f>IF(C43="N/A", " ", IF(B43="N/A", " ",IF(AND(B43=0,C43=0,),"N/A",IF(ABS(B43)=0, "N/A", ((C43-B43)/ABS(B43))*100))))</f>
        <v>-9.4375583343690721</v>
      </c>
      <c r="E43" s="76">
        <f>IF(E8&lt;DATEVALUE("06/30/1990"),"N/A",A013B1_C3)</f>
        <v>89229617113</v>
      </c>
      <c r="F43" s="279">
        <f>IF(E43="N/A", " ", IF(C43="N/A", " ",IF(AND(C43=0,E43=0,),"N/A",IF(ABS(C43)=0, "N/A", ((E43-C43)/ABS(C43))*100))))</f>
        <v>9.252923671690322</v>
      </c>
      <c r="G43" s="76">
        <f>IF(G8&lt;DATEVALUE("06/30/1990"),"N/A",A013B1_C4)</f>
        <v>92290697573</v>
      </c>
      <c r="H43" s="279">
        <f>IF(G43="N/A", " ", IF(E43="N/A", " ",IF(AND(E43=0,G43=0,),"N/A",IF(ABS(E43)=0, "N/A", ((G43-E43)/ABS(E43))*100))))</f>
        <v>3.4305654994837211</v>
      </c>
      <c r="I43" s="76">
        <f>IF(I8&lt;DATEVALUE("06/30/1990"),"N/A",A013B1_C5)</f>
        <v>96778913098</v>
      </c>
      <c r="J43" s="279">
        <f>IF(I43="N/A", " ", IF(G43="N/A", " ",IF(AND(G43=0,I43=0,),"N/A",IF(ABS(G43)=0, "N/A", ((I43-G43)/ABS(G43))*100))))</f>
        <v>4.8631288342467185</v>
      </c>
      <c r="K43" s="130"/>
    </row>
    <row r="44" spans="1:11" x14ac:dyDescent="0.2">
      <c r="A44" s="144" t="s">
        <v>1121</v>
      </c>
      <c r="B44" s="76">
        <f>IF(B8&lt;DATEVALUE("06/30/1990"),"N/A",A013B2_C1)</f>
        <v>28585091719</v>
      </c>
      <c r="C44" s="76">
        <f>IF(C8&lt;DATEVALUE("06/30/1990"),"N/A",A013B2_C2)</f>
        <v>26109361234</v>
      </c>
      <c r="D44" s="279">
        <f>IF(C44="N/A", " ", IF(B44="N/A", " ",IF(AND(B44=0,C44=0,),"N/A",IF(ABS(B44)=0, "N/A", ((C44-B44)/ABS(B44))*100))))</f>
        <v>-8.6609149599279629</v>
      </c>
      <c r="E44" s="76">
        <f>IF(E8&lt;DATEVALUE("06/30/1990"),"N/A",A013B2_C3)</f>
        <v>23919851764</v>
      </c>
      <c r="F44" s="279">
        <f>IF(E44="N/A", " ", IF(C44="N/A", " ",IF(AND(C44=0,E44=0,),"N/A",IF(ABS(C44)=0, "N/A", ((E44-C44)/ABS(C44))*100))))</f>
        <v>-8.3859174124443463</v>
      </c>
      <c r="G44" s="76">
        <f>IF(G8&lt;DATEVALUE("06/30/1990"),"N/A",A013B2_C4)</f>
        <v>22835035478</v>
      </c>
      <c r="H44" s="279">
        <f>IF(G44="N/A", " ", IF(E44="N/A", " ",IF(AND(E44=0,G44=0,),"N/A",IF(ABS(E44)=0, "N/A", ((G44-E44)/ABS(E44))*100))))</f>
        <v>-4.5352132475698568</v>
      </c>
      <c r="I44" s="76">
        <f>IF(I8&lt;DATEVALUE("06/30/1990"),"N/A",A013B2_C5)</f>
        <v>23094815628</v>
      </c>
      <c r="J44" s="279">
        <f>IF(I44="N/A", " ", IF(G44="N/A", " ",IF(AND(G44=0,I44=0,),"N/A",IF(ABS(G44)=0, "N/A", ((I44-G44)/ABS(G44))*100))))</f>
        <v>1.1376384777255131</v>
      </c>
      <c r="K44" s="130"/>
    </row>
    <row r="45" spans="1:11" x14ac:dyDescent="0.2">
      <c r="A45" s="144" t="s">
        <v>1122</v>
      </c>
      <c r="B45" s="76">
        <f>IF(B8&lt;DATEVALUE("03/31/2022"),"N/A",ASH0013_C1)</f>
        <v>1908407263424</v>
      </c>
      <c r="C45" s="76">
        <f>IF(C8&lt;DATEVALUE("03/31/2022"),"N/A",ASH0013_C2)</f>
        <v>1932933933872</v>
      </c>
      <c r="D45" s="279">
        <f>IF(C45="N/A", " ", IF(B45="N/A", " ",IF(AND(B45=0,C45=0,),"N/A",IF(ABS(B45)=0, "N/A", ((C45-B45)/ABS(B45))*100))))</f>
        <v>1.285190583690982</v>
      </c>
      <c r="E45" s="76">
        <f>IF(E8&lt;DATEVALUE("03/31/2022"),"N/A",ASH0013_C3)</f>
        <v>1995644013270</v>
      </c>
      <c r="F45" s="279">
        <f>IF(E45="N/A", " ", IF(C45="N/A", " ",IF(AND(C45=0,E45=0,),"N/A",IF(ABS(C45)=0, "N/A", ((E45-C45)/ABS(C45))*100))))</f>
        <v>3.244295022147027</v>
      </c>
      <c r="G45" s="76">
        <f>IF(G8&lt;DATEVALUE("03/31/2022"),"N/A",ASH0013_C4)</f>
        <v>1997306612004</v>
      </c>
      <c r="H45" s="279">
        <f>IF(G45="N/A", " ", IF(E45="N/A", " ",IF(AND(E45=0,G45=0,),"N/A",IF(ABS(E45)=0, "N/A", ((G45-E45)/ABS(E45))*100))))</f>
        <v>8.331138835105753E-2</v>
      </c>
      <c r="I45" s="76">
        <f>IF(I8&lt;DATEVALUE("03/31/2022"),"N/A",ASH0013_C5)</f>
        <v>2008636771220</v>
      </c>
      <c r="J45" s="279">
        <f>IF(I45="N/A", " ", IF(G45="N/A", " ",IF(AND(G45=0,I45=0,),"N/A",IF(ABS(G45)=0, "N/A", ((I45-G45)/ABS(G45))*100))))</f>
        <v>0.56727190246628534</v>
      </c>
      <c r="K45" s="130"/>
    </row>
    <row r="46" spans="1:11" x14ac:dyDescent="0.2">
      <c r="A46" s="144"/>
      <c r="B46" s="76"/>
      <c r="C46" s="76"/>
      <c r="D46" s="279"/>
      <c r="E46" s="76"/>
      <c r="F46" s="279"/>
      <c r="G46" s="76"/>
      <c r="H46" s="279"/>
      <c r="I46" s="76"/>
      <c r="J46" s="279"/>
      <c r="K46" s="130"/>
    </row>
    <row r="47" spans="1:11" x14ac:dyDescent="0.2">
      <c r="A47" s="144" t="s">
        <v>1123</v>
      </c>
      <c r="B47" s="76">
        <f>IF(B8&lt;DATEVALUE("06/30/1990"),"N/A",A457_C1)</f>
        <v>957613</v>
      </c>
      <c r="C47" s="76">
        <f>IF(C8&lt;DATEVALUE("06/30/1990"),"N/A",A457_C2)</f>
        <v>935779</v>
      </c>
      <c r="D47" s="279">
        <f>IF(C47="N/A", " ", IF(B47="N/A", " ",IF(AND(B47=0,C47=0,),"N/A",IF(ABS(B47)=0, "N/A", ((C47-B47)/ABS(B47))*100))))</f>
        <v>-2.2800442349884555</v>
      </c>
      <c r="E47" s="76">
        <f>IF(E8&lt;DATEVALUE("06/30/1990"),"N/A",A457_C3)</f>
        <v>861802</v>
      </c>
      <c r="F47" s="279">
        <f>IF(E47="N/A", " ", IF(C47="N/A", " ",IF(AND(C47=0,E47=0,),"N/A",IF(ABS(C47)=0, "N/A", ((E47-C47)/ABS(C47))*100))))</f>
        <v>-7.9053921919598533</v>
      </c>
      <c r="G47" s="76">
        <f>IF(G8&lt;DATEVALUE("06/30/1990"),"N/A",A457_C4)</f>
        <v>877431</v>
      </c>
      <c r="H47" s="279">
        <f>IF(G47="N/A", " ", IF(E47="N/A", " ",IF(AND(E47=0,G47=0,),"N/A",IF(ABS(E47)=0, "N/A", ((G47-E47)/ABS(E47))*100))))</f>
        <v>1.8135256126117136</v>
      </c>
      <c r="I47" s="76">
        <f>IF(I8&lt;DATEVALUE("06/30/1990"),"N/A",A457_C5)</f>
        <v>811488</v>
      </c>
      <c r="J47" s="279">
        <f>IF(I47="N/A", " ", IF(G47="N/A", " ",IF(AND(G47=0,I47=0,),"N/A",IF(ABS(G47)=0, "N/A", ((I47-G47)/ABS(G47))*100))))</f>
        <v>-7.5154627543362382</v>
      </c>
      <c r="K47" s="130"/>
    </row>
    <row r="48" spans="1:11" x14ac:dyDescent="0.2">
      <c r="A48" s="144" t="s">
        <v>1124</v>
      </c>
      <c r="B48" s="76">
        <f>IF(B8&lt;DATEVALUE("06/30/1990"),"N/A",A880A_C1)</f>
        <v>14269828482</v>
      </c>
      <c r="C48" s="76">
        <f>IF(C8&lt;DATEVALUE("06/30/1990"),"N/A",A880A_C2)</f>
        <v>14424299387</v>
      </c>
      <c r="D48" s="279">
        <f>IF(C48="N/A", " ", IF(B48="N/A", " ",IF(AND(B48=0,C48=0,),"N/A",IF(ABS(B48)=0, "N/A", ((C48-B48)/ABS(B48))*100))))</f>
        <v>1.0825000818674873</v>
      </c>
      <c r="E48" s="76">
        <f>IF(E8&lt;DATEVALUE("06/30/1990"),"N/A",A880A_C3)</f>
        <v>13647793490</v>
      </c>
      <c r="F48" s="279">
        <f>IF(E48="N/A", " ", IF(C48="N/A", " ",IF(AND(C48=0,E48=0,),"N/A",IF(ABS(C48)=0, "N/A", ((E48-C48)/ABS(C48))*100))))</f>
        <v>-5.3833179426366549</v>
      </c>
      <c r="G48" s="76">
        <f>IF(G8&lt;DATEVALUE("06/30/1990"),"N/A",A880A_C4)</f>
        <v>13927637243</v>
      </c>
      <c r="H48" s="279">
        <f>IF(G48="N/A", " ", IF(E48="N/A", " ",IF(AND(E48=0,G48=0,),"N/A",IF(ABS(E48)=0, "N/A", ((G48-E48)/ABS(E48))*100))))</f>
        <v>2.0504688410258178</v>
      </c>
      <c r="I48" s="76">
        <f>IF(I8&lt;DATEVALUE("06/30/1990"),"N/A",A880A_C5)</f>
        <v>14051565360</v>
      </c>
      <c r="J48" s="279">
        <f>IF(I48="N/A", " ", IF(G48="N/A", " ",IF(AND(G48=0,I48=0,),"N/A",IF(ABS(G48)=0, "N/A", ((I48-G48)/ABS(G48))*100))))</f>
        <v>0.8898000058285982</v>
      </c>
      <c r="K48" s="130"/>
    </row>
    <row r="49" spans="1:11" x14ac:dyDescent="0.2">
      <c r="A49" s="144" t="s">
        <v>1125</v>
      </c>
      <c r="B49" s="76">
        <f>IF(B8&lt;DATEVALUE("06/30/1990"),"N/A",A880B1_C1)</f>
        <v>8918841150</v>
      </c>
      <c r="C49" s="76">
        <f>IF(C8&lt;DATEVALUE("06/30/1990"),"N/A",A880B1_C2)</f>
        <v>9036812378</v>
      </c>
      <c r="D49" s="279">
        <f>IF(C49="N/A", " ", IF(B49="N/A", " ",IF(AND(B49=0,C49=0,),"N/A",IF(ABS(B49)=0, "N/A", ((C49-B49)/ABS(B49))*100))))</f>
        <v>1.3227192413893367</v>
      </c>
      <c r="E49" s="76">
        <f>IF(E8&lt;DATEVALUE("06/30/1990"),"N/A",A880B1_C3)</f>
        <v>8484399471</v>
      </c>
      <c r="F49" s="279">
        <f>IF(E49="N/A", " ", IF(C49="N/A", " ",IF(AND(C49=0,E49=0,),"N/A",IF(ABS(C49)=0, "N/A", ((E49-C49)/ABS(C49))*100))))</f>
        <v>-6.1129177401629136</v>
      </c>
      <c r="G49" s="76">
        <f>IF(G8&lt;DATEVALUE("06/30/1990"),"N/A",A880B1_C4)</f>
        <v>8415344253</v>
      </c>
      <c r="H49" s="279">
        <f>IF(G49="N/A", " ", IF(E49="N/A", " ",IF(AND(E49=0,G49=0,),"N/A",IF(ABS(E49)=0, "N/A", ((G49-E49)/ABS(E49))*100))))</f>
        <v>-0.81390814088885566</v>
      </c>
      <c r="I49" s="76">
        <f>IF(I8&lt;DATEVALUE("06/30/1990"),"N/A",A880B1_C5)</f>
        <v>9027752865</v>
      </c>
      <c r="J49" s="279">
        <f>IF(I49="N/A", " ", IF(G49="N/A", " ",IF(AND(G49=0,I49=0,),"N/A",IF(ABS(G49)=0, "N/A", ((I49-G49)/ABS(G49))*100))))</f>
        <v>7.2772853205818819</v>
      </c>
      <c r="K49" s="130"/>
    </row>
    <row r="50" spans="1:11" x14ac:dyDescent="0.2">
      <c r="A50" s="144" t="s">
        <v>1126</v>
      </c>
      <c r="B50" s="76">
        <f>IF(B8&lt;DATEVALUE("06/30/1990"),"N/A",A880B2_C1)</f>
        <v>3145269765</v>
      </c>
      <c r="C50" s="76">
        <f>IF(C8&lt;DATEVALUE("06/30/1990"),"N/A",A880B2_C2)</f>
        <v>2851688153</v>
      </c>
      <c r="D50" s="279">
        <f>IF(C50="N/A", " ", IF(B50="N/A", " ",IF(AND(B50=0,C50=0,),"N/A",IF(ABS(B50)=0, "N/A", ((C50-B50)/ABS(B50))*100))))</f>
        <v>-9.3340677886178067</v>
      </c>
      <c r="E50" s="76">
        <f>IF(E8&lt;DATEVALUE("06/30/1990"),"N/A",A880B2_C3)</f>
        <v>2693347205</v>
      </c>
      <c r="F50" s="279">
        <f>IF(E50="N/A", " ", IF(C50="N/A", " ",IF(AND(C50=0,E50=0,),"N/A",IF(ABS(C50)=0, "N/A", ((E50-C50)/ABS(C50))*100))))</f>
        <v>-5.5525337801548877</v>
      </c>
      <c r="G50" s="76">
        <f>IF(G8&lt;DATEVALUE("06/30/1990"),"N/A",A880B2_C4)</f>
        <v>2390285065</v>
      </c>
      <c r="H50" s="279">
        <f>IF(G50="N/A", " ", IF(E50="N/A", " ",IF(AND(E50=0,G50=0,),"N/A",IF(ABS(E50)=0, "N/A", ((G50-E50)/ABS(E50))*100))))</f>
        <v>-11.252249224956499</v>
      </c>
      <c r="I50" s="76">
        <f>IF(I8&lt;DATEVALUE("06/30/1990"),"N/A",A880B2_C5)</f>
        <v>1979218572</v>
      </c>
      <c r="J50" s="279">
        <f>IF(I50="N/A", " ", IF(G50="N/A", " ",IF(AND(G50=0,I50=0,),"N/A",IF(ABS(G50)=0, "N/A", ((I50-G50)/ABS(G50))*100))))</f>
        <v>-17.197383651811421</v>
      </c>
      <c r="K50" s="130"/>
    </row>
    <row r="51" spans="1:11" x14ac:dyDescent="0.2">
      <c r="A51" s="144" t="s">
        <v>1127</v>
      </c>
      <c r="B51" s="76">
        <f>IF(B8&lt;DATEVALUE("03/31/2022"),"N/A",ASH0880_C1)</f>
        <v>26333939397</v>
      </c>
      <c r="C51" s="76">
        <f>IF(C8&lt;DATEVALUE("03/31/2022"),"N/A",ASH0880_C2)</f>
        <v>26312799918</v>
      </c>
      <c r="D51" s="279">
        <f>IF(C51="N/A", " ", IF(B51="N/A", " ",IF(AND(B51=0,C51=0,),"N/A",IF(ABS(B51)=0, "N/A", ((C51-B51)/ABS(B51))*100))))</f>
        <v>-8.0274655004363843E-2</v>
      </c>
      <c r="E51" s="76">
        <f>IF(E8&lt;DATEVALUE("03/31/2022"),"N/A",ASH0880_C3)</f>
        <v>24825540166</v>
      </c>
      <c r="F51" s="279">
        <f>IF(E51="N/A", " ", IF(C51="N/A", " ",IF(AND(C51=0,E51=0,),"N/A",IF(ABS(C51)=0, "N/A", ((E51-C51)/ABS(C51))*100))))</f>
        <v>-5.6522291684458814</v>
      </c>
      <c r="G51" s="76">
        <f>IF(G8&lt;DATEVALUE("03/31/2022"),"N/A",ASH0880_C4)</f>
        <v>24733266561</v>
      </c>
      <c r="H51" s="279">
        <f>IF(G51="N/A", " ", IF(E51="N/A", " ",IF(AND(E51=0,G51=0,),"N/A",IF(ABS(E51)=0, "N/A", ((G51-E51)/ABS(E51))*100))))</f>
        <v>-0.37168820651231588</v>
      </c>
      <c r="I51" s="76">
        <f>IF(I8&lt;DATEVALUE("03/31/2022"),"N/A",ASH0880_C5)</f>
        <v>25058536797</v>
      </c>
      <c r="J51" s="279">
        <f>IF(I51="N/A", " ", IF(G51="N/A", " ",IF(AND(G51=0,I51=0,),"N/A",IF(ABS(G51)=0, "N/A", ((I51-G51)/ABS(G51))*100))))</f>
        <v>1.3151123212851061</v>
      </c>
      <c r="K51" s="130"/>
    </row>
    <row r="52" spans="1:11" x14ac:dyDescent="0.2">
      <c r="A52" s="144"/>
      <c r="B52" s="76"/>
      <c r="C52" s="76"/>
      <c r="D52" s="279"/>
      <c r="E52" s="76"/>
      <c r="F52" s="279"/>
      <c r="G52" s="76"/>
      <c r="H52" s="279"/>
      <c r="I52" s="76"/>
      <c r="J52" s="279"/>
      <c r="K52" s="130"/>
    </row>
    <row r="53" spans="1:11" x14ac:dyDescent="0.2">
      <c r="A53" s="144" t="s">
        <v>1128</v>
      </c>
      <c r="B53" s="76">
        <f>IF(B8&lt;DATEVALUE("06/30/1990"),"N/A",A460_C1)</f>
        <v>284131086</v>
      </c>
      <c r="C53" s="76">
        <f>IF(C8&lt;DATEVALUE("06/30/1990"),"N/A",A460_C2)</f>
        <v>285273524</v>
      </c>
      <c r="D53" s="279">
        <f>IF(C53="N/A", " ", IF(B53="N/A", " ",IF(AND(B53=0,C53=0,),"N/A",IF(ABS(B53)=0, "N/A", ((C53-B53)/ABS(B53))*100))))</f>
        <v>0.40208131256711555</v>
      </c>
      <c r="E53" s="76">
        <f>IF(E8&lt;DATEVALUE("06/30/1990"),"N/A",A460_C3)</f>
        <v>287741074</v>
      </c>
      <c r="F53" s="279">
        <f>IF(E53="N/A", " ", IF(C53="N/A", " ",IF(AND(C53=0,E53=0,),"N/A",IF(ABS(C53)=0, "N/A", ((E53-C53)/ABS(C53))*100))))</f>
        <v>0.86497687040876603</v>
      </c>
      <c r="G53" s="76">
        <f>IF(G8&lt;DATEVALUE("06/30/1990"),"N/A",A460_C4)</f>
        <v>289676721</v>
      </c>
      <c r="H53" s="279">
        <f>IF(G53="N/A", " ", IF(E53="N/A", " ",IF(AND(E53=0,G53=0,),"N/A",IF(ABS(E53)=0, "N/A", ((G53-E53)/ABS(E53))*100))))</f>
        <v>0.67270444677634034</v>
      </c>
      <c r="I53" s="76">
        <f>IF(I8&lt;DATEVALUE("06/30/1990"),"N/A",A460_C5)</f>
        <v>291672036</v>
      </c>
      <c r="J53" s="279">
        <f>IF(I53="N/A", " ", IF(G53="N/A", " ",IF(AND(G53=0,I53=0,),"N/A",IF(ABS(G53)=0, "N/A", ((I53-G53)/ABS(G53))*100))))</f>
        <v>0.68880750690353199</v>
      </c>
      <c r="K53" s="130"/>
    </row>
    <row r="54" spans="1:11" x14ac:dyDescent="0.2">
      <c r="A54" s="144" t="s">
        <v>1129</v>
      </c>
      <c r="B54" s="76">
        <f>IF(B8&lt;DATEVALUE("06/30/1990"),"N/A",A018A_C1)</f>
        <v>1803908343944</v>
      </c>
      <c r="C54" s="76">
        <f>IF(C8&lt;DATEVALUE("06/30/1990"),"N/A",A018A_C2)</f>
        <v>1839576350948</v>
      </c>
      <c r="D54" s="279">
        <f>IF(C54="N/A", " ", IF(B54="N/A", " ",IF(AND(B54=0,C54=0,),"N/A",IF(ABS(B54)=0, "N/A", ((C54-B54)/ABS(B54))*100))))</f>
        <v>1.9772627098124484</v>
      </c>
      <c r="E54" s="76">
        <f>IF(E8&lt;DATEVALUE("06/30/1990"),"N/A",A018A_C3)</f>
        <v>1896142337883</v>
      </c>
      <c r="F54" s="279">
        <f>IF(E54="N/A", " ", IF(C54="N/A", " ",IF(AND(C54=0,E54=0,),"N/A",IF(ABS(C54)=0, "N/A", ((E54-C54)/ABS(C54))*100))))</f>
        <v>3.0749464084950597</v>
      </c>
      <c r="G54" s="76">
        <f>IF(G8&lt;DATEVALUE("06/30/1990"),"N/A",A018A_C4)</f>
        <v>1896108516196</v>
      </c>
      <c r="H54" s="279">
        <f>IF(G54="N/A", " ", IF(E54="N/A", " ",IF(AND(E54=0,G54=0,),"N/A",IF(ABS(E54)=0, "N/A", ((G54-E54)/ABS(E54))*100))))</f>
        <v>-1.783710343062175E-3</v>
      </c>
      <c r="I54" s="76">
        <f>IF(I8&lt;DATEVALUE("06/30/1990"),"N/A",A018A_C5)</f>
        <v>1902814607854</v>
      </c>
      <c r="J54" s="279">
        <f>IF(I54="N/A", " ", IF(G54="N/A", " ",IF(AND(G54=0,I54=0,),"N/A",IF(ABS(G54)=0, "N/A", ((I54-G54)/ABS(G54))*100))))</f>
        <v>0.35367657498073246</v>
      </c>
      <c r="K54" s="130"/>
    </row>
    <row r="55" spans="1:11" x14ac:dyDescent="0.2">
      <c r="A55" s="144" t="s">
        <v>1130</v>
      </c>
      <c r="B55" s="76">
        <f>IF(B8&lt;DATEVALUE("06/30/1990"),"N/A",A018B1_C1)</f>
        <v>99102497393</v>
      </c>
      <c r="C55" s="76">
        <f>IF(C8&lt;DATEVALUE("06/30/1990"),"N/A",A018B1_C2)</f>
        <v>90709333455</v>
      </c>
      <c r="D55" s="279">
        <f>IF(C55="N/A", " ", IF(B55="N/A", " ",IF(AND(B55=0,C55=0,),"N/A",IF(ABS(B55)=0, "N/A", ((C55-B55)/ABS(B55))*100))))</f>
        <v>-8.4691750044563889</v>
      </c>
      <c r="E55" s="76">
        <f>IF(E8&lt;DATEVALUE("06/30/1990"),"N/A",A018B1_C3)</f>
        <v>97714016584</v>
      </c>
      <c r="F55" s="279">
        <f>IF(E55="N/A", " ", IF(C55="N/A", " ",IF(AND(C55=0,E55=0,),"N/A",IF(ABS(C55)=0, "N/A", ((E55-C55)/ABS(C55))*100))))</f>
        <v>7.7221195021512905</v>
      </c>
      <c r="G55" s="76">
        <f>IF(G8&lt;DATEVALUE("06/30/1990"),"N/A",A018B1_C4)</f>
        <v>100706041826</v>
      </c>
      <c r="H55" s="279">
        <f>IF(G55="N/A", " ", IF(E55="N/A", " ",IF(AND(E55=0,G55=0,),"N/A",IF(ABS(E55)=0, "N/A", ((G55-E55)/ABS(E55))*100))))</f>
        <v>3.0620225701477546</v>
      </c>
      <c r="I55" s="76">
        <f>IF(I8&lt;DATEVALUE("06/30/1990"),"N/A",A018B1_C5)</f>
        <v>105806665963</v>
      </c>
      <c r="J55" s="279">
        <f>IF(I55="N/A", " ", IF(G55="N/A", " ",IF(AND(G55=0,I55=0,),"N/A",IF(ABS(G55)=0, "N/A", ((I55-G55)/ABS(G55))*100))))</f>
        <v>5.0648640781780134</v>
      </c>
      <c r="K55" s="130"/>
    </row>
    <row r="56" spans="1:11" x14ac:dyDescent="0.2">
      <c r="A56" s="144" t="s">
        <v>1131</v>
      </c>
      <c r="B56" s="76">
        <f>IF(B8&lt;DATEVALUE("06/30/1990"),"N/A",A018B2_C1)</f>
        <v>31730361484</v>
      </c>
      <c r="C56" s="76">
        <f>IF(C8&lt;DATEVALUE("06/30/1990"),"N/A",A018B2_C2)</f>
        <v>28961049387</v>
      </c>
      <c r="D56" s="279">
        <f>IF(C56="N/A", " ", IF(B56="N/A", " ",IF(AND(B56=0,C56=0,),"N/A",IF(ABS(B56)=0, "N/A", ((C56-B56)/ABS(B56))*100))))</f>
        <v>-8.727641184915031</v>
      </c>
      <c r="E56" s="76">
        <f>IF(E8&lt;DATEVALUE("06/30/1990"),"N/A",A018B2_C3)</f>
        <v>26613198969</v>
      </c>
      <c r="F56" s="279">
        <f>IF(E56="N/A", " ", IF(C56="N/A", " ",IF(AND(C56=0,E56=0,),"N/A",IF(ABS(C56)=0, "N/A", ((E56-C56)/ABS(C56))*100))))</f>
        <v>-8.1069245337977982</v>
      </c>
      <c r="G56" s="76">
        <f>IF(G8&lt;DATEVALUE("06/30/1990"),"N/A",A018B2_C4)</f>
        <v>25225320543</v>
      </c>
      <c r="H56" s="279">
        <f>IF(G56="N/A", " ", IF(E56="N/A", " ",IF(AND(E56=0,G56=0,),"N/A",IF(ABS(E56)=0, "N/A", ((G56-E56)/ABS(E56))*100))))</f>
        <v>-5.2150003748765794</v>
      </c>
      <c r="I56" s="76">
        <f>IF(I8&lt;DATEVALUE("06/30/1990"),"N/A",A018B2_C5)</f>
        <v>25074034200</v>
      </c>
      <c r="J56" s="279">
        <f>IF(I56="N/A", " ", IF(G56="N/A", " ",IF(AND(G56=0,I56=0,),"N/A",IF(ABS(G56)=0, "N/A", ((I56-G56)/ABS(G56))*100))))</f>
        <v>-0.59974002210244182</v>
      </c>
      <c r="K56" s="130"/>
    </row>
    <row r="57" spans="1:11" x14ac:dyDescent="0.2">
      <c r="A57" s="144" t="s">
        <v>1132</v>
      </c>
      <c r="B57" s="76">
        <f>IF(B8&lt;DATEVALUE("03/31/2022"),"N/A",ASH0018_C1)</f>
        <v>1934741202821</v>
      </c>
      <c r="C57" s="76">
        <f>IF(C8&lt;DATEVALUE("03/31/2022"),"N/A",ASH0018_C2)</f>
        <v>1959246733790</v>
      </c>
      <c r="D57" s="279">
        <f>IF(C57="N/A", " ", IF(B57="N/A", " ",IF(AND(B57=0,C57=0,),"N/A",IF(ABS(B57)=0, "N/A", ((C57-B57)/ABS(B57))*100))))</f>
        <v>1.2666051114882482</v>
      </c>
      <c r="E57" s="76">
        <f>IF(E8&lt;DATEVALUE("03/31/2022"),"N/A",ASH0018_C3)</f>
        <v>2020469553436</v>
      </c>
      <c r="F57" s="102">
        <f>IF(E57="N/A", " ", IF(C57="N/A", " ",IF(AND(C57=0,E57=0,),"N/A",IF(ABS(C57)=0, "N/A", ((E57-C57)/ABS(C57))*100))))</f>
        <v>3.1248141742499955</v>
      </c>
      <c r="G57" s="76">
        <f>IF(G8&lt;DATEVALUE("03/31/2022"),"N/A",ASH0018_C4)</f>
        <v>2022039878565</v>
      </c>
      <c r="H57" s="279">
        <f>IF(G57="N/A", " ", IF(E57="N/A", " ",IF(AND(E57=0,G57=0,),"N/A",IF(ABS(E57)=0, "N/A", ((G57-E57)/ABS(E57))*100))))</f>
        <v>7.772080140131353E-2</v>
      </c>
      <c r="I57" s="76">
        <f>IF(I8&lt;DATEVALUE("03/31/2022"),"N/A",ASH0018_C5)</f>
        <v>2033695308017</v>
      </c>
      <c r="J57" s="279">
        <f>IF(I57="N/A", " ", IF(G57="N/A", " ",IF(AND(G57=0,I57=0,),"N/A",IF(ABS(G57)=0, "N/A", ((I57-G57)/ABS(G57))*100))))</f>
        <v>0.57641936618340184</v>
      </c>
      <c r="K57" s="130"/>
    </row>
    <row r="58" spans="1:11" x14ac:dyDescent="0.2">
      <c r="J58" s="269"/>
    </row>
    <row r="59" spans="1:11" x14ac:dyDescent="0.2">
      <c r="A59" s="30" t="s">
        <v>86</v>
      </c>
    </row>
    <row r="60" spans="1:11" x14ac:dyDescent="0.2">
      <c r="H60" s="269" t="s">
        <v>1133</v>
      </c>
    </row>
  </sheetData>
  <mergeCells count="1">
    <mergeCell ref="D5:J5"/>
  </mergeCells>
  <hyperlinks>
    <hyperlink ref="A2" location="'Cover Page'!A1" display="Return to cover" xr:uid="{00000000-0004-0000-1F00-000000000000}"/>
  </hyperlinks>
  <printOptions horizontalCentered="1" verticalCentered="1" gridLines="1"/>
  <pageMargins left="0.75" right="0.75" top="0.5" bottom="0.5" header="0.5" footer="0.5"/>
  <pageSetup orientation="landscape"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26">
    <pageSetUpPr fitToPage="1"/>
  </sheetPr>
  <dimension ref="A1:J25"/>
  <sheetViews>
    <sheetView workbookViewId="0"/>
  </sheetViews>
  <sheetFormatPr defaultRowHeight="12.75" x14ac:dyDescent="0.2"/>
  <cols>
    <col min="1" max="1" width="62.42578125" customWidth="1"/>
    <col min="2" max="3" width="16.7109375" customWidth="1"/>
    <col min="4" max="4" width="6.7109375" customWidth="1"/>
    <col min="5" max="5" width="16.7109375" customWidth="1"/>
    <col min="6" max="6" width="6.7109375" customWidth="1"/>
    <col min="7" max="7" width="16.7109375" customWidth="1"/>
    <col min="8" max="8" width="6.7109375" customWidth="1"/>
    <col min="9" max="9" width="16.7109375" customWidth="1"/>
    <col min="10" max="10" width="6.7109375" customWidth="1"/>
  </cols>
  <sheetData>
    <row r="1" spans="1:10" x14ac:dyDescent="0.2">
      <c r="A1" s="88"/>
      <c r="B1" s="62"/>
      <c r="C1" s="85" t="s">
        <v>36</v>
      </c>
      <c r="D1" s="118"/>
      <c r="E1" s="62"/>
      <c r="F1" s="119"/>
      <c r="G1" s="62"/>
      <c r="H1" s="119"/>
      <c r="I1" s="62"/>
      <c r="J1" s="119"/>
    </row>
    <row r="2" spans="1:10" x14ac:dyDescent="0.2">
      <c r="A2" s="60" t="s">
        <v>49</v>
      </c>
      <c r="B2" s="62"/>
      <c r="C2" s="67" t="s">
        <v>50</v>
      </c>
      <c r="D2" s="87" t="str">
        <f>IF(CU_NUMBER="","N/A",CU_NUMBER)</f>
        <v>N/A</v>
      </c>
      <c r="E2" s="120"/>
      <c r="F2" s="119"/>
      <c r="G2" s="62"/>
      <c r="H2" s="119"/>
      <c r="I2" s="62"/>
      <c r="J2" s="119"/>
    </row>
    <row r="3" spans="1:10" x14ac:dyDescent="0.2">
      <c r="A3" s="121" t="str">
        <f>IF(Request_Date=0,"N/A",Request_Date)</f>
        <v>12/05/2025</v>
      </c>
      <c r="B3" s="62"/>
      <c r="C3" s="67" t="s">
        <v>42</v>
      </c>
      <c r="D3" s="75">
        <f>IF(CountCu_C5=0,"N/A",CountCu_C5)</f>
        <v>4331</v>
      </c>
      <c r="E3" s="120"/>
      <c r="F3" s="119"/>
      <c r="G3" s="62"/>
      <c r="H3" s="119"/>
      <c r="I3" s="62"/>
      <c r="J3" s="119"/>
    </row>
    <row r="4" spans="1:10" x14ac:dyDescent="0.2">
      <c r="A4" s="74" t="str">
        <f>"CU Name:      "&amp;IF(Cu_Name="","N/A",Cu_Name)</f>
        <v>CU Name:      N/A</v>
      </c>
      <c r="B4" s="62"/>
      <c r="C4" s="67" t="s">
        <v>43</v>
      </c>
      <c r="D4" s="89" t="str">
        <f>IF(AssetRange="","N/A",AssetRange)</f>
        <v>N/A</v>
      </c>
      <c r="E4" s="75"/>
      <c r="F4" s="119"/>
      <c r="G4" s="62"/>
      <c r="H4" s="119"/>
      <c r="I4" s="62"/>
      <c r="J4" s="119"/>
    </row>
    <row r="5" spans="1:10" x14ac:dyDescent="0.2">
      <c r="A5" s="74" t="str">
        <f>"Peer Group:      "&amp;IF(Peer_Group="","N/A",IF(Peer_Group="0","N/A",Peer_Group))</f>
        <v>Peer Group:      N/A</v>
      </c>
      <c r="B5" s="90"/>
      <c r="C5" s="67" t="s">
        <v>51</v>
      </c>
      <c r="D5" s="24" t="str">
        <f>IF(_xlnm.Criteria="","N/A",_xlnm.Criteria)</f>
        <v xml:space="preserve">Region: Nation * Peer Group: All * Types Included: All  Federally Insured Credit Unions  (FICUs) *  </v>
      </c>
      <c r="E5" s="23"/>
      <c r="F5" s="23"/>
      <c r="G5" s="23"/>
      <c r="H5" s="23"/>
      <c r="I5" s="23"/>
      <c r="J5" s="23"/>
    </row>
    <row r="6" spans="1:10" x14ac:dyDescent="0.2">
      <c r="A6" s="74"/>
      <c r="B6" s="67"/>
      <c r="C6" s="67" t="s">
        <v>45</v>
      </c>
      <c r="D6" s="75" t="str">
        <f>IF(NoCu_in_Peer_Group="","N/A",NoCu_in_Peer_Group)</f>
        <v>N/A</v>
      </c>
      <c r="E6" s="92" t="str">
        <f>IF(CU_NUMBER&gt;0,"",IF(RetPop=0,"Retroactive Population",""))</f>
        <v/>
      </c>
      <c r="F6" s="119"/>
      <c r="G6" s="62"/>
      <c r="H6" s="119"/>
      <c r="I6" s="62"/>
      <c r="J6" s="119"/>
    </row>
    <row r="7" spans="1:10" x14ac:dyDescent="0.2">
      <c r="A7" s="29"/>
      <c r="B7" s="116"/>
      <c r="C7" s="92"/>
      <c r="D7" s="57"/>
      <c r="E7" s="58"/>
      <c r="F7" s="54"/>
      <c r="G7" s="30"/>
      <c r="H7" s="54"/>
      <c r="I7" s="30"/>
      <c r="J7" s="54"/>
    </row>
    <row r="8" spans="1:10" x14ac:dyDescent="0.2">
      <c r="A8" s="68"/>
      <c r="B8" s="80">
        <f>(CycDat_C1)</f>
        <v>45565</v>
      </c>
      <c r="C8" s="80">
        <f>(CycDat_C2)</f>
        <v>45657</v>
      </c>
      <c r="D8" s="69" t="s">
        <v>52</v>
      </c>
      <c r="E8" s="80">
        <f>(CycDat_C3)</f>
        <v>45747</v>
      </c>
      <c r="F8" s="69" t="s">
        <v>52</v>
      </c>
      <c r="G8" s="80">
        <f>(CycDat_C4)</f>
        <v>45838</v>
      </c>
      <c r="H8" s="69" t="s">
        <v>52</v>
      </c>
      <c r="I8" s="80">
        <f>(CycDat_C5)</f>
        <v>45930</v>
      </c>
      <c r="J8" s="69" t="s">
        <v>52</v>
      </c>
    </row>
    <row r="9" spans="1:10" x14ac:dyDescent="0.2">
      <c r="A9" s="74" t="s">
        <v>1134</v>
      </c>
      <c r="B9" s="80"/>
      <c r="C9" s="80"/>
      <c r="D9" s="69"/>
      <c r="E9" s="80"/>
      <c r="F9" s="69"/>
      <c r="G9" s="80"/>
      <c r="H9" s="69"/>
      <c r="I9" s="80"/>
      <c r="J9" s="69"/>
    </row>
    <row r="10" spans="1:10" x14ac:dyDescent="0.2">
      <c r="A10" s="62" t="s">
        <v>1135</v>
      </c>
      <c r="B10" s="63">
        <f>A926_C1</f>
        <v>107206515</v>
      </c>
      <c r="C10" s="63">
        <f>A926_C2</f>
        <v>143751654</v>
      </c>
      <c r="D10" s="63">
        <f>IF(C10="N/A", " ", IF(B10="N/A", " ",IF(AND(B10=0,C10=0,),"N/A",IF(ABS(B10)=0, "N/A", ((C10-B10)/ABS(B10))*100))))</f>
        <v>34.088543033042349</v>
      </c>
      <c r="E10" s="63">
        <f>A926_C3</f>
        <v>98654810</v>
      </c>
      <c r="F10" s="63">
        <f>IF(E10="N/A", " ", IF(C10="N/A", " ",IF(AND(C10=0,E10=0,),"N/A",IF(ABS(C10)=0, "N/A", ((E10-C10)/ABS(C10))*100))))</f>
        <v>-31.371356603660367</v>
      </c>
      <c r="G10" s="63">
        <f>A926_C4</f>
        <v>93887358</v>
      </c>
      <c r="H10" s="63">
        <f>IF(G10="N/A", " ", IF(E10="N/A", " ",IF(AND(E10=0,G10=0,),"N/A",IF(ABS(E10)=0, "N/A", ((G10-E10)/ABS(E10))*100))))</f>
        <v>-4.832457738249154</v>
      </c>
      <c r="I10" s="63">
        <f>A926_C5</f>
        <v>104662303</v>
      </c>
      <c r="J10" s="63">
        <f>IF(I10="N/A", " ", IF(G10="N/A", " ",IF(AND(G10=0,I10=0,),"N/A",IF(ABS(G10)=0, "N/A",((I10-G10)/ABS(G10))*100))))</f>
        <v>11.476459908478839</v>
      </c>
    </row>
    <row r="11" spans="1:10" x14ac:dyDescent="0.2">
      <c r="A11" s="62" t="s">
        <v>1136</v>
      </c>
      <c r="B11" s="63">
        <f>A927_C1</f>
        <v>60163106</v>
      </c>
      <c r="C11" s="63">
        <f>A927_C2</f>
        <v>84106777</v>
      </c>
      <c r="D11" s="63">
        <f>IF(C11="N/A", " ", IF(B11="N/A", " ",IF(AND(B11=0,C11=0,),"N/A",IF(ABS(B11)=0, "N/A", ((C11-B11)/ABS(B11))*100))))</f>
        <v>39.797930312972873</v>
      </c>
      <c r="E11" s="63">
        <f>A927_C3</f>
        <v>116661822</v>
      </c>
      <c r="F11" s="63">
        <f>IF(E11="N/A", " ", IF(C11="N/A", " ",IF(AND(C11=0,E11=0,),"N/A",IF(ABS(C11)=0, "N/A", ((E11-C11)/ABS(C11))*100))))</f>
        <v>38.706803614648081</v>
      </c>
      <c r="G11" s="63">
        <f>A927_C4</f>
        <v>140307718</v>
      </c>
      <c r="H11" s="63">
        <f>IF(G11="N/A", " ", IF(E11="N/A", " ",IF(AND(E11=0,G11=0,),"N/A",IF(ABS(E11)=0, "N/A", ((G11-E11)/ABS(E11))*100))))</f>
        <v>20.268752531569412</v>
      </c>
      <c r="I11" s="63">
        <f>A927_C5</f>
        <v>159601513</v>
      </c>
      <c r="J11" s="63">
        <f>IF(I11="N/A", " ", IF(G11="N/A", " ",IF(AND(G11=0,I11=0,),"N/A",IF(ABS(G11)=0, "N/A",((I11-G11)/ABS(G11))*100))))</f>
        <v>13.751057514883108</v>
      </c>
    </row>
    <row r="12" spans="1:10" x14ac:dyDescent="0.2">
      <c r="A12" s="68" t="s">
        <v>1137</v>
      </c>
      <c r="B12" s="63"/>
      <c r="C12" s="63"/>
      <c r="D12" s="63"/>
      <c r="E12" s="63"/>
      <c r="F12" s="63"/>
      <c r="G12" s="63"/>
      <c r="H12" s="63"/>
      <c r="I12" s="63"/>
      <c r="J12" s="63"/>
    </row>
    <row r="13" spans="1:10" x14ac:dyDescent="0.2">
      <c r="A13" s="62" t="s">
        <v>1138</v>
      </c>
      <c r="B13" s="63">
        <f>A564A_C1</f>
        <v>342626</v>
      </c>
      <c r="C13" s="63">
        <f>A564A_C2</f>
        <v>341224</v>
      </c>
      <c r="D13" s="63">
        <f>IF(C13="N/A", " ", IF(B13="N/A", " ",IF(AND(B13=0,C13=0,),"N/A",IF(ABS(B13)=0, "N/A", ((C13-B13)/ABS(B13))*100))))</f>
        <v>-0.40919253063106709</v>
      </c>
      <c r="E13" s="63">
        <f>A564A_C3</f>
        <v>342675</v>
      </c>
      <c r="F13" s="63">
        <f>IF(E13="N/A", " ", IF(C13="N/A", " ",IF(AND(C13=0,E13=0,),"N/A",IF(ABS(C13)=0, "N/A", ((E13-C13)/ABS(C13))*100))))</f>
        <v>0.42523386397205359</v>
      </c>
      <c r="G13" s="63">
        <f>A564A_C4</f>
        <v>344668</v>
      </c>
      <c r="H13" s="63">
        <f>IF(G13="N/A", " ", IF(E13="N/A", " ",IF(AND(E13=0,G13=0,),"N/A",IF(ABS(E13)=0, "N/A", ((G13-E13)/ABS(E13))*100))))</f>
        <v>0.58160064200773331</v>
      </c>
      <c r="I13" s="63">
        <f>A564A_C5</f>
        <v>346517</v>
      </c>
      <c r="J13" s="63">
        <f>IF(I13="N/A", " ", IF(G13="N/A", " ",IF(AND(G13=0,I13=0,),"N/A",IF(ABS(G13)=0, "N/A",((I13-G13)/ABS(G13))*100))))</f>
        <v>0.53645827288869286</v>
      </c>
    </row>
    <row r="14" spans="1:10" x14ac:dyDescent="0.2">
      <c r="A14" s="62" t="s">
        <v>1139</v>
      </c>
      <c r="B14" s="63">
        <f>A564B_C1</f>
        <v>18949</v>
      </c>
      <c r="C14" s="63">
        <f>A564B_C2</f>
        <v>18794</v>
      </c>
      <c r="D14" s="63">
        <f>IF(C14="N/A", " ", IF(B14="N/A", " ",IF(AND(B14=0,C14=0,),"N/A",IF(ABS(B14)=0, "N/A", ((C14-B14)/ABS(B14))*100))))</f>
        <v>-0.81798511794817663</v>
      </c>
      <c r="E14" s="63">
        <f>A564B_C3</f>
        <v>18706</v>
      </c>
      <c r="F14" s="63">
        <f>IF(E14="N/A", " ", IF(C14="N/A", " ",IF(AND(C14=0,E14=0,),"N/A",IF(ABS(C14)=0, "N/A", ((E14-C14)/ABS(C14))*100))))</f>
        <v>-0.46823454293923594</v>
      </c>
      <c r="G14" s="63">
        <f>A564B_C4</f>
        <v>18978</v>
      </c>
      <c r="H14" s="63">
        <f>IF(G14="N/A", " ", IF(E14="N/A", " ",IF(AND(E14=0,G14=0,),"N/A",IF(ABS(E14)=0, "N/A", ((G14-E14)/ABS(E14))*100))))</f>
        <v>1.4540789051641185</v>
      </c>
      <c r="I14" s="63">
        <f>A564B_C5</f>
        <v>18182</v>
      </c>
      <c r="J14" s="63">
        <f>IF(I14="N/A", " ", IF(G14="N/A", " ",IF(AND(G14=0,I14=0,),"N/A",IF(ABS(G14)=0, "N/A",((I14-G14)/ABS(G14))*100))))</f>
        <v>-4.1943302771630311</v>
      </c>
    </row>
    <row r="15" spans="1:10" x14ac:dyDescent="0.2">
      <c r="A15" s="74" t="s">
        <v>1140</v>
      </c>
      <c r="B15" s="63"/>
      <c r="C15" s="63"/>
      <c r="D15" s="63"/>
      <c r="E15" s="63"/>
      <c r="F15" s="63"/>
      <c r="G15" s="63"/>
      <c r="H15" s="63"/>
      <c r="I15" s="63"/>
      <c r="J15" s="63"/>
    </row>
    <row r="16" spans="1:10" x14ac:dyDescent="0.2">
      <c r="A16" s="62" t="s">
        <v>1141</v>
      </c>
      <c r="B16" s="63">
        <f>A566B_C1</f>
        <v>752</v>
      </c>
      <c r="C16" s="63">
        <f>A566B_C2</f>
        <v>733</v>
      </c>
      <c r="D16" s="63">
        <f>IF(C16="N/A", " ", IF(B16="N/A", " ",IF(AND(B16=0,C16=0,),"N/A",IF(ABS(B16)=0, "N/A", ((C16-B16)/ABS(B16))*100))))</f>
        <v>-2.5265957446808507</v>
      </c>
      <c r="E16" s="63">
        <f>A566B_C3</f>
        <v>736</v>
      </c>
      <c r="F16" s="63">
        <f>IF(E16="N/A", " ", IF(C16="N/A", " ",IF(AND(C16=0,E16=0,),"N/A",IF(ABS(C16)=0, "N/A", ((E16-C16)/ABS(C16))*100))))</f>
        <v>0.40927694406548432</v>
      </c>
      <c r="G16" s="63">
        <f>A566B_C4</f>
        <v>760</v>
      </c>
      <c r="H16" s="63">
        <f>IF(G16="N/A", " ", IF(E16="N/A", " ",IF(AND(E16=0,G16=0,),"N/A",IF(ABS(E16)=0, "N/A", ((G16-E16)/ABS(E16))*100))))</f>
        <v>3.2608695652173911</v>
      </c>
      <c r="I16" s="63">
        <f>A566B_C5</f>
        <v>767</v>
      </c>
      <c r="J16" s="63">
        <f>IF(I16="N/A", " ", IF(G16="N/A", " ",IF(AND(G16=0,I16=0,),"N/A",IF(ABS(G16)=0, "N/A",((I16-G16)/ABS(G16))*100))))</f>
        <v>0.92105263157894723</v>
      </c>
    </row>
    <row r="17" spans="1:10" x14ac:dyDescent="0.2">
      <c r="A17" s="74" t="s">
        <v>1142</v>
      </c>
      <c r="B17" s="63"/>
      <c r="C17" s="63"/>
      <c r="D17" s="63"/>
      <c r="E17" s="63"/>
      <c r="F17" s="63"/>
      <c r="G17" s="63"/>
      <c r="H17" s="63"/>
      <c r="I17" s="63"/>
      <c r="J17" s="63"/>
    </row>
    <row r="18" spans="1:10" x14ac:dyDescent="0.2">
      <c r="A18" s="62" t="s">
        <v>1143</v>
      </c>
      <c r="B18" s="63">
        <f>A851_C1</f>
        <v>4559977156</v>
      </c>
      <c r="C18" s="63">
        <f>A851_C2</f>
        <v>4695792853</v>
      </c>
      <c r="D18" s="63">
        <f>IF(C18="N/A", " ", IF(B18="N/A", " ",IF(AND(B18=0,C18=0,),"N/A",IF(ABS(B18)=0, "N/A", ((C18-B18)/ABS(B18))*100))))</f>
        <v>2.9784293287806114</v>
      </c>
      <c r="E18" s="63">
        <f>A851_C3</f>
        <v>4743890053</v>
      </c>
      <c r="F18" s="63">
        <f>IF(E18="N/A", " ", IF(C18="N/A", " ",IF(AND(C18=0,E18=0,),"N/A",IF(ABS(C18)=0, "N/A", ((E18-C18)/ABS(C18))*100))))</f>
        <v>1.0242615359251239</v>
      </c>
      <c r="G18" s="63">
        <f>A851_C4</f>
        <v>4861868682</v>
      </c>
      <c r="H18" s="63">
        <f>IF(G18="N/A", " ", IF(E18="N/A", " ",IF(AND(E18=0,G18=0,),"N/A",IF(ABS(E18)=0, "N/A", ((G18-E18)/ABS(E18))*100))))</f>
        <v>2.4869595981759995</v>
      </c>
      <c r="I18" s="63">
        <f>A851_C5</f>
        <v>5011443816</v>
      </c>
      <c r="J18" s="63">
        <f>IF(I18="N/A", " ", IF(G18="N/A", " ",IF(AND(G18=0,I18=0,),"N/A",IF(ABS(G18)=0, "N/A",((I18-G18)/ABS(G18))*100))))</f>
        <v>3.0764947344992892</v>
      </c>
    </row>
    <row r="19" spans="1:10" x14ac:dyDescent="0.2">
      <c r="A19" s="62" t="s">
        <v>1144</v>
      </c>
      <c r="B19" s="63">
        <f>A852_C1</f>
        <v>1199789099</v>
      </c>
      <c r="C19" s="63">
        <f>A852_C2</f>
        <v>1184247696</v>
      </c>
      <c r="D19" s="63">
        <f>IF(C19="N/A", " ", IF(B19="N/A", " ",IF(AND(B19=0,C19=0,),"N/A",IF(ABS(B19)=0, "N/A", ((C19-B19)/ABS(B19))*100))))</f>
        <v>-1.2953445745550984</v>
      </c>
      <c r="E19" s="63">
        <f>A852_C3</f>
        <v>1145160639</v>
      </c>
      <c r="F19" s="63">
        <f>IF(E19="N/A", " ", IF(C19="N/A", " ",IF(AND(C19=0,E19=0,),"N/A",IF(ABS(C19)=0, "N/A", ((E19-C19)/ABS(C19))*100))))</f>
        <v>-3.3005812155702938</v>
      </c>
      <c r="G19" s="63">
        <f>A852_C4</f>
        <v>1109137863</v>
      </c>
      <c r="H19" s="63">
        <f>IF(G19="N/A", " ", IF(E19="N/A", " ",IF(AND(E19=0,G19=0,),"N/A",IF(ABS(E19)=0, "N/A", ((G19-E19)/ABS(E19))*100))))</f>
        <v>-3.1456526510950051</v>
      </c>
      <c r="I19" s="63">
        <f>A852_C5</f>
        <v>1052784023</v>
      </c>
      <c r="J19" s="63">
        <f>IF(I19="N/A", " ", IF(G19="N/A", " ",IF(AND(G19=0,I19=0,),"N/A",IF(ABS(G19)=0, "N/A",((I19-G19)/ABS(G19))*100))))</f>
        <v>-5.0808688333453818</v>
      </c>
    </row>
    <row r="20" spans="1:10" x14ac:dyDescent="0.2">
      <c r="A20" s="62" t="s">
        <v>1145</v>
      </c>
      <c r="B20" s="63">
        <f>A853_C1</f>
        <v>2505808801</v>
      </c>
      <c r="C20" s="63">
        <f>A853_C2</f>
        <v>2563083512</v>
      </c>
      <c r="D20" s="63">
        <f>IF(C20="N/A", " ", IF(B20="N/A", " ",IF(AND(B20=0,C20=0,),"N/A",IF(ABS(B20)=0, "N/A", ((C20-B20)/ABS(B20))*100))))</f>
        <v>2.2856776214188099</v>
      </c>
      <c r="E20" s="63">
        <f>A853_C3</f>
        <v>2626138188</v>
      </c>
      <c r="F20" s="63">
        <f>IF(E20="N/A", " ", IF(C20="N/A", " ",IF(AND(C20=0,E20=0,),"N/A",IF(ABS(C20)=0, "N/A", ((E20-C20)/ABS(C20))*100))))</f>
        <v>2.4601100863388492</v>
      </c>
      <c r="G20" s="63">
        <f>A853_C4</f>
        <v>2696219368</v>
      </c>
      <c r="H20" s="63">
        <f>IF(G20="N/A", " ", IF(E20="N/A", " ",IF(AND(E20=0,G20=0,),"N/A",IF(ABS(E20)=0, "N/A", ((G20-E20)/ABS(E20))*100))))</f>
        <v>2.6686021444047485</v>
      </c>
      <c r="I20" s="63">
        <f>A853_C5</f>
        <v>2830462957</v>
      </c>
      <c r="J20" s="63">
        <f>IF(I20="N/A", " ", IF(G20="N/A", " ",IF(AND(G20=0,I20=0,),"N/A",IF(ABS(G20)=0, "N/A",((I20-G20)/ABS(G20))*100))))</f>
        <v>4.9789564822976233</v>
      </c>
    </row>
    <row r="21" spans="1:10" x14ac:dyDescent="0.2">
      <c r="A21" s="74" t="s">
        <v>1146</v>
      </c>
      <c r="B21" s="63"/>
      <c r="C21" s="63"/>
      <c r="D21" s="63"/>
      <c r="E21" s="63"/>
      <c r="F21" s="63"/>
      <c r="G21" s="63"/>
      <c r="H21" s="63"/>
      <c r="I21" s="63"/>
      <c r="J21" s="63"/>
    </row>
    <row r="22" spans="1:10" x14ac:dyDescent="0.2">
      <c r="A22" s="62" t="s">
        <v>1147</v>
      </c>
      <c r="B22" s="63">
        <f>A928_C1</f>
        <v>2495807</v>
      </c>
      <c r="C22" s="63">
        <f>A928_C2</f>
        <v>1941961</v>
      </c>
      <c r="D22" s="63">
        <f>IF(C22="N/A", " ", IF(B22="N/A", " ",IF(AND(B22=0,C22=0,),"N/A",IF(ABS(B22)=0, "N/A", ((C22-B22)/ABS(B22))*100))))</f>
        <v>-22.191058843892979</v>
      </c>
      <c r="E22" s="63">
        <f>A928_C3</f>
        <v>502481</v>
      </c>
      <c r="F22" s="63">
        <f>IF(E22="N/A", " ", IF(C22="N/A", " ",IF(AND(C22=0,E22=0,),"N/A",IF(ABS(C22)=0, "N/A", ((E22-C22)/ABS(C22))*100))))</f>
        <v>-74.125072542651466</v>
      </c>
      <c r="G22" s="63">
        <f>A928_C4</f>
        <v>1006921</v>
      </c>
      <c r="H22" s="63">
        <f>IF(G22="N/A", " ", IF(E22="N/A", " ",IF(AND(E22=0,G22=0,),"N/A",IF(ABS(E22)=0, "N/A", ((G22-E22)/ABS(E22))*100))))</f>
        <v>100.38986548745126</v>
      </c>
      <c r="I22" s="63">
        <f>A928_C5</f>
        <v>1526425</v>
      </c>
      <c r="J22" s="63">
        <f>IF(I22="N/A", " ", IF(G22="N/A", " ",IF(AND(G22=0,I22=0,),"N/A",IF(ABS(G22)=0, "N/A",((I22-G22)/ABS(G22))*100))))</f>
        <v>51.593322614187208</v>
      </c>
    </row>
    <row r="23" spans="1:10" x14ac:dyDescent="0.2">
      <c r="A23" s="74" t="s">
        <v>1148</v>
      </c>
      <c r="B23" s="63"/>
      <c r="C23" s="63"/>
      <c r="D23" s="63"/>
      <c r="E23" s="63"/>
      <c r="F23" s="63"/>
      <c r="G23" s="63"/>
      <c r="H23" s="63"/>
      <c r="I23" s="63"/>
      <c r="J23" s="63"/>
    </row>
    <row r="24" spans="1:10" x14ac:dyDescent="0.2">
      <c r="A24" s="62" t="s">
        <v>1149</v>
      </c>
      <c r="B24" s="63">
        <f>A1004_C1</f>
        <v>7783553644</v>
      </c>
      <c r="C24" s="63">
        <f>A1004_C2</f>
        <v>8008323756</v>
      </c>
      <c r="D24" s="63">
        <f>IF(C24="N/A", " ", IF(B24="N/A", " ",IF(AND(B24=0,C24=0,),"N/A",IF(ABS(B24)=0, "N/A", ((C24-B24)/ABS(B24))*100))))</f>
        <v>2.8877569588444398</v>
      </c>
      <c r="E24" s="63">
        <f>A1004_C3</f>
        <v>8356601781</v>
      </c>
      <c r="F24" s="63">
        <f>IF(E24="N/A", " ", IF(C24="N/A", " ",IF(AND(C24=0,E24=0,),"N/A",IF(ABS(C24)=0, "N/A", ((E24-C24)/ABS(C24))*100))))</f>
        <v>4.3489503622910224</v>
      </c>
      <c r="G24" s="63">
        <f>A1004_C4</f>
        <v>8527660930</v>
      </c>
      <c r="H24" s="63">
        <f>IF(G24="N/A", " ", IF(E24="N/A", " ",IF(AND(E24=0,G24=0,),"N/A",IF(ABS(E24)=0, "N/A", ((G24-E24)/ABS(E24))*100))))</f>
        <v>2.04699414286952</v>
      </c>
      <c r="I24" s="63">
        <f>A1004_C5</f>
        <v>8794758731</v>
      </c>
      <c r="J24" s="63">
        <f>IF(I24="N/A", " ", IF(G24="N/A", " ",IF(AND(G24=0,I24=0,),"N/A",IF(ABS(G24)=0, "N/A",((I24-G24)/ABS(G24))*100))))</f>
        <v>3.1321343940911119</v>
      </c>
    </row>
    <row r="25" spans="1:10" x14ac:dyDescent="0.2">
      <c r="A25" s="31" t="s">
        <v>86</v>
      </c>
      <c r="B25" s="176"/>
      <c r="C25" s="176"/>
      <c r="D25" s="176"/>
      <c r="E25" s="176"/>
      <c r="F25" s="176"/>
      <c r="G25" s="176"/>
      <c r="H25" s="176"/>
      <c r="I25" s="270" t="s">
        <v>1150</v>
      </c>
      <c r="J25" s="270"/>
    </row>
  </sheetData>
  <mergeCells count="1">
    <mergeCell ref="D5:J5"/>
  </mergeCells>
  <hyperlinks>
    <hyperlink ref="A2" location="'Cover Page'!A1" display="Return to cover" xr:uid="{00000000-0004-0000-2000-000000000000}"/>
  </hyperlinks>
  <printOptions gridLines="1"/>
  <pageMargins left="0.7" right="0.7" top="0.75" bottom="0.75" header="0.3" footer="0.3"/>
  <pageSetup orientation="landscape" horizontalDpi="1200" verticalDpi="1200"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14">
    <pageSetUpPr fitToPage="1"/>
  </sheetPr>
  <dimension ref="A1:V59"/>
  <sheetViews>
    <sheetView workbookViewId="0"/>
  </sheetViews>
  <sheetFormatPr defaultRowHeight="12.75" x14ac:dyDescent="0.2"/>
  <cols>
    <col min="1" max="14" width="8.7109375" customWidth="1"/>
    <col min="15" max="15" width="10.28515625" customWidth="1"/>
  </cols>
  <sheetData>
    <row r="1" spans="1:22" s="62" customFormat="1" ht="12" customHeight="1" x14ac:dyDescent="0.2">
      <c r="G1" s="74"/>
      <c r="H1" s="85" t="s">
        <v>37</v>
      </c>
      <c r="I1" s="90"/>
    </row>
    <row r="2" spans="1:22" s="62" customFormat="1" x14ac:dyDescent="0.2">
      <c r="A2" s="60" t="s">
        <v>49</v>
      </c>
      <c r="G2" s="145"/>
      <c r="H2" s="67" t="s">
        <v>50</v>
      </c>
      <c r="I2" s="87" t="str">
        <f>IF(CU_NUMBER="","N/A",CU_NUMBER)</f>
        <v>N/A</v>
      </c>
    </row>
    <row r="3" spans="1:22" s="62" customFormat="1" ht="12" customHeight="1" x14ac:dyDescent="0.2">
      <c r="A3" s="284" t="str">
        <f>IF(Request_Date=0,"N/A",Request_Date)</f>
        <v>12/05/2025</v>
      </c>
      <c r="F3" s="90"/>
      <c r="G3" s="294"/>
      <c r="H3" s="67" t="s">
        <v>42</v>
      </c>
      <c r="I3" s="75">
        <f>IF(CountCu_C5=0,"N/A",CountCu_C5)</f>
        <v>4331</v>
      </c>
    </row>
    <row r="4" spans="1:22" s="62" customFormat="1" ht="12" customHeight="1" x14ac:dyDescent="0.2">
      <c r="A4" s="74" t="str">
        <f>"CU Name:      "&amp;IF(Cu_Name="","N/A",Cu_Name)</f>
        <v>CU Name:      N/A</v>
      </c>
      <c r="G4" s="145"/>
      <c r="H4" s="67" t="s">
        <v>43</v>
      </c>
      <c r="I4" s="89" t="str">
        <f>IF(AssetRange="","N/A",AssetRange)</f>
        <v>N/A</v>
      </c>
      <c r="J4" s="75"/>
    </row>
    <row r="5" spans="1:22" s="62" customFormat="1" ht="12" customHeight="1" x14ac:dyDescent="0.2">
      <c r="A5" s="74" t="str">
        <f>"Peer Group:      "&amp;IF(Peer_Group="","N/A",IF(Peer_Group="0","N/A",Peer_Group))</f>
        <v>Peer Group:      N/A</v>
      </c>
      <c r="G5" s="90"/>
      <c r="H5" s="67" t="s">
        <v>51</v>
      </c>
      <c r="I5" s="24" t="str">
        <f>IF(_xlnm.Criteria="","N/A",_xlnm.Criteria)</f>
        <v xml:space="preserve">Region: Nation * Peer Group: All * Types Included: All  Federally Insured Credit Unions  (FICUs) *  </v>
      </c>
      <c r="J5" s="23"/>
      <c r="K5" s="23"/>
      <c r="L5" s="23"/>
      <c r="M5" s="23"/>
      <c r="N5" s="23"/>
      <c r="O5" s="23"/>
    </row>
    <row r="6" spans="1:22" s="62" customFormat="1" ht="12" customHeight="1" x14ac:dyDescent="0.2">
      <c r="D6" s="295"/>
      <c r="F6" s="22" t="s">
        <v>45</v>
      </c>
      <c r="G6" s="1"/>
      <c r="H6" s="1"/>
      <c r="I6" s="75" t="str">
        <f>IF(NoCu_in_Peer_Group="","N/A",NoCu_in_Peer_Group)</f>
        <v>N/A</v>
      </c>
      <c r="J6" s="75" t="str">
        <f>IF(CU_NUMBER&gt;0,"",IF(RetPop=0,"Retroactive Population",""))</f>
        <v/>
      </c>
      <c r="Q6" s="296"/>
      <c r="R6" s="295"/>
      <c r="S6" s="295"/>
      <c r="T6" s="295"/>
      <c r="U6" s="295"/>
      <c r="V6" s="295"/>
    </row>
    <row r="7" spans="1:22" x14ac:dyDescent="0.2">
      <c r="A7" s="30"/>
      <c r="B7" s="30"/>
      <c r="C7" s="30"/>
      <c r="D7" s="30"/>
      <c r="E7" s="30"/>
      <c r="J7" s="30"/>
      <c r="K7" s="30"/>
      <c r="L7" s="30"/>
      <c r="M7" s="30"/>
      <c r="N7" s="30"/>
      <c r="O7" s="30"/>
      <c r="P7" s="30"/>
      <c r="Q7" s="43"/>
    </row>
    <row r="8" spans="1:22" x14ac:dyDescent="0.2">
      <c r="G8" s="35"/>
      <c r="H8" s="35"/>
      <c r="I8" s="35"/>
      <c r="J8" s="30"/>
      <c r="K8" s="30"/>
      <c r="L8" s="30"/>
      <c r="M8" s="30"/>
      <c r="N8" s="30"/>
      <c r="O8" s="30"/>
      <c r="P8" s="30"/>
      <c r="Q8" s="43"/>
    </row>
    <row r="9" spans="1:22" ht="12.75" customHeight="1" x14ac:dyDescent="0.2">
      <c r="B9" s="30" t="s">
        <v>1151</v>
      </c>
      <c r="C9" s="35"/>
      <c r="D9" s="35"/>
      <c r="E9" s="35"/>
      <c r="F9" s="35"/>
      <c r="G9" s="30"/>
      <c r="H9" s="30"/>
      <c r="I9" s="30"/>
      <c r="J9" s="30"/>
      <c r="K9" s="30"/>
      <c r="L9" s="30"/>
      <c r="M9" s="30"/>
      <c r="N9" s="30"/>
      <c r="O9" s="30"/>
      <c r="P9" s="30"/>
      <c r="Q9" s="43"/>
    </row>
    <row r="10" spans="1:22" x14ac:dyDescent="0.2">
      <c r="B10" s="30" t="s">
        <v>1152</v>
      </c>
      <c r="C10" s="30"/>
      <c r="D10" s="30"/>
      <c r="E10" s="30"/>
      <c r="F10" s="30"/>
      <c r="G10" s="30"/>
      <c r="H10" s="30"/>
      <c r="I10" s="30" t="s">
        <v>1153</v>
      </c>
      <c r="J10" s="30"/>
      <c r="K10" s="30"/>
      <c r="L10" s="30"/>
      <c r="M10" s="30"/>
      <c r="N10" s="30"/>
      <c r="P10" s="30"/>
      <c r="Q10" s="43"/>
    </row>
    <row r="11" spans="1:22" x14ac:dyDescent="0.2">
      <c r="B11" s="30"/>
      <c r="C11" s="52">
        <f>(CycDat_C1)</f>
        <v>45565</v>
      </c>
      <c r="D11" s="52">
        <f>(CycDat_C2)</f>
        <v>45657</v>
      </c>
      <c r="E11" s="52">
        <f>(CycDat_C3)</f>
        <v>45747</v>
      </c>
      <c r="F11" s="52">
        <f>(CycDat_C4)</f>
        <v>45838</v>
      </c>
      <c r="G11" s="52">
        <f>(CycDat_C5)</f>
        <v>45930</v>
      </c>
      <c r="H11" s="30"/>
      <c r="I11" s="30"/>
      <c r="J11" s="52">
        <f>(CycDat_C1)</f>
        <v>45565</v>
      </c>
      <c r="K11" s="52">
        <f>(CycDat_C2)</f>
        <v>45657</v>
      </c>
      <c r="L11" s="52">
        <f>(CycDat_C3)</f>
        <v>45747</v>
      </c>
      <c r="M11" s="52">
        <f>(CycDat_C4)</f>
        <v>45838</v>
      </c>
      <c r="N11" s="52">
        <f>(CycDat_C5)</f>
        <v>45930</v>
      </c>
      <c r="P11" s="30"/>
    </row>
    <row r="12" spans="1:22" x14ac:dyDescent="0.2">
      <c r="B12" s="30" t="s">
        <v>1154</v>
      </c>
      <c r="C12" s="53">
        <f>IF(A025B_C1=0,0,(A041B_C1/A025B_C1)*100)</f>
        <v>0.90908045224737022</v>
      </c>
      <c r="D12" s="53">
        <f>IF(A025B_C2=0,0,(A041B_C2/A025B_C2)*100)</f>
        <v>0.97546493632626841</v>
      </c>
      <c r="E12" s="53">
        <f>IF(A025B_C3=0,0,(A041B_C3/A025B_C3)*100)</f>
        <v>0.79651548658832383</v>
      </c>
      <c r="F12" s="53">
        <f>IF(A025B_C4=0,0,(A041B_C4/A025B_C4)*100)</f>
        <v>0.90585959686553652</v>
      </c>
      <c r="G12" s="53">
        <f>IF(A025B_C5=0,0,(A041B_C5/A025B_C5)*100)</f>
        <v>0.94814885852596342</v>
      </c>
      <c r="H12" s="30"/>
      <c r="I12" s="30" t="s">
        <v>1155</v>
      </c>
      <c r="J12" s="53">
        <f>IF(CountCu_C1=1,(A998_C1/100),(IF(J11&gt;=DATEVALUE("03/31/2023"), ROUND((A997_C1/(IF((A010X_C1)&gt;0,(A010X_C1-ALC0047X_C1+ANW0004X_C1),(IF(ANW0010_C1&gt;0,ANW0010_C1,1))))*100),4),
IF(J11&gt;=DATEVALUE("03/31/2022"), ROUND((A997_C1/(IF((A010X_C1)&gt;0,(A010X_C1),(IF(ANW0010_C1&gt;0,ANW0010_C1,1))))*100),4),
IF(J11&gt;=DATEVALUE("06/30/2020"), TRUNC((A997_C1/(IF((A010X_C1)&gt;0,(A010X_C1),(IF(ANW0010_C1&gt;0,ANW0010_C1,1))))*100),4),
TRUNC((A997_C1/(IF((A010X_C1)&gt;0,(A010X_C1),(IF(A010_C1&gt;0,A010_C1,1))))*100),2))))))</f>
        <v>11.1662</v>
      </c>
      <c r="K12" s="53">
        <f>IF(CountCu_C2=1,(A998_C2/100),(IF(K11&gt;=DATEVALUE("03/31/2023"), ROUND((A997_C2/(IF((A010X_C2)&gt;0,(A010X_C2-ALC0047X_C2+ANW0004X_C2),(IF(ANW0010_C2&gt;0,ANW0010_C2,1))))*100),4),
IF(K11&gt;=DATEVALUE("03/31/2022"), ROUND((A997_C2/(IF((A010X_C2)&gt;0,(A010X_C2),(IF(ANW0010_C2&gt;0,ANW0010_C2,1))))*100),4),
IF(K11&gt;=DATEVALUE("06/30/2020"), TRUNC((A997_C2/(IF((A010X_C2)&gt;0,(A010X_C2),(IF(ANW0010_C2&gt;0,ANW0010_C2,1))))*100),4),
TRUNC((A997_C2/(IF((A010X_C2)&gt;0,(A010X_C2),(IF(A010_C2&gt;0,A010_C2,1))))*100),2))))))</f>
        <v>11.196899999999999</v>
      </c>
      <c r="L12" s="53">
        <f>IF(CountCu_C3=1,(A998_C3/100),(IF(L11&gt;=DATEVALUE("03/31/2023"), ROUND((A997_C3/(IF((A010X_C3)&gt;0,(A010X_C3-ALC0047X_C3+ANW0004X_C3),(IF(ANW0010_C3&gt;0,ANW0010_C3,1))))*100),4),
IF(L11&gt;=DATEVALUE("03/31/2022"), ROUND((A997_C3/(IF((A010X_C3)&gt;0,(A010X_C3),(IF(ANW0010_C3&gt;0,ANW0010_C3,1))))*100),4),
IF(L11&gt;=DATEVALUE("06/30/2020"), TRUNC((A997_C3/(IF((A010X_C3)&gt;0,(A010X_C3),(IF(ANW0010_C3&gt;0,ANW0010_C3,1))))*100),4),
TRUNC((A997_C3/(IF((A010X_C3)&gt;0,(A010X_C3),(IF(A010_C3&gt;0,A010_C3,1))))*100),2))))))</f>
        <v>11.1045</v>
      </c>
      <c r="M12" s="53">
        <f>IF(CountCu_C4=1,(A998_C4/100),(IF(M11&gt;=DATEVALUE("03/31/2023"), ROUND((A997_C4/(IF((A010X_C4)&gt;0,(A010X_C4-ALC0047X_C4+ANW0004X_C4),(IF(ANW0010_C4&gt;0,ANW0010_C4,1))))*100),4),
IF(M11&gt;=DATEVALUE("03/31/2022"), ROUND((A997_C4/(IF((A010X_C4)&gt;0,(A010X_C4),(IF(ANW0010_C4&gt;0,ANW0010_C4,1))))*100),4),
IF(M11&gt;=DATEVALUE("06/30/2020"), TRUNC((A997_C4/(IF((A010X_C4)&gt;0,(A010X_C4),(IF(ANW0010_C4&gt;0,ANW0010_C4,1))))*100),4),
TRUNC((A997_C4/(IF((A010X_C4)&gt;0,(A010X_C4),(IF(A010_C4&gt;0,A010_C4,1))))*100),2))))))</f>
        <v>11.2334</v>
      </c>
      <c r="N12" s="53">
        <f>IF(CountCu_C5=1,(A998_C5/100),(IF(N11&gt;=DATEVALUE("03/31/2023"), ROUND((A997_C5/(IF((A010X_C5)&gt;0,(A010X_C5-ALC0047X_C5+ANW0004X_C5),(IF(ANW0010_C5&gt;0,ANW0010_C5,1))))*100),4),
IF(N11&gt;=DATEVALUE("03/31/2022"), ROUND((A997_C5/(IF((A010X_C5)&gt;0,(A010X_C5),(IF(ANW0010_C5&gt;0,ANW0010_C5,1))))*100),4),
IF(N11&gt;=DATEVALUE("06/30/2020"), TRUNC((A997_C5/(IF((A010X_C5)&gt;0,(A010X_C5),(IF(ANW0010_C5&gt;0,ANW0010_C5,1))))*100),4),
TRUNC((A997_C5/(IF((A010X_C5)&gt;0,(A010X_C5),(IF(A010_C5&gt;0,A010_C5,1))))*100),2))))))</f>
        <v>11.3627</v>
      </c>
      <c r="P12" s="30"/>
    </row>
    <row r="13" spans="1:22" x14ac:dyDescent="0.2">
      <c r="B13" s="30" t="s">
        <v>1156</v>
      </c>
      <c r="C13" s="53">
        <f>IF((A025B_C1+pA025B_C1)/2=0,0,(((A550_C1-A551_C1)/((A025B_C1+pA025B_C1)/2)*100)*Anu_C1))</f>
        <v>0.78060534770828416</v>
      </c>
      <c r="D13" s="53">
        <f>IF((A025B_C2+pA025B_C2)/2=0,0,(((A550_C2-A551_C2)/((A025B_C2+pA025B_C2)/2)*100)*Anu_C2))</f>
        <v>0.80069074459265066</v>
      </c>
      <c r="E13" s="53">
        <f>IF((A025B_C3+pA025B_C3)/2=0,0,(((A550_C3-A551_C3)/((A025B_C3+pA025B_C3)/2)*100)*Anu_C3))</f>
        <v>0.82339659616860761</v>
      </c>
      <c r="F13" s="53">
        <f>IF((A025B_C4+pA025B_C4)/2=0,0,(((A550_C4-A551_C4)/((A025B_C4+pA025B_C4)/2)*100)*Anu_C4))</f>
        <v>0.79014226155208911</v>
      </c>
      <c r="G13" s="53">
        <f>IF((A025B_C5+pA025B_C5)/2=0,0,(((A550_C5-A551_C5)/((A025B_C5+pA025B_C5)/2)*100)*Anu_C5))</f>
        <v>0.76759033323320003</v>
      </c>
      <c r="H13" s="30"/>
      <c r="I13" s="30" t="s">
        <v>1157</v>
      </c>
      <c r="J13" s="53">
        <f>PR_319_C1</f>
        <v>0</v>
      </c>
      <c r="K13" s="53">
        <f>PR_319_C2</f>
        <v>0</v>
      </c>
      <c r="L13" s="53">
        <f>PR_319_C3</f>
        <v>0</v>
      </c>
      <c r="M13" s="53">
        <f>PR_319_C4</f>
        <v>0</v>
      </c>
      <c r="N13" s="53">
        <f>PR_319_C5</f>
        <v>0</v>
      </c>
      <c r="P13" s="30"/>
    </row>
    <row r="14" spans="1:22" x14ac:dyDescent="0.2">
      <c r="B14" s="30" t="s">
        <v>1158</v>
      </c>
      <c r="C14" s="53">
        <f>PR_6_C1</f>
        <v>0</v>
      </c>
      <c r="D14" s="53">
        <f>PR_6_C2</f>
        <v>0</v>
      </c>
      <c r="E14" s="53">
        <f>PR_6_C3</f>
        <v>0</v>
      </c>
      <c r="F14" s="53">
        <f>PR_6_C4</f>
        <v>0</v>
      </c>
      <c r="G14" s="53">
        <f>PR_6_C5</f>
        <v>0</v>
      </c>
      <c r="H14" s="30"/>
      <c r="I14" s="30"/>
      <c r="J14" s="30"/>
      <c r="K14" s="30"/>
      <c r="L14" s="30"/>
      <c r="M14" s="30"/>
      <c r="N14" s="30"/>
      <c r="O14" s="30"/>
      <c r="P14" s="30"/>
    </row>
    <row r="15" spans="1:22" x14ac:dyDescent="0.2">
      <c r="A15" s="30"/>
      <c r="B15" s="30" t="s">
        <v>1159</v>
      </c>
      <c r="C15" s="53">
        <f>PR_7_C1</f>
        <v>0</v>
      </c>
      <c r="D15" s="53">
        <f>PR_7_C2</f>
        <v>0</v>
      </c>
      <c r="E15" s="53">
        <f>PR_7_C3</f>
        <v>0</v>
      </c>
      <c r="F15" s="53">
        <f>PR_7_C4</f>
        <v>0</v>
      </c>
      <c r="G15" s="53">
        <f>PR_7_C5</f>
        <v>0</v>
      </c>
      <c r="H15" s="30"/>
      <c r="I15" s="30"/>
      <c r="J15" s="30"/>
      <c r="K15" s="30"/>
      <c r="L15" s="30"/>
      <c r="M15" s="30"/>
      <c r="N15" s="30"/>
      <c r="O15" s="30"/>
      <c r="P15" s="30"/>
    </row>
    <row r="16" spans="1:22" x14ac:dyDescent="0.2">
      <c r="A16" s="30"/>
      <c r="B16" s="30"/>
      <c r="C16" s="30"/>
      <c r="D16" s="30"/>
      <c r="E16" s="30"/>
      <c r="F16" s="30"/>
      <c r="G16" s="30"/>
      <c r="H16" s="30"/>
      <c r="I16" s="30"/>
      <c r="J16" s="30"/>
      <c r="K16" s="30"/>
      <c r="L16" s="30"/>
      <c r="M16" s="30"/>
      <c r="N16" s="30"/>
      <c r="O16" s="30"/>
      <c r="P16" s="30"/>
    </row>
    <row r="17" spans="1:16" s="34" customFormat="1" ht="22.7" customHeight="1" x14ac:dyDescent="0.2">
      <c r="A17" s="44"/>
      <c r="B17" s="44"/>
      <c r="C17" s="44"/>
      <c r="D17" s="44"/>
      <c r="E17" s="44"/>
      <c r="F17" s="44"/>
      <c r="G17" s="44"/>
      <c r="H17" s="44"/>
      <c r="I17" s="44"/>
      <c r="J17" s="44"/>
      <c r="K17" s="44"/>
      <c r="L17" s="44"/>
      <c r="M17" s="44"/>
      <c r="N17" s="44"/>
      <c r="O17" s="44"/>
      <c r="P17" s="44"/>
    </row>
    <row r="18" spans="1:16" x14ac:dyDescent="0.2">
      <c r="A18" s="30"/>
      <c r="B18" s="30"/>
      <c r="C18" s="30"/>
      <c r="D18" s="30"/>
      <c r="E18" s="30"/>
      <c r="F18" s="30"/>
      <c r="G18" s="30"/>
      <c r="H18" s="30"/>
      <c r="I18" s="30"/>
      <c r="J18" s="30"/>
      <c r="K18" s="30"/>
      <c r="L18" s="30"/>
      <c r="M18" s="30"/>
      <c r="N18" s="30"/>
      <c r="O18" s="30"/>
      <c r="P18" s="30"/>
    </row>
    <row r="19" spans="1:16" x14ac:dyDescent="0.2">
      <c r="A19" s="30"/>
      <c r="B19" s="30"/>
      <c r="C19" s="30"/>
      <c r="D19" s="30"/>
      <c r="E19" s="30"/>
      <c r="F19" s="30"/>
      <c r="G19" s="30"/>
      <c r="H19" s="30"/>
      <c r="I19" s="30"/>
      <c r="J19" s="30"/>
      <c r="K19" s="30"/>
      <c r="L19" s="30"/>
      <c r="M19" s="30"/>
      <c r="N19" s="30"/>
      <c r="O19" s="30"/>
      <c r="P19" s="30"/>
    </row>
    <row r="20" spans="1:16" x14ac:dyDescent="0.2">
      <c r="A20" s="30"/>
      <c r="B20" s="30"/>
      <c r="C20" s="30"/>
      <c r="D20" s="30"/>
      <c r="E20" s="30"/>
      <c r="F20" s="30"/>
      <c r="G20" s="30"/>
      <c r="H20" s="30"/>
      <c r="I20" s="30"/>
      <c r="J20" s="30"/>
      <c r="K20" s="30"/>
      <c r="L20" s="30"/>
      <c r="M20" s="30"/>
      <c r="N20" s="30"/>
      <c r="O20" s="30"/>
      <c r="P20" s="30"/>
    </row>
    <row r="21" spans="1:16" x14ac:dyDescent="0.2">
      <c r="A21" s="30"/>
      <c r="B21" s="30"/>
      <c r="C21" s="30"/>
      <c r="D21" s="30"/>
      <c r="E21" s="30"/>
      <c r="F21" s="30"/>
      <c r="G21" s="30"/>
      <c r="H21" s="30"/>
      <c r="I21" s="30"/>
      <c r="J21" s="30"/>
      <c r="K21" s="30"/>
      <c r="L21" s="30"/>
      <c r="M21" s="30"/>
      <c r="N21" s="30"/>
      <c r="O21" s="30"/>
      <c r="P21" s="30"/>
    </row>
    <row r="22" spans="1:16" x14ac:dyDescent="0.2">
      <c r="A22" s="30"/>
      <c r="B22" s="30"/>
      <c r="C22" s="30"/>
      <c r="D22" s="30"/>
      <c r="E22" s="30"/>
      <c r="F22" s="30"/>
      <c r="G22" s="30"/>
      <c r="H22" s="30"/>
      <c r="I22" s="30"/>
      <c r="J22" s="30"/>
      <c r="K22" s="30"/>
      <c r="L22" s="30"/>
      <c r="M22" s="30"/>
      <c r="N22" s="30"/>
      <c r="O22" s="30"/>
      <c r="P22" s="30"/>
    </row>
    <row r="23" spans="1:16" x14ac:dyDescent="0.2">
      <c r="A23" s="30"/>
      <c r="B23" s="30"/>
      <c r="C23" s="30"/>
      <c r="D23" s="30"/>
      <c r="E23" s="30"/>
      <c r="F23" s="30"/>
      <c r="G23" s="30"/>
      <c r="H23" s="30"/>
      <c r="I23" s="30"/>
      <c r="J23" s="30"/>
      <c r="K23" s="30"/>
      <c r="L23" s="30"/>
      <c r="M23" s="30"/>
      <c r="N23" s="30"/>
      <c r="O23" s="30"/>
      <c r="P23" s="30"/>
    </row>
    <row r="24" spans="1:16" x14ac:dyDescent="0.2">
      <c r="A24" s="30"/>
      <c r="B24" s="30"/>
      <c r="C24" s="30"/>
      <c r="D24" s="30"/>
      <c r="E24" s="30"/>
      <c r="F24" s="30"/>
      <c r="G24" s="30"/>
      <c r="H24" s="30"/>
      <c r="I24" s="30"/>
      <c r="J24" s="30"/>
      <c r="K24" s="30"/>
      <c r="L24" s="30"/>
      <c r="M24" s="30"/>
      <c r="N24" s="30"/>
      <c r="O24" s="30"/>
      <c r="P24" s="30"/>
    </row>
    <row r="25" spans="1:16" x14ac:dyDescent="0.2">
      <c r="A25" s="30"/>
      <c r="B25" s="30"/>
      <c r="C25" s="30"/>
      <c r="D25" s="30"/>
      <c r="E25" s="30"/>
      <c r="F25" s="30"/>
      <c r="G25" s="30"/>
      <c r="H25" s="30"/>
      <c r="I25" s="30"/>
      <c r="J25" s="30"/>
      <c r="K25" s="30"/>
      <c r="L25" s="30"/>
      <c r="M25" s="30"/>
      <c r="N25" s="30"/>
      <c r="O25" s="30"/>
      <c r="P25" s="30"/>
    </row>
    <row r="26" spans="1:16" x14ac:dyDescent="0.2">
      <c r="B26" s="30" t="s">
        <v>1160</v>
      </c>
      <c r="C26" s="30"/>
      <c r="D26" s="30"/>
      <c r="E26" s="30"/>
      <c r="F26" s="30"/>
      <c r="G26" s="30"/>
      <c r="H26" s="30"/>
      <c r="I26" s="30" t="s">
        <v>1161</v>
      </c>
      <c r="J26" s="30"/>
      <c r="K26" s="30"/>
      <c r="L26" s="30"/>
      <c r="M26" s="30"/>
      <c r="N26" s="30"/>
      <c r="P26" s="30"/>
    </row>
    <row r="27" spans="1:16" x14ac:dyDescent="0.2">
      <c r="B27" s="30" t="s">
        <v>1162</v>
      </c>
      <c r="C27" s="52">
        <f>(CycDat_C1)</f>
        <v>45565</v>
      </c>
      <c r="D27" s="52">
        <f>(CycDat_C2)</f>
        <v>45657</v>
      </c>
      <c r="E27" s="52">
        <f>(CycDat_C3)</f>
        <v>45747</v>
      </c>
      <c r="F27" s="52">
        <f>(CycDat_C4)</f>
        <v>45838</v>
      </c>
      <c r="G27" s="52">
        <f>(CycDat_C5)</f>
        <v>45930</v>
      </c>
      <c r="H27" s="30"/>
      <c r="I27" s="30"/>
      <c r="J27" s="52">
        <f>(CycDat_C1)</f>
        <v>45565</v>
      </c>
      <c r="K27" s="52">
        <f>(CycDat_C2)</f>
        <v>45657</v>
      </c>
      <c r="L27" s="52">
        <f>(CycDat_C3)</f>
        <v>45747</v>
      </c>
      <c r="M27" s="52">
        <f>(CycDat_C4)</f>
        <v>45838</v>
      </c>
      <c r="N27" s="52">
        <f>(CycDat_C5)</f>
        <v>45930</v>
      </c>
      <c r="P27" s="30"/>
    </row>
    <row r="28" spans="1:16" x14ac:dyDescent="0.2">
      <c r="B28" s="30" t="s">
        <v>1163</v>
      </c>
      <c r="C28" s="53">
        <f>IF(A010_C1=0,0,IF(pA025B_C1=0, 0, (((A025B_C1-pA025B_C1)/pA025B_C1)*100)*Anu_C1))</f>
        <v>2.2940891896745135</v>
      </c>
      <c r="D28" s="53">
        <f>IF(A010_C2=0,0,IF(pA025B_C2=0, 0, (((A025B_C2-pA025B_C2)/pA025B_C2)*100)*Anu_C2))</f>
        <v>2.6434774922262725</v>
      </c>
      <c r="E28" s="53">
        <f>IF(A010_C3=0,0,IF(pA025B_C3=0, 0, (((A025B_C3-pA025B_C3)/pA025B_C3)*100)*Anu_C3))</f>
        <v>2.0781712935719154</v>
      </c>
      <c r="F28" s="53">
        <f>IF(A010_C4=0,0,IF(pA025B_C4=0, 0, (((A025B_C4-pA025B_C4)/pA025B_C4)*100)*Anu_C4))</f>
        <v>4.3840405206679813</v>
      </c>
      <c r="G28" s="53">
        <f>IF(A010_C5=0,0,IF(pA025B_C5=0, 0, (((A025B_C5-pA025B_C5)/pA025B_C5)*100)*Anu_C5))</f>
        <v>4.662795731394807</v>
      </c>
      <c r="H28" s="30"/>
      <c r="I28" s="30" t="s">
        <v>1164</v>
      </c>
      <c r="J28" s="53">
        <f>IF(((A010_C1+pA010_C1)/2)=0, 0, ((((A661A_C1)/((A010_C1+pA010_C1)/2))*100)))*Anu_C1</f>
        <v>0.69171607316913086</v>
      </c>
      <c r="K28" s="53">
        <f>IF(((A010_C2+pA010_C2)/2)=0, 0, ((((A661A_C2)/((A010_C2+pA010_C2)/2))*100)))*Anu_C2</f>
        <v>0.62669391996101353</v>
      </c>
      <c r="L28" s="53">
        <f>IF(((A010_C3+pA010_C3)/2)=0, 0, ((((A661A_C3)/((A010_C3+pA010_C3)/2))*100)))*Anu_C3</f>
        <v>0.66997720661140614</v>
      </c>
      <c r="M28" s="53">
        <f>IF(((A010_C4+pA010_C4)/2)=0, 0, ((((A661A_C4)/((A010_C4+pA010_C4)/2))*100)))*Anu_C4</f>
        <v>0.75563479979551207</v>
      </c>
      <c r="N28" s="53">
        <f>IF(((A010_C5+pA010_C5)/2)=0, 0, ((((A661A_C5)/((A010_C5+pA010_C5)/2))*100)))*Anu_C5</f>
        <v>0.81271007616536983</v>
      </c>
      <c r="P28" s="30"/>
    </row>
    <row r="29" spans="1:16" x14ac:dyDescent="0.2">
      <c r="B29" s="30" t="s">
        <v>1165</v>
      </c>
      <c r="C29" s="53">
        <f>IF(A010_C1=0,0,IF(pA018_C1=0, 0, (((A018_C1-pA018_C1)/pA018_C1)*100)*Anu_C1))</f>
        <v>3.8024223724479427</v>
      </c>
      <c r="D29" s="53">
        <f>IF(A010_C2=0,0,IF(pA018_C2=0, 0, (((A018_C2-pA018_C2)/pA018_C2)*100)*Anu_C2))</f>
        <v>4.1545431536587172</v>
      </c>
      <c r="E29" s="53">
        <f>IF(A010_C3=0,0,IF(pA018_C3=0, 0, (((A018_C3-pA018_C3)/pA018_C3)*100)*Anu_C3))</f>
        <v>12.499256686677302</v>
      </c>
      <c r="F29" s="53">
        <f>IF(A010_C4=0,0,IF(pA018_C4=0, 0, (((A018_C4-pA018_C4)/pA018_C4)*100)*Anu_C4))</f>
        <v>6.4099272014221844</v>
      </c>
      <c r="G29" s="53">
        <f>IF(A010_C5=0,0,IF(pA018_C5=0, 0, (((A018_C5-pA018_C5)/pA018_C5)*100)*Anu_C5))</f>
        <v>5.0664759967550754</v>
      </c>
      <c r="H29" s="30"/>
      <c r="I29" s="30" t="s">
        <v>1157</v>
      </c>
      <c r="J29" s="53">
        <f>PR_11_C1</f>
        <v>0</v>
      </c>
      <c r="K29" s="53">
        <f>PR_11_C2</f>
        <v>0</v>
      </c>
      <c r="L29" s="53">
        <f>PR_11_C3</f>
        <v>0</v>
      </c>
      <c r="M29" s="53">
        <f>PR_11_C4</f>
        <v>0</v>
      </c>
      <c r="N29" s="53">
        <f>PR_11_C5</f>
        <v>0</v>
      </c>
      <c r="P29" s="30"/>
    </row>
    <row r="30" spans="1:16" x14ac:dyDescent="0.2">
      <c r="B30" s="30" t="s">
        <v>1166</v>
      </c>
      <c r="C30" s="53">
        <f>PR_39_C1</f>
        <v>0</v>
      </c>
      <c r="D30" s="53">
        <f>PR_39_C2</f>
        <v>0</v>
      </c>
      <c r="E30" s="53">
        <f>PR_39_C3</f>
        <v>0</v>
      </c>
      <c r="F30" s="53">
        <f>PR_39_C4</f>
        <v>0</v>
      </c>
      <c r="G30" s="53">
        <f>PR_39_C5</f>
        <v>0</v>
      </c>
      <c r="H30" s="30"/>
      <c r="I30" s="30"/>
      <c r="J30" s="30"/>
      <c r="K30" s="30"/>
      <c r="L30" s="30"/>
      <c r="M30" s="30"/>
      <c r="N30" s="30"/>
      <c r="O30" s="30"/>
      <c r="P30" s="30"/>
    </row>
    <row r="31" spans="1:16" x14ac:dyDescent="0.2">
      <c r="B31" s="30" t="s">
        <v>1167</v>
      </c>
      <c r="C31" s="53">
        <f>PR_40_C1</f>
        <v>0</v>
      </c>
      <c r="D31" s="53">
        <f>PR_40_C2</f>
        <v>0</v>
      </c>
      <c r="E31" s="53">
        <f>PR_40_C3</f>
        <v>0</v>
      </c>
      <c r="F31" s="53">
        <f>PR_40_C4</f>
        <v>0</v>
      </c>
      <c r="G31" s="53">
        <f>PR_40_C5</f>
        <v>0</v>
      </c>
      <c r="H31" s="30"/>
      <c r="I31" s="30"/>
      <c r="J31" s="30"/>
      <c r="K31" s="30"/>
      <c r="L31" s="30"/>
      <c r="M31" s="30"/>
      <c r="N31" s="30"/>
      <c r="O31" s="30"/>
      <c r="P31" s="30"/>
    </row>
    <row r="32" spans="1:16" x14ac:dyDescent="0.2">
      <c r="A32" s="30"/>
      <c r="B32" s="30"/>
      <c r="C32" s="30"/>
      <c r="D32" s="30"/>
      <c r="E32" s="30"/>
      <c r="F32" s="30"/>
      <c r="G32" s="30"/>
      <c r="H32" s="30"/>
      <c r="I32" s="30"/>
      <c r="J32" s="30"/>
      <c r="K32" s="30"/>
      <c r="L32" s="30"/>
      <c r="M32" s="30"/>
      <c r="N32" s="30"/>
      <c r="O32" s="30"/>
      <c r="P32" s="30"/>
    </row>
    <row r="33" spans="1:16" x14ac:dyDescent="0.2">
      <c r="A33" s="30"/>
      <c r="B33" s="30"/>
      <c r="C33" s="30"/>
      <c r="D33" s="30"/>
      <c r="E33" s="30"/>
      <c r="F33" s="30"/>
      <c r="G33" s="30"/>
      <c r="H33" s="30"/>
      <c r="I33" s="30"/>
      <c r="J33" s="30"/>
      <c r="K33" s="30"/>
      <c r="L33" s="30"/>
      <c r="M33" s="30"/>
      <c r="N33" s="30"/>
      <c r="O33" s="30"/>
      <c r="P33" s="30"/>
    </row>
    <row r="34" spans="1:16" x14ac:dyDescent="0.2">
      <c r="A34" s="30"/>
      <c r="B34" s="30"/>
      <c r="C34" s="30"/>
      <c r="D34" s="30"/>
      <c r="E34" s="30"/>
      <c r="F34" s="30"/>
      <c r="G34" s="30"/>
      <c r="H34" s="30"/>
      <c r="I34" s="30"/>
      <c r="J34" s="30"/>
      <c r="K34" s="30"/>
      <c r="L34" s="30"/>
      <c r="M34" s="30"/>
      <c r="N34" s="30"/>
      <c r="O34" s="30"/>
      <c r="P34" s="30"/>
    </row>
    <row r="35" spans="1:16" x14ac:dyDescent="0.2">
      <c r="A35" s="30"/>
      <c r="B35" s="30"/>
      <c r="C35" s="30"/>
      <c r="D35" s="30"/>
      <c r="E35" s="30"/>
      <c r="F35" s="30"/>
      <c r="G35" s="30"/>
      <c r="H35" s="30"/>
      <c r="I35" s="30"/>
      <c r="J35" s="30"/>
      <c r="K35" s="30"/>
      <c r="L35" s="30"/>
      <c r="M35" s="30"/>
      <c r="N35" s="30"/>
      <c r="O35" s="30"/>
      <c r="P35" s="30"/>
    </row>
    <row r="36" spans="1:16" x14ac:dyDescent="0.2">
      <c r="A36" s="30"/>
      <c r="B36" s="30"/>
      <c r="C36" s="30"/>
      <c r="D36" s="30"/>
      <c r="E36" s="30"/>
      <c r="F36" s="30"/>
      <c r="G36" s="30"/>
      <c r="H36" s="30"/>
      <c r="I36" s="30"/>
      <c r="J36" s="30"/>
      <c r="K36" s="30"/>
      <c r="L36" s="30"/>
      <c r="M36" s="30"/>
      <c r="N36" s="30"/>
      <c r="O36" s="30"/>
      <c r="P36" s="30"/>
    </row>
    <row r="37" spans="1:16" x14ac:dyDescent="0.2">
      <c r="A37" s="30"/>
      <c r="B37" s="30"/>
      <c r="C37" s="30"/>
      <c r="D37" s="30"/>
      <c r="E37" s="30"/>
      <c r="F37" s="30"/>
      <c r="G37" s="30"/>
      <c r="H37" s="30"/>
      <c r="I37" s="30"/>
      <c r="J37" s="30"/>
      <c r="K37" s="30"/>
      <c r="L37" s="30"/>
      <c r="M37" s="30"/>
      <c r="N37" s="30"/>
      <c r="O37" s="30"/>
      <c r="P37" s="30"/>
    </row>
    <row r="38" spans="1:16" x14ac:dyDescent="0.2">
      <c r="A38" s="30"/>
      <c r="B38" s="30"/>
      <c r="C38" s="30"/>
      <c r="D38" s="30"/>
      <c r="E38" s="30"/>
      <c r="F38" s="30"/>
      <c r="G38" s="30"/>
      <c r="H38" s="30"/>
      <c r="I38" s="30"/>
      <c r="J38" s="30"/>
      <c r="K38" s="30"/>
      <c r="L38" s="30"/>
      <c r="M38" s="30"/>
      <c r="N38" s="30"/>
      <c r="O38" s="30"/>
      <c r="P38" s="30"/>
    </row>
    <row r="39" spans="1:16" x14ac:dyDescent="0.2">
      <c r="A39" s="30"/>
      <c r="B39" s="30"/>
      <c r="C39" s="30"/>
      <c r="D39" s="30"/>
      <c r="E39" s="30"/>
      <c r="F39" s="30"/>
      <c r="G39" s="30"/>
      <c r="H39" s="30"/>
      <c r="I39" s="30"/>
      <c r="J39" s="30"/>
      <c r="K39" s="30"/>
      <c r="L39" s="30"/>
      <c r="M39" s="30"/>
      <c r="N39" s="30"/>
      <c r="O39" s="30"/>
      <c r="P39" s="30"/>
    </row>
    <row r="40" spans="1:16" x14ac:dyDescent="0.2">
      <c r="A40" s="30"/>
      <c r="B40" s="30"/>
      <c r="C40" s="30"/>
      <c r="D40" s="30"/>
      <c r="E40" s="30"/>
      <c r="F40" s="30"/>
      <c r="G40" s="30"/>
      <c r="H40" s="30"/>
      <c r="I40" s="30"/>
      <c r="J40" s="30"/>
      <c r="K40" s="30"/>
      <c r="L40" s="30"/>
      <c r="M40" s="30"/>
      <c r="N40" s="30"/>
      <c r="O40" s="30"/>
      <c r="P40" s="30"/>
    </row>
    <row r="41" spans="1:16" x14ac:dyDescent="0.2">
      <c r="A41" s="30"/>
      <c r="B41" s="30"/>
      <c r="C41" s="30"/>
      <c r="D41" s="30"/>
      <c r="E41" s="30"/>
      <c r="F41" s="30"/>
      <c r="G41" s="30"/>
      <c r="H41" s="30"/>
      <c r="I41" s="30"/>
      <c r="J41" s="30"/>
      <c r="K41" s="30"/>
      <c r="L41" s="30"/>
      <c r="M41" s="30"/>
      <c r="N41" s="30"/>
      <c r="O41" s="30"/>
      <c r="P41" s="30"/>
    </row>
    <row r="42" spans="1:16" x14ac:dyDescent="0.2">
      <c r="A42" s="30"/>
      <c r="B42" s="30"/>
      <c r="C42" s="30"/>
      <c r="D42" s="30"/>
      <c r="E42" s="30"/>
      <c r="F42" s="30"/>
      <c r="G42" s="30"/>
      <c r="H42" s="30"/>
      <c r="I42" s="30"/>
      <c r="J42" s="30"/>
      <c r="K42" s="30"/>
      <c r="L42" s="30"/>
      <c r="M42" s="30"/>
      <c r="N42" s="30"/>
      <c r="O42" s="30"/>
      <c r="P42" s="30"/>
    </row>
    <row r="43" spans="1:16" x14ac:dyDescent="0.2">
      <c r="A43" s="30"/>
      <c r="B43" s="30"/>
      <c r="C43" s="30"/>
      <c r="D43" s="30"/>
      <c r="E43" s="30"/>
      <c r="F43" s="30"/>
      <c r="G43" s="30"/>
      <c r="H43" s="30"/>
      <c r="I43" s="30"/>
      <c r="J43" s="30"/>
      <c r="K43" s="30"/>
      <c r="L43" s="30"/>
      <c r="M43" s="30"/>
      <c r="N43" s="30"/>
      <c r="O43" s="30"/>
      <c r="P43" s="30"/>
    </row>
    <row r="44" spans="1:16" x14ac:dyDescent="0.2">
      <c r="A44" s="30"/>
      <c r="B44" s="30"/>
      <c r="C44" s="30"/>
      <c r="D44" s="30"/>
      <c r="E44" s="30"/>
      <c r="F44" s="30"/>
      <c r="G44" s="30"/>
      <c r="H44" s="30"/>
      <c r="I44" s="30"/>
      <c r="J44" s="30"/>
      <c r="K44" s="30"/>
      <c r="L44" s="30"/>
      <c r="M44" s="30"/>
      <c r="N44" s="30"/>
      <c r="O44" s="30"/>
      <c r="P44" s="30"/>
    </row>
    <row r="45" spans="1:16" ht="25.5" customHeight="1" x14ac:dyDescent="0.2">
      <c r="A45" s="13" t="s">
        <v>1168</v>
      </c>
      <c r="B45" s="13"/>
      <c r="C45" s="13"/>
      <c r="D45" s="13"/>
      <c r="E45" s="13"/>
      <c r="F45" s="13"/>
      <c r="G45" s="13"/>
      <c r="H45" s="13"/>
      <c r="I45" s="13"/>
      <c r="J45" s="13"/>
      <c r="K45" s="13"/>
      <c r="L45" s="13"/>
      <c r="M45" s="13"/>
      <c r="N45" s="13"/>
    </row>
    <row r="46" spans="1:16" x14ac:dyDescent="0.2">
      <c r="O46" s="104" t="s">
        <v>1169</v>
      </c>
    </row>
    <row r="50" spans="7:15" x14ac:dyDescent="0.2">
      <c r="H50" s="27"/>
      <c r="O50" s="37"/>
    </row>
    <row r="53" spans="7:15" x14ac:dyDescent="0.2">
      <c r="G53" s="29"/>
      <c r="H53" s="29"/>
      <c r="I53" s="32"/>
      <c r="J53" s="32"/>
    </row>
    <row r="59" spans="7:15" x14ac:dyDescent="0.2">
      <c r="H59" s="27"/>
    </row>
  </sheetData>
  <mergeCells count="3">
    <mergeCell ref="I5:O5"/>
    <mergeCell ref="F6:H6"/>
    <mergeCell ref="A45:N45"/>
  </mergeCells>
  <phoneticPr fontId="2" type="noConversion"/>
  <hyperlinks>
    <hyperlink ref="A2" location="'Cover Page'!A1" display="Return to cover" xr:uid="{00000000-0004-0000-2100-000000000000}"/>
    <hyperlink ref="J12" location="'2. Key Ratios'!B11" display="10.20" xr:uid="{00000000-0004-0000-2100-000001000000}"/>
    <hyperlink ref="K12" location="'2. Key Ratios'!C11" display="10.16" xr:uid="{00000000-0004-0000-2100-000002000000}"/>
    <hyperlink ref="L12" location="'2. Key Ratios'!D11" display="9.76" xr:uid="{00000000-0004-0000-2100-000003000000}"/>
    <hyperlink ref="M12" location="'2. Key Ratios'!E11" display="10.31" xr:uid="{00000000-0004-0000-2100-000004000000}"/>
    <hyperlink ref="N12" location="'2. Key Ratios'!H11" display="10.47" xr:uid="{00000000-0004-0000-2100-000005000000}"/>
  </hyperlinks>
  <printOptions horizontalCentered="1" verticalCentered="1"/>
  <pageMargins left="0.75" right="0.75" top="0.5" bottom="0.5" header="0.5" footer="0.5"/>
  <pageSetup orientation="landscape" r:id="rId1"/>
  <headerFooter alignWithMargins="0"/>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15">
    <pageSetUpPr fitToPage="1"/>
  </sheetPr>
  <dimension ref="A1:P50"/>
  <sheetViews>
    <sheetView tabSelected="1" workbookViewId="0"/>
  </sheetViews>
  <sheetFormatPr defaultRowHeight="12.75" x14ac:dyDescent="0.2"/>
  <cols>
    <col min="1" max="14" width="8.7109375" customWidth="1"/>
    <col min="15" max="15" width="11" customWidth="1"/>
    <col min="16" max="16" width="8.7109375" customWidth="1"/>
  </cols>
  <sheetData>
    <row r="1" spans="1:16" s="62" customFormat="1" ht="12" customHeight="1" x14ac:dyDescent="0.2">
      <c r="G1" s="74"/>
      <c r="H1" s="85" t="s">
        <v>39</v>
      </c>
      <c r="I1" s="90"/>
    </row>
    <row r="2" spans="1:16" s="62" customFormat="1" x14ac:dyDescent="0.2">
      <c r="A2" s="60" t="s">
        <v>49</v>
      </c>
      <c r="G2" s="85"/>
      <c r="H2" s="67" t="s">
        <v>50</v>
      </c>
      <c r="I2" s="87" t="str">
        <f>IF(CU_NUMBER="","N/A",CU_NUMBER)</f>
        <v>N/A</v>
      </c>
    </row>
    <row r="3" spans="1:16" s="62" customFormat="1" ht="12" customHeight="1" x14ac:dyDescent="0.2">
      <c r="A3" s="297" t="str">
        <f>IF(Request_Date=0,"N/A",Request_Date)</f>
        <v>12/05/2025</v>
      </c>
      <c r="F3" s="90"/>
      <c r="G3" s="298"/>
      <c r="H3" s="67" t="s">
        <v>42</v>
      </c>
      <c r="I3" s="75">
        <f>IF(CountCu_C5=0,"N/A",CountCu_C5)</f>
        <v>4331</v>
      </c>
    </row>
    <row r="4" spans="1:16" s="62" customFormat="1" ht="12" customHeight="1" x14ac:dyDescent="0.2">
      <c r="A4" s="74" t="str">
        <f>"CU Name:      "&amp;IF(Cu_Name="","N/A",Cu_Name)</f>
        <v>CU Name:      N/A</v>
      </c>
      <c r="G4" s="85"/>
      <c r="H4" s="67" t="s">
        <v>43</v>
      </c>
      <c r="I4" s="89" t="str">
        <f>IF(AssetRange="","N/A",AssetRange)</f>
        <v>N/A</v>
      </c>
      <c r="J4" s="75"/>
    </row>
    <row r="5" spans="1:16" s="62" customFormat="1" ht="12" customHeight="1" x14ac:dyDescent="0.2">
      <c r="A5" s="74" t="str">
        <f>"Peer Group:      "&amp;IF(Peer_Group="","N/A",IF(Peer_Group="0","N/A",Peer_Group))</f>
        <v>Peer Group:      N/A</v>
      </c>
      <c r="G5" s="90"/>
      <c r="H5" s="67" t="s">
        <v>51</v>
      </c>
      <c r="I5" s="24" t="str">
        <f>IF(_xlnm.Criteria="","N/A",_xlnm.Criteria)</f>
        <v xml:space="preserve">Region: Nation * Peer Group: All * Types Included: All  Federally Insured Credit Unions  (FICUs) *  </v>
      </c>
      <c r="J5" s="23"/>
      <c r="K5" s="23"/>
      <c r="L5" s="23"/>
      <c r="M5" s="23"/>
      <c r="N5" s="23"/>
      <c r="O5" s="23"/>
    </row>
    <row r="6" spans="1:16" s="62" customFormat="1" ht="12" customHeight="1" x14ac:dyDescent="0.2">
      <c r="F6" s="22" t="s">
        <v>45</v>
      </c>
      <c r="G6" s="1"/>
      <c r="H6" s="1"/>
      <c r="I6" s="75" t="str">
        <f>IF(NoCu_in_Peer_Group="","N/A",NoCu_in_Peer_Group)</f>
        <v>N/A</v>
      </c>
      <c r="J6" s="75" t="str">
        <f>IF(CU_NUMBER&gt;0,"",IF(RetPop=0,"Retroactive Population",""))</f>
        <v/>
      </c>
    </row>
    <row r="7" spans="1:16" x14ac:dyDescent="0.2">
      <c r="A7" s="30"/>
      <c r="B7" s="30"/>
      <c r="C7" s="30"/>
      <c r="D7" s="30"/>
      <c r="E7" s="30"/>
      <c r="J7" s="30"/>
      <c r="K7" s="30"/>
      <c r="L7" s="30"/>
      <c r="M7" s="30"/>
      <c r="N7" s="30"/>
      <c r="O7" s="30"/>
      <c r="P7" s="30"/>
    </row>
    <row r="8" spans="1:16" x14ac:dyDescent="0.2">
      <c r="A8" s="30"/>
      <c r="B8" s="35"/>
      <c r="C8" s="35"/>
      <c r="D8" s="35"/>
      <c r="E8" s="35"/>
      <c r="F8" s="30"/>
      <c r="G8" s="35"/>
      <c r="H8" s="35"/>
      <c r="I8" s="35"/>
      <c r="J8" s="30"/>
      <c r="K8" s="30"/>
      <c r="L8" s="30"/>
      <c r="M8" s="30"/>
      <c r="N8" s="30"/>
      <c r="O8" s="30"/>
      <c r="P8" s="30"/>
    </row>
    <row r="9" spans="1:16" ht="12.75" customHeight="1" x14ac:dyDescent="0.2">
      <c r="B9" s="30" t="s">
        <v>1170</v>
      </c>
      <c r="C9" s="30"/>
      <c r="D9" s="30"/>
      <c r="E9" s="30"/>
      <c r="F9" s="30"/>
      <c r="G9" s="30"/>
      <c r="H9" s="30"/>
      <c r="I9" s="30" t="s">
        <v>1171</v>
      </c>
      <c r="J9" s="30"/>
      <c r="K9" s="30"/>
      <c r="L9" s="30"/>
      <c r="M9" s="30"/>
      <c r="N9" s="30"/>
      <c r="P9" s="30"/>
    </row>
    <row r="10" spans="1:16" x14ac:dyDescent="0.2">
      <c r="B10" s="30"/>
      <c r="C10" s="52">
        <f>(CycDat_C1)</f>
        <v>45565</v>
      </c>
      <c r="D10" s="52">
        <f>(CycDat_C2)</f>
        <v>45657</v>
      </c>
      <c r="E10" s="52">
        <f>(CycDat_C3)</f>
        <v>45747</v>
      </c>
      <c r="F10" s="52">
        <f>(CycDat_C4)</f>
        <v>45838</v>
      </c>
      <c r="G10" s="52">
        <f>(CycDat_C5)</f>
        <v>45930</v>
      </c>
      <c r="H10" s="30"/>
      <c r="I10" s="30"/>
      <c r="J10" s="52">
        <f>(CycDat_C1)</f>
        <v>45565</v>
      </c>
      <c r="K10" s="52">
        <f>(CycDat_C2)</f>
        <v>45657</v>
      </c>
      <c r="L10" s="52">
        <f>(CycDat_C3)</f>
        <v>45747</v>
      </c>
      <c r="M10" s="52">
        <f>(CycDat_C4)</f>
        <v>45838</v>
      </c>
      <c r="N10" s="52">
        <f>(CycDat_C5)</f>
        <v>45930</v>
      </c>
      <c r="P10" s="30"/>
    </row>
    <row r="11" spans="1:16" x14ac:dyDescent="0.2">
      <c r="B11" s="30" t="s">
        <v>1172</v>
      </c>
      <c r="C11" s="53">
        <f>IF(A010_C1=0, 0, (A025B_C1/A010_C1)*100)</f>
        <v>70.53534978451961</v>
      </c>
      <c r="D11" s="53">
        <f>IF(A010_C2=0, 0, (A025B_C2/A010_C2)*100)</f>
        <v>71.300427917681091</v>
      </c>
      <c r="E11" s="53">
        <f>IF(A010_C3=0, 0, (A025B_C3/A010_C3)*100)</f>
        <v>69.860312700850983</v>
      </c>
      <c r="F11" s="53">
        <f>IF(A010_C4=0, 0, (A025B_C4/A010_C4)*100)</f>
        <v>70.67156004453156</v>
      </c>
      <c r="G11" s="53">
        <f>IF(A010_C5=0, 0, (A025B_C5/A010_C5)*100)</f>
        <v>71.013254938287872</v>
      </c>
      <c r="H11" s="30"/>
      <c r="I11" s="30" t="s">
        <v>1173</v>
      </c>
      <c r="J11" s="53">
        <f>IF(J10&gt;DATEVALUE("12/31/2021"),IF(A010_C1=0,0,((A703A_C1+A386A_C1+A386B_C1-ARL0050_C1+A718A3_C1+A718A4_C1-ACM0099_C1+ANV0155_C1+ANV0156_C1+ANV0157_C1+A007_C1+A008_C1+A794_C1)/A010_C1))*100,IF(A010_C1=0,0,((A703A_C1+A386A_C1+A386B_C1-A712_C1+A400T1_C1+A799C1_C1+A799C2_C1+A799D_C1+A007_C1+A008_C1+A794_C1)/A010_C1))*100)</f>
        <v>35.074102262649291</v>
      </c>
      <c r="K11" s="53">
        <f>IF(K10&gt;DATEVALUE("12/31/2021"),IF(A010_C2=0,0,((A703A_C2+A386A_C2+A386B_C2-ARL0050_C2+A718A3_C2+A718A4_C2-ACM0099_C2+ANV0155_C2+ANV0156_C2+ANV0157_C2+A007_C2+A008_C2+A794_C2)/A010_C2))*100,IF(A010_C2=0,0,((A703A_C2+A386A_C2+A386B_C2-A712_C2+A400T1_C2+A799C1_C2+A799C2_C2+A799D_C2+A007_C2+A008_C2+A794_C2)/A010_C2))*100)</f>
        <v>35.158778412277123</v>
      </c>
      <c r="L11" s="53">
        <f>IF(L10&gt;DATEVALUE("12/31/2021"),IF(A010_C3=0,0,((A703A_C3+A386A_C3+A386B_C3-ARL0050_C3+A718A3_C3+A718A4_C3-ACM0099_C3+ANV0155_C3+ANV0156_C3+ANV0157_C3+A007_C3+A008_C3+A794_C3)/A010_C3))*100,IF(A010_C3=0,0,((A703A_C3+A386A_C3+A386B_C3-A712_C3+A400T1_C3+A799C1_C3+A799C2_C3+A799D_C3+A007_C3+A008_C3+A794_C3)/A010_C3))*100)</f>
        <v>34.477504664102746</v>
      </c>
      <c r="M11" s="53">
        <f>IF(M10&gt;DATEVALUE("12/31/2021"),IF(A010_C4=0,0,((A703A_C4+A386A_C4+A386B_C4-ARL0050_C4+A718A3_C4+A718A4_C4-ACM0099_C4+ANV0155_C4+ANV0156_C4+ANV0157_C4+A007_C4+A008_C4+A794_C4)/A010_C4))*100,IF(A010_C4=0,0,((A703A_C4+A386A_C4+A386B_C4-A712_C4+A400T1_C4+A799C1_C4+A799C2_C4+A799D_C4+A007_C4+A008_C4+A794_C4)/A010_C4))*100)</f>
        <v>34.762022341317753</v>
      </c>
      <c r="N11" s="53">
        <f>IF(N10&gt;DATEVALUE("12/31/2021"),IF(A010_C5=0,0,((A703A_C5+A386A_C5+A386B_C5-ARL0050_C5+A718A3_C5+A718A4_C5-ACM0099_C5+ANV0155_C5+ANV0156_C5+ANV0157_C5+A007_C5+A008_C5+A794_C5)/A010_C5))*100,IF(A010_C5=0,0,((A703A_C5+A386A_C5+A386B_C5-A712_C5+A400T1_C5+A799C1_C5+A799C2_C5+A799D_C5+A007_C5+A008_C5+A794_C5)/A010_C5))*100)</f>
        <v>34.943091573155897</v>
      </c>
      <c r="P11" s="30"/>
    </row>
    <row r="12" spans="1:16" x14ac:dyDescent="0.2">
      <c r="B12" s="30" t="s">
        <v>1157</v>
      </c>
      <c r="C12" s="53">
        <f>PR_27_C1</f>
        <v>0</v>
      </c>
      <c r="D12" s="53">
        <f>PR_27_C2</f>
        <v>0</v>
      </c>
      <c r="E12" s="53">
        <f>PR_27_C3</f>
        <v>0</v>
      </c>
      <c r="F12" s="53">
        <f>PR_27_C4</f>
        <v>0</v>
      </c>
      <c r="G12" s="53">
        <f>PR_27_C5</f>
        <v>0</v>
      </c>
      <c r="H12" s="30"/>
      <c r="I12" s="30" t="s">
        <v>1157</v>
      </c>
      <c r="J12" s="53">
        <f>PR_24_C1</f>
        <v>0</v>
      </c>
      <c r="K12" s="53">
        <f>PR_24_C2</f>
        <v>0</v>
      </c>
      <c r="L12" s="53">
        <f>PR_24_C3</f>
        <v>0</v>
      </c>
      <c r="M12" s="53">
        <f>PR_24_C4</f>
        <v>0</v>
      </c>
      <c r="N12" s="53">
        <f>PR_24_C5</f>
        <v>0</v>
      </c>
      <c r="P12" s="30"/>
    </row>
    <row r="13" spans="1:16" x14ac:dyDescent="0.2">
      <c r="A13" s="30"/>
      <c r="B13" s="30"/>
      <c r="C13" s="30"/>
      <c r="D13" s="30"/>
      <c r="E13" s="30"/>
      <c r="F13" s="30"/>
      <c r="G13" s="30"/>
      <c r="H13" s="30"/>
      <c r="I13" s="30"/>
      <c r="J13" s="30"/>
      <c r="K13" s="30"/>
      <c r="L13" s="30"/>
      <c r="M13" s="30"/>
      <c r="N13" s="30"/>
      <c r="O13" s="30"/>
      <c r="P13" s="30"/>
    </row>
    <row r="14" spans="1:16" x14ac:dyDescent="0.2">
      <c r="A14" s="30"/>
      <c r="B14" s="30"/>
      <c r="C14" s="30"/>
      <c r="D14" s="30"/>
      <c r="E14" s="30"/>
      <c r="F14" s="30"/>
      <c r="G14" s="30"/>
      <c r="H14" s="30"/>
      <c r="I14" s="30"/>
      <c r="J14" s="30"/>
      <c r="K14" s="30"/>
      <c r="L14" s="30"/>
      <c r="M14" s="30"/>
      <c r="N14" s="30"/>
      <c r="O14" s="30"/>
      <c r="P14" s="30"/>
    </row>
    <row r="15" spans="1:16" x14ac:dyDescent="0.2">
      <c r="A15" s="30"/>
      <c r="B15" s="30"/>
      <c r="C15" s="30"/>
      <c r="D15" s="30"/>
      <c r="E15" s="30"/>
      <c r="F15" s="30"/>
      <c r="G15" s="30"/>
      <c r="H15" s="30"/>
      <c r="I15" s="30"/>
      <c r="J15" s="30"/>
      <c r="K15" s="30"/>
      <c r="L15" s="30"/>
      <c r="M15" s="30"/>
      <c r="N15" s="30"/>
      <c r="O15" s="30"/>
      <c r="P15" s="30"/>
    </row>
    <row r="16" spans="1:16" x14ac:dyDescent="0.2">
      <c r="A16" s="30"/>
      <c r="B16" s="30"/>
      <c r="C16" s="30"/>
      <c r="D16" s="30"/>
      <c r="E16" s="30"/>
      <c r="F16" s="30"/>
      <c r="G16" s="30"/>
      <c r="H16" s="30"/>
      <c r="I16" s="30"/>
      <c r="J16" s="30"/>
      <c r="K16" s="30"/>
      <c r="L16" s="30"/>
      <c r="M16" s="30"/>
      <c r="N16" s="30"/>
      <c r="O16" s="30"/>
      <c r="P16" s="30"/>
    </row>
    <row r="17" spans="1:16" s="34" customFormat="1" ht="12.75" customHeight="1" x14ac:dyDescent="0.2">
      <c r="A17" s="44"/>
      <c r="B17" s="44"/>
      <c r="C17" s="44"/>
      <c r="D17" s="44"/>
      <c r="E17" s="44"/>
      <c r="F17" s="44"/>
      <c r="G17" s="44"/>
      <c r="H17" s="44"/>
      <c r="I17" s="44"/>
      <c r="J17" s="44"/>
      <c r="K17" s="44"/>
      <c r="L17" s="44"/>
      <c r="M17" s="44"/>
      <c r="N17" s="44"/>
      <c r="O17" s="44"/>
      <c r="P17" s="44"/>
    </row>
    <row r="18" spans="1:16" x14ac:dyDescent="0.2">
      <c r="A18" s="30"/>
      <c r="B18" s="30"/>
      <c r="C18" s="30"/>
      <c r="D18" s="30"/>
      <c r="E18" s="30"/>
      <c r="F18" s="30"/>
      <c r="G18" s="30"/>
      <c r="H18" s="30"/>
      <c r="I18" s="30"/>
      <c r="J18" s="30"/>
      <c r="K18" s="30"/>
      <c r="L18" s="30"/>
      <c r="M18" s="30"/>
      <c r="N18" s="30"/>
      <c r="O18" s="30"/>
      <c r="P18" s="30"/>
    </row>
    <row r="19" spans="1:16" x14ac:dyDescent="0.2">
      <c r="A19" s="30"/>
      <c r="B19" s="30"/>
      <c r="C19" s="30"/>
      <c r="D19" s="30"/>
      <c r="E19" s="30"/>
      <c r="F19" s="30"/>
      <c r="G19" s="30"/>
      <c r="H19" s="30"/>
      <c r="I19" s="30"/>
      <c r="J19" s="30"/>
      <c r="K19" s="30"/>
      <c r="L19" s="30"/>
      <c r="M19" s="30"/>
      <c r="N19" s="30"/>
      <c r="O19" s="30"/>
      <c r="P19" s="30"/>
    </row>
    <row r="20" spans="1:16" x14ac:dyDescent="0.2">
      <c r="A20" s="30"/>
      <c r="B20" s="30"/>
      <c r="C20" s="30"/>
      <c r="D20" s="30"/>
      <c r="E20" s="30"/>
      <c r="F20" s="30"/>
      <c r="G20" s="30"/>
      <c r="H20" s="30"/>
      <c r="I20" s="30"/>
      <c r="J20" s="30"/>
      <c r="K20" s="30"/>
      <c r="L20" s="30"/>
      <c r="M20" s="30"/>
      <c r="N20" s="30"/>
      <c r="O20" s="30"/>
      <c r="P20" s="30"/>
    </row>
    <row r="21" spans="1:16" x14ac:dyDescent="0.2">
      <c r="A21" s="30"/>
      <c r="B21" s="30"/>
      <c r="C21" s="30"/>
      <c r="D21" s="30"/>
      <c r="E21" s="30"/>
      <c r="F21" s="30"/>
      <c r="G21" s="30"/>
      <c r="H21" s="30"/>
      <c r="I21" s="30"/>
      <c r="J21" s="30"/>
      <c r="K21" s="30"/>
      <c r="L21" s="30"/>
      <c r="M21" s="30"/>
      <c r="N21" s="30"/>
      <c r="O21" s="30"/>
      <c r="P21" s="30"/>
    </row>
    <row r="22" spans="1:16" x14ac:dyDescent="0.2">
      <c r="A22" s="30"/>
      <c r="B22" s="30"/>
      <c r="C22" s="30"/>
      <c r="D22" s="30"/>
      <c r="E22" s="30"/>
      <c r="F22" s="30"/>
      <c r="G22" s="30"/>
      <c r="H22" s="30"/>
      <c r="I22" s="30"/>
      <c r="J22" s="30"/>
      <c r="K22" s="30"/>
      <c r="L22" s="30"/>
      <c r="M22" s="30"/>
      <c r="N22" s="30"/>
      <c r="O22" s="30"/>
      <c r="P22" s="30"/>
    </row>
    <row r="23" spans="1:16" x14ac:dyDescent="0.2">
      <c r="A23" s="30"/>
      <c r="B23" s="30"/>
      <c r="C23" s="30"/>
      <c r="D23" s="30"/>
      <c r="E23" s="30"/>
      <c r="F23" s="30"/>
      <c r="G23" s="30"/>
      <c r="H23" s="30"/>
      <c r="I23" s="30"/>
      <c r="J23" s="30"/>
      <c r="K23" s="30"/>
      <c r="L23" s="30"/>
      <c r="M23" s="30"/>
      <c r="N23" s="30"/>
      <c r="O23" s="30"/>
      <c r="P23" s="30"/>
    </row>
    <row r="24" spans="1:16" x14ac:dyDescent="0.2">
      <c r="A24" s="30"/>
      <c r="B24" s="30"/>
      <c r="C24" s="30"/>
      <c r="D24" s="30"/>
      <c r="E24" s="30"/>
      <c r="F24" s="30"/>
      <c r="G24" s="30"/>
      <c r="H24" s="30"/>
      <c r="I24" s="30"/>
      <c r="J24" s="30"/>
      <c r="K24" s="30"/>
      <c r="L24" s="30"/>
      <c r="M24" s="30"/>
      <c r="N24" s="30"/>
      <c r="O24" s="30"/>
      <c r="P24" s="30"/>
    </row>
    <row r="25" spans="1:16" x14ac:dyDescent="0.2">
      <c r="A25" s="30"/>
      <c r="B25" s="30"/>
      <c r="C25" s="30"/>
      <c r="D25" s="30"/>
      <c r="E25" s="30"/>
      <c r="F25" s="30"/>
      <c r="G25" s="30"/>
      <c r="H25" s="30"/>
      <c r="I25" s="30"/>
      <c r="J25" s="30"/>
      <c r="K25" s="30"/>
      <c r="L25" s="30"/>
      <c r="M25" s="30"/>
      <c r="N25" s="30"/>
      <c r="O25" s="30"/>
      <c r="P25" s="30"/>
    </row>
    <row r="26" spans="1:16" x14ac:dyDescent="0.2">
      <c r="A26" s="30"/>
      <c r="B26" s="30"/>
      <c r="C26" s="30"/>
      <c r="D26" s="30"/>
      <c r="E26" s="30"/>
      <c r="F26" s="30"/>
      <c r="G26" s="30"/>
      <c r="H26" s="30"/>
      <c r="I26" s="30"/>
      <c r="J26" s="30"/>
      <c r="K26" s="30"/>
      <c r="L26" s="30"/>
      <c r="M26" s="30"/>
      <c r="N26" s="30"/>
      <c r="O26" s="30"/>
      <c r="P26" s="30"/>
    </row>
    <row r="27" spans="1:16" x14ac:dyDescent="0.2">
      <c r="A27" s="30"/>
      <c r="B27" s="30"/>
      <c r="C27" s="30"/>
      <c r="D27" s="30"/>
      <c r="E27" s="30"/>
      <c r="F27" s="30"/>
      <c r="G27" s="30"/>
      <c r="H27" s="30"/>
      <c r="I27" s="30"/>
      <c r="J27" s="30"/>
      <c r="K27" s="30"/>
      <c r="L27" s="30"/>
      <c r="M27" s="30"/>
      <c r="N27" s="30"/>
      <c r="O27" s="30"/>
      <c r="P27" s="30"/>
    </row>
    <row r="28" spans="1:16" x14ac:dyDescent="0.2">
      <c r="B28" s="30" t="s">
        <v>1174</v>
      </c>
      <c r="C28" s="30"/>
      <c r="D28" s="30"/>
      <c r="E28" s="30"/>
      <c r="F28" s="30"/>
      <c r="G28" s="30"/>
      <c r="H28" s="30"/>
      <c r="I28" s="30" t="s">
        <v>1175</v>
      </c>
      <c r="J28" s="30"/>
      <c r="K28" s="30"/>
      <c r="L28" s="30"/>
      <c r="M28" s="30"/>
      <c r="N28" s="30"/>
      <c r="P28" s="30"/>
    </row>
    <row r="29" spans="1:16" x14ac:dyDescent="0.2">
      <c r="B29" s="30"/>
      <c r="C29" s="52">
        <f>(CycDat_C1)</f>
        <v>45565</v>
      </c>
      <c r="D29" s="52">
        <f>(CycDat_C2)</f>
        <v>45657</v>
      </c>
      <c r="E29" s="52">
        <f>(CycDat_C3)</f>
        <v>45747</v>
      </c>
      <c r="F29" s="52">
        <f>(CycDat_C4)</f>
        <v>45838</v>
      </c>
      <c r="G29" s="52">
        <f>(CycDat_C5)</f>
        <v>45930</v>
      </c>
      <c r="H29" s="30"/>
      <c r="I29" s="30"/>
      <c r="J29" s="52">
        <f>(CycDat_C1)</f>
        <v>45565</v>
      </c>
      <c r="K29" s="52">
        <f>(CycDat_C2)</f>
        <v>45657</v>
      </c>
      <c r="L29" s="52">
        <f>(CycDat_C3)</f>
        <v>45747</v>
      </c>
      <c r="M29" s="52">
        <f>(CycDat_C4)</f>
        <v>45838</v>
      </c>
      <c r="N29" s="52">
        <f>(CycDat_C5)</f>
        <v>45930</v>
      </c>
      <c r="P29" s="30"/>
    </row>
    <row r="30" spans="1:16" x14ac:dyDescent="0.2">
      <c r="B30" s="30" t="s">
        <v>1176</v>
      </c>
      <c r="C30" s="53">
        <f>IF((A010_C1+pA010_C1)/2=0, 0, (((A115_C1-A350_C1)/((A010_C1+pA010_C1)/2))*100)*Anu_C1)</f>
        <v>3.0871221171472492</v>
      </c>
      <c r="D30" s="53">
        <f>IF((A010_C2+pA010_C2)/2=0, 0, (((A115_C2-A350_C2)/((A010_C2+pA010_C2)/2))*100)*Anu_C2)</f>
        <v>3.1210393114648123</v>
      </c>
      <c r="E30" s="53">
        <f>IF((A010_C3+pA010_C3)/2=0, 0, (((A115_C3-A350_C3)/((A010_C3+pA010_C3)/2))*100)*Anu_C3)</f>
        <v>3.2360565119452116</v>
      </c>
      <c r="F30" s="53">
        <f>IF((A010_C4+pA010_C4)/2=0, 0, (((A115_C4-A350_C4)/((A010_C4+pA010_C4)/2))*100)*Anu_C4)</f>
        <v>3.3205481897128819</v>
      </c>
      <c r="G30" s="53">
        <f>IF((A010_C5+pA010_C5)/2=0, 0, (((A115_C5-A350_C5)/((A010_C5+pA010_C5)/2))*100)*Anu_C5)</f>
        <v>3.3797924395390844</v>
      </c>
      <c r="H30" s="30"/>
      <c r="I30" s="30" t="s">
        <v>1177</v>
      </c>
      <c r="J30" s="53">
        <f>IF(J29&gt; DATEVALUE("12/31/2021"),IF(A010_C1=0,0,((A730A_C1+A730B_C1+ANV0153_C1)/A010_C1)) * 100,
IF(J29&gt; DATEVALUE("03/31/2006"),IF(A010_C1=0,0,((A730A_C1+A730B_C1+A730C_C1+A799A1_C1)/A010_C1)) * 100,0))</f>
        <v>12.568049504067599</v>
      </c>
      <c r="K30" s="53">
        <f>IF(K29&gt; DATEVALUE("12/31/2021"),IF(A010_C2=0,0,((A730A_C2+A730B_C2+ANV0153_C2)/A010_C2)) * 100,
IF(K29&gt; DATEVALUE("03/31/2006"),IF(A010_C2=0,0,((A730A_C2+A730B_C2+A730C_C2+A799A1_C2)/A010_C2)) * 100,0))</f>
        <v>12.180163535010086</v>
      </c>
      <c r="L30" s="53">
        <f>IF(L29&gt; DATEVALUE("12/31/2021"),IF(A010_C3=0,0,((A730A_C3+A730B_C3+ANV0153_C3)/A010_C3)) * 100,
IF(L29&gt; DATEVALUE("03/31/2006"),IF(A010_C3=0,0,((A730A_C3+A730B_C3+A730C_C3+A799A1_C3)/A010_C3)) * 100,0))</f>
        <v>13.389987657637015</v>
      </c>
      <c r="M30" s="53">
        <f>IF(M29&gt; DATEVALUE("12/31/2021"),IF(A010_C4=0,0,((A730A_C4+A730B_C4+ANV0153_C4)/A010_C4)) * 100,
IF(M29&gt; DATEVALUE("03/31/2006"),IF(A010_C4=0,0,((A730A_C4+A730B_C4+A730C_C4+A799A1_C4)/A010_C4)) * 100,0))</f>
        <v>12.332968021953032</v>
      </c>
      <c r="N30" s="53">
        <f>IF(N29&gt; DATEVALUE("12/31/2021"),IF(A010_C5=0,0,((A730A_C5+A730B_C5+ANV0153_C5)/A010_C5)) * 100,
IF(N29&gt; DATEVALUE("03/31/2006"),IF(A010_C5=0,0,((A730A_C5+A730B_C5+A730C_C5+A799A1_C5)/A010_C5)) * 100,0))</f>
        <v>11.911056816825635</v>
      </c>
      <c r="P30" s="30"/>
    </row>
    <row r="31" spans="1:16" x14ac:dyDescent="0.2">
      <c r="B31" s="30" t="s">
        <v>1157</v>
      </c>
      <c r="C31" s="53">
        <f>IF(PR_20_C1&gt;10,0,IF(PR_20_C1&lt;0,0,PR_20_C1))</f>
        <v>0</v>
      </c>
      <c r="D31" s="53">
        <f>IF(PR_20_C2&gt;10,0,IF(PR_20_C2&lt;0,0,PR_20_C2))</f>
        <v>0</v>
      </c>
      <c r="E31" s="53">
        <f>IF(PR_20_C3&gt;10,0,IF(PR_20_C3&lt;0,0,PR_20_C3))</f>
        <v>0</v>
      </c>
      <c r="F31" s="53">
        <f>IF(PR_20_C4&gt;10,0,IF(PR_20_C4&lt;0,0,PR_20_C4))</f>
        <v>0</v>
      </c>
      <c r="G31" s="53">
        <f>IF(PR_20_C5&gt;10,0,IF(PR_20_C5&lt;0,0,PR_20_C5))</f>
        <v>0</v>
      </c>
      <c r="H31" s="30"/>
      <c r="I31" s="30" t="s">
        <v>1157</v>
      </c>
      <c r="J31" s="53">
        <f>PR_28_C1</f>
        <v>0</v>
      </c>
      <c r="K31" s="53">
        <f>PR_28_C2</f>
        <v>0</v>
      </c>
      <c r="L31" s="53">
        <f>PR_28_C3</f>
        <v>0</v>
      </c>
      <c r="M31" s="53">
        <f>PR_28_C4</f>
        <v>0</v>
      </c>
      <c r="N31" s="53">
        <f>PR_28_C5</f>
        <v>0</v>
      </c>
      <c r="P31" s="30"/>
    </row>
    <row r="32" spans="1:16" x14ac:dyDescent="0.2">
      <c r="A32" s="30"/>
      <c r="B32" s="30"/>
      <c r="C32" s="30"/>
      <c r="D32" s="30"/>
      <c r="E32" s="30"/>
      <c r="F32" s="30"/>
      <c r="G32" s="30"/>
      <c r="H32" s="30"/>
      <c r="I32" s="30"/>
      <c r="J32" s="30"/>
      <c r="K32" s="30"/>
      <c r="L32" s="30"/>
      <c r="M32" s="30"/>
      <c r="N32" s="30"/>
      <c r="O32" s="30"/>
      <c r="P32" s="30"/>
    </row>
    <row r="33" spans="1:16" x14ac:dyDescent="0.2">
      <c r="A33" s="30"/>
      <c r="B33" s="30"/>
      <c r="C33" s="30"/>
      <c r="D33" s="30"/>
      <c r="E33" s="30"/>
      <c r="F33" s="30"/>
      <c r="G33" s="30"/>
      <c r="H33" s="30"/>
      <c r="I33" s="30"/>
      <c r="J33" s="30"/>
      <c r="K33" s="30"/>
      <c r="L33" s="30"/>
      <c r="M33" s="30"/>
      <c r="N33" s="30"/>
      <c r="O33" s="30"/>
      <c r="P33" s="30"/>
    </row>
    <row r="34" spans="1:16" x14ac:dyDescent="0.2">
      <c r="A34" s="30"/>
      <c r="B34" s="30"/>
      <c r="C34" s="30"/>
      <c r="D34" s="30"/>
      <c r="E34" s="30"/>
      <c r="F34" s="30"/>
      <c r="G34" s="30"/>
      <c r="H34" s="30"/>
      <c r="I34" s="30"/>
      <c r="J34" s="30"/>
      <c r="K34" s="30"/>
      <c r="L34" s="30"/>
      <c r="M34" s="30"/>
      <c r="N34" s="30"/>
      <c r="O34" s="30"/>
      <c r="P34" s="30"/>
    </row>
    <row r="35" spans="1:16" x14ac:dyDescent="0.2">
      <c r="A35" s="30"/>
      <c r="B35" s="30"/>
      <c r="C35" s="30"/>
      <c r="D35" s="30"/>
      <c r="E35" s="30"/>
      <c r="F35" s="30"/>
      <c r="G35" s="30"/>
      <c r="H35" s="30"/>
      <c r="I35" s="30"/>
      <c r="J35" s="30"/>
      <c r="K35" s="30"/>
      <c r="L35" s="30"/>
      <c r="M35" s="30"/>
      <c r="N35" s="30"/>
      <c r="O35" s="30"/>
      <c r="P35" s="30"/>
    </row>
    <row r="36" spans="1:16" x14ac:dyDescent="0.2">
      <c r="A36" s="30"/>
      <c r="B36" s="30"/>
      <c r="C36" s="30"/>
      <c r="D36" s="30"/>
      <c r="E36" s="30"/>
      <c r="F36" s="30"/>
      <c r="G36" s="30"/>
      <c r="H36" s="30"/>
      <c r="I36" s="30"/>
      <c r="J36" s="30"/>
      <c r="K36" s="30"/>
      <c r="L36" s="30"/>
      <c r="M36" s="30"/>
      <c r="N36" s="30"/>
      <c r="O36" s="30"/>
      <c r="P36" s="30"/>
    </row>
    <row r="37" spans="1:16" x14ac:dyDescent="0.2">
      <c r="A37" s="30"/>
      <c r="B37" s="30"/>
      <c r="C37" s="30"/>
      <c r="D37" s="30"/>
      <c r="E37" s="30"/>
      <c r="F37" s="30"/>
      <c r="G37" s="30"/>
      <c r="H37" s="30"/>
      <c r="I37" s="30"/>
      <c r="J37" s="30"/>
      <c r="K37" s="30"/>
      <c r="L37" s="30"/>
      <c r="M37" s="30"/>
      <c r="N37" s="30"/>
      <c r="O37" s="30"/>
      <c r="P37" s="30"/>
    </row>
    <row r="38" spans="1:16" x14ac:dyDescent="0.2">
      <c r="A38" s="30"/>
      <c r="B38" s="30"/>
      <c r="C38" s="30"/>
      <c r="D38" s="30"/>
      <c r="E38" s="30"/>
      <c r="F38" s="30"/>
      <c r="G38" s="30"/>
      <c r="H38" s="30"/>
      <c r="I38" s="30"/>
      <c r="J38" s="30"/>
      <c r="K38" s="30"/>
      <c r="L38" s="30"/>
      <c r="M38" s="30"/>
      <c r="N38" s="30"/>
      <c r="O38" s="30"/>
      <c r="P38" s="30"/>
    </row>
    <row r="39" spans="1:16" x14ac:dyDescent="0.2">
      <c r="A39" s="30"/>
      <c r="B39" s="30"/>
      <c r="C39" s="30"/>
      <c r="D39" s="30"/>
      <c r="E39" s="30"/>
      <c r="F39" s="30"/>
      <c r="G39" s="30"/>
      <c r="H39" s="30"/>
      <c r="I39" s="30"/>
      <c r="J39" s="30"/>
      <c r="K39" s="30"/>
      <c r="L39" s="30"/>
      <c r="M39" s="30"/>
      <c r="N39" s="30"/>
      <c r="O39" s="30"/>
      <c r="P39" s="30"/>
    </row>
    <row r="40" spans="1:16" x14ac:dyDescent="0.2">
      <c r="A40" s="30"/>
      <c r="B40" s="30"/>
      <c r="C40" s="30"/>
      <c r="D40" s="30"/>
      <c r="E40" s="30"/>
      <c r="F40" s="30"/>
      <c r="G40" s="30"/>
      <c r="H40" s="30"/>
      <c r="I40" s="30"/>
      <c r="J40" s="30"/>
      <c r="K40" s="30"/>
      <c r="L40" s="30"/>
      <c r="M40" s="30"/>
      <c r="N40" s="30"/>
      <c r="O40" s="30"/>
      <c r="P40" s="30"/>
    </row>
    <row r="41" spans="1:16" x14ac:dyDescent="0.2">
      <c r="A41" s="30"/>
      <c r="B41" s="30"/>
      <c r="C41" s="30"/>
      <c r="D41" s="30"/>
      <c r="E41" s="30"/>
      <c r="F41" s="30"/>
      <c r="G41" s="30"/>
      <c r="H41" s="30"/>
      <c r="I41" s="30"/>
      <c r="J41" s="30"/>
      <c r="K41" s="30"/>
      <c r="L41" s="30"/>
      <c r="M41" s="30"/>
      <c r="N41" s="30"/>
      <c r="O41" s="30"/>
      <c r="P41" s="30"/>
    </row>
    <row r="42" spans="1:16" x14ac:dyDescent="0.2">
      <c r="A42" s="30"/>
      <c r="B42" s="30"/>
      <c r="C42" s="30"/>
      <c r="D42" s="30"/>
      <c r="E42" s="30"/>
      <c r="F42" s="30"/>
      <c r="G42" s="30"/>
      <c r="H42" s="30"/>
      <c r="I42" s="30"/>
      <c r="J42" s="30"/>
      <c r="K42" s="30"/>
      <c r="L42" s="30"/>
      <c r="M42" s="30"/>
      <c r="N42" s="30"/>
      <c r="O42" s="30"/>
      <c r="P42" s="30"/>
    </row>
    <row r="43" spans="1:16" x14ac:dyDescent="0.2">
      <c r="A43" s="30"/>
      <c r="B43" s="30"/>
      <c r="C43" s="30"/>
      <c r="D43" s="30"/>
      <c r="E43" s="30"/>
      <c r="F43" s="30"/>
      <c r="G43" s="30"/>
      <c r="H43" s="30"/>
      <c r="I43" s="30"/>
      <c r="J43" s="30"/>
      <c r="K43" s="30"/>
      <c r="L43" s="30"/>
      <c r="M43" s="30"/>
      <c r="N43" s="30"/>
      <c r="O43" s="30"/>
      <c r="P43" s="30"/>
    </row>
    <row r="44" spans="1:16" x14ac:dyDescent="0.2">
      <c r="A44" s="30"/>
      <c r="B44" s="30"/>
      <c r="C44" s="30"/>
      <c r="D44" s="30"/>
      <c r="E44" s="30"/>
      <c r="F44" s="30"/>
      <c r="G44" s="30"/>
      <c r="H44" s="30"/>
      <c r="I44" s="30"/>
      <c r="J44" s="30"/>
      <c r="K44" s="30"/>
      <c r="L44" s="30"/>
      <c r="M44" s="30"/>
      <c r="N44" s="30"/>
      <c r="O44" s="30"/>
      <c r="P44" s="30"/>
    </row>
    <row r="45" spans="1:16" x14ac:dyDescent="0.2">
      <c r="A45" s="30"/>
      <c r="B45" s="30"/>
      <c r="C45" s="30"/>
      <c r="D45" s="30"/>
      <c r="E45" s="30"/>
      <c r="F45" s="30"/>
      <c r="G45" s="30"/>
      <c r="H45" s="30"/>
      <c r="I45" s="30"/>
      <c r="J45" s="30"/>
      <c r="K45" s="30"/>
      <c r="L45" s="30"/>
      <c r="M45" s="30"/>
      <c r="N45" s="30"/>
      <c r="O45" s="104" t="s">
        <v>1178</v>
      </c>
      <c r="P45" s="30"/>
    </row>
    <row r="46" spans="1:16" x14ac:dyDescent="0.2">
      <c r="A46" s="30"/>
      <c r="B46" s="30"/>
      <c r="C46" s="30"/>
      <c r="D46" s="30"/>
      <c r="E46" s="30"/>
      <c r="F46" s="30"/>
      <c r="G46" s="30"/>
      <c r="H46" s="30"/>
      <c r="I46" s="30"/>
      <c r="J46" s="30"/>
      <c r="K46" s="30"/>
      <c r="L46" s="30"/>
      <c r="M46" s="30"/>
      <c r="N46" s="30"/>
      <c r="O46" s="30"/>
      <c r="P46" s="30"/>
    </row>
    <row r="47" spans="1:16" x14ac:dyDescent="0.2">
      <c r="G47" s="32"/>
      <c r="H47" s="32"/>
      <c r="I47" s="32"/>
    </row>
    <row r="50" spans="8:15" x14ac:dyDescent="0.2">
      <c r="H50" s="27"/>
      <c r="O50" s="37"/>
    </row>
  </sheetData>
  <mergeCells count="2">
    <mergeCell ref="I5:O5"/>
    <mergeCell ref="F6:H6"/>
  </mergeCells>
  <phoneticPr fontId="2" type="noConversion"/>
  <hyperlinks>
    <hyperlink ref="A2" location="'Cover Page'!A1" display="Return to cover" xr:uid="{00000000-0004-0000-2200-000000000000}"/>
    <hyperlink ref="J11" location="'4. Historical Ratios'!B34" display="35.68" xr:uid="{00000000-0004-0000-2200-000001000000}"/>
    <hyperlink ref="K11" location="'4. Historical Ratios'!B32" display="36.18" xr:uid="{00000000-0004-0000-2200-000002000000}"/>
    <hyperlink ref="L11" location="'4. Historical Ratios'!B32" display="31.43" xr:uid="{00000000-0004-0000-2200-000003000000}"/>
    <hyperlink ref="M11" location="'4. Historical Ratios'!B32" display="30.07" xr:uid="{00000000-0004-0000-2200-000004000000}"/>
    <hyperlink ref="K30" location="'2. Key Ratios'!C40" display="13.62" xr:uid="{00000000-0004-0000-2200-000005000000}"/>
    <hyperlink ref="L30" location="'2. Key Ratios'!D40" display="14.53" xr:uid="{00000000-0004-0000-2200-000006000000}"/>
    <hyperlink ref="M30" location="'2. Key Ratios'!E40" display="16.96" xr:uid="{00000000-0004-0000-2200-000007000000}"/>
    <hyperlink ref="N30" location="'2. Key Ratios'!H40" display="17.01" xr:uid="{00000000-0004-0000-2200-000008000000}"/>
    <hyperlink ref="J30" location="'2. Key Ratios'!B40" display="12.19" xr:uid="{00000000-0004-0000-2200-000009000000}"/>
    <hyperlink ref="N11" location="'4. Historical Ratios'!B32" display="29.27" xr:uid="{00000000-0004-0000-2200-00000A000000}"/>
  </hyperlinks>
  <printOptions horizontalCentered="1" verticalCentered="1"/>
  <pageMargins left="0.75" right="0.75" top="0.5" bottom="0.5" header="0.5" footer="0.5"/>
  <pageSetup orientation="landscape" r:id="rId1"/>
  <headerFooter alignWithMargins="0"/>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28"/>
  <dimension ref="A1:Q1799"/>
  <sheetViews>
    <sheetView workbookViewId="0"/>
  </sheetViews>
  <sheetFormatPr defaultRowHeight="12.75" x14ac:dyDescent="0.2"/>
  <cols>
    <col min="1" max="1" width="12.85546875" customWidth="1"/>
    <col min="2" max="2" width="14" customWidth="1"/>
    <col min="3" max="3" width="18.85546875" customWidth="1"/>
    <col min="4" max="4" width="18.140625" customWidth="1"/>
    <col min="5" max="5" width="18.28515625" customWidth="1"/>
    <col min="6" max="6" width="18.42578125" customWidth="1"/>
    <col min="7" max="7" width="16.5703125" customWidth="1"/>
    <col min="8" max="8" width="15.85546875" customWidth="1"/>
    <col min="9" max="9" width="15.5703125" customWidth="1"/>
    <col min="10" max="12" width="12.140625" bestFit="1" customWidth="1"/>
    <col min="13" max="13" width="15.28515625" customWidth="1"/>
    <col min="14" max="14" width="12.140625" bestFit="1" customWidth="1"/>
    <col min="15" max="15" width="9.140625" customWidth="1"/>
    <col min="16" max="16" width="18" customWidth="1"/>
  </cols>
  <sheetData>
    <row r="1" spans="1:17" x14ac:dyDescent="0.2">
      <c r="M1" t="s">
        <v>1179</v>
      </c>
      <c r="N1" t="s">
        <v>1180</v>
      </c>
      <c r="O1" t="s">
        <v>1180</v>
      </c>
      <c r="P1" t="str">
        <f>IF(Peer_Group="1","0 - 2,000,000",IF(Peer_Group="2","2,000,000  - 10,000,000",IF(Peer_Group="3","10,000,000  -  50,000,000",IF(Peer_Group="4","50,000,000  - 100,000,000",IF(Peer_Group="5","100,000,000  - 500,000,000",IF(Peer_Group="6","Over 500,000,000",""))))))</f>
        <v/>
      </c>
      <c r="Q1" t="str">
        <f>"Financial Performance Report  -- " &amp; (Cycle_date_C5)</f>
        <v>Financial Performance Report  -- 20250930</v>
      </c>
    </row>
    <row r="2" spans="1:17" ht="114.75" x14ac:dyDescent="0.2">
      <c r="A2" s="34" t="s">
        <v>1181</v>
      </c>
      <c r="B2" t="s">
        <v>1180</v>
      </c>
      <c r="M2" s="59"/>
    </row>
    <row r="3" spans="1:17" x14ac:dyDescent="0.2">
      <c r="C3">
        <f>IF(MID(Cycle_date_C1,5,2)="03",4,IF(MID(Cycle_date_C1,5,2)="06", 2, IF(MID(Cycle_date_C1,5,2)="09", 4/3,IF(MID(Cycle_date_C1,5,2)="12",1,))))</f>
        <v>1.3333333333333333</v>
      </c>
      <c r="D3">
        <f>IF(MID(Cycle_date_C2,5,2)="03",4,IF(MID(Cycle_date_C2,5,2)="06", 2, IF(MID(Cycle_date_C2,5,2)="09", 4/3,IF(MID(Cycle_date_C2,5,2)="12",1,))))</f>
        <v>1</v>
      </c>
      <c r="E3">
        <f>IF(MID(Cycle_date_C3,5,2)="03",4,IF(MID(Cycle_date_C3,5,2)="06", 2, IF(MID(Cycle_date_C3,5,2)="09", 4/3,IF(MID(Cycle_date_C3,5,2)="12",1,))))</f>
        <v>4</v>
      </c>
      <c r="F3">
        <f>IF(MID(Cycle_date_C4,5,2)="03",4,IF(MID(Cycle_date_C4,5,2)="06", 2, IF(MID(Cycle_date_C4,5,2)="09", 4/3,IF(MID(Cycle_date_C4,5,2)="12",1,))))</f>
        <v>2</v>
      </c>
      <c r="G3">
        <f>IF(MID(Cycle_date_C5,5,2)="03",4,IF(MID(Cycle_date_C5,5,2)="06", 2, IF(MID(Cycle_date_C5,5,2)="09", 4/3,IF(MID(Cycle_date_C5,5,2)="12",1,))))</f>
        <v>1.3333333333333333</v>
      </c>
    </row>
    <row r="4" spans="1:17" x14ac:dyDescent="0.2">
      <c r="C4" s="78">
        <f>DATE(LEFT(Cycle_date_C1,4),MID(Cycle_date_C1,5,2),RIGHT(Cycle_date_C1,2))</f>
        <v>45565</v>
      </c>
      <c r="D4" s="78">
        <f>DATE(LEFT(Cycle_date_C2,4),MID(Cycle_date_C2,5,2),RIGHT(Cycle_date_C2,2))</f>
        <v>45657</v>
      </c>
      <c r="E4" s="78">
        <f>DATE(LEFT(Cycle_date_C3,4),MID(Cycle_date_C3,5,2),RIGHT(Cycle_date_C3,2))</f>
        <v>45747</v>
      </c>
      <c r="F4" s="78">
        <f>DATE(LEFT(Cycle_date_C4,4),MID(Cycle_date_C4,5,2),RIGHT(Cycle_date_C4,2))</f>
        <v>45838</v>
      </c>
      <c r="G4" s="78">
        <f>DATE(LEFT(Cycle_date_C5,4),MID(Cycle_date_C5,5,2),RIGHT(Cycle_date_C5,2))</f>
        <v>45930</v>
      </c>
    </row>
    <row r="5" spans="1:17" x14ac:dyDescent="0.2">
      <c r="C5" s="40" t="s">
        <v>1182</v>
      </c>
      <c r="D5" s="40"/>
      <c r="E5" s="40"/>
      <c r="F5" s="40"/>
      <c r="G5" s="40"/>
      <c r="H5" s="108"/>
    </row>
    <row r="6" spans="1:17" x14ac:dyDescent="0.2">
      <c r="B6" t="s">
        <v>1180</v>
      </c>
      <c r="C6" s="109" t="s">
        <v>217</v>
      </c>
      <c r="D6" s="108" t="str">
        <f>IF(isArchived=0, RptText,E7)</f>
        <v>September-2025 Archive</v>
      </c>
      <c r="E6" s="108"/>
      <c r="F6" s="40"/>
      <c r="G6" s="40"/>
      <c r="H6" s="109" t="s">
        <v>1183</v>
      </c>
    </row>
    <row r="7" spans="1:17" x14ac:dyDescent="0.2">
      <c r="D7" s="109" t="s">
        <v>217</v>
      </c>
      <c r="E7" s="108" t="str">
        <f>TEXT(CycDat_C5,"mmmm-yyyy") &amp; " Archive"</f>
        <v>September-2025 Archive</v>
      </c>
      <c r="H7" s="109" t="s">
        <v>1184</v>
      </c>
    </row>
    <row r="8" spans="1:17" x14ac:dyDescent="0.2">
      <c r="C8" s="108" t="s">
        <v>217</v>
      </c>
    </row>
    <row r="10" spans="1:17" x14ac:dyDescent="0.2">
      <c r="M10" s="41"/>
    </row>
    <row r="11" spans="1:17" x14ac:dyDescent="0.2">
      <c r="B11" t="s">
        <v>1185</v>
      </c>
      <c r="C11">
        <v>0</v>
      </c>
      <c r="D11">
        <v>0</v>
      </c>
      <c r="E11">
        <v>0</v>
      </c>
      <c r="F11">
        <v>0</v>
      </c>
      <c r="G11">
        <v>0</v>
      </c>
    </row>
    <row r="12" spans="1:17" x14ac:dyDescent="0.2">
      <c r="B12" t="s">
        <v>1186</v>
      </c>
      <c r="C12" s="40">
        <v>6458419877</v>
      </c>
      <c r="D12" s="40">
        <v>6417423508</v>
      </c>
      <c r="E12" s="40">
        <v>6266719822</v>
      </c>
      <c r="F12" s="40">
        <v>6141752802</v>
      </c>
      <c r="G12" s="40">
        <v>6122455660</v>
      </c>
    </row>
    <row r="13" spans="1:17" x14ac:dyDescent="0.2">
      <c r="B13" t="s">
        <v>1187</v>
      </c>
      <c r="C13" s="40">
        <v>3657996333</v>
      </c>
      <c r="D13" s="40">
        <v>3332520624</v>
      </c>
      <c r="E13" s="40">
        <v>3065526598</v>
      </c>
      <c r="F13" s="40">
        <v>3605539002</v>
      </c>
      <c r="G13" s="40">
        <v>3692716647</v>
      </c>
    </row>
    <row r="14" spans="1:17" x14ac:dyDescent="0.2">
      <c r="B14" t="s">
        <v>1188</v>
      </c>
      <c r="C14" s="40">
        <v>32471434942</v>
      </c>
      <c r="D14" s="40">
        <v>32860023025</v>
      </c>
      <c r="E14" s="40">
        <v>33171673825</v>
      </c>
      <c r="F14" s="40">
        <v>33428569193</v>
      </c>
      <c r="G14" s="40">
        <v>33712814283</v>
      </c>
    </row>
    <row r="15" spans="1:17" x14ac:dyDescent="0.2">
      <c r="B15" t="s">
        <v>1189</v>
      </c>
      <c r="C15" s="40">
        <v>8904637936</v>
      </c>
      <c r="D15" s="40">
        <v>9039213940</v>
      </c>
      <c r="E15" s="40">
        <v>9005152150</v>
      </c>
      <c r="F15" s="40">
        <v>9102634978</v>
      </c>
      <c r="G15" s="40">
        <v>9264329393</v>
      </c>
    </row>
    <row r="16" spans="1:17" x14ac:dyDescent="0.2">
      <c r="B16" t="s">
        <v>1190</v>
      </c>
      <c r="C16" s="40">
        <v>0</v>
      </c>
      <c r="D16" s="40">
        <v>0</v>
      </c>
      <c r="E16" s="40">
        <v>0</v>
      </c>
      <c r="F16" s="40">
        <v>0</v>
      </c>
      <c r="G16" s="40">
        <v>0</v>
      </c>
    </row>
    <row r="17" spans="2:7" x14ac:dyDescent="0.2">
      <c r="B17" t="s">
        <v>1191</v>
      </c>
      <c r="C17" s="40">
        <v>5915251310</v>
      </c>
      <c r="D17" s="40">
        <v>6076524947</v>
      </c>
      <c r="E17" s="40">
        <v>6049690666</v>
      </c>
      <c r="F17" s="40">
        <v>6246650889</v>
      </c>
      <c r="G17" s="40">
        <v>6409209404</v>
      </c>
    </row>
    <row r="18" spans="2:7" x14ac:dyDescent="0.2">
      <c r="B18" t="s">
        <v>1192</v>
      </c>
      <c r="C18" s="40">
        <v>1583994197</v>
      </c>
      <c r="D18" s="40">
        <v>1547510781</v>
      </c>
      <c r="E18" s="40">
        <v>1655357047</v>
      </c>
      <c r="F18" s="40">
        <v>1649244419</v>
      </c>
      <c r="G18" s="40">
        <v>1754016912</v>
      </c>
    </row>
    <row r="19" spans="2:7" x14ac:dyDescent="0.2">
      <c r="B19" t="s">
        <v>1193</v>
      </c>
      <c r="C19" s="40">
        <v>46227241663</v>
      </c>
      <c r="D19" s="40">
        <v>43117590734</v>
      </c>
      <c r="E19" s="40">
        <v>49002312289</v>
      </c>
      <c r="F19" s="40">
        <v>50224313927</v>
      </c>
      <c r="G19" s="40">
        <v>51410077519</v>
      </c>
    </row>
    <row r="20" spans="2:7" x14ac:dyDescent="0.2">
      <c r="B20" t="s">
        <v>1194</v>
      </c>
      <c r="C20" s="40">
        <v>0</v>
      </c>
      <c r="D20" s="40">
        <v>0</v>
      </c>
      <c r="E20" s="40">
        <v>0</v>
      </c>
      <c r="F20" s="40">
        <v>0</v>
      </c>
      <c r="G20" s="40">
        <v>0</v>
      </c>
    </row>
    <row r="21" spans="2:7" x14ac:dyDescent="0.2">
      <c r="B21" t="s">
        <v>1195</v>
      </c>
      <c r="C21" s="40">
        <v>0</v>
      </c>
      <c r="D21" s="40">
        <v>0</v>
      </c>
      <c r="E21" s="40">
        <v>0</v>
      </c>
      <c r="F21" s="40">
        <v>0</v>
      </c>
      <c r="G21" s="40">
        <v>0</v>
      </c>
    </row>
    <row r="22" spans="2:7" x14ac:dyDescent="0.2">
      <c r="B22" t="s">
        <v>1196</v>
      </c>
      <c r="C22" s="40">
        <v>3221409930</v>
      </c>
      <c r="D22" s="40">
        <v>3336276263</v>
      </c>
      <c r="E22" s="40">
        <v>3420894646</v>
      </c>
      <c r="F22" s="40">
        <v>3686282991</v>
      </c>
      <c r="G22" s="40">
        <v>3855502032</v>
      </c>
    </row>
    <row r="23" spans="2:7" x14ac:dyDescent="0.2">
      <c r="B23" t="s">
        <v>1197</v>
      </c>
      <c r="C23" s="40">
        <v>0</v>
      </c>
      <c r="D23" s="40">
        <v>0</v>
      </c>
      <c r="E23" s="40">
        <v>0</v>
      </c>
      <c r="F23" s="40">
        <v>0</v>
      </c>
      <c r="G23" s="40">
        <v>0</v>
      </c>
    </row>
    <row r="24" spans="2:7" x14ac:dyDescent="0.2">
      <c r="B24" t="s">
        <v>1198</v>
      </c>
      <c r="C24" s="40">
        <v>2311465790129</v>
      </c>
      <c r="D24" s="40">
        <v>2307409857365</v>
      </c>
      <c r="E24" s="40">
        <v>2367210395823</v>
      </c>
      <c r="F24" s="40">
        <v>2378971211583</v>
      </c>
      <c r="G24" s="40">
        <v>2397759543482</v>
      </c>
    </row>
    <row r="25" spans="2:7" x14ac:dyDescent="0.2">
      <c r="B25" t="s">
        <v>1199</v>
      </c>
      <c r="C25" s="40">
        <v>56290698030</v>
      </c>
      <c r="D25" s="40">
        <v>36411165692</v>
      </c>
      <c r="E25" s="40">
        <v>107471849019</v>
      </c>
      <c r="F25" s="40">
        <v>99570540877</v>
      </c>
      <c r="G25" s="40">
        <v>42311235733</v>
      </c>
    </row>
    <row r="26" spans="2:7" x14ac:dyDescent="0.2">
      <c r="B26" t="s">
        <v>1200</v>
      </c>
      <c r="C26" s="40">
        <v>14938976540</v>
      </c>
      <c r="D26" s="40">
        <v>22502981170</v>
      </c>
      <c r="E26" s="40">
        <v>26883593539</v>
      </c>
      <c r="F26" s="40">
        <v>22971560248</v>
      </c>
      <c r="G26" s="40">
        <v>18824982090</v>
      </c>
    </row>
    <row r="27" spans="2:7" x14ac:dyDescent="0.2">
      <c r="B27" t="s">
        <v>1201</v>
      </c>
      <c r="C27" s="40">
        <v>264715441071</v>
      </c>
      <c r="D27" s="40">
        <v>179527913801</v>
      </c>
      <c r="E27" s="40">
        <v>216974995153</v>
      </c>
      <c r="F27" s="40">
        <v>248591906252</v>
      </c>
      <c r="G27" s="40">
        <v>253287326233</v>
      </c>
    </row>
    <row r="28" spans="2:7" x14ac:dyDescent="0.2">
      <c r="B28" t="s">
        <v>1202</v>
      </c>
      <c r="C28" s="40">
        <v>2306942896631</v>
      </c>
      <c r="D28" s="40">
        <v>2304835201657</v>
      </c>
      <c r="E28" s="40">
        <v>2358815750651</v>
      </c>
      <c r="F28" s="40">
        <v>2373544276627</v>
      </c>
      <c r="G28" s="40">
        <v>2393328084326</v>
      </c>
    </row>
    <row r="29" spans="2:7" x14ac:dyDescent="0.2">
      <c r="B29" t="s">
        <v>1203</v>
      </c>
      <c r="C29" s="40">
        <v>0</v>
      </c>
      <c r="D29" s="40">
        <v>0</v>
      </c>
      <c r="E29" s="40">
        <v>0</v>
      </c>
      <c r="F29" s="40">
        <v>0</v>
      </c>
      <c r="G29" s="40">
        <v>0</v>
      </c>
    </row>
    <row r="30" spans="2:7" x14ac:dyDescent="0.2">
      <c r="B30" t="s">
        <v>1204</v>
      </c>
      <c r="C30" s="40">
        <v>0</v>
      </c>
      <c r="D30" s="40">
        <v>0</v>
      </c>
      <c r="E30" s="40">
        <v>0</v>
      </c>
      <c r="F30" s="40">
        <v>0</v>
      </c>
      <c r="G30" s="40">
        <v>0</v>
      </c>
    </row>
    <row r="31" spans="2:7" x14ac:dyDescent="0.2">
      <c r="B31" t="s">
        <v>1205</v>
      </c>
      <c r="C31" s="40">
        <v>1908407263745</v>
      </c>
      <c r="D31" s="40">
        <v>1932933934314</v>
      </c>
      <c r="E31" s="40">
        <v>1995644013661</v>
      </c>
      <c r="F31" s="40">
        <v>1997306612334</v>
      </c>
      <c r="G31" s="40">
        <v>2008636771542</v>
      </c>
    </row>
    <row r="32" spans="2:7" x14ac:dyDescent="0.2">
      <c r="B32" t="s">
        <v>1206</v>
      </c>
      <c r="C32" s="40">
        <v>1789638515462</v>
      </c>
      <c r="D32" s="40">
        <v>1825152051561</v>
      </c>
      <c r="E32" s="40">
        <v>1882494544393</v>
      </c>
      <c r="F32" s="40">
        <v>1882180878953</v>
      </c>
      <c r="G32" s="40">
        <v>1888763042494</v>
      </c>
    </row>
    <row r="33" spans="2:7" x14ac:dyDescent="0.2">
      <c r="B33" t="s">
        <v>1207</v>
      </c>
      <c r="C33" s="40">
        <v>90183656243</v>
      </c>
      <c r="D33" s="40">
        <v>81672521077</v>
      </c>
      <c r="E33" s="40">
        <v>89229617113</v>
      </c>
      <c r="F33" s="40">
        <v>92290697573</v>
      </c>
      <c r="G33" s="40">
        <v>96778913098</v>
      </c>
    </row>
    <row r="34" spans="2:7" x14ac:dyDescent="0.2">
      <c r="B34" t="s">
        <v>1208</v>
      </c>
      <c r="C34" s="40">
        <v>28585091719</v>
      </c>
      <c r="D34" s="40">
        <v>26109361234</v>
      </c>
      <c r="E34" s="40">
        <v>23919851764</v>
      </c>
      <c r="F34" s="40">
        <v>22835035478</v>
      </c>
      <c r="G34" s="40">
        <v>23094815628</v>
      </c>
    </row>
    <row r="35" spans="2:7" x14ac:dyDescent="0.2">
      <c r="B35" t="s">
        <v>1209</v>
      </c>
      <c r="C35" s="40">
        <v>2311465790129</v>
      </c>
      <c r="D35" s="40">
        <v>2307409857365</v>
      </c>
      <c r="E35" s="40">
        <v>2367210395823</v>
      </c>
      <c r="F35" s="40">
        <v>2378971211583</v>
      </c>
      <c r="G35" s="40">
        <v>2397759543482</v>
      </c>
    </row>
    <row r="36" spans="2:7" x14ac:dyDescent="0.2">
      <c r="B36" t="s">
        <v>1210</v>
      </c>
      <c r="C36" s="40">
        <v>1934741203143</v>
      </c>
      <c r="D36" s="40">
        <v>1959246734224</v>
      </c>
      <c r="E36" s="40">
        <v>2020469553833</v>
      </c>
      <c r="F36" s="40">
        <v>2022039878904</v>
      </c>
      <c r="G36" s="40">
        <v>2033695308354</v>
      </c>
    </row>
    <row r="37" spans="2:7" x14ac:dyDescent="0.2">
      <c r="B37" t="s">
        <v>1211</v>
      </c>
      <c r="C37" s="40">
        <v>1803908343944</v>
      </c>
      <c r="D37" s="40">
        <v>1839576350948</v>
      </c>
      <c r="E37" s="40">
        <v>1896142337883</v>
      </c>
      <c r="F37" s="40">
        <v>1896108516196</v>
      </c>
      <c r="G37" s="40">
        <v>1902814607854</v>
      </c>
    </row>
    <row r="38" spans="2:7" x14ac:dyDescent="0.2">
      <c r="B38" t="s">
        <v>1212</v>
      </c>
      <c r="C38" s="40">
        <v>99102497393</v>
      </c>
      <c r="D38" s="40">
        <v>90709333455</v>
      </c>
      <c r="E38" s="40">
        <v>97714016584</v>
      </c>
      <c r="F38" s="40">
        <v>100706041826</v>
      </c>
      <c r="G38" s="40">
        <v>105806665963</v>
      </c>
    </row>
    <row r="39" spans="2:7" x14ac:dyDescent="0.2">
      <c r="B39" t="s">
        <v>1213</v>
      </c>
      <c r="C39" s="40">
        <v>31730361484</v>
      </c>
      <c r="D39" s="40">
        <v>28961049387</v>
      </c>
      <c r="E39" s="40">
        <v>26613198969</v>
      </c>
      <c r="F39" s="40">
        <v>25225320543</v>
      </c>
      <c r="G39" s="40">
        <v>25074034200</v>
      </c>
    </row>
    <row r="40" spans="2:7" x14ac:dyDescent="0.2">
      <c r="B40" t="s">
        <v>1214</v>
      </c>
      <c r="C40" s="40">
        <v>13930557278</v>
      </c>
      <c r="D40" s="40">
        <v>18747324630</v>
      </c>
      <c r="E40" s="40">
        <v>18379330331</v>
      </c>
      <c r="F40" s="40">
        <v>14109747482</v>
      </c>
      <c r="G40" s="40">
        <v>14410272298</v>
      </c>
    </row>
    <row r="41" spans="2:7" x14ac:dyDescent="0.2">
      <c r="B41" t="s">
        <v>1215</v>
      </c>
      <c r="C41" s="40">
        <v>0</v>
      </c>
      <c r="D41" s="40">
        <v>0</v>
      </c>
      <c r="E41" s="40">
        <v>0</v>
      </c>
      <c r="F41" s="40">
        <v>0</v>
      </c>
      <c r="G41" s="40">
        <v>0</v>
      </c>
    </row>
    <row r="42" spans="2:7" x14ac:dyDescent="0.2">
      <c r="B42" t="s">
        <v>1216</v>
      </c>
      <c r="C42" s="40">
        <v>1679501110</v>
      </c>
      <c r="D42" s="40">
        <v>1863339064</v>
      </c>
      <c r="E42" s="40">
        <v>1625857499</v>
      </c>
      <c r="F42" s="40">
        <v>1629735738</v>
      </c>
      <c r="G42" s="40">
        <v>1660900321</v>
      </c>
    </row>
    <row r="43" spans="2:7" x14ac:dyDescent="0.2">
      <c r="B43" t="s">
        <v>1217</v>
      </c>
      <c r="C43" s="40">
        <v>5247685873</v>
      </c>
      <c r="D43" s="40">
        <v>5885896117</v>
      </c>
      <c r="E43" s="40">
        <v>5010543090</v>
      </c>
      <c r="F43" s="40">
        <v>5016251066</v>
      </c>
      <c r="G43" s="40">
        <v>5141808962</v>
      </c>
    </row>
    <row r="44" spans="2:7" x14ac:dyDescent="0.2">
      <c r="B44" t="s">
        <v>1218</v>
      </c>
      <c r="C44" s="40">
        <v>53996015</v>
      </c>
      <c r="D44" s="40">
        <v>65585458</v>
      </c>
      <c r="E44" s="40">
        <v>54835064</v>
      </c>
      <c r="F44" s="40">
        <v>46938082</v>
      </c>
      <c r="G44" s="40">
        <v>51833974</v>
      </c>
    </row>
    <row r="45" spans="2:7" x14ac:dyDescent="0.2">
      <c r="B45" t="s">
        <v>1219</v>
      </c>
      <c r="C45" s="40">
        <v>0</v>
      </c>
      <c r="D45" s="40">
        <v>0</v>
      </c>
      <c r="E45" s="40">
        <v>0</v>
      </c>
      <c r="F45" s="40">
        <v>0</v>
      </c>
      <c r="G45" s="40">
        <v>0</v>
      </c>
    </row>
    <row r="46" spans="2:7" x14ac:dyDescent="0.2">
      <c r="B46" t="s">
        <v>1220</v>
      </c>
      <c r="C46" s="40">
        <v>0</v>
      </c>
      <c r="D46" s="40">
        <v>0</v>
      </c>
      <c r="E46" s="40">
        <v>0</v>
      </c>
      <c r="F46" s="40">
        <v>0</v>
      </c>
      <c r="G46" s="40">
        <v>0</v>
      </c>
    </row>
    <row r="47" spans="2:7" x14ac:dyDescent="0.2">
      <c r="B47" t="s">
        <v>1221</v>
      </c>
      <c r="C47" s="40">
        <v>0</v>
      </c>
      <c r="D47" s="40">
        <v>0</v>
      </c>
      <c r="E47" s="40">
        <v>0</v>
      </c>
      <c r="F47" s="40">
        <v>0</v>
      </c>
      <c r="G47" s="40">
        <v>0</v>
      </c>
    </row>
    <row r="48" spans="2:7" x14ac:dyDescent="0.2">
      <c r="B48" t="s">
        <v>1222</v>
      </c>
      <c r="C48" s="40">
        <v>0</v>
      </c>
      <c r="D48" s="40">
        <v>0</v>
      </c>
      <c r="E48" s="40">
        <v>0</v>
      </c>
      <c r="F48" s="40">
        <v>0</v>
      </c>
      <c r="G48" s="40">
        <v>0</v>
      </c>
    </row>
    <row r="49" spans="2:7" x14ac:dyDescent="0.2">
      <c r="B49" t="s">
        <v>1223</v>
      </c>
      <c r="C49" s="40">
        <v>0</v>
      </c>
      <c r="D49" s="40">
        <v>0</v>
      </c>
      <c r="E49" s="40">
        <v>0</v>
      </c>
      <c r="F49" s="40">
        <v>0</v>
      </c>
      <c r="G49" s="40">
        <v>0</v>
      </c>
    </row>
    <row r="50" spans="2:7" x14ac:dyDescent="0.2">
      <c r="B50" t="s">
        <v>1224</v>
      </c>
      <c r="C50" s="40">
        <v>0</v>
      </c>
      <c r="D50" s="40">
        <v>0</v>
      </c>
      <c r="E50" s="40">
        <v>0</v>
      </c>
      <c r="F50" s="40">
        <v>0</v>
      </c>
      <c r="G50" s="40">
        <v>0</v>
      </c>
    </row>
    <row r="51" spans="2:7" x14ac:dyDescent="0.2">
      <c r="B51" t="s">
        <v>1225</v>
      </c>
      <c r="C51" s="40">
        <v>0</v>
      </c>
      <c r="D51" s="40">
        <v>0</v>
      </c>
      <c r="E51" s="40">
        <v>0</v>
      </c>
      <c r="F51" s="40">
        <v>0</v>
      </c>
      <c r="G51" s="40">
        <v>0</v>
      </c>
    </row>
    <row r="52" spans="2:7" x14ac:dyDescent="0.2">
      <c r="B52" t="s">
        <v>1226</v>
      </c>
      <c r="C52" s="40">
        <v>0</v>
      </c>
      <c r="D52" s="40">
        <v>0</v>
      </c>
      <c r="E52" s="40">
        <v>0</v>
      </c>
      <c r="F52" s="40">
        <v>0</v>
      </c>
      <c r="G52" s="40">
        <v>0</v>
      </c>
    </row>
    <row r="53" spans="2:7" x14ac:dyDescent="0.2">
      <c r="B53" t="s">
        <v>1227</v>
      </c>
      <c r="C53" s="40">
        <v>0</v>
      </c>
      <c r="D53" s="40">
        <v>0</v>
      </c>
      <c r="E53" s="40">
        <v>0</v>
      </c>
      <c r="F53" s="40">
        <v>0</v>
      </c>
      <c r="G53" s="40">
        <v>0</v>
      </c>
    </row>
    <row r="54" spans="2:7" x14ac:dyDescent="0.2">
      <c r="B54" t="s">
        <v>1228</v>
      </c>
      <c r="C54" s="40">
        <v>0</v>
      </c>
      <c r="D54" s="40">
        <v>0</v>
      </c>
      <c r="E54" s="40">
        <v>0</v>
      </c>
      <c r="F54" s="40">
        <v>0</v>
      </c>
      <c r="G54" s="40">
        <v>0</v>
      </c>
    </row>
    <row r="55" spans="2:7" x14ac:dyDescent="0.2">
      <c r="B55" t="s">
        <v>1229</v>
      </c>
      <c r="C55" s="40">
        <v>0</v>
      </c>
      <c r="D55" s="40">
        <v>0</v>
      </c>
      <c r="E55" s="40">
        <v>0</v>
      </c>
      <c r="F55" s="40">
        <v>0</v>
      </c>
      <c r="G55" s="40">
        <v>0</v>
      </c>
    </row>
    <row r="56" spans="2:7" x14ac:dyDescent="0.2">
      <c r="B56" t="s">
        <v>1230</v>
      </c>
      <c r="C56" s="40">
        <v>0</v>
      </c>
      <c r="D56" s="40">
        <v>0</v>
      </c>
      <c r="E56" s="40">
        <v>0</v>
      </c>
      <c r="F56" s="40">
        <v>0</v>
      </c>
      <c r="G56" s="40">
        <v>0</v>
      </c>
    </row>
    <row r="57" spans="2:7" x14ac:dyDescent="0.2">
      <c r="B57" t="s">
        <v>1231</v>
      </c>
      <c r="C57" s="40">
        <v>0</v>
      </c>
      <c r="D57" s="40">
        <v>0</v>
      </c>
      <c r="E57" s="40">
        <v>0</v>
      </c>
      <c r="F57" s="40">
        <v>0</v>
      </c>
      <c r="G57" s="40">
        <v>0</v>
      </c>
    </row>
    <row r="58" spans="2:7" x14ac:dyDescent="0.2">
      <c r="B58" t="s">
        <v>1232</v>
      </c>
      <c r="C58" s="40">
        <v>0</v>
      </c>
      <c r="D58" s="40">
        <v>0</v>
      </c>
      <c r="E58" s="40">
        <v>0</v>
      </c>
      <c r="F58" s="40">
        <v>0</v>
      </c>
      <c r="G58" s="40">
        <v>0</v>
      </c>
    </row>
    <row r="59" spans="2:7" x14ac:dyDescent="0.2">
      <c r="B59" t="s">
        <v>1233</v>
      </c>
      <c r="C59" s="40">
        <v>48336850</v>
      </c>
      <c r="D59" s="40">
        <v>51769233</v>
      </c>
      <c r="E59" s="40">
        <v>52422282</v>
      </c>
      <c r="F59" s="40">
        <v>40643546</v>
      </c>
      <c r="G59" s="40">
        <v>47070175</v>
      </c>
    </row>
    <row r="60" spans="2:7" x14ac:dyDescent="0.2">
      <c r="B60" t="s">
        <v>1234</v>
      </c>
      <c r="C60" s="40">
        <v>0</v>
      </c>
      <c r="D60" s="40">
        <v>0</v>
      </c>
      <c r="E60" s="40">
        <v>0</v>
      </c>
      <c r="F60" s="40">
        <v>0</v>
      </c>
      <c r="G60" s="40">
        <v>0</v>
      </c>
    </row>
    <row r="61" spans="2:7" x14ac:dyDescent="0.2">
      <c r="B61" t="s">
        <v>1235</v>
      </c>
      <c r="C61" s="40">
        <v>0</v>
      </c>
      <c r="D61" s="40">
        <v>0</v>
      </c>
      <c r="E61" s="40">
        <v>0</v>
      </c>
      <c r="F61" s="40">
        <v>0</v>
      </c>
      <c r="G61" s="40">
        <v>0</v>
      </c>
    </row>
    <row r="62" spans="2:7" x14ac:dyDescent="0.2">
      <c r="B62" t="s">
        <v>1236</v>
      </c>
      <c r="C62" s="40">
        <v>0</v>
      </c>
      <c r="D62" s="40">
        <v>0</v>
      </c>
      <c r="E62" s="40">
        <v>0</v>
      </c>
      <c r="F62" s="40">
        <v>0</v>
      </c>
      <c r="G62" s="40">
        <v>0</v>
      </c>
    </row>
    <row r="63" spans="2:7" x14ac:dyDescent="0.2">
      <c r="B63" t="s">
        <v>1237</v>
      </c>
      <c r="C63" s="40">
        <v>0</v>
      </c>
      <c r="D63" s="40">
        <v>0</v>
      </c>
      <c r="E63" s="40">
        <v>0</v>
      </c>
      <c r="F63" s="40">
        <v>0</v>
      </c>
      <c r="G63" s="40">
        <v>0</v>
      </c>
    </row>
    <row r="64" spans="2:7" x14ac:dyDescent="0.2">
      <c r="B64" t="s">
        <v>1238</v>
      </c>
      <c r="C64" s="40">
        <v>0</v>
      </c>
      <c r="D64" s="40">
        <v>0</v>
      </c>
      <c r="E64" s="40">
        <v>0</v>
      </c>
      <c r="F64" s="40">
        <v>0</v>
      </c>
      <c r="G64" s="40">
        <v>0</v>
      </c>
    </row>
    <row r="65" spans="2:7" x14ac:dyDescent="0.2">
      <c r="B65" t="s">
        <v>1239</v>
      </c>
      <c r="C65" s="40">
        <v>6026757012</v>
      </c>
      <c r="D65" s="40">
        <v>6654771718</v>
      </c>
      <c r="E65" s="40">
        <v>5660136253</v>
      </c>
      <c r="F65" s="40">
        <v>5819008490</v>
      </c>
      <c r="G65" s="40">
        <v>6329586130</v>
      </c>
    </row>
    <row r="66" spans="2:7" x14ac:dyDescent="0.2">
      <c r="B66" t="s">
        <v>1240</v>
      </c>
      <c r="C66" s="40">
        <v>0</v>
      </c>
      <c r="D66" s="40">
        <v>0</v>
      </c>
      <c r="E66" s="40">
        <v>0</v>
      </c>
      <c r="F66" s="40">
        <v>0</v>
      </c>
      <c r="G66" s="40">
        <v>0</v>
      </c>
    </row>
    <row r="67" spans="2:7" x14ac:dyDescent="0.2">
      <c r="B67" t="s">
        <v>1241</v>
      </c>
      <c r="C67" s="40">
        <v>353537059</v>
      </c>
      <c r="D67" s="40">
        <v>374239572</v>
      </c>
      <c r="E67" s="40">
        <v>326722227</v>
      </c>
      <c r="F67" s="40">
        <v>316463328</v>
      </c>
      <c r="G67" s="40">
        <v>352001439</v>
      </c>
    </row>
    <row r="68" spans="2:7" x14ac:dyDescent="0.2">
      <c r="B68" t="s">
        <v>1242</v>
      </c>
      <c r="C68" s="40">
        <v>1465537942</v>
      </c>
      <c r="D68" s="40">
        <v>1513836850</v>
      </c>
      <c r="E68" s="40">
        <v>1302526101</v>
      </c>
      <c r="F68" s="40">
        <v>1230708767</v>
      </c>
      <c r="G68" s="40">
        <v>1383543132</v>
      </c>
    </row>
    <row r="69" spans="2:7" x14ac:dyDescent="0.2">
      <c r="B69" t="s">
        <v>1243</v>
      </c>
      <c r="C69" s="40">
        <v>10584477</v>
      </c>
      <c r="D69" s="40">
        <v>10330106</v>
      </c>
      <c r="E69" s="40">
        <v>7694783</v>
      </c>
      <c r="F69" s="40">
        <v>8077610</v>
      </c>
      <c r="G69" s="40">
        <v>9427408</v>
      </c>
    </row>
    <row r="70" spans="2:7" x14ac:dyDescent="0.2">
      <c r="B70" t="s">
        <v>1244</v>
      </c>
      <c r="C70" s="40">
        <v>0</v>
      </c>
      <c r="D70" s="40">
        <v>0</v>
      </c>
      <c r="E70" s="40">
        <v>0</v>
      </c>
      <c r="F70" s="40">
        <v>0</v>
      </c>
      <c r="G70" s="40">
        <v>0</v>
      </c>
    </row>
    <row r="71" spans="2:7" x14ac:dyDescent="0.2">
      <c r="B71" t="s">
        <v>1245</v>
      </c>
      <c r="C71" s="40">
        <v>0</v>
      </c>
      <c r="D71" s="40">
        <v>0</v>
      </c>
      <c r="E71" s="40">
        <v>0</v>
      </c>
      <c r="F71" s="40">
        <v>0</v>
      </c>
      <c r="G71" s="40">
        <v>0</v>
      </c>
    </row>
    <row r="72" spans="2:7" x14ac:dyDescent="0.2">
      <c r="B72" t="s">
        <v>1246</v>
      </c>
      <c r="C72" s="40">
        <v>0</v>
      </c>
      <c r="D72" s="40">
        <v>0</v>
      </c>
      <c r="E72" s="40">
        <v>0</v>
      </c>
      <c r="F72" s="40">
        <v>0</v>
      </c>
      <c r="G72" s="40">
        <v>0</v>
      </c>
    </row>
    <row r="73" spans="2:7" x14ac:dyDescent="0.2">
      <c r="B73" t="s">
        <v>1247</v>
      </c>
      <c r="C73" s="40">
        <v>0</v>
      </c>
      <c r="D73" s="40">
        <v>0</v>
      </c>
      <c r="E73" s="40">
        <v>0</v>
      </c>
      <c r="F73" s="40">
        <v>0</v>
      </c>
      <c r="G73" s="40">
        <v>0</v>
      </c>
    </row>
    <row r="74" spans="2:7" x14ac:dyDescent="0.2">
      <c r="B74" t="s">
        <v>1248</v>
      </c>
      <c r="C74" s="40">
        <v>0</v>
      </c>
      <c r="D74" s="40">
        <v>0</v>
      </c>
      <c r="E74" s="40">
        <v>0</v>
      </c>
      <c r="F74" s="40">
        <v>0</v>
      </c>
      <c r="G74" s="40">
        <v>0</v>
      </c>
    </row>
    <row r="75" spans="2:7" x14ac:dyDescent="0.2">
      <c r="B75" t="s">
        <v>1249</v>
      </c>
      <c r="C75" s="40">
        <v>0</v>
      </c>
      <c r="D75" s="40">
        <v>0</v>
      </c>
      <c r="E75" s="40">
        <v>0</v>
      </c>
      <c r="F75" s="40">
        <v>0</v>
      </c>
      <c r="G75" s="40">
        <v>0</v>
      </c>
    </row>
    <row r="76" spans="2:7" x14ac:dyDescent="0.2">
      <c r="B76" t="s">
        <v>1250</v>
      </c>
      <c r="C76" s="40">
        <v>0</v>
      </c>
      <c r="D76" s="40">
        <v>0</v>
      </c>
      <c r="E76" s="40">
        <v>0</v>
      </c>
      <c r="F76" s="40">
        <v>0</v>
      </c>
      <c r="G76" s="40">
        <v>0</v>
      </c>
    </row>
    <row r="77" spans="2:7" x14ac:dyDescent="0.2">
      <c r="B77" t="s">
        <v>1251</v>
      </c>
      <c r="C77" s="40">
        <v>0</v>
      </c>
      <c r="D77" s="40">
        <v>0</v>
      </c>
      <c r="E77" s="40">
        <v>0</v>
      </c>
      <c r="F77" s="40">
        <v>0</v>
      </c>
      <c r="G77" s="40">
        <v>0</v>
      </c>
    </row>
    <row r="78" spans="2:7" x14ac:dyDescent="0.2">
      <c r="B78" t="s">
        <v>1252</v>
      </c>
      <c r="C78" s="40">
        <v>0</v>
      </c>
      <c r="D78" s="40">
        <v>0</v>
      </c>
      <c r="E78" s="40">
        <v>0</v>
      </c>
      <c r="F78" s="40">
        <v>0</v>
      </c>
      <c r="G78" s="40">
        <v>0</v>
      </c>
    </row>
    <row r="79" spans="2:7" x14ac:dyDescent="0.2">
      <c r="B79" t="s">
        <v>1253</v>
      </c>
      <c r="C79" s="40">
        <v>0</v>
      </c>
      <c r="D79" s="40">
        <v>0</v>
      </c>
      <c r="E79" s="40">
        <v>0</v>
      </c>
      <c r="F79" s="40">
        <v>0</v>
      </c>
      <c r="G79" s="40">
        <v>0</v>
      </c>
    </row>
    <row r="80" spans="2:7" x14ac:dyDescent="0.2">
      <c r="B80" t="s">
        <v>1254</v>
      </c>
      <c r="C80" s="40">
        <v>0</v>
      </c>
      <c r="D80" s="40">
        <v>0</v>
      </c>
      <c r="E80" s="40">
        <v>0</v>
      </c>
      <c r="F80" s="40">
        <v>0</v>
      </c>
      <c r="G80" s="40">
        <v>0</v>
      </c>
    </row>
    <row r="81" spans="2:7" x14ac:dyDescent="0.2">
      <c r="B81" t="s">
        <v>1255</v>
      </c>
      <c r="C81" s="40">
        <v>0</v>
      </c>
      <c r="D81" s="40">
        <v>0</v>
      </c>
      <c r="E81" s="40">
        <v>0</v>
      </c>
      <c r="F81" s="40">
        <v>0</v>
      </c>
      <c r="G81" s="40">
        <v>0</v>
      </c>
    </row>
    <row r="82" spans="2:7" x14ac:dyDescent="0.2">
      <c r="B82" t="s">
        <v>1256</v>
      </c>
      <c r="C82" s="40">
        <v>0</v>
      </c>
      <c r="D82" s="40">
        <v>0</v>
      </c>
      <c r="E82" s="40">
        <v>0</v>
      </c>
      <c r="F82" s="40">
        <v>0</v>
      </c>
      <c r="G82" s="40">
        <v>0</v>
      </c>
    </row>
    <row r="83" spans="2:7" x14ac:dyDescent="0.2">
      <c r="B83" t="s">
        <v>1257</v>
      </c>
      <c r="C83" s="40">
        <v>0</v>
      </c>
      <c r="D83" s="40">
        <v>0</v>
      </c>
      <c r="E83" s="40">
        <v>0</v>
      </c>
      <c r="F83" s="40">
        <v>0</v>
      </c>
      <c r="G83" s="40">
        <v>0</v>
      </c>
    </row>
    <row r="84" spans="2:7" x14ac:dyDescent="0.2">
      <c r="B84" t="s">
        <v>1258</v>
      </c>
      <c r="C84" s="40">
        <v>34437449</v>
      </c>
      <c r="D84" s="40">
        <v>38264720</v>
      </c>
      <c r="E84" s="40">
        <v>33749987</v>
      </c>
      <c r="F84" s="40">
        <v>34267780</v>
      </c>
      <c r="G84" s="40">
        <v>31456759</v>
      </c>
    </row>
    <row r="85" spans="2:7" x14ac:dyDescent="0.2">
      <c r="B85" t="s">
        <v>1259</v>
      </c>
      <c r="C85" s="40">
        <v>2253642052</v>
      </c>
      <c r="D85" s="40">
        <v>2147555606</v>
      </c>
      <c r="E85" s="40">
        <v>2342128470</v>
      </c>
      <c r="F85" s="40">
        <v>2244663731</v>
      </c>
      <c r="G85" s="40">
        <v>2239756665</v>
      </c>
    </row>
    <row r="86" spans="2:7" x14ac:dyDescent="0.2">
      <c r="B86" t="s">
        <v>1260</v>
      </c>
      <c r="C86" s="40">
        <v>0</v>
      </c>
      <c r="D86" s="40">
        <v>0</v>
      </c>
      <c r="E86" s="40">
        <v>0</v>
      </c>
      <c r="F86" s="40">
        <v>0</v>
      </c>
      <c r="G86" s="40">
        <v>0</v>
      </c>
    </row>
    <row r="87" spans="2:7" x14ac:dyDescent="0.2">
      <c r="B87" t="s">
        <v>1261</v>
      </c>
      <c r="C87" s="40">
        <v>82145017</v>
      </c>
      <c r="D87" s="40">
        <v>91655238</v>
      </c>
      <c r="E87" s="40">
        <v>96650810</v>
      </c>
      <c r="F87" s="40">
        <v>82533950</v>
      </c>
      <c r="G87" s="40">
        <v>86407119</v>
      </c>
    </row>
    <row r="88" spans="2:7" x14ac:dyDescent="0.2">
      <c r="B88" t="s">
        <v>1262</v>
      </c>
      <c r="C88" s="40">
        <v>415471759</v>
      </c>
      <c r="D88" s="40">
        <v>454863720</v>
      </c>
      <c r="E88" s="40">
        <v>452085468</v>
      </c>
      <c r="F88" s="40">
        <v>393895589</v>
      </c>
      <c r="G88" s="40">
        <v>376811368</v>
      </c>
    </row>
    <row r="89" spans="2:7" x14ac:dyDescent="0.2">
      <c r="B89" t="s">
        <v>1263</v>
      </c>
      <c r="C89" s="40">
        <v>3212830</v>
      </c>
      <c r="D89" s="40">
        <v>3093535</v>
      </c>
      <c r="E89" s="40">
        <v>2826534</v>
      </c>
      <c r="F89" s="40">
        <v>2582732</v>
      </c>
      <c r="G89" s="40">
        <v>3799333</v>
      </c>
    </row>
    <row r="90" spans="2:7" x14ac:dyDescent="0.2">
      <c r="B90" t="s">
        <v>1264</v>
      </c>
      <c r="C90" s="40">
        <v>0</v>
      </c>
      <c r="D90" s="40">
        <v>0</v>
      </c>
      <c r="E90" s="40">
        <v>0</v>
      </c>
      <c r="F90" s="40">
        <v>0</v>
      </c>
      <c r="G90" s="40">
        <v>0</v>
      </c>
    </row>
    <row r="91" spans="2:7" x14ac:dyDescent="0.2">
      <c r="B91" t="s">
        <v>1265</v>
      </c>
      <c r="C91" s="40">
        <v>0</v>
      </c>
      <c r="D91" s="40">
        <v>0</v>
      </c>
      <c r="E91" s="40">
        <v>0</v>
      </c>
      <c r="F91" s="40">
        <v>0</v>
      </c>
      <c r="G91" s="40">
        <v>0</v>
      </c>
    </row>
    <row r="92" spans="2:7" x14ac:dyDescent="0.2">
      <c r="B92" t="s">
        <v>1266</v>
      </c>
      <c r="C92" s="40">
        <v>0</v>
      </c>
      <c r="D92" s="40">
        <v>0</v>
      </c>
      <c r="E92" s="40">
        <v>0</v>
      </c>
      <c r="F92" s="40">
        <v>0</v>
      </c>
      <c r="G92" s="40">
        <v>0</v>
      </c>
    </row>
    <row r="93" spans="2:7" x14ac:dyDescent="0.2">
      <c r="B93" t="s">
        <v>1267</v>
      </c>
      <c r="C93" s="40">
        <v>0</v>
      </c>
      <c r="D93" s="40">
        <v>0</v>
      </c>
      <c r="E93" s="40">
        <v>0</v>
      </c>
      <c r="F93" s="40">
        <v>0</v>
      </c>
      <c r="G93" s="40">
        <v>0</v>
      </c>
    </row>
    <row r="94" spans="2:7" x14ac:dyDescent="0.2">
      <c r="B94" t="s">
        <v>1268</v>
      </c>
      <c r="C94" s="40">
        <v>0</v>
      </c>
      <c r="D94" s="40">
        <v>0</v>
      </c>
      <c r="E94" s="40">
        <v>0</v>
      </c>
      <c r="F94" s="40">
        <v>0</v>
      </c>
      <c r="G94" s="40">
        <v>0</v>
      </c>
    </row>
    <row r="95" spans="2:7" x14ac:dyDescent="0.2">
      <c r="B95" t="s">
        <v>1269</v>
      </c>
      <c r="C95" s="40">
        <v>0</v>
      </c>
      <c r="D95" s="40">
        <v>0</v>
      </c>
      <c r="E95" s="40">
        <v>0</v>
      </c>
      <c r="F95" s="40">
        <v>0</v>
      </c>
      <c r="G95" s="40">
        <v>0</v>
      </c>
    </row>
    <row r="96" spans="2:7" x14ac:dyDescent="0.2">
      <c r="B96" t="s">
        <v>1270</v>
      </c>
      <c r="C96" s="40">
        <v>0</v>
      </c>
      <c r="D96" s="40">
        <v>0</v>
      </c>
      <c r="E96" s="40">
        <v>0</v>
      </c>
      <c r="F96" s="40">
        <v>0</v>
      </c>
      <c r="G96" s="40">
        <v>0</v>
      </c>
    </row>
    <row r="97" spans="2:7" x14ac:dyDescent="0.2">
      <c r="B97" t="s">
        <v>1271</v>
      </c>
      <c r="C97" s="40">
        <v>0</v>
      </c>
      <c r="D97" s="40">
        <v>0</v>
      </c>
      <c r="E97" s="40">
        <v>0</v>
      </c>
      <c r="F97" s="40">
        <v>0</v>
      </c>
      <c r="G97" s="40">
        <v>0</v>
      </c>
    </row>
    <row r="98" spans="2:7" x14ac:dyDescent="0.2">
      <c r="B98" t="s">
        <v>1272</v>
      </c>
      <c r="C98" s="40">
        <v>0</v>
      </c>
      <c r="D98" s="40">
        <v>0</v>
      </c>
      <c r="E98" s="40">
        <v>0</v>
      </c>
      <c r="F98" s="40">
        <v>0</v>
      </c>
      <c r="G98" s="40">
        <v>0</v>
      </c>
    </row>
    <row r="99" spans="2:7" x14ac:dyDescent="0.2">
      <c r="B99" t="s">
        <v>1273</v>
      </c>
      <c r="C99" s="40">
        <v>0</v>
      </c>
      <c r="D99" s="40">
        <v>0</v>
      </c>
      <c r="E99" s="40">
        <v>0</v>
      </c>
      <c r="F99" s="40">
        <v>0</v>
      </c>
      <c r="G99" s="40">
        <v>0</v>
      </c>
    </row>
    <row r="100" spans="2:7" x14ac:dyDescent="0.2">
      <c r="B100" t="s">
        <v>1274</v>
      </c>
      <c r="C100" s="40">
        <v>0</v>
      </c>
      <c r="D100" s="40">
        <v>0</v>
      </c>
      <c r="E100" s="40">
        <v>0</v>
      </c>
      <c r="F100" s="40">
        <v>0</v>
      </c>
      <c r="G100" s="40">
        <v>0</v>
      </c>
    </row>
    <row r="101" spans="2:7" x14ac:dyDescent="0.2">
      <c r="B101" t="s">
        <v>1275</v>
      </c>
      <c r="C101" s="40">
        <v>0</v>
      </c>
      <c r="D101" s="40">
        <v>0</v>
      </c>
      <c r="E101" s="40">
        <v>0</v>
      </c>
      <c r="F101" s="40">
        <v>0</v>
      </c>
      <c r="G101" s="40">
        <v>0</v>
      </c>
    </row>
    <row r="102" spans="2:7" x14ac:dyDescent="0.2">
      <c r="B102" t="s">
        <v>1276</v>
      </c>
      <c r="C102" s="40">
        <v>0</v>
      </c>
      <c r="D102" s="40">
        <v>0</v>
      </c>
      <c r="E102" s="40">
        <v>0</v>
      </c>
      <c r="F102" s="40">
        <v>0</v>
      </c>
      <c r="G102" s="40">
        <v>0</v>
      </c>
    </row>
    <row r="103" spans="2:7" x14ac:dyDescent="0.2">
      <c r="B103" t="s">
        <v>1277</v>
      </c>
      <c r="C103" s="40">
        <v>0</v>
      </c>
      <c r="D103" s="40">
        <v>0</v>
      </c>
      <c r="E103" s="40">
        <v>0</v>
      </c>
      <c r="F103" s="40">
        <v>0</v>
      </c>
      <c r="G103" s="40">
        <v>0</v>
      </c>
    </row>
    <row r="104" spans="2:7" x14ac:dyDescent="0.2">
      <c r="B104" t="s">
        <v>1278</v>
      </c>
      <c r="C104" s="40">
        <v>8896059</v>
      </c>
      <c r="D104" s="40">
        <v>9418705</v>
      </c>
      <c r="E104" s="40">
        <v>7968988</v>
      </c>
      <c r="F104" s="40">
        <v>8105527</v>
      </c>
      <c r="G104" s="40">
        <v>9067618</v>
      </c>
    </row>
    <row r="105" spans="2:7" x14ac:dyDescent="0.2">
      <c r="B105" t="s">
        <v>1279</v>
      </c>
      <c r="C105" s="40">
        <v>1028636139</v>
      </c>
      <c r="D105" s="40">
        <v>1243206553</v>
      </c>
      <c r="E105" s="40">
        <v>1408520330</v>
      </c>
      <c r="F105" s="40">
        <v>1536735838</v>
      </c>
      <c r="G105" s="40">
        <v>1701748334</v>
      </c>
    </row>
    <row r="106" spans="2:7" x14ac:dyDescent="0.2">
      <c r="B106" t="s">
        <v>1280</v>
      </c>
      <c r="C106" s="40">
        <v>0</v>
      </c>
      <c r="D106" s="40">
        <v>0</v>
      </c>
      <c r="E106" s="40">
        <v>0</v>
      </c>
      <c r="F106" s="40">
        <v>0</v>
      </c>
      <c r="G106" s="40">
        <v>0</v>
      </c>
    </row>
    <row r="107" spans="2:7" x14ac:dyDescent="0.2">
      <c r="B107" t="s">
        <v>1281</v>
      </c>
      <c r="C107" s="40">
        <v>17603827</v>
      </c>
      <c r="D107" s="40">
        <v>17592437</v>
      </c>
      <c r="E107" s="40">
        <v>17546427</v>
      </c>
      <c r="F107" s="40">
        <v>17843992</v>
      </c>
      <c r="G107" s="40">
        <v>18067022</v>
      </c>
    </row>
    <row r="108" spans="2:7" x14ac:dyDescent="0.2">
      <c r="B108" t="s">
        <v>1282</v>
      </c>
      <c r="C108" s="40">
        <v>80471830</v>
      </c>
      <c r="D108" s="40">
        <v>79670129</v>
      </c>
      <c r="E108" s="40">
        <v>78805711</v>
      </c>
      <c r="F108" s="40">
        <v>86440231</v>
      </c>
      <c r="G108" s="40">
        <v>90536222</v>
      </c>
    </row>
    <row r="109" spans="2:7" x14ac:dyDescent="0.2">
      <c r="B109" t="s">
        <v>1283</v>
      </c>
      <c r="C109" s="40">
        <v>1722527</v>
      </c>
      <c r="D109" s="40">
        <v>1276482</v>
      </c>
      <c r="E109" s="40">
        <v>230389</v>
      </c>
      <c r="F109" s="40">
        <v>320469</v>
      </c>
      <c r="G109" s="40">
        <v>402325</v>
      </c>
    </row>
    <row r="110" spans="2:7" x14ac:dyDescent="0.2">
      <c r="B110" t="s">
        <v>1284</v>
      </c>
      <c r="C110" s="40">
        <v>0</v>
      </c>
      <c r="D110" s="40">
        <v>0</v>
      </c>
      <c r="E110" s="40">
        <v>0</v>
      </c>
      <c r="F110" s="40">
        <v>0</v>
      </c>
      <c r="G110" s="40">
        <v>0</v>
      </c>
    </row>
    <row r="111" spans="2:7" x14ac:dyDescent="0.2">
      <c r="B111" t="s">
        <v>1285</v>
      </c>
      <c r="C111" s="40">
        <v>0</v>
      </c>
      <c r="D111" s="40">
        <v>0</v>
      </c>
      <c r="E111" s="40">
        <v>0</v>
      </c>
      <c r="F111" s="40">
        <v>0</v>
      </c>
      <c r="G111" s="40">
        <v>0</v>
      </c>
    </row>
    <row r="112" spans="2:7" x14ac:dyDescent="0.2">
      <c r="B112" t="s">
        <v>1286</v>
      </c>
      <c r="C112" s="40">
        <v>0</v>
      </c>
      <c r="D112" s="40">
        <v>0</v>
      </c>
      <c r="E112" s="40">
        <v>0</v>
      </c>
      <c r="F112" s="40">
        <v>0</v>
      </c>
      <c r="G112" s="40">
        <v>0</v>
      </c>
    </row>
    <row r="113" spans="2:7" x14ac:dyDescent="0.2">
      <c r="B113" t="s">
        <v>1287</v>
      </c>
      <c r="C113" s="40">
        <v>0</v>
      </c>
      <c r="D113" s="40">
        <v>0</v>
      </c>
      <c r="E113" s="40">
        <v>0</v>
      </c>
      <c r="F113" s="40">
        <v>0</v>
      </c>
      <c r="G113" s="40">
        <v>0</v>
      </c>
    </row>
    <row r="114" spans="2:7" x14ac:dyDescent="0.2">
      <c r="B114" t="s">
        <v>1288</v>
      </c>
      <c r="C114" s="40">
        <v>0</v>
      </c>
      <c r="D114" s="40">
        <v>0</v>
      </c>
      <c r="E114" s="40">
        <v>0</v>
      </c>
      <c r="F114" s="40">
        <v>0</v>
      </c>
      <c r="G114" s="40">
        <v>0</v>
      </c>
    </row>
    <row r="115" spans="2:7" x14ac:dyDescent="0.2">
      <c r="B115" t="s">
        <v>1289</v>
      </c>
      <c r="C115" s="40">
        <v>0</v>
      </c>
      <c r="D115" s="40">
        <v>0</v>
      </c>
      <c r="E115" s="40">
        <v>0</v>
      </c>
      <c r="F115" s="40">
        <v>0</v>
      </c>
      <c r="G115" s="40">
        <v>0</v>
      </c>
    </row>
    <row r="116" spans="2:7" x14ac:dyDescent="0.2">
      <c r="B116" t="s">
        <v>1290</v>
      </c>
      <c r="C116" s="40">
        <v>0</v>
      </c>
      <c r="D116" s="40">
        <v>0</v>
      </c>
      <c r="E116" s="40">
        <v>0</v>
      </c>
      <c r="F116" s="40">
        <v>0</v>
      </c>
      <c r="G116" s="40">
        <v>0</v>
      </c>
    </row>
    <row r="117" spans="2:7" x14ac:dyDescent="0.2">
      <c r="B117" t="s">
        <v>1291</v>
      </c>
      <c r="C117" s="40">
        <v>0</v>
      </c>
      <c r="D117" s="40">
        <v>0</v>
      </c>
      <c r="E117" s="40">
        <v>0</v>
      </c>
      <c r="F117" s="40">
        <v>0</v>
      </c>
      <c r="G117" s="40">
        <v>0</v>
      </c>
    </row>
    <row r="118" spans="2:7" x14ac:dyDescent="0.2">
      <c r="B118" t="s">
        <v>1292</v>
      </c>
      <c r="C118" s="40">
        <v>0</v>
      </c>
      <c r="D118" s="40">
        <v>0</v>
      </c>
      <c r="E118" s="40">
        <v>0</v>
      </c>
      <c r="F118" s="40">
        <v>0</v>
      </c>
      <c r="G118" s="40">
        <v>0</v>
      </c>
    </row>
    <row r="119" spans="2:7" x14ac:dyDescent="0.2">
      <c r="B119" t="s">
        <v>1293</v>
      </c>
      <c r="C119" s="40">
        <v>0</v>
      </c>
      <c r="D119" s="40">
        <v>0</v>
      </c>
      <c r="E119" s="40">
        <v>0</v>
      </c>
      <c r="F119" s="40">
        <v>0</v>
      </c>
      <c r="G119" s="40">
        <v>0</v>
      </c>
    </row>
    <row r="120" spans="2:7" x14ac:dyDescent="0.2">
      <c r="B120" t="s">
        <v>1294</v>
      </c>
      <c r="C120" s="40">
        <v>0</v>
      </c>
      <c r="D120" s="40">
        <v>0</v>
      </c>
      <c r="E120" s="40">
        <v>0</v>
      </c>
      <c r="F120" s="40">
        <v>0</v>
      </c>
      <c r="G120" s="40">
        <v>0</v>
      </c>
    </row>
    <row r="121" spans="2:7" x14ac:dyDescent="0.2">
      <c r="B121" t="s">
        <v>1295</v>
      </c>
      <c r="C121" s="40">
        <v>0</v>
      </c>
      <c r="D121" s="40">
        <v>0</v>
      </c>
      <c r="E121" s="40">
        <v>0</v>
      </c>
      <c r="F121" s="40">
        <v>0</v>
      </c>
      <c r="G121" s="40">
        <v>0</v>
      </c>
    </row>
    <row r="122" spans="2:7" x14ac:dyDescent="0.2">
      <c r="B122" t="s">
        <v>1296</v>
      </c>
      <c r="C122" s="40">
        <v>0</v>
      </c>
      <c r="D122" s="40">
        <v>0</v>
      </c>
      <c r="E122" s="40">
        <v>0</v>
      </c>
      <c r="F122" s="40">
        <v>0</v>
      </c>
      <c r="G122" s="40">
        <v>0</v>
      </c>
    </row>
    <row r="123" spans="2:7" x14ac:dyDescent="0.2">
      <c r="B123" t="s">
        <v>1297</v>
      </c>
      <c r="C123" s="40">
        <v>0</v>
      </c>
      <c r="D123" s="40">
        <v>0</v>
      </c>
      <c r="E123" s="40">
        <v>0</v>
      </c>
      <c r="F123" s="40">
        <v>0</v>
      </c>
      <c r="G123" s="40">
        <v>0</v>
      </c>
    </row>
    <row r="124" spans="2:7" x14ac:dyDescent="0.2">
      <c r="B124" t="s">
        <v>1298</v>
      </c>
      <c r="C124" s="40">
        <v>5059347</v>
      </c>
      <c r="D124" s="40">
        <v>3970083</v>
      </c>
      <c r="E124" s="40">
        <v>4937542</v>
      </c>
      <c r="F124" s="40">
        <v>4727631</v>
      </c>
      <c r="G124" s="40">
        <v>4536172</v>
      </c>
    </row>
    <row r="125" spans="2:7" x14ac:dyDescent="0.2">
      <c r="B125" t="s">
        <v>1299</v>
      </c>
      <c r="C125" s="40">
        <v>1072286119</v>
      </c>
      <c r="D125" s="40">
        <v>1078112046</v>
      </c>
      <c r="E125" s="40">
        <v>951619204</v>
      </c>
      <c r="F125" s="40">
        <v>1011925542</v>
      </c>
      <c r="G125" s="40">
        <v>1060478722</v>
      </c>
    </row>
    <row r="126" spans="2:7" x14ac:dyDescent="0.2">
      <c r="B126" t="s">
        <v>1300</v>
      </c>
      <c r="C126" s="40">
        <v>89113387</v>
      </c>
      <c r="D126" s="40">
        <v>89350923</v>
      </c>
      <c r="E126" s="40">
        <v>88437535</v>
      </c>
      <c r="F126" s="40">
        <v>88823276</v>
      </c>
      <c r="G126" s="40">
        <v>88991625</v>
      </c>
    </row>
    <row r="127" spans="2:7" x14ac:dyDescent="0.2">
      <c r="B127" t="s">
        <v>1301</v>
      </c>
      <c r="C127" s="40">
        <v>1630400480217</v>
      </c>
      <c r="D127" s="40">
        <v>1645193102116</v>
      </c>
      <c r="E127" s="40">
        <v>1653740584809</v>
      </c>
      <c r="F127" s="40">
        <v>1681256068236</v>
      </c>
      <c r="G127" s="40">
        <v>1702727097420</v>
      </c>
    </row>
    <row r="128" spans="2:7" x14ac:dyDescent="0.2">
      <c r="B128" t="s">
        <v>1302</v>
      </c>
      <c r="C128" s="40">
        <v>1142804630</v>
      </c>
      <c r="D128" s="40">
        <v>1183950020</v>
      </c>
      <c r="E128" s="40">
        <v>1109967319</v>
      </c>
      <c r="F128" s="40">
        <v>1037476850</v>
      </c>
      <c r="G128" s="40">
        <v>1117590803</v>
      </c>
    </row>
    <row r="129" spans="2:7" x14ac:dyDescent="0.2">
      <c r="B129" t="s">
        <v>1303</v>
      </c>
      <c r="C129" s="40">
        <v>61804207</v>
      </c>
      <c r="D129" s="40">
        <v>55157446</v>
      </c>
      <c r="E129" s="40">
        <v>58433525</v>
      </c>
      <c r="F129" s="40">
        <v>53259124</v>
      </c>
      <c r="G129" s="40">
        <v>47426848</v>
      </c>
    </row>
    <row r="130" spans="2:7" x14ac:dyDescent="0.2">
      <c r="B130" t="s">
        <v>1304</v>
      </c>
      <c r="C130" s="40">
        <v>5098460</v>
      </c>
      <c r="D130" s="40">
        <v>4227914</v>
      </c>
      <c r="E130" s="40">
        <v>4640274</v>
      </c>
      <c r="F130" s="40">
        <v>4693129</v>
      </c>
      <c r="G130" s="40">
        <v>5001476</v>
      </c>
    </row>
    <row r="131" spans="2:7" x14ac:dyDescent="0.2">
      <c r="B131" t="s">
        <v>1305</v>
      </c>
      <c r="C131" s="40">
        <v>18350878</v>
      </c>
      <c r="D131" s="40">
        <v>24164832</v>
      </c>
      <c r="E131" s="40">
        <v>6540089</v>
      </c>
      <c r="F131" s="40">
        <v>12801689</v>
      </c>
      <c r="G131" s="40">
        <v>19157475</v>
      </c>
    </row>
    <row r="132" spans="2:7" x14ac:dyDescent="0.2">
      <c r="B132" t="s">
        <v>1306</v>
      </c>
      <c r="C132" s="40">
        <v>387733305832</v>
      </c>
      <c r="D132" s="40">
        <v>525001868757</v>
      </c>
      <c r="E132" s="40">
        <v>133073429885</v>
      </c>
      <c r="F132" s="40">
        <v>291169692951</v>
      </c>
      <c r="G132" s="40">
        <v>451285745544</v>
      </c>
    </row>
    <row r="133" spans="2:7" x14ac:dyDescent="0.2">
      <c r="B133" t="s">
        <v>1307</v>
      </c>
      <c r="C133" s="40">
        <v>220114</v>
      </c>
      <c r="D133" s="40">
        <v>295988</v>
      </c>
      <c r="E133" s="40">
        <v>70588</v>
      </c>
      <c r="F133" s="40">
        <v>150960</v>
      </c>
      <c r="G133" s="40">
        <v>224444</v>
      </c>
    </row>
    <row r="134" spans="2:7" x14ac:dyDescent="0.2">
      <c r="B134" t="s">
        <v>1308</v>
      </c>
      <c r="C134" s="40">
        <v>231708419</v>
      </c>
      <c r="D134" s="40">
        <v>310262523</v>
      </c>
      <c r="E134" s="40">
        <v>73292451</v>
      </c>
      <c r="F134" s="40">
        <v>155686913</v>
      </c>
      <c r="G134" s="40">
        <v>233554064</v>
      </c>
    </row>
    <row r="135" spans="2:7" x14ac:dyDescent="0.2">
      <c r="B135" t="s">
        <v>1309</v>
      </c>
      <c r="C135" s="40">
        <v>14821652059</v>
      </c>
      <c r="D135" s="40">
        <v>16048281846</v>
      </c>
      <c r="E135" s="40">
        <v>13172299866</v>
      </c>
      <c r="F135" s="40">
        <v>15229819442</v>
      </c>
      <c r="G135" s="40">
        <v>16144387538</v>
      </c>
    </row>
    <row r="136" spans="2:7" x14ac:dyDescent="0.2">
      <c r="B136" t="s">
        <v>1310</v>
      </c>
      <c r="C136" s="40">
        <v>0</v>
      </c>
      <c r="D136" s="40">
        <v>0</v>
      </c>
      <c r="E136" s="40">
        <v>0</v>
      </c>
      <c r="F136" s="40">
        <v>0</v>
      </c>
      <c r="G136" s="40">
        <v>0</v>
      </c>
    </row>
    <row r="137" spans="2:7" x14ac:dyDescent="0.2">
      <c r="B137" t="s">
        <v>1311</v>
      </c>
      <c r="C137" s="40">
        <v>877672062</v>
      </c>
      <c r="D137" s="40">
        <v>954730689</v>
      </c>
      <c r="E137" s="40">
        <v>790253537</v>
      </c>
      <c r="F137" s="40">
        <v>828856994</v>
      </c>
      <c r="G137" s="40">
        <v>878971131</v>
      </c>
    </row>
    <row r="138" spans="2:7" x14ac:dyDescent="0.2">
      <c r="B138" t="s">
        <v>1312</v>
      </c>
      <c r="C138" s="40">
        <v>3471357788</v>
      </c>
      <c r="D138" s="40">
        <v>3662654547</v>
      </c>
      <c r="E138" s="40">
        <v>3024637274</v>
      </c>
      <c r="F138" s="40">
        <v>3150006929</v>
      </c>
      <c r="G138" s="40">
        <v>3299333422</v>
      </c>
    </row>
    <row r="139" spans="2:7" x14ac:dyDescent="0.2">
      <c r="B139" t="s">
        <v>1313</v>
      </c>
      <c r="C139" s="40">
        <v>25978219</v>
      </c>
      <c r="D139" s="40">
        <v>24900790</v>
      </c>
      <c r="E139" s="40">
        <v>20242530</v>
      </c>
      <c r="F139" s="40">
        <v>21670151</v>
      </c>
      <c r="G139" s="40">
        <v>23428829</v>
      </c>
    </row>
    <row r="140" spans="2:7" x14ac:dyDescent="0.2">
      <c r="B140" t="s">
        <v>1314</v>
      </c>
      <c r="C140" s="40">
        <v>3207622529</v>
      </c>
      <c r="D140" s="40">
        <v>3457996450</v>
      </c>
      <c r="E140" s="40">
        <v>2893254818</v>
      </c>
      <c r="F140" s="40">
        <v>2977885732</v>
      </c>
      <c r="G140" s="40">
        <v>3114297844</v>
      </c>
    </row>
    <row r="141" spans="2:7" x14ac:dyDescent="0.2">
      <c r="B141" t="s">
        <v>1315</v>
      </c>
      <c r="C141" s="40">
        <v>0</v>
      </c>
      <c r="D141" s="40">
        <v>0</v>
      </c>
      <c r="E141" s="40">
        <v>0</v>
      </c>
      <c r="F141" s="40">
        <v>0</v>
      </c>
      <c r="G141" s="40">
        <v>0</v>
      </c>
    </row>
    <row r="142" spans="2:7" x14ac:dyDescent="0.2">
      <c r="B142" t="s">
        <v>1316</v>
      </c>
      <c r="C142" s="40">
        <v>0</v>
      </c>
      <c r="D142" s="40">
        <v>0</v>
      </c>
      <c r="E142" s="40">
        <v>0</v>
      </c>
      <c r="F142" s="40">
        <v>0</v>
      </c>
      <c r="G142" s="40">
        <v>0</v>
      </c>
    </row>
    <row r="143" spans="2:7" x14ac:dyDescent="0.2">
      <c r="B143" t="s">
        <v>1317</v>
      </c>
      <c r="C143" s="40">
        <v>0</v>
      </c>
      <c r="D143" s="40">
        <v>0</v>
      </c>
      <c r="E143" s="40">
        <v>0</v>
      </c>
      <c r="F143" s="40">
        <v>0</v>
      </c>
      <c r="G143" s="40">
        <v>0</v>
      </c>
    </row>
    <row r="144" spans="2:7" x14ac:dyDescent="0.2">
      <c r="B144" t="s">
        <v>1318</v>
      </c>
      <c r="C144" s="40">
        <v>0</v>
      </c>
      <c r="D144" s="40">
        <v>0</v>
      </c>
      <c r="E144" s="40">
        <v>0</v>
      </c>
      <c r="F144" s="40">
        <v>0</v>
      </c>
      <c r="G144" s="40">
        <v>0</v>
      </c>
    </row>
    <row r="145" spans="2:7" x14ac:dyDescent="0.2">
      <c r="B145" t="s">
        <v>1319</v>
      </c>
      <c r="C145" s="40">
        <v>0</v>
      </c>
      <c r="D145" s="40">
        <v>0</v>
      </c>
      <c r="E145" s="40">
        <v>0</v>
      </c>
      <c r="F145" s="40">
        <v>0</v>
      </c>
      <c r="G145" s="40">
        <v>0</v>
      </c>
    </row>
    <row r="146" spans="2:7" x14ac:dyDescent="0.2">
      <c r="B146" t="s">
        <v>1320</v>
      </c>
      <c r="C146" s="40">
        <v>0</v>
      </c>
      <c r="D146" s="40">
        <v>0</v>
      </c>
      <c r="E146" s="40">
        <v>0</v>
      </c>
      <c r="F146" s="40">
        <v>0</v>
      </c>
      <c r="G146" s="40">
        <v>0</v>
      </c>
    </row>
    <row r="147" spans="2:7" x14ac:dyDescent="0.2">
      <c r="B147" t="s">
        <v>1321</v>
      </c>
      <c r="C147" s="40">
        <v>0</v>
      </c>
      <c r="D147" s="40">
        <v>0</v>
      </c>
      <c r="E147" s="40">
        <v>0</v>
      </c>
      <c r="F147" s="40">
        <v>0</v>
      </c>
      <c r="G147" s="40">
        <v>0</v>
      </c>
    </row>
    <row r="148" spans="2:7" x14ac:dyDescent="0.2">
      <c r="B148" t="s">
        <v>1322</v>
      </c>
      <c r="C148" s="40">
        <v>0</v>
      </c>
      <c r="D148" s="40">
        <v>0</v>
      </c>
      <c r="E148" s="40">
        <v>0</v>
      </c>
      <c r="F148" s="40">
        <v>0</v>
      </c>
      <c r="G148" s="40">
        <v>0</v>
      </c>
    </row>
    <row r="149" spans="2:7" x14ac:dyDescent="0.2">
      <c r="B149" t="s">
        <v>1323</v>
      </c>
      <c r="C149" s="40">
        <v>0</v>
      </c>
      <c r="D149" s="40">
        <v>0</v>
      </c>
      <c r="E149" s="40">
        <v>0</v>
      </c>
      <c r="F149" s="40">
        <v>0</v>
      </c>
      <c r="G149" s="40">
        <v>0</v>
      </c>
    </row>
    <row r="150" spans="2:7" x14ac:dyDescent="0.2">
      <c r="B150" t="s">
        <v>1324</v>
      </c>
      <c r="C150" s="40">
        <v>0</v>
      </c>
      <c r="D150" s="40">
        <v>0</v>
      </c>
      <c r="E150" s="40">
        <v>0</v>
      </c>
      <c r="F150" s="40">
        <v>0</v>
      </c>
      <c r="G150" s="40">
        <v>0</v>
      </c>
    </row>
    <row r="151" spans="2:7" x14ac:dyDescent="0.2">
      <c r="B151" t="s">
        <v>1325</v>
      </c>
      <c r="C151" s="40">
        <v>0</v>
      </c>
      <c r="D151" s="40">
        <v>0</v>
      </c>
      <c r="E151" s="40">
        <v>0</v>
      </c>
      <c r="F151" s="40">
        <v>0</v>
      </c>
      <c r="G151" s="40">
        <v>0</v>
      </c>
    </row>
    <row r="152" spans="2:7" x14ac:dyDescent="0.2">
      <c r="B152" t="s">
        <v>1326</v>
      </c>
      <c r="C152" s="40">
        <v>0</v>
      </c>
      <c r="D152" s="40">
        <v>0</v>
      </c>
      <c r="E152" s="40">
        <v>0</v>
      </c>
      <c r="F152" s="40">
        <v>0</v>
      </c>
      <c r="G152" s="40">
        <v>0</v>
      </c>
    </row>
    <row r="153" spans="2:7" x14ac:dyDescent="0.2">
      <c r="B153" t="s">
        <v>1327</v>
      </c>
      <c r="C153" s="40">
        <v>0</v>
      </c>
      <c r="D153" s="40">
        <v>0</v>
      </c>
      <c r="E153" s="40">
        <v>0</v>
      </c>
      <c r="F153" s="40">
        <v>0</v>
      </c>
      <c r="G153" s="40">
        <v>0</v>
      </c>
    </row>
    <row r="154" spans="2:7" x14ac:dyDescent="0.2">
      <c r="B154" t="s">
        <v>1328</v>
      </c>
      <c r="C154" s="40">
        <v>0</v>
      </c>
      <c r="D154" s="40">
        <v>0</v>
      </c>
      <c r="E154" s="40">
        <v>0</v>
      </c>
      <c r="F154" s="40">
        <v>0</v>
      </c>
      <c r="G154" s="40">
        <v>0</v>
      </c>
    </row>
    <row r="155" spans="2:7" x14ac:dyDescent="0.2">
      <c r="B155" t="s">
        <v>1329</v>
      </c>
      <c r="C155" s="40">
        <v>0</v>
      </c>
      <c r="D155" s="40">
        <v>0</v>
      </c>
      <c r="E155" s="40">
        <v>0</v>
      </c>
      <c r="F155" s="40">
        <v>0</v>
      </c>
      <c r="G155" s="40">
        <v>0</v>
      </c>
    </row>
    <row r="156" spans="2:7" x14ac:dyDescent="0.2">
      <c r="B156" t="s">
        <v>1330</v>
      </c>
      <c r="C156" s="40">
        <v>0</v>
      </c>
      <c r="D156" s="40">
        <v>0</v>
      </c>
      <c r="E156" s="40">
        <v>0</v>
      </c>
      <c r="F156" s="40">
        <v>0</v>
      </c>
      <c r="G156" s="40">
        <v>0</v>
      </c>
    </row>
    <row r="157" spans="2:7" x14ac:dyDescent="0.2">
      <c r="B157" t="s">
        <v>1331</v>
      </c>
      <c r="C157" s="40">
        <v>0</v>
      </c>
      <c r="D157" s="40">
        <v>0</v>
      </c>
      <c r="E157" s="40">
        <v>0</v>
      </c>
      <c r="F157" s="40">
        <v>0</v>
      </c>
      <c r="G157" s="40">
        <v>0</v>
      </c>
    </row>
    <row r="158" spans="2:7" x14ac:dyDescent="0.2">
      <c r="B158" t="s">
        <v>1332</v>
      </c>
      <c r="C158" s="40">
        <v>0</v>
      </c>
      <c r="D158" s="40">
        <v>0</v>
      </c>
      <c r="E158" s="40">
        <v>0</v>
      </c>
      <c r="F158" s="40">
        <v>0</v>
      </c>
      <c r="G158" s="40">
        <v>0</v>
      </c>
    </row>
    <row r="159" spans="2:7" x14ac:dyDescent="0.2">
      <c r="B159" t="s">
        <v>1333</v>
      </c>
      <c r="C159" s="40">
        <v>0</v>
      </c>
      <c r="D159" s="40">
        <v>0</v>
      </c>
      <c r="E159" s="40">
        <v>0</v>
      </c>
      <c r="F159" s="40">
        <v>0</v>
      </c>
      <c r="G159" s="40">
        <v>0</v>
      </c>
    </row>
    <row r="160" spans="2:7" x14ac:dyDescent="0.2">
      <c r="B160" t="s">
        <v>1334</v>
      </c>
      <c r="C160" s="40">
        <v>0</v>
      </c>
      <c r="D160" s="40">
        <v>0</v>
      </c>
      <c r="E160" s="40">
        <v>0</v>
      </c>
      <c r="F160" s="40">
        <v>0</v>
      </c>
      <c r="G160" s="40">
        <v>0</v>
      </c>
    </row>
    <row r="161" spans="2:7" x14ac:dyDescent="0.2">
      <c r="B161" t="s">
        <v>1335</v>
      </c>
      <c r="C161" s="40">
        <v>0</v>
      </c>
      <c r="D161" s="40">
        <v>0</v>
      </c>
      <c r="E161" s="40">
        <v>0</v>
      </c>
      <c r="F161" s="40">
        <v>0</v>
      </c>
      <c r="G161" s="40">
        <v>0</v>
      </c>
    </row>
    <row r="162" spans="2:7" x14ac:dyDescent="0.2">
      <c r="B162" t="s">
        <v>1336</v>
      </c>
      <c r="C162" s="40">
        <v>77263147</v>
      </c>
      <c r="D162" s="40">
        <v>78000470</v>
      </c>
      <c r="E162" s="40">
        <v>71865713</v>
      </c>
      <c r="F162" s="40">
        <v>73172889</v>
      </c>
      <c r="G162" s="40">
        <v>70198961</v>
      </c>
    </row>
    <row r="163" spans="2:7" x14ac:dyDescent="0.2">
      <c r="B163" t="s">
        <v>1337</v>
      </c>
      <c r="C163" s="40">
        <v>0</v>
      </c>
      <c r="D163" s="40">
        <v>0</v>
      </c>
      <c r="E163" s="40">
        <v>0</v>
      </c>
      <c r="F163" s="40">
        <v>0</v>
      </c>
      <c r="G163" s="40">
        <v>0</v>
      </c>
    </row>
    <row r="164" spans="2:7" x14ac:dyDescent="0.2">
      <c r="B164" t="s">
        <v>1338</v>
      </c>
      <c r="C164" s="40">
        <v>0</v>
      </c>
      <c r="D164" s="40">
        <v>0</v>
      </c>
      <c r="E164" s="40">
        <v>0</v>
      </c>
      <c r="F164" s="40">
        <v>0</v>
      </c>
      <c r="G164" s="40">
        <v>0</v>
      </c>
    </row>
    <row r="165" spans="2:7" x14ac:dyDescent="0.2">
      <c r="B165" t="s">
        <v>1339</v>
      </c>
      <c r="C165" s="40">
        <v>0</v>
      </c>
      <c r="D165" s="40">
        <v>0</v>
      </c>
      <c r="E165" s="40">
        <v>0</v>
      </c>
      <c r="F165" s="40">
        <v>0</v>
      </c>
      <c r="G165" s="40">
        <v>0</v>
      </c>
    </row>
    <row r="166" spans="2:7" x14ac:dyDescent="0.2">
      <c r="B166" t="s">
        <v>1340</v>
      </c>
      <c r="C166" s="40">
        <v>0</v>
      </c>
      <c r="D166" s="40">
        <v>0</v>
      </c>
      <c r="E166" s="40">
        <v>0</v>
      </c>
      <c r="F166" s="40">
        <v>0</v>
      </c>
      <c r="G166" s="40">
        <v>0</v>
      </c>
    </row>
    <row r="167" spans="2:7" x14ac:dyDescent="0.2">
      <c r="B167" t="s">
        <v>1341</v>
      </c>
      <c r="C167" s="40">
        <v>0</v>
      </c>
      <c r="D167" s="40">
        <v>0</v>
      </c>
      <c r="E167" s="40">
        <v>0</v>
      </c>
      <c r="F167" s="40">
        <v>0</v>
      </c>
      <c r="G167" s="40">
        <v>0</v>
      </c>
    </row>
    <row r="168" spans="2:7" x14ac:dyDescent="0.2">
      <c r="B168" t="s">
        <v>1342</v>
      </c>
      <c r="C168" s="40">
        <v>0</v>
      </c>
      <c r="D168" s="40">
        <v>0</v>
      </c>
      <c r="E168" s="40">
        <v>0</v>
      </c>
      <c r="F168" s="40">
        <v>0</v>
      </c>
      <c r="G168" s="40">
        <v>0</v>
      </c>
    </row>
    <row r="169" spans="2:7" x14ac:dyDescent="0.2">
      <c r="B169" t="s">
        <v>1343</v>
      </c>
      <c r="C169" s="40">
        <v>0</v>
      </c>
      <c r="D169" s="40">
        <v>0</v>
      </c>
      <c r="E169" s="40">
        <v>0</v>
      </c>
      <c r="F169" s="40">
        <v>0</v>
      </c>
      <c r="G169" s="40">
        <v>0</v>
      </c>
    </row>
    <row r="170" spans="2:7" x14ac:dyDescent="0.2">
      <c r="B170" t="s">
        <v>1344</v>
      </c>
      <c r="C170" s="40">
        <v>0</v>
      </c>
      <c r="D170" s="40">
        <v>0</v>
      </c>
      <c r="E170" s="40">
        <v>0</v>
      </c>
      <c r="F170" s="40">
        <v>0</v>
      </c>
      <c r="G170" s="40">
        <v>0</v>
      </c>
    </row>
    <row r="171" spans="2:7" x14ac:dyDescent="0.2">
      <c r="B171" t="s">
        <v>1345</v>
      </c>
      <c r="C171" s="40">
        <v>0</v>
      </c>
      <c r="D171" s="40">
        <v>0</v>
      </c>
      <c r="E171" s="40">
        <v>0</v>
      </c>
      <c r="F171" s="40">
        <v>0</v>
      </c>
      <c r="G171" s="40">
        <v>0</v>
      </c>
    </row>
    <row r="172" spans="2:7" x14ac:dyDescent="0.2">
      <c r="B172" t="s">
        <v>1346</v>
      </c>
      <c r="C172" s="40">
        <v>0</v>
      </c>
      <c r="D172" s="40">
        <v>0</v>
      </c>
      <c r="E172" s="40">
        <v>0</v>
      </c>
      <c r="F172" s="40">
        <v>0</v>
      </c>
      <c r="G172" s="40">
        <v>0</v>
      </c>
    </row>
    <row r="173" spans="2:7" x14ac:dyDescent="0.2">
      <c r="B173" t="s">
        <v>1347</v>
      </c>
      <c r="C173" s="40">
        <v>0</v>
      </c>
      <c r="D173" s="40">
        <v>0</v>
      </c>
      <c r="E173" s="40">
        <v>0</v>
      </c>
      <c r="F173" s="40">
        <v>0</v>
      </c>
      <c r="G173" s="40">
        <v>0</v>
      </c>
    </row>
    <row r="174" spans="2:7" x14ac:dyDescent="0.2">
      <c r="B174" t="s">
        <v>1348</v>
      </c>
      <c r="C174" s="40">
        <v>0</v>
      </c>
      <c r="D174" s="40">
        <v>0</v>
      </c>
      <c r="E174" s="40">
        <v>0</v>
      </c>
      <c r="F174" s="40">
        <v>0</v>
      </c>
      <c r="G174" s="40">
        <v>0</v>
      </c>
    </row>
    <row r="175" spans="2:7" x14ac:dyDescent="0.2">
      <c r="B175" t="s">
        <v>1349</v>
      </c>
      <c r="C175" s="40">
        <v>0</v>
      </c>
      <c r="D175" s="40">
        <v>0</v>
      </c>
      <c r="E175" s="40">
        <v>0</v>
      </c>
      <c r="F175" s="40">
        <v>0</v>
      </c>
      <c r="G175" s="40">
        <v>0</v>
      </c>
    </row>
    <row r="176" spans="2:7" x14ac:dyDescent="0.2">
      <c r="B176" t="s">
        <v>1350</v>
      </c>
      <c r="C176" s="40">
        <v>1930470803</v>
      </c>
      <c r="D176" s="40">
        <v>1962857061</v>
      </c>
      <c r="E176" s="40">
        <v>1964082555</v>
      </c>
      <c r="F176" s="40">
        <v>2004766595</v>
      </c>
      <c r="G176" s="40">
        <v>2063255961</v>
      </c>
    </row>
    <row r="177" spans="2:7" x14ac:dyDescent="0.2">
      <c r="B177" t="s">
        <v>1351</v>
      </c>
      <c r="C177" s="40">
        <v>1068624543</v>
      </c>
      <c r="D177" s="40">
        <v>1031609042</v>
      </c>
      <c r="E177" s="40">
        <v>980045653</v>
      </c>
      <c r="F177" s="40">
        <v>1114466578</v>
      </c>
      <c r="G177" s="40">
        <v>1132227997</v>
      </c>
    </row>
    <row r="178" spans="2:7" x14ac:dyDescent="0.2">
      <c r="B178" t="s">
        <v>1352</v>
      </c>
      <c r="C178" s="40">
        <v>413503285</v>
      </c>
      <c r="D178" s="40">
        <v>401943459</v>
      </c>
      <c r="E178" s="40">
        <v>419323048</v>
      </c>
      <c r="F178" s="40">
        <v>415367776</v>
      </c>
      <c r="G178" s="40">
        <v>417632375</v>
      </c>
    </row>
    <row r="179" spans="2:7" x14ac:dyDescent="0.2">
      <c r="B179" t="s">
        <v>1353</v>
      </c>
      <c r="C179" s="40">
        <v>496432049</v>
      </c>
      <c r="D179" s="40">
        <v>499661304</v>
      </c>
      <c r="E179" s="40">
        <v>533589306</v>
      </c>
      <c r="F179" s="40">
        <v>527103567</v>
      </c>
      <c r="G179" s="40">
        <v>524798818</v>
      </c>
    </row>
    <row r="180" spans="2:7" x14ac:dyDescent="0.2">
      <c r="B180" t="s">
        <v>1354</v>
      </c>
      <c r="C180" s="40">
        <v>3909030680</v>
      </c>
      <c r="D180" s="40">
        <v>3896070866</v>
      </c>
      <c r="E180" s="40">
        <v>3897040562</v>
      </c>
      <c r="F180" s="40">
        <v>4061704516</v>
      </c>
      <c r="G180" s="40">
        <v>4137915151</v>
      </c>
    </row>
    <row r="181" spans="2:7" x14ac:dyDescent="0.2">
      <c r="B181" t="s">
        <v>1355</v>
      </c>
      <c r="C181" s="40">
        <v>1791275401</v>
      </c>
      <c r="D181" s="40">
        <v>1839916977</v>
      </c>
      <c r="E181" s="40">
        <v>1687567955</v>
      </c>
      <c r="F181" s="40">
        <v>1638658653</v>
      </c>
      <c r="G181" s="40">
        <v>1750748397</v>
      </c>
    </row>
    <row r="182" spans="2:7" x14ac:dyDescent="0.2">
      <c r="B182" t="s">
        <v>1356</v>
      </c>
      <c r="C182" s="40">
        <v>1886349333</v>
      </c>
      <c r="D182" s="40">
        <v>64903530</v>
      </c>
      <c r="E182" s="40">
        <v>208857732</v>
      </c>
      <c r="F182" s="40">
        <v>478570569</v>
      </c>
      <c r="G182" s="40">
        <v>275822354</v>
      </c>
    </row>
    <row r="183" spans="2:7" x14ac:dyDescent="0.2">
      <c r="B183" t="s">
        <v>1357</v>
      </c>
      <c r="C183" s="40">
        <v>0</v>
      </c>
      <c r="D183" s="40">
        <v>0</v>
      </c>
      <c r="E183" s="40">
        <v>0</v>
      </c>
      <c r="F183" s="40">
        <v>8117</v>
      </c>
      <c r="G183" s="40">
        <v>7502</v>
      </c>
    </row>
    <row r="184" spans="2:7" x14ac:dyDescent="0.2">
      <c r="B184" t="s">
        <v>1358</v>
      </c>
      <c r="C184" s="40">
        <v>14927102</v>
      </c>
      <c r="D184" s="40">
        <v>13930558</v>
      </c>
      <c r="E184" s="40">
        <v>12099427</v>
      </c>
      <c r="F184" s="40">
        <v>10776074</v>
      </c>
      <c r="G184" s="40">
        <v>9228525</v>
      </c>
    </row>
    <row r="185" spans="2:7" x14ac:dyDescent="0.2">
      <c r="B185" t="s">
        <v>1359</v>
      </c>
      <c r="C185" s="40">
        <v>1901276435</v>
      </c>
      <c r="D185" s="40">
        <v>78834088</v>
      </c>
      <c r="E185" s="40">
        <v>220957159</v>
      </c>
      <c r="F185" s="40">
        <v>489354760</v>
      </c>
      <c r="G185" s="40">
        <v>285058381</v>
      </c>
    </row>
    <row r="186" spans="2:7" x14ac:dyDescent="0.2">
      <c r="B186" t="s">
        <v>1360</v>
      </c>
      <c r="C186" s="40">
        <v>0</v>
      </c>
      <c r="D186" s="40">
        <v>0</v>
      </c>
      <c r="E186" s="40">
        <v>0</v>
      </c>
      <c r="F186" s="40">
        <v>0</v>
      </c>
      <c r="G186" s="40">
        <v>0</v>
      </c>
    </row>
    <row r="187" spans="2:7" x14ac:dyDescent="0.2">
      <c r="B187" t="s">
        <v>1361</v>
      </c>
      <c r="C187" s="40">
        <v>171765674828</v>
      </c>
      <c r="D187" s="40">
        <v>177827371098</v>
      </c>
      <c r="E187" s="40">
        <v>185499979966</v>
      </c>
      <c r="F187" s="40">
        <v>188502143659</v>
      </c>
      <c r="G187" s="40">
        <v>194419599048</v>
      </c>
    </row>
    <row r="188" spans="2:7" x14ac:dyDescent="0.2">
      <c r="B188" t="s">
        <v>1362</v>
      </c>
      <c r="C188" s="40">
        <v>0</v>
      </c>
      <c r="D188" s="40">
        <v>0</v>
      </c>
      <c r="E188" s="40">
        <v>0</v>
      </c>
      <c r="F188" s="40">
        <v>0</v>
      </c>
      <c r="G188" s="40">
        <v>0</v>
      </c>
    </row>
    <row r="189" spans="2:7" x14ac:dyDescent="0.2">
      <c r="B189" t="s">
        <v>1363</v>
      </c>
      <c r="C189" s="40">
        <v>3097169584</v>
      </c>
      <c r="D189" s="40">
        <v>3225836078</v>
      </c>
      <c r="E189" s="40">
        <v>3152137134</v>
      </c>
      <c r="F189" s="40">
        <v>3757054492</v>
      </c>
      <c r="G189" s="40">
        <v>3818249514</v>
      </c>
    </row>
    <row r="190" spans="2:7" x14ac:dyDescent="0.2">
      <c r="B190" t="s">
        <v>1364</v>
      </c>
      <c r="C190" s="40">
        <v>0</v>
      </c>
      <c r="D190" s="40">
        <v>0</v>
      </c>
      <c r="E190" s="40">
        <v>0</v>
      </c>
      <c r="F190" s="40">
        <v>0</v>
      </c>
      <c r="G190" s="40">
        <v>0</v>
      </c>
    </row>
    <row r="191" spans="2:7" x14ac:dyDescent="0.2">
      <c r="B191" t="s">
        <v>1365</v>
      </c>
      <c r="C191" s="40">
        <v>174862844412</v>
      </c>
      <c r="D191" s="40">
        <v>181053207176</v>
      </c>
      <c r="E191" s="40">
        <v>188652117100</v>
      </c>
      <c r="F191" s="40">
        <v>192259198151</v>
      </c>
      <c r="G191" s="40">
        <v>198237848562</v>
      </c>
    </row>
    <row r="192" spans="2:7" x14ac:dyDescent="0.2">
      <c r="B192" t="s">
        <v>1366</v>
      </c>
      <c r="C192" s="40">
        <v>0</v>
      </c>
      <c r="D192" s="40">
        <v>0</v>
      </c>
      <c r="E192" s="40">
        <v>0</v>
      </c>
      <c r="F192" s="40">
        <v>0</v>
      </c>
      <c r="G192" s="40">
        <v>0</v>
      </c>
    </row>
    <row r="193" spans="2:7" x14ac:dyDescent="0.2">
      <c r="B193" t="s">
        <v>1367</v>
      </c>
      <c r="C193" s="40">
        <v>1759878358731</v>
      </c>
      <c r="D193" s="40">
        <v>1778193527048</v>
      </c>
      <c r="E193" s="40">
        <v>1831817436733</v>
      </c>
      <c r="F193" s="40">
        <v>1829780680753</v>
      </c>
      <c r="G193" s="40">
        <v>1835457459792</v>
      </c>
    </row>
    <row r="194" spans="2:7" x14ac:dyDescent="0.2">
      <c r="B194" t="s">
        <v>1368</v>
      </c>
      <c r="C194" s="40">
        <v>0</v>
      </c>
      <c r="D194" s="40">
        <v>0</v>
      </c>
      <c r="E194" s="40">
        <v>0</v>
      </c>
      <c r="F194" s="40">
        <v>0</v>
      </c>
      <c r="G194" s="40">
        <v>0</v>
      </c>
    </row>
    <row r="195" spans="2:7" x14ac:dyDescent="0.2">
      <c r="B195" t="s">
        <v>1369</v>
      </c>
      <c r="C195" s="40">
        <v>0</v>
      </c>
      <c r="D195" s="40">
        <v>0</v>
      </c>
      <c r="E195" s="40">
        <v>0</v>
      </c>
      <c r="F195" s="40">
        <v>0</v>
      </c>
      <c r="G195" s="40">
        <v>0</v>
      </c>
    </row>
    <row r="196" spans="2:7" x14ac:dyDescent="0.2">
      <c r="B196" t="s">
        <v>1370</v>
      </c>
      <c r="C196" s="40">
        <v>11388</v>
      </c>
      <c r="D196" s="40">
        <v>0</v>
      </c>
      <c r="E196" s="40">
        <v>0</v>
      </c>
      <c r="F196" s="40">
        <v>0</v>
      </c>
      <c r="G196" s="40">
        <v>0</v>
      </c>
    </row>
    <row r="197" spans="2:7" x14ac:dyDescent="0.2">
      <c r="B197" t="s">
        <v>1371</v>
      </c>
      <c r="C197" s="40">
        <v>21</v>
      </c>
      <c r="D197" s="40">
        <v>0</v>
      </c>
      <c r="E197" s="40">
        <v>0</v>
      </c>
      <c r="F197" s="40">
        <v>0</v>
      </c>
      <c r="G197" s="40">
        <v>0</v>
      </c>
    </row>
    <row r="198" spans="2:7" x14ac:dyDescent="0.2">
      <c r="B198" t="s">
        <v>1372</v>
      </c>
      <c r="C198" s="40">
        <v>2070</v>
      </c>
      <c r="D198" s="40">
        <v>0</v>
      </c>
      <c r="E198" s="40">
        <v>0</v>
      </c>
      <c r="F198" s="40">
        <v>0</v>
      </c>
      <c r="G198" s="40">
        <v>0</v>
      </c>
    </row>
    <row r="199" spans="2:7" x14ac:dyDescent="0.2">
      <c r="B199" t="s">
        <v>1373</v>
      </c>
      <c r="C199" s="40">
        <v>2401</v>
      </c>
      <c r="D199" s="40">
        <v>0</v>
      </c>
      <c r="E199" s="40">
        <v>0</v>
      </c>
      <c r="F199" s="40">
        <v>0</v>
      </c>
      <c r="G199" s="40">
        <v>0</v>
      </c>
    </row>
    <row r="200" spans="2:7" x14ac:dyDescent="0.2">
      <c r="B200" t="s">
        <v>1374</v>
      </c>
      <c r="C200" s="40">
        <v>6</v>
      </c>
      <c r="D200" s="40">
        <v>0</v>
      </c>
      <c r="E200" s="40">
        <v>0</v>
      </c>
      <c r="F200" s="40">
        <v>0</v>
      </c>
      <c r="G200" s="40">
        <v>0</v>
      </c>
    </row>
    <row r="201" spans="2:7" x14ac:dyDescent="0.2">
      <c r="B201" t="s">
        <v>1375</v>
      </c>
      <c r="C201" s="40">
        <v>0</v>
      </c>
      <c r="D201" s="40">
        <v>0</v>
      </c>
      <c r="E201" s="40">
        <v>0</v>
      </c>
      <c r="F201" s="40">
        <v>0</v>
      </c>
      <c r="G201" s="40">
        <v>0</v>
      </c>
    </row>
    <row r="202" spans="2:7" x14ac:dyDescent="0.2">
      <c r="B202" t="s">
        <v>1376</v>
      </c>
      <c r="C202" s="40">
        <v>0</v>
      </c>
      <c r="D202" s="40">
        <v>0</v>
      </c>
      <c r="E202" s="40">
        <v>0</v>
      </c>
      <c r="F202" s="40">
        <v>0</v>
      </c>
      <c r="G202" s="40">
        <v>0</v>
      </c>
    </row>
    <row r="203" spans="2:7" x14ac:dyDescent="0.2">
      <c r="B203" t="s">
        <v>1377</v>
      </c>
      <c r="C203" s="40">
        <v>0</v>
      </c>
      <c r="D203" s="40">
        <v>0</v>
      </c>
      <c r="E203" s="40">
        <v>0</v>
      </c>
      <c r="F203" s="40">
        <v>0</v>
      </c>
      <c r="G203" s="40">
        <v>0</v>
      </c>
    </row>
    <row r="204" spans="2:7" x14ac:dyDescent="0.2">
      <c r="B204" t="s">
        <v>1378</v>
      </c>
      <c r="C204" s="40">
        <v>141889994</v>
      </c>
      <c r="D204" s="40">
        <v>142333530</v>
      </c>
      <c r="E204" s="40">
        <v>143240983</v>
      </c>
      <c r="F204" s="40">
        <v>143782416</v>
      </c>
      <c r="G204" s="40">
        <v>144966230</v>
      </c>
    </row>
    <row r="205" spans="2:7" x14ac:dyDescent="0.2">
      <c r="B205" t="s">
        <v>1379</v>
      </c>
      <c r="C205" s="40">
        <v>4959988443</v>
      </c>
      <c r="D205" s="40">
        <v>4979168561</v>
      </c>
      <c r="E205" s="40">
        <v>5080659238</v>
      </c>
      <c r="F205" s="40">
        <v>5089495033</v>
      </c>
      <c r="G205" s="40">
        <v>5228186790</v>
      </c>
    </row>
    <row r="206" spans="2:7" x14ac:dyDescent="0.2">
      <c r="B206" t="s">
        <v>1380</v>
      </c>
      <c r="C206" s="40">
        <v>0</v>
      </c>
      <c r="D206" s="40">
        <v>0</v>
      </c>
      <c r="E206" s="40">
        <v>0</v>
      </c>
      <c r="F206" s="40">
        <v>0</v>
      </c>
      <c r="G206" s="40">
        <v>0</v>
      </c>
    </row>
    <row r="207" spans="2:7" x14ac:dyDescent="0.2">
      <c r="B207" t="s">
        <v>1381</v>
      </c>
      <c r="C207" s="40">
        <v>4799920</v>
      </c>
      <c r="D207" s="40">
        <v>5159941</v>
      </c>
      <c r="E207" s="40">
        <v>4032908</v>
      </c>
      <c r="F207" s="40">
        <v>3982947</v>
      </c>
      <c r="G207" s="40">
        <v>4765647</v>
      </c>
    </row>
    <row r="208" spans="2:7" x14ac:dyDescent="0.2">
      <c r="B208" t="s">
        <v>1382</v>
      </c>
      <c r="C208" s="40">
        <v>0</v>
      </c>
      <c r="D208" s="40">
        <v>0</v>
      </c>
      <c r="E208" s="40">
        <v>0</v>
      </c>
      <c r="F208" s="40">
        <v>0</v>
      </c>
      <c r="G208" s="40">
        <v>0</v>
      </c>
    </row>
    <row r="209" spans="2:7" x14ac:dyDescent="0.2">
      <c r="B209" t="s">
        <v>1383</v>
      </c>
      <c r="C209" s="40">
        <v>0</v>
      </c>
      <c r="D209" s="40">
        <v>0</v>
      </c>
      <c r="E209" s="40">
        <v>0</v>
      </c>
      <c r="F209" s="40">
        <v>0</v>
      </c>
      <c r="G209" s="40">
        <v>0</v>
      </c>
    </row>
    <row r="210" spans="2:7" x14ac:dyDescent="0.2">
      <c r="B210" t="s">
        <v>1384</v>
      </c>
      <c r="C210" s="40">
        <v>0</v>
      </c>
      <c r="D210" s="40">
        <v>0</v>
      </c>
      <c r="E210" s="40">
        <v>0</v>
      </c>
      <c r="F210" s="40">
        <v>0</v>
      </c>
      <c r="G210" s="40">
        <v>0</v>
      </c>
    </row>
    <row r="211" spans="2:7" x14ac:dyDescent="0.2">
      <c r="B211" t="s">
        <v>1385</v>
      </c>
      <c r="C211" s="40">
        <v>0</v>
      </c>
      <c r="D211" s="40">
        <v>0</v>
      </c>
      <c r="E211" s="40">
        <v>0</v>
      </c>
      <c r="F211" s="40">
        <v>0</v>
      </c>
      <c r="G211" s="40">
        <v>0</v>
      </c>
    </row>
    <row r="212" spans="2:7" x14ac:dyDescent="0.2">
      <c r="B212" t="s">
        <v>1386</v>
      </c>
      <c r="C212" s="40">
        <v>0</v>
      </c>
      <c r="D212" s="40">
        <v>0</v>
      </c>
      <c r="E212" s="40">
        <v>0</v>
      </c>
      <c r="F212" s="40">
        <v>0</v>
      </c>
      <c r="G212" s="40">
        <v>0</v>
      </c>
    </row>
    <row r="213" spans="2:7" x14ac:dyDescent="0.2">
      <c r="B213" t="s">
        <v>1387</v>
      </c>
      <c r="C213" s="40">
        <v>6650813041</v>
      </c>
      <c r="D213" s="40">
        <v>7474473940</v>
      </c>
      <c r="E213" s="40">
        <v>7732189998</v>
      </c>
      <c r="F213" s="40">
        <v>8009875721</v>
      </c>
      <c r="G213" s="40">
        <v>8684874290</v>
      </c>
    </row>
    <row r="214" spans="2:7" x14ac:dyDescent="0.2">
      <c r="B214" t="s">
        <v>1388</v>
      </c>
      <c r="C214" s="40">
        <v>0</v>
      </c>
      <c r="D214" s="40">
        <v>0</v>
      </c>
      <c r="E214" s="40">
        <v>0</v>
      </c>
      <c r="F214" s="40">
        <v>0</v>
      </c>
      <c r="G214" s="40">
        <v>0</v>
      </c>
    </row>
    <row r="215" spans="2:7" x14ac:dyDescent="0.2">
      <c r="B215" t="s">
        <v>1389</v>
      </c>
      <c r="C215" s="40">
        <v>7783553644</v>
      </c>
      <c r="D215" s="40">
        <v>8008323756</v>
      </c>
      <c r="E215" s="40">
        <v>8356601781</v>
      </c>
      <c r="F215" s="40">
        <v>8527660930</v>
      </c>
      <c r="G215" s="40">
        <v>8794758731</v>
      </c>
    </row>
    <row r="216" spans="2:7" x14ac:dyDescent="0.2">
      <c r="B216" t="s">
        <v>1390</v>
      </c>
      <c r="C216" s="40">
        <v>0</v>
      </c>
      <c r="D216" s="40">
        <v>0</v>
      </c>
      <c r="E216" s="40">
        <v>0</v>
      </c>
      <c r="F216" s="40">
        <v>0</v>
      </c>
      <c r="G216" s="40">
        <v>0</v>
      </c>
    </row>
    <row r="217" spans="2:7" x14ac:dyDescent="0.2">
      <c r="B217" t="s">
        <v>1391</v>
      </c>
      <c r="C217" s="40">
        <v>0</v>
      </c>
      <c r="D217" s="40">
        <v>0</v>
      </c>
      <c r="E217" s="40">
        <v>0</v>
      </c>
      <c r="F217" s="40">
        <v>0</v>
      </c>
      <c r="G217" s="40">
        <v>0</v>
      </c>
    </row>
    <row r="218" spans="2:7" x14ac:dyDescent="0.2">
      <c r="B218" t="s">
        <v>1392</v>
      </c>
      <c r="C218" s="40">
        <v>0</v>
      </c>
      <c r="D218" s="40">
        <v>0</v>
      </c>
      <c r="E218" s="40">
        <v>0</v>
      </c>
      <c r="F218" s="40">
        <v>0</v>
      </c>
      <c r="G218" s="40">
        <v>0</v>
      </c>
    </row>
    <row r="219" spans="2:7" x14ac:dyDescent="0.2">
      <c r="B219" t="s">
        <v>1393</v>
      </c>
      <c r="C219" s="40">
        <v>0</v>
      </c>
      <c r="D219" s="40">
        <v>0</v>
      </c>
      <c r="E219" s="40">
        <v>0</v>
      </c>
      <c r="F219" s="40">
        <v>0</v>
      </c>
      <c r="G219" s="40">
        <v>0</v>
      </c>
    </row>
    <row r="220" spans="2:7" x14ac:dyDescent="0.2">
      <c r="B220" t="s">
        <v>1394</v>
      </c>
      <c r="C220" s="40">
        <v>0</v>
      </c>
      <c r="D220" s="40">
        <v>0</v>
      </c>
      <c r="E220" s="40">
        <v>0</v>
      </c>
      <c r="F220" s="40">
        <v>0</v>
      </c>
      <c r="G220" s="40">
        <v>0</v>
      </c>
    </row>
    <row r="221" spans="2:7" x14ac:dyDescent="0.2">
      <c r="B221" t="s">
        <v>1395</v>
      </c>
      <c r="C221" s="40">
        <v>0</v>
      </c>
      <c r="D221" s="40">
        <v>0</v>
      </c>
      <c r="E221" s="40">
        <v>0</v>
      </c>
      <c r="F221" s="40">
        <v>0</v>
      </c>
      <c r="G221" s="40">
        <v>0</v>
      </c>
    </row>
    <row r="222" spans="2:7" x14ac:dyDescent="0.2">
      <c r="B222" t="s">
        <v>1396</v>
      </c>
      <c r="C222" s="40">
        <v>0</v>
      </c>
      <c r="D222" s="40">
        <v>0</v>
      </c>
      <c r="E222" s="40">
        <v>0</v>
      </c>
      <c r="F222" s="40">
        <v>0</v>
      </c>
      <c r="G222" s="40">
        <v>0</v>
      </c>
    </row>
    <row r="223" spans="2:7" x14ac:dyDescent="0.2">
      <c r="B223" t="s">
        <v>1397</v>
      </c>
      <c r="C223" s="40">
        <v>0</v>
      </c>
      <c r="D223" s="40">
        <v>0</v>
      </c>
      <c r="E223" s="40">
        <v>0</v>
      </c>
      <c r="F223" s="40">
        <v>0</v>
      </c>
      <c r="G223" s="40">
        <v>0</v>
      </c>
    </row>
    <row r="224" spans="2:7" x14ac:dyDescent="0.2">
      <c r="B224" t="s">
        <v>1398</v>
      </c>
      <c r="C224" s="40">
        <v>0</v>
      </c>
      <c r="D224" s="40">
        <v>0</v>
      </c>
      <c r="E224" s="40">
        <v>0</v>
      </c>
      <c r="F224" s="40">
        <v>0</v>
      </c>
      <c r="G224" s="40">
        <v>0</v>
      </c>
    </row>
    <row r="225" spans="2:7" x14ac:dyDescent="0.2">
      <c r="B225" t="s">
        <v>1399</v>
      </c>
      <c r="C225" s="40">
        <v>0</v>
      </c>
      <c r="D225" s="40">
        <v>0</v>
      </c>
      <c r="E225" s="40">
        <v>0</v>
      </c>
      <c r="F225" s="40">
        <v>0</v>
      </c>
      <c r="G225" s="40">
        <v>0</v>
      </c>
    </row>
    <row r="226" spans="2:7" x14ac:dyDescent="0.2">
      <c r="B226" t="s">
        <v>1400</v>
      </c>
      <c r="C226" s="40">
        <v>0</v>
      </c>
      <c r="D226" s="40">
        <v>0</v>
      </c>
      <c r="E226" s="40">
        <v>0</v>
      </c>
      <c r="F226" s="40">
        <v>0</v>
      </c>
      <c r="G226" s="40">
        <v>0</v>
      </c>
    </row>
    <row r="227" spans="2:7" x14ac:dyDescent="0.2">
      <c r="B227" t="s">
        <v>1401</v>
      </c>
      <c r="C227" s="40">
        <v>0</v>
      </c>
      <c r="D227" s="40">
        <v>0</v>
      </c>
      <c r="E227" s="40">
        <v>0</v>
      </c>
      <c r="F227" s="40">
        <v>0</v>
      </c>
      <c r="G227" s="40">
        <v>0</v>
      </c>
    </row>
    <row r="228" spans="2:7" x14ac:dyDescent="0.2">
      <c r="B228" t="s">
        <v>1402</v>
      </c>
      <c r="C228" s="40">
        <v>0</v>
      </c>
      <c r="D228" s="40">
        <v>0</v>
      </c>
      <c r="E228" s="40">
        <v>0</v>
      </c>
      <c r="F228" s="40">
        <v>0</v>
      </c>
      <c r="G228" s="40">
        <v>0</v>
      </c>
    </row>
    <row r="229" spans="2:7" x14ac:dyDescent="0.2">
      <c r="B229" t="s">
        <v>1403</v>
      </c>
      <c r="C229" s="40">
        <v>0</v>
      </c>
      <c r="D229" s="40">
        <v>0</v>
      </c>
      <c r="E229" s="40">
        <v>0</v>
      </c>
      <c r="F229" s="40">
        <v>0</v>
      </c>
      <c r="G229" s="40">
        <v>0</v>
      </c>
    </row>
    <row r="230" spans="2:7" x14ac:dyDescent="0.2">
      <c r="B230" t="s">
        <v>1404</v>
      </c>
      <c r="C230" s="40">
        <v>0</v>
      </c>
      <c r="D230" s="40">
        <v>0</v>
      </c>
      <c r="E230" s="40">
        <v>0</v>
      </c>
      <c r="F230" s="40">
        <v>0</v>
      </c>
      <c r="G230" s="40">
        <v>0</v>
      </c>
    </row>
    <row r="231" spans="2:7" x14ac:dyDescent="0.2">
      <c r="B231" t="s">
        <v>1405</v>
      </c>
      <c r="C231" s="40">
        <v>0</v>
      </c>
      <c r="D231" s="40">
        <v>0</v>
      </c>
      <c r="E231" s="40">
        <v>0</v>
      </c>
      <c r="F231" s="40">
        <v>0</v>
      </c>
      <c r="G231" s="40">
        <v>0</v>
      </c>
    </row>
    <row r="232" spans="2:7" x14ac:dyDescent="0.2">
      <c r="B232" t="s">
        <v>1406</v>
      </c>
      <c r="C232" s="40">
        <v>0</v>
      </c>
      <c r="D232" s="40">
        <v>0</v>
      </c>
      <c r="E232" s="40">
        <v>0</v>
      </c>
      <c r="F232" s="40">
        <v>0</v>
      </c>
      <c r="G232" s="40">
        <v>0</v>
      </c>
    </row>
    <row r="233" spans="2:7" x14ac:dyDescent="0.2">
      <c r="B233" t="s">
        <v>1407</v>
      </c>
      <c r="C233" s="40">
        <v>0</v>
      </c>
      <c r="D233" s="40">
        <v>0</v>
      </c>
      <c r="E233" s="40">
        <v>0</v>
      </c>
      <c r="F233" s="40">
        <v>0</v>
      </c>
      <c r="G233" s="40">
        <v>0</v>
      </c>
    </row>
    <row r="234" spans="2:7" x14ac:dyDescent="0.2">
      <c r="B234" t="s">
        <v>1408</v>
      </c>
      <c r="C234" s="40">
        <v>0</v>
      </c>
      <c r="D234" s="40">
        <v>0</v>
      </c>
      <c r="E234" s="40">
        <v>0</v>
      </c>
      <c r="F234" s="40">
        <v>0</v>
      </c>
      <c r="G234" s="40">
        <v>0</v>
      </c>
    </row>
    <row r="235" spans="2:7" x14ac:dyDescent="0.2">
      <c r="B235" t="s">
        <v>1409</v>
      </c>
      <c r="C235" s="40">
        <v>56322680587</v>
      </c>
      <c r="D235" s="40">
        <v>56769594266</v>
      </c>
      <c r="E235" s="40">
        <v>54798290476</v>
      </c>
      <c r="F235" s="40">
        <v>54237824587</v>
      </c>
      <c r="G235" s="40">
        <v>54248797047</v>
      </c>
    </row>
    <row r="236" spans="2:7" x14ac:dyDescent="0.2">
      <c r="B236" t="s">
        <v>1410</v>
      </c>
      <c r="C236" s="40">
        <v>80770125</v>
      </c>
      <c r="D236" s="40">
        <v>800158234</v>
      </c>
      <c r="E236" s="40">
        <v>365840198</v>
      </c>
      <c r="F236" s="40">
        <v>118410006</v>
      </c>
      <c r="G236" s="40">
        <v>55960581</v>
      </c>
    </row>
    <row r="237" spans="2:7" x14ac:dyDescent="0.2">
      <c r="B237" t="s">
        <v>1411</v>
      </c>
      <c r="C237" s="40">
        <v>0</v>
      </c>
      <c r="D237" s="40">
        <v>0</v>
      </c>
      <c r="E237" s="40">
        <v>0</v>
      </c>
      <c r="F237" s="40">
        <v>0</v>
      </c>
      <c r="G237" s="40">
        <v>0</v>
      </c>
    </row>
    <row r="238" spans="2:7" x14ac:dyDescent="0.2">
      <c r="B238" t="s">
        <v>1412</v>
      </c>
      <c r="C238" s="40">
        <v>0</v>
      </c>
      <c r="D238" s="40">
        <v>0</v>
      </c>
      <c r="E238" s="40">
        <v>0</v>
      </c>
      <c r="F238" s="40">
        <v>0</v>
      </c>
      <c r="G238" s="40">
        <v>0</v>
      </c>
    </row>
    <row r="239" spans="2:7" x14ac:dyDescent="0.2">
      <c r="B239" t="s">
        <v>1413</v>
      </c>
      <c r="C239" s="40">
        <v>0</v>
      </c>
      <c r="D239" s="40">
        <v>0</v>
      </c>
      <c r="E239" s="40">
        <v>0</v>
      </c>
      <c r="F239" s="40">
        <v>0</v>
      </c>
      <c r="G239" s="40">
        <v>0</v>
      </c>
    </row>
    <row r="240" spans="2:7" x14ac:dyDescent="0.2">
      <c r="B240" t="s">
        <v>1414</v>
      </c>
      <c r="C240" s="40">
        <v>0</v>
      </c>
      <c r="D240" s="40">
        <v>0</v>
      </c>
      <c r="E240" s="40">
        <v>0</v>
      </c>
      <c r="F240" s="40">
        <v>0</v>
      </c>
      <c r="G240" s="40">
        <v>0</v>
      </c>
    </row>
    <row r="241" spans="2:7" x14ac:dyDescent="0.2">
      <c r="B241" t="s">
        <v>1415</v>
      </c>
      <c r="C241" s="40">
        <v>12688135212</v>
      </c>
      <c r="D241" s="40">
        <v>12982327446</v>
      </c>
      <c r="E241" s="40">
        <v>13201732763</v>
      </c>
      <c r="F241" s="40">
        <v>13576215459</v>
      </c>
      <c r="G241" s="40">
        <v>13734996140</v>
      </c>
    </row>
    <row r="242" spans="2:7" x14ac:dyDescent="0.2">
      <c r="B242" t="s">
        <v>1416</v>
      </c>
      <c r="C242" s="40">
        <v>447599526</v>
      </c>
      <c r="D242" s="40">
        <v>473561464</v>
      </c>
      <c r="E242" s="40">
        <v>437715221</v>
      </c>
      <c r="F242" s="40">
        <v>461395472</v>
      </c>
      <c r="G242" s="40">
        <v>386582655</v>
      </c>
    </row>
    <row r="243" spans="2:7" x14ac:dyDescent="0.2">
      <c r="B243" t="s">
        <v>1417</v>
      </c>
      <c r="C243" s="40">
        <v>193221650</v>
      </c>
      <c r="D243" s="40">
        <v>299698386</v>
      </c>
      <c r="E243" s="40">
        <v>98483267</v>
      </c>
      <c r="F243" s="40">
        <v>163172108</v>
      </c>
      <c r="G243" s="40">
        <v>264071581</v>
      </c>
    </row>
    <row r="244" spans="2:7" x14ac:dyDescent="0.2">
      <c r="B244" t="s">
        <v>1418</v>
      </c>
      <c r="C244" s="40">
        <v>70267127581</v>
      </c>
      <c r="D244" s="40">
        <v>94940196518</v>
      </c>
      <c r="E244" s="40">
        <v>24703101252</v>
      </c>
      <c r="F244" s="40">
        <v>50127323350</v>
      </c>
      <c r="G244" s="40">
        <v>76392284825</v>
      </c>
    </row>
    <row r="245" spans="2:7" x14ac:dyDescent="0.2">
      <c r="B245" t="s">
        <v>1419</v>
      </c>
      <c r="C245" s="40">
        <v>85526734298</v>
      </c>
      <c r="D245" s="40">
        <v>115168599362</v>
      </c>
      <c r="E245" s="40">
        <v>29614448194</v>
      </c>
      <c r="F245" s="40">
        <v>60427440893</v>
      </c>
      <c r="G245" s="40">
        <v>92017771008</v>
      </c>
    </row>
    <row r="246" spans="2:7" x14ac:dyDescent="0.2">
      <c r="B246" t="s">
        <v>1420</v>
      </c>
      <c r="C246" s="40">
        <v>0</v>
      </c>
      <c r="D246" s="40">
        <v>0</v>
      </c>
      <c r="E246" s="40">
        <v>0</v>
      </c>
      <c r="F246" s="40">
        <v>0</v>
      </c>
      <c r="G246" s="40">
        <v>0</v>
      </c>
    </row>
    <row r="247" spans="2:7" x14ac:dyDescent="0.2">
      <c r="B247" t="s">
        <v>1421</v>
      </c>
      <c r="C247" s="40">
        <v>20234394985</v>
      </c>
      <c r="D247" s="40">
        <v>26626369138</v>
      </c>
      <c r="E247" s="40">
        <v>6155882747</v>
      </c>
      <c r="F247" s="40">
        <v>13005090262</v>
      </c>
      <c r="G247" s="40">
        <v>20023125372</v>
      </c>
    </row>
    <row r="248" spans="2:7" x14ac:dyDescent="0.2">
      <c r="B248" t="s">
        <v>1422</v>
      </c>
      <c r="C248" s="40">
        <v>15436674</v>
      </c>
      <c r="D248" s="40">
        <v>42137922</v>
      </c>
      <c r="E248" s="40">
        <v>6639723</v>
      </c>
      <c r="F248" s="40">
        <v>13327913</v>
      </c>
      <c r="G248" s="40">
        <v>20163328</v>
      </c>
    </row>
    <row r="249" spans="2:7" x14ac:dyDescent="0.2">
      <c r="B249" t="s">
        <v>1423</v>
      </c>
      <c r="C249" s="40">
        <v>15238448523</v>
      </c>
      <c r="D249" s="40">
        <v>20207488087</v>
      </c>
      <c r="E249" s="40">
        <v>4900037942</v>
      </c>
      <c r="F249" s="40">
        <v>10271853553</v>
      </c>
      <c r="G249" s="40">
        <v>15588241171</v>
      </c>
    </row>
    <row r="250" spans="2:7" x14ac:dyDescent="0.2">
      <c r="B250" t="s">
        <v>1424</v>
      </c>
      <c r="C250" s="40">
        <v>0</v>
      </c>
      <c r="D250" s="40">
        <v>0</v>
      </c>
      <c r="E250" s="40">
        <v>0</v>
      </c>
      <c r="F250" s="40">
        <v>0</v>
      </c>
      <c r="G250" s="40">
        <v>0</v>
      </c>
    </row>
    <row r="251" spans="2:7" x14ac:dyDescent="0.2">
      <c r="B251" t="s">
        <v>1425</v>
      </c>
      <c r="C251" s="40">
        <v>0</v>
      </c>
      <c r="D251" s="40">
        <v>0</v>
      </c>
      <c r="E251" s="40">
        <v>0</v>
      </c>
      <c r="F251" s="40">
        <v>0</v>
      </c>
      <c r="G251" s="40">
        <v>0</v>
      </c>
    </row>
    <row r="252" spans="2:7" x14ac:dyDescent="0.2">
      <c r="B252" t="s">
        <v>1426</v>
      </c>
      <c r="C252" s="40">
        <v>0</v>
      </c>
      <c r="D252" s="40">
        <v>0</v>
      </c>
      <c r="E252" s="40">
        <v>0</v>
      </c>
      <c r="F252" s="40">
        <v>0</v>
      </c>
      <c r="G252" s="40">
        <v>0</v>
      </c>
    </row>
    <row r="253" spans="2:7" x14ac:dyDescent="0.2">
      <c r="B253" t="s">
        <v>1427</v>
      </c>
      <c r="C253" s="40">
        <v>0</v>
      </c>
      <c r="D253" s="40">
        <v>0</v>
      </c>
      <c r="E253" s="40">
        <v>0</v>
      </c>
      <c r="F253" s="40">
        <v>0</v>
      </c>
      <c r="G253" s="40">
        <v>0</v>
      </c>
    </row>
    <row r="254" spans="2:7" x14ac:dyDescent="0.2">
      <c r="B254" t="s">
        <v>1428</v>
      </c>
      <c r="C254" s="40">
        <v>0</v>
      </c>
      <c r="D254" s="40">
        <v>0</v>
      </c>
      <c r="E254" s="40">
        <v>0</v>
      </c>
      <c r="F254" s="40">
        <v>0</v>
      </c>
      <c r="G254" s="40">
        <v>0</v>
      </c>
    </row>
    <row r="255" spans="2:7" x14ac:dyDescent="0.2">
      <c r="B255" t="s">
        <v>1429</v>
      </c>
      <c r="C255" s="40">
        <v>0</v>
      </c>
      <c r="D255" s="40">
        <v>0</v>
      </c>
      <c r="E255" s="40">
        <v>0</v>
      </c>
      <c r="F255" s="40">
        <v>0</v>
      </c>
      <c r="G255" s="40">
        <v>0</v>
      </c>
    </row>
    <row r="256" spans="2:7" x14ac:dyDescent="0.2">
      <c r="B256" t="s">
        <v>1430</v>
      </c>
      <c r="C256" s="40">
        <v>0</v>
      </c>
      <c r="D256" s="40">
        <v>0</v>
      </c>
      <c r="E256" s="40">
        <v>0</v>
      </c>
      <c r="F256" s="40">
        <v>0</v>
      </c>
      <c r="G256" s="40">
        <v>0</v>
      </c>
    </row>
    <row r="257" spans="2:7" x14ac:dyDescent="0.2">
      <c r="B257" t="s">
        <v>1431</v>
      </c>
      <c r="C257" s="40">
        <v>0</v>
      </c>
      <c r="D257" s="40">
        <v>0</v>
      </c>
      <c r="E257" s="40">
        <v>0</v>
      </c>
      <c r="F257" s="40">
        <v>0</v>
      </c>
      <c r="G257" s="40">
        <v>0</v>
      </c>
    </row>
    <row r="258" spans="2:7" x14ac:dyDescent="0.2">
      <c r="B258" t="s">
        <v>1432</v>
      </c>
      <c r="C258" s="40">
        <v>0</v>
      </c>
      <c r="D258" s="40">
        <v>0</v>
      </c>
      <c r="E258" s="40">
        <v>0</v>
      </c>
      <c r="F258" s="40">
        <v>0</v>
      </c>
      <c r="G258" s="40">
        <v>0</v>
      </c>
    </row>
    <row r="259" spans="2:7" x14ac:dyDescent="0.2">
      <c r="B259" t="s">
        <v>1433</v>
      </c>
      <c r="C259" s="40">
        <v>0</v>
      </c>
      <c r="D259" s="40">
        <v>0</v>
      </c>
      <c r="E259" s="40">
        <v>0</v>
      </c>
      <c r="F259" s="40">
        <v>0</v>
      </c>
      <c r="G259" s="40">
        <v>0</v>
      </c>
    </row>
    <row r="260" spans="2:7" x14ac:dyDescent="0.2">
      <c r="B260" t="s">
        <v>1434</v>
      </c>
      <c r="C260" s="40">
        <v>0</v>
      </c>
      <c r="D260" s="40">
        <v>0</v>
      </c>
      <c r="E260" s="40">
        <v>0</v>
      </c>
      <c r="F260" s="40">
        <v>0</v>
      </c>
      <c r="G260" s="40">
        <v>0</v>
      </c>
    </row>
    <row r="261" spans="2:7" x14ac:dyDescent="0.2">
      <c r="B261" t="s">
        <v>1435</v>
      </c>
      <c r="C261" s="40">
        <v>3178572</v>
      </c>
      <c r="D261" s="40">
        <v>3446155</v>
      </c>
      <c r="E261" s="40">
        <v>2963995</v>
      </c>
      <c r="F261" s="40">
        <v>2641686</v>
      </c>
      <c r="G261" s="40">
        <v>3113559</v>
      </c>
    </row>
    <row r="262" spans="2:7" x14ac:dyDescent="0.2">
      <c r="B262" t="s">
        <v>1436</v>
      </c>
      <c r="C262" s="40">
        <v>350948</v>
      </c>
      <c r="D262" s="40">
        <v>159712</v>
      </c>
      <c r="E262" s="40">
        <v>168907</v>
      </c>
      <c r="F262" s="40">
        <v>121576</v>
      </c>
      <c r="G262" s="40">
        <v>119419</v>
      </c>
    </row>
    <row r="263" spans="2:7" x14ac:dyDescent="0.2">
      <c r="B263" t="s">
        <v>1437</v>
      </c>
      <c r="C263" s="40">
        <v>74346</v>
      </c>
      <c r="D263" s="40">
        <v>7013</v>
      </c>
      <c r="E263" s="40">
        <v>8283</v>
      </c>
      <c r="F263" s="40">
        <v>15598</v>
      </c>
      <c r="G263" s="40">
        <v>10617</v>
      </c>
    </row>
    <row r="264" spans="2:7" x14ac:dyDescent="0.2">
      <c r="B264" t="s">
        <v>1438</v>
      </c>
      <c r="C264" s="40">
        <v>6068856</v>
      </c>
      <c r="D264" s="40">
        <v>6136652</v>
      </c>
      <c r="E264" s="40">
        <v>4878165</v>
      </c>
      <c r="F264" s="40">
        <v>4850475</v>
      </c>
      <c r="G264" s="40">
        <v>5610909</v>
      </c>
    </row>
    <row r="265" spans="2:7" x14ac:dyDescent="0.2">
      <c r="B265" t="s">
        <v>1439</v>
      </c>
      <c r="C265" s="40">
        <v>7419980897</v>
      </c>
      <c r="D265" s="40">
        <v>10061901845</v>
      </c>
      <c r="E265" s="40">
        <v>2378892185</v>
      </c>
      <c r="F265" s="40">
        <v>4823891437</v>
      </c>
      <c r="G265" s="40">
        <v>7423082478</v>
      </c>
    </row>
    <row r="266" spans="2:7" x14ac:dyDescent="0.2">
      <c r="B266" t="s">
        <v>1440</v>
      </c>
      <c r="C266" s="40">
        <v>0</v>
      </c>
      <c r="D266" s="40">
        <v>0</v>
      </c>
      <c r="E266" s="40">
        <v>0</v>
      </c>
      <c r="F266" s="40">
        <v>0</v>
      </c>
      <c r="G266" s="40">
        <v>0</v>
      </c>
    </row>
    <row r="267" spans="2:7" x14ac:dyDescent="0.2">
      <c r="B267" t="s">
        <v>1441</v>
      </c>
      <c r="C267" s="40">
        <v>0</v>
      </c>
      <c r="D267" s="40">
        <v>0</v>
      </c>
      <c r="E267" s="40">
        <v>0</v>
      </c>
      <c r="F267" s="40">
        <v>0</v>
      </c>
      <c r="G267" s="40">
        <v>0</v>
      </c>
    </row>
    <row r="268" spans="2:7" x14ac:dyDescent="0.2">
      <c r="B268" t="s">
        <v>1442</v>
      </c>
      <c r="C268" s="40">
        <v>0</v>
      </c>
      <c r="D268" s="40">
        <v>0</v>
      </c>
      <c r="E268" s="40">
        <v>0</v>
      </c>
      <c r="F268" s="40">
        <v>0</v>
      </c>
      <c r="G268" s="40">
        <v>0</v>
      </c>
    </row>
    <row r="269" spans="2:7" x14ac:dyDescent="0.2">
      <c r="B269" t="s">
        <v>1443</v>
      </c>
      <c r="C269" s="40">
        <v>0</v>
      </c>
      <c r="D269" s="40">
        <v>0</v>
      </c>
      <c r="E269" s="40">
        <v>0</v>
      </c>
      <c r="F269" s="40">
        <v>0</v>
      </c>
      <c r="G269" s="40">
        <v>0</v>
      </c>
    </row>
    <row r="270" spans="2:7" x14ac:dyDescent="0.2">
      <c r="B270" t="s">
        <v>1444</v>
      </c>
      <c r="C270" s="40">
        <v>13562354</v>
      </c>
      <c r="D270" s="40">
        <v>19161991</v>
      </c>
      <c r="E270" s="40">
        <v>5243025</v>
      </c>
      <c r="F270" s="40">
        <v>9632383</v>
      </c>
      <c r="G270" s="40">
        <v>14252194</v>
      </c>
    </row>
    <row r="271" spans="2:7" x14ac:dyDescent="0.2">
      <c r="B271" t="s">
        <v>1445</v>
      </c>
      <c r="C271" s="40">
        <v>1849136</v>
      </c>
      <c r="D271" s="40">
        <v>2443783</v>
      </c>
      <c r="E271" s="40">
        <v>815847</v>
      </c>
      <c r="F271" s="40">
        <v>1538215</v>
      </c>
      <c r="G271" s="40">
        <v>2175072</v>
      </c>
    </row>
    <row r="272" spans="2:7" x14ac:dyDescent="0.2">
      <c r="B272" t="s">
        <v>1446</v>
      </c>
      <c r="C272" s="40">
        <v>0</v>
      </c>
      <c r="D272" s="40">
        <v>0</v>
      </c>
      <c r="E272" s="40">
        <v>0</v>
      </c>
      <c r="F272" s="40">
        <v>0</v>
      </c>
      <c r="G272" s="40">
        <v>0</v>
      </c>
    </row>
    <row r="273" spans="2:7" x14ac:dyDescent="0.2">
      <c r="B273" t="s">
        <v>1447</v>
      </c>
      <c r="C273" s="40">
        <v>0</v>
      </c>
      <c r="D273" s="40">
        <v>0</v>
      </c>
      <c r="E273" s="40">
        <v>0</v>
      </c>
      <c r="F273" s="40">
        <v>0</v>
      </c>
      <c r="G273" s="40">
        <v>0</v>
      </c>
    </row>
    <row r="274" spans="2:7" x14ac:dyDescent="0.2">
      <c r="B274" t="s">
        <v>1448</v>
      </c>
      <c r="C274" s="40">
        <v>0</v>
      </c>
      <c r="D274" s="40">
        <v>0</v>
      </c>
      <c r="E274" s="40">
        <v>0</v>
      </c>
      <c r="F274" s="40">
        <v>0</v>
      </c>
      <c r="G274" s="40">
        <v>0</v>
      </c>
    </row>
    <row r="275" spans="2:7" x14ac:dyDescent="0.2">
      <c r="B275" t="s">
        <v>1449</v>
      </c>
      <c r="C275" s="40">
        <v>5287</v>
      </c>
      <c r="D275" s="40">
        <v>5291</v>
      </c>
      <c r="E275" s="40">
        <v>5192</v>
      </c>
      <c r="F275" s="40">
        <v>5175</v>
      </c>
      <c r="G275" s="40">
        <v>5421</v>
      </c>
    </row>
    <row r="276" spans="2:7" x14ac:dyDescent="0.2">
      <c r="B276" t="s">
        <v>1450</v>
      </c>
      <c r="C276" s="40">
        <v>1139</v>
      </c>
      <c r="D276" s="40">
        <v>1154</v>
      </c>
      <c r="E276" s="40">
        <v>1169</v>
      </c>
      <c r="F276" s="40">
        <v>1134</v>
      </c>
      <c r="G276" s="40">
        <v>1140</v>
      </c>
    </row>
    <row r="277" spans="2:7" x14ac:dyDescent="0.2">
      <c r="B277" t="s">
        <v>1451</v>
      </c>
      <c r="C277" s="40">
        <v>0</v>
      </c>
      <c r="D277" s="40">
        <v>0</v>
      </c>
      <c r="E277" s="40">
        <v>0</v>
      </c>
      <c r="F277" s="40">
        <v>0</v>
      </c>
      <c r="G277" s="40">
        <v>0</v>
      </c>
    </row>
    <row r="278" spans="2:7" x14ac:dyDescent="0.2">
      <c r="B278" t="s">
        <v>1452</v>
      </c>
      <c r="C278" s="40">
        <v>0</v>
      </c>
      <c r="D278" s="40">
        <v>0</v>
      </c>
      <c r="E278" s="40">
        <v>0</v>
      </c>
      <c r="F278" s="40">
        <v>0</v>
      </c>
      <c r="G278" s="40">
        <v>0</v>
      </c>
    </row>
    <row r="279" spans="2:7" x14ac:dyDescent="0.2">
      <c r="B279" t="s">
        <v>1453</v>
      </c>
      <c r="C279" s="40">
        <v>0</v>
      </c>
      <c r="D279" s="40">
        <v>0</v>
      </c>
      <c r="E279" s="40">
        <v>0</v>
      </c>
      <c r="F279" s="40">
        <v>0</v>
      </c>
      <c r="G279" s="40">
        <v>0</v>
      </c>
    </row>
    <row r="280" spans="2:7" x14ac:dyDescent="0.2">
      <c r="B280" t="s">
        <v>1454</v>
      </c>
      <c r="C280" s="40">
        <v>8730391602</v>
      </c>
      <c r="D280" s="40">
        <v>8835368605</v>
      </c>
      <c r="E280" s="40">
        <v>8732259073</v>
      </c>
      <c r="F280" s="40">
        <v>8650299257</v>
      </c>
      <c r="G280" s="40">
        <v>8992159411</v>
      </c>
    </row>
    <row r="281" spans="2:7" x14ac:dyDescent="0.2">
      <c r="B281" t="s">
        <v>1455</v>
      </c>
      <c r="C281" s="40">
        <v>1223289381</v>
      </c>
      <c r="D281" s="40">
        <v>1263973376</v>
      </c>
      <c r="E281" s="40">
        <v>1270653488</v>
      </c>
      <c r="F281" s="40">
        <v>1228622015</v>
      </c>
      <c r="G281" s="40">
        <v>1274291674</v>
      </c>
    </row>
    <row r="282" spans="2:7" x14ac:dyDescent="0.2">
      <c r="B282" t="s">
        <v>1456</v>
      </c>
      <c r="C282" s="40">
        <v>26879442809</v>
      </c>
      <c r="D282" s="40">
        <v>36132677572</v>
      </c>
      <c r="E282" s="40">
        <v>9435744888</v>
      </c>
      <c r="F282" s="40">
        <v>19053693858</v>
      </c>
      <c r="G282" s="40">
        <v>28800627960</v>
      </c>
    </row>
    <row r="283" spans="2:7" x14ac:dyDescent="0.2">
      <c r="B283" t="s">
        <v>1457</v>
      </c>
      <c r="C283" s="40">
        <v>391736944</v>
      </c>
      <c r="D283" s="40">
        <v>531967314</v>
      </c>
      <c r="E283" s="40">
        <v>130188667</v>
      </c>
      <c r="F283" s="40">
        <v>279845648</v>
      </c>
      <c r="G283" s="40">
        <v>426389188</v>
      </c>
    </row>
    <row r="284" spans="2:7" x14ac:dyDescent="0.2">
      <c r="B284" t="s">
        <v>1458</v>
      </c>
      <c r="C284" s="40">
        <v>2975903754</v>
      </c>
      <c r="D284" s="40">
        <v>3989773556</v>
      </c>
      <c r="E284" s="40">
        <v>1045689717</v>
      </c>
      <c r="F284" s="40">
        <v>2079701362</v>
      </c>
      <c r="G284" s="40">
        <v>3139345102</v>
      </c>
    </row>
    <row r="285" spans="2:7" x14ac:dyDescent="0.2">
      <c r="B285" t="s">
        <v>1459</v>
      </c>
      <c r="C285" s="40">
        <v>9320426462</v>
      </c>
      <c r="D285" s="40">
        <v>12587998666</v>
      </c>
      <c r="E285" s="40">
        <v>3260085711</v>
      </c>
      <c r="F285" s="40">
        <v>6577976971</v>
      </c>
      <c r="G285" s="40">
        <v>9968707340</v>
      </c>
    </row>
    <row r="286" spans="2:7" x14ac:dyDescent="0.2">
      <c r="B286" t="s">
        <v>1460</v>
      </c>
      <c r="C286" s="40">
        <v>1899254578</v>
      </c>
      <c r="D286" s="40">
        <v>2629636169</v>
      </c>
      <c r="E286" s="40">
        <v>635330220</v>
      </c>
      <c r="F286" s="40">
        <v>1358305352</v>
      </c>
      <c r="G286" s="40">
        <v>2067879745</v>
      </c>
    </row>
    <row r="287" spans="2:7" x14ac:dyDescent="0.2">
      <c r="B287" t="s">
        <v>1461</v>
      </c>
      <c r="C287" s="40">
        <v>3343569261</v>
      </c>
      <c r="D287" s="40">
        <v>4491182932</v>
      </c>
      <c r="E287" s="40">
        <v>1132164571</v>
      </c>
      <c r="F287" s="40">
        <v>2329466562</v>
      </c>
      <c r="G287" s="40">
        <v>3552628677</v>
      </c>
    </row>
    <row r="288" spans="2:7" x14ac:dyDescent="0.2">
      <c r="B288" t="s">
        <v>1462</v>
      </c>
      <c r="C288" s="40">
        <v>4591770741</v>
      </c>
      <c r="D288" s="40">
        <v>6278371399</v>
      </c>
      <c r="E288" s="40">
        <v>1600249166</v>
      </c>
      <c r="F288" s="40">
        <v>3271907410</v>
      </c>
      <c r="G288" s="40">
        <v>4984449215</v>
      </c>
    </row>
    <row r="289" spans="2:7" x14ac:dyDescent="0.2">
      <c r="B289" t="s">
        <v>1463</v>
      </c>
      <c r="C289" s="40">
        <v>16370249</v>
      </c>
      <c r="D289" s="40">
        <v>25827452</v>
      </c>
      <c r="E289" s="40">
        <v>4339326</v>
      </c>
      <c r="F289" s="40">
        <v>14350508</v>
      </c>
      <c r="G289" s="40">
        <v>12409989</v>
      </c>
    </row>
    <row r="290" spans="2:7" x14ac:dyDescent="0.2">
      <c r="B290" t="s">
        <v>1464</v>
      </c>
      <c r="C290" s="40">
        <v>17331057</v>
      </c>
      <c r="D290" s="40">
        <v>22669931</v>
      </c>
      <c r="E290" s="40">
        <v>6158334</v>
      </c>
      <c r="F290" s="40">
        <v>11752444</v>
      </c>
      <c r="G290" s="40">
        <v>18089435</v>
      </c>
    </row>
    <row r="291" spans="2:7" x14ac:dyDescent="0.2">
      <c r="B291" t="s">
        <v>1465</v>
      </c>
      <c r="C291" s="40">
        <v>0</v>
      </c>
      <c r="D291" s="40">
        <v>0</v>
      </c>
      <c r="E291" s="40">
        <v>0</v>
      </c>
      <c r="F291" s="40">
        <v>0</v>
      </c>
      <c r="G291" s="40">
        <v>0</v>
      </c>
    </row>
    <row r="292" spans="2:7" x14ac:dyDescent="0.2">
      <c r="B292" t="s">
        <v>1466</v>
      </c>
      <c r="C292" s="40">
        <v>0</v>
      </c>
      <c r="D292" s="40">
        <v>0</v>
      </c>
      <c r="E292" s="40">
        <v>0</v>
      </c>
      <c r="F292" s="40">
        <v>0</v>
      </c>
      <c r="G292" s="40">
        <v>0</v>
      </c>
    </row>
    <row r="293" spans="2:7" x14ac:dyDescent="0.2">
      <c r="B293" t="s">
        <v>1467</v>
      </c>
      <c r="C293" s="40">
        <v>0</v>
      </c>
      <c r="D293" s="40">
        <v>0</v>
      </c>
      <c r="E293" s="40">
        <v>0</v>
      </c>
      <c r="F293" s="40">
        <v>0</v>
      </c>
      <c r="G293" s="40">
        <v>0</v>
      </c>
    </row>
    <row r="294" spans="2:7" x14ac:dyDescent="0.2">
      <c r="B294" t="s">
        <v>1468</v>
      </c>
      <c r="C294" s="40">
        <v>176527066</v>
      </c>
      <c r="D294" s="40">
        <v>237715725</v>
      </c>
      <c r="E294" s="40">
        <v>58764206</v>
      </c>
      <c r="F294" s="40">
        <v>120782893</v>
      </c>
      <c r="G294" s="40">
        <v>183168367</v>
      </c>
    </row>
    <row r="295" spans="2:7" x14ac:dyDescent="0.2">
      <c r="B295" t="s">
        <v>1469</v>
      </c>
      <c r="C295" s="40">
        <v>5004236052</v>
      </c>
      <c r="D295" s="40">
        <v>6365344634</v>
      </c>
      <c r="E295" s="40">
        <v>1177084769</v>
      </c>
      <c r="F295" s="40">
        <v>2429524711</v>
      </c>
      <c r="G295" s="40">
        <v>3652839629</v>
      </c>
    </row>
    <row r="296" spans="2:7" x14ac:dyDescent="0.2">
      <c r="B296" t="s">
        <v>1470</v>
      </c>
      <c r="C296" s="40">
        <v>32654153801</v>
      </c>
      <c r="D296" s="40">
        <v>43960594148</v>
      </c>
      <c r="E296" s="40">
        <v>10705279055</v>
      </c>
      <c r="F296" s="40">
        <v>21524055456</v>
      </c>
      <c r="G296" s="40">
        <v>32383411129</v>
      </c>
    </row>
    <row r="297" spans="2:7" x14ac:dyDescent="0.2">
      <c r="B297" t="s">
        <v>1471</v>
      </c>
      <c r="C297" s="40">
        <v>1727098967</v>
      </c>
      <c r="D297" s="40">
        <v>2338355207</v>
      </c>
      <c r="E297" s="40">
        <v>558821090</v>
      </c>
      <c r="F297" s="40">
        <v>1146024867</v>
      </c>
      <c r="G297" s="40">
        <v>1722647879</v>
      </c>
    </row>
    <row r="298" spans="2:7" x14ac:dyDescent="0.2">
      <c r="B298" t="s">
        <v>1472</v>
      </c>
      <c r="C298" s="40">
        <v>319665758538</v>
      </c>
      <c r="D298" s="40">
        <v>317105512079</v>
      </c>
      <c r="E298" s="40">
        <v>317942719054</v>
      </c>
      <c r="F298" s="40">
        <v>320954768584</v>
      </c>
      <c r="G298" s="40">
        <v>320940501894</v>
      </c>
    </row>
    <row r="299" spans="2:7" x14ac:dyDescent="0.2">
      <c r="B299" t="s">
        <v>1473</v>
      </c>
      <c r="C299" s="40">
        <v>23758191328</v>
      </c>
      <c r="D299" s="40">
        <v>32340700587</v>
      </c>
      <c r="E299" s="40">
        <v>8216830293</v>
      </c>
      <c r="F299" s="40">
        <v>16482878603</v>
      </c>
      <c r="G299" s="40">
        <v>24809815756</v>
      </c>
    </row>
    <row r="300" spans="2:7" x14ac:dyDescent="0.2">
      <c r="B300" t="s">
        <v>1474</v>
      </c>
      <c r="C300" s="40">
        <v>3891726421</v>
      </c>
      <c r="D300" s="40">
        <v>5254548927</v>
      </c>
      <c r="E300" s="40">
        <v>1311363993</v>
      </c>
      <c r="F300" s="40">
        <v>2611652142</v>
      </c>
      <c r="G300" s="40">
        <v>3920755744</v>
      </c>
    </row>
    <row r="301" spans="2:7" x14ac:dyDescent="0.2">
      <c r="B301" t="s">
        <v>1475</v>
      </c>
      <c r="C301" s="40">
        <v>166070566228</v>
      </c>
      <c r="D301" s="40">
        <v>164251393008</v>
      </c>
      <c r="E301" s="40">
        <v>161964161720</v>
      </c>
      <c r="F301" s="40">
        <v>162476276394</v>
      </c>
      <c r="G301" s="40">
        <v>161439186092</v>
      </c>
    </row>
    <row r="302" spans="2:7" x14ac:dyDescent="0.2">
      <c r="B302" t="s">
        <v>1476</v>
      </c>
      <c r="C302" s="40">
        <v>0</v>
      </c>
      <c r="D302" s="40">
        <v>0</v>
      </c>
      <c r="E302" s="40">
        <v>0</v>
      </c>
      <c r="F302" s="40">
        <v>0</v>
      </c>
      <c r="G302" s="40">
        <v>0</v>
      </c>
    </row>
    <row r="303" spans="2:7" x14ac:dyDescent="0.2">
      <c r="B303" t="s">
        <v>1477</v>
      </c>
      <c r="C303" s="40">
        <v>148522114569</v>
      </c>
      <c r="D303" s="40">
        <v>154414970053</v>
      </c>
      <c r="E303" s="40">
        <v>158881439245</v>
      </c>
      <c r="F303" s="40">
        <v>165647259237</v>
      </c>
      <c r="G303" s="40">
        <v>172450192002</v>
      </c>
    </row>
    <row r="304" spans="2:7" x14ac:dyDescent="0.2">
      <c r="B304" t="s">
        <v>1478</v>
      </c>
      <c r="C304" s="40">
        <v>1985793118</v>
      </c>
      <c r="D304" s="40">
        <v>2016234860</v>
      </c>
      <c r="E304" s="40">
        <v>2043589458</v>
      </c>
      <c r="F304" s="40">
        <v>2060068630</v>
      </c>
      <c r="G304" s="40">
        <v>2392158898</v>
      </c>
    </row>
    <row r="305" spans="2:7" x14ac:dyDescent="0.2">
      <c r="B305" t="s">
        <v>1479</v>
      </c>
      <c r="C305" s="40">
        <v>0</v>
      </c>
      <c r="D305" s="40">
        <v>0</v>
      </c>
      <c r="E305" s="40">
        <v>0</v>
      </c>
      <c r="F305" s="40">
        <v>0</v>
      </c>
      <c r="G305" s="40">
        <v>0</v>
      </c>
    </row>
    <row r="306" spans="2:7" x14ac:dyDescent="0.2">
      <c r="B306" t="s">
        <v>1480</v>
      </c>
      <c r="C306" s="40">
        <v>0</v>
      </c>
      <c r="D306" s="40">
        <v>0</v>
      </c>
      <c r="E306" s="40">
        <v>0</v>
      </c>
      <c r="F306" s="40">
        <v>0</v>
      </c>
      <c r="G306" s="40">
        <v>0</v>
      </c>
    </row>
    <row r="307" spans="2:7" x14ac:dyDescent="0.2">
      <c r="B307" t="s">
        <v>1481</v>
      </c>
      <c r="C307" s="40">
        <v>83040467541</v>
      </c>
      <c r="D307" s="40">
        <v>85191345594</v>
      </c>
      <c r="E307" s="40">
        <v>83848627978</v>
      </c>
      <c r="F307" s="40">
        <v>85066977791</v>
      </c>
      <c r="G307" s="40">
        <v>85987075774</v>
      </c>
    </row>
    <row r="308" spans="2:7" x14ac:dyDescent="0.2">
      <c r="B308" t="s">
        <v>1482</v>
      </c>
      <c r="C308" s="40">
        <v>70415309754</v>
      </c>
      <c r="D308" s="40">
        <v>70831069302</v>
      </c>
      <c r="E308" s="40">
        <v>69632648563</v>
      </c>
      <c r="F308" s="40">
        <v>70625681095</v>
      </c>
      <c r="G308" s="40">
        <v>71282867141</v>
      </c>
    </row>
    <row r="309" spans="2:7" x14ac:dyDescent="0.2">
      <c r="B309" t="s">
        <v>1483</v>
      </c>
      <c r="C309" s="40">
        <v>130101600</v>
      </c>
      <c r="D309" s="40">
        <v>140815503</v>
      </c>
      <c r="E309" s="40">
        <v>123863922</v>
      </c>
      <c r="F309" s="40">
        <v>131653380</v>
      </c>
      <c r="G309" s="40">
        <v>139124941</v>
      </c>
    </row>
    <row r="310" spans="2:7" x14ac:dyDescent="0.2">
      <c r="B310" t="s">
        <v>1484</v>
      </c>
      <c r="C310" s="40">
        <v>0</v>
      </c>
      <c r="D310" s="40">
        <v>0</v>
      </c>
      <c r="E310" s="40">
        <v>0</v>
      </c>
      <c r="F310" s="40">
        <v>0</v>
      </c>
      <c r="G310" s="40">
        <v>0</v>
      </c>
    </row>
    <row r="311" spans="2:7" x14ac:dyDescent="0.2">
      <c r="B311" t="s">
        <v>1485</v>
      </c>
      <c r="C311" s="40">
        <v>159626950572</v>
      </c>
      <c r="D311" s="40">
        <v>164731146755</v>
      </c>
      <c r="E311" s="40">
        <v>168258860303</v>
      </c>
      <c r="F311" s="40">
        <v>172987945044</v>
      </c>
      <c r="G311" s="40">
        <v>177059309272</v>
      </c>
    </row>
    <row r="312" spans="2:7" x14ac:dyDescent="0.2">
      <c r="B312" t="s">
        <v>1486</v>
      </c>
      <c r="C312" s="40">
        <v>148634712272</v>
      </c>
      <c r="D312" s="40">
        <v>153597702853</v>
      </c>
      <c r="E312" s="40">
        <v>157054576405</v>
      </c>
      <c r="F312" s="40">
        <v>161651533591</v>
      </c>
      <c r="G312" s="40">
        <v>165953504342</v>
      </c>
    </row>
    <row r="313" spans="2:7" x14ac:dyDescent="0.2">
      <c r="B313" t="s">
        <v>1487</v>
      </c>
      <c r="C313" s="40">
        <v>0</v>
      </c>
      <c r="D313" s="40">
        <v>0</v>
      </c>
      <c r="E313" s="40">
        <v>0</v>
      </c>
      <c r="F313" s="40">
        <v>0</v>
      </c>
      <c r="G313" s="40">
        <v>0</v>
      </c>
    </row>
    <row r="314" spans="2:7" x14ac:dyDescent="0.2">
      <c r="B314" t="s">
        <v>1488</v>
      </c>
      <c r="C314" s="40">
        <v>19750672368</v>
      </c>
      <c r="D314" s="40">
        <v>20381731324</v>
      </c>
      <c r="E314" s="40">
        <v>21010792393</v>
      </c>
      <c r="F314" s="40">
        <v>21595882512</v>
      </c>
      <c r="G314" s="40">
        <v>22037577633</v>
      </c>
    </row>
    <row r="315" spans="2:7" x14ac:dyDescent="0.2">
      <c r="B315" t="s">
        <v>1489</v>
      </c>
      <c r="C315" s="40">
        <v>0</v>
      </c>
      <c r="D315" s="40">
        <v>0</v>
      </c>
      <c r="E315" s="40">
        <v>0</v>
      </c>
      <c r="F315" s="40">
        <v>0</v>
      </c>
      <c r="G315" s="40">
        <v>0</v>
      </c>
    </row>
    <row r="316" spans="2:7" x14ac:dyDescent="0.2">
      <c r="B316" t="s">
        <v>1490</v>
      </c>
      <c r="C316" s="40">
        <v>0</v>
      </c>
      <c r="D316" s="40">
        <v>0</v>
      </c>
      <c r="E316" s="40">
        <v>0</v>
      </c>
      <c r="F316" s="40">
        <v>0</v>
      </c>
      <c r="G316" s="40">
        <v>0</v>
      </c>
    </row>
    <row r="317" spans="2:7" x14ac:dyDescent="0.2">
      <c r="B317" t="s">
        <v>1491</v>
      </c>
      <c r="C317" s="40">
        <v>0</v>
      </c>
      <c r="D317" s="40">
        <v>0</v>
      </c>
      <c r="E317" s="40">
        <v>0</v>
      </c>
      <c r="F317" s="40">
        <v>0</v>
      </c>
      <c r="G317" s="40">
        <v>0</v>
      </c>
    </row>
    <row r="318" spans="2:7" x14ac:dyDescent="0.2">
      <c r="B318" t="s">
        <v>1492</v>
      </c>
      <c r="C318" s="40">
        <v>0</v>
      </c>
      <c r="D318" s="40">
        <v>0</v>
      </c>
      <c r="E318" s="40">
        <v>0</v>
      </c>
      <c r="F318" s="40">
        <v>0</v>
      </c>
      <c r="G318" s="40">
        <v>0</v>
      </c>
    </row>
    <row r="319" spans="2:7" x14ac:dyDescent="0.2">
      <c r="B319" t="s">
        <v>1493</v>
      </c>
      <c r="C319" s="40">
        <v>0</v>
      </c>
      <c r="D319" s="40">
        <v>0</v>
      </c>
      <c r="E319" s="40">
        <v>0</v>
      </c>
      <c r="F319" s="40">
        <v>0</v>
      </c>
      <c r="G319" s="40">
        <v>0</v>
      </c>
    </row>
    <row r="320" spans="2:7" x14ac:dyDescent="0.2">
      <c r="B320" t="s">
        <v>1494</v>
      </c>
      <c r="C320" s="40">
        <v>473028539</v>
      </c>
      <c r="D320" s="40">
        <v>482241293</v>
      </c>
      <c r="E320" s="40">
        <v>492656748</v>
      </c>
      <c r="F320" s="40">
        <v>493141577</v>
      </c>
      <c r="G320" s="40">
        <v>512610882</v>
      </c>
    </row>
    <row r="321" spans="2:7" x14ac:dyDescent="0.2">
      <c r="B321" t="s">
        <v>1495</v>
      </c>
      <c r="C321" s="40">
        <v>503026847</v>
      </c>
      <c r="D321" s="40">
        <v>549096113</v>
      </c>
      <c r="E321" s="40">
        <v>567709488</v>
      </c>
      <c r="F321" s="40">
        <v>580592488</v>
      </c>
      <c r="G321" s="40">
        <v>609545741</v>
      </c>
    </row>
    <row r="322" spans="2:7" x14ac:dyDescent="0.2">
      <c r="B322" t="s">
        <v>1496</v>
      </c>
      <c r="C322" s="40">
        <v>43309380</v>
      </c>
      <c r="D322" s="40">
        <v>35190530</v>
      </c>
      <c r="E322" s="40">
        <v>44549883</v>
      </c>
      <c r="F322" s="40">
        <v>32742720</v>
      </c>
      <c r="G322" s="40">
        <v>41336931</v>
      </c>
    </row>
    <row r="323" spans="2:7" x14ac:dyDescent="0.2">
      <c r="B323" t="s">
        <v>1497</v>
      </c>
      <c r="C323" s="40">
        <v>14951029</v>
      </c>
      <c r="D323" s="40">
        <v>13327794</v>
      </c>
      <c r="E323" s="40">
        <v>14005200</v>
      </c>
      <c r="F323" s="40">
        <v>12786674</v>
      </c>
      <c r="G323" s="40">
        <v>6352813</v>
      </c>
    </row>
    <row r="324" spans="2:7" x14ac:dyDescent="0.2">
      <c r="B324" t="s">
        <v>1498</v>
      </c>
      <c r="C324" s="40">
        <v>0</v>
      </c>
      <c r="D324" s="40">
        <v>0</v>
      </c>
      <c r="E324" s="40">
        <v>0</v>
      </c>
      <c r="F324" s="40">
        <v>0</v>
      </c>
      <c r="G324" s="40">
        <v>0</v>
      </c>
    </row>
    <row r="325" spans="2:7" x14ac:dyDescent="0.2">
      <c r="B325" t="s">
        <v>1499</v>
      </c>
      <c r="C325" s="40">
        <v>0</v>
      </c>
      <c r="D325" s="40">
        <v>0</v>
      </c>
      <c r="E325" s="40">
        <v>0</v>
      </c>
      <c r="F325" s="40">
        <v>0</v>
      </c>
      <c r="G325" s="40">
        <v>0</v>
      </c>
    </row>
    <row r="326" spans="2:7" x14ac:dyDescent="0.2">
      <c r="B326" t="s">
        <v>1500</v>
      </c>
      <c r="C326" s="40">
        <v>0</v>
      </c>
      <c r="D326" s="40">
        <v>0</v>
      </c>
      <c r="E326" s="40">
        <v>0</v>
      </c>
      <c r="F326" s="40">
        <v>0</v>
      </c>
      <c r="G326" s="40">
        <v>0</v>
      </c>
    </row>
    <row r="327" spans="2:7" x14ac:dyDescent="0.2">
      <c r="B327" t="s">
        <v>1501</v>
      </c>
      <c r="C327" s="40">
        <v>0</v>
      </c>
      <c r="D327" s="40">
        <v>0</v>
      </c>
      <c r="E327" s="40">
        <v>0</v>
      </c>
      <c r="F327" s="40">
        <v>0</v>
      </c>
      <c r="G327" s="40">
        <v>0</v>
      </c>
    </row>
    <row r="328" spans="2:7" x14ac:dyDescent="0.2">
      <c r="B328" t="s">
        <v>1502</v>
      </c>
      <c r="C328" s="40">
        <v>0</v>
      </c>
      <c r="D328" s="40">
        <v>0</v>
      </c>
      <c r="E328" s="40">
        <v>0</v>
      </c>
      <c r="F328" s="40">
        <v>0</v>
      </c>
      <c r="G328" s="40">
        <v>0</v>
      </c>
    </row>
    <row r="329" spans="2:7" x14ac:dyDescent="0.2">
      <c r="B329" t="s">
        <v>1503</v>
      </c>
      <c r="C329" s="40">
        <v>0</v>
      </c>
      <c r="D329" s="40">
        <v>0</v>
      </c>
      <c r="E329" s="40">
        <v>0</v>
      </c>
      <c r="F329" s="40">
        <v>0</v>
      </c>
      <c r="G329" s="40">
        <v>0</v>
      </c>
    </row>
    <row r="330" spans="2:7" x14ac:dyDescent="0.2">
      <c r="B330" t="s">
        <v>1504</v>
      </c>
      <c r="C330" s="40">
        <v>27939986437</v>
      </c>
      <c r="D330" s="40">
        <v>28903539739</v>
      </c>
      <c r="E330" s="40">
        <v>29920420176</v>
      </c>
      <c r="F330" s="40">
        <v>30834428028</v>
      </c>
      <c r="G330" s="40">
        <v>32024351995</v>
      </c>
    </row>
    <row r="331" spans="2:7" x14ac:dyDescent="0.2">
      <c r="B331" t="s">
        <v>1505</v>
      </c>
      <c r="C331" s="40">
        <v>2628998203</v>
      </c>
      <c r="D331" s="40">
        <v>2614909645</v>
      </c>
      <c r="E331" s="40">
        <v>2726985268</v>
      </c>
      <c r="F331" s="40">
        <v>2782639712</v>
      </c>
      <c r="G331" s="40">
        <v>2927171099</v>
      </c>
    </row>
    <row r="332" spans="2:7" x14ac:dyDescent="0.2">
      <c r="B332" t="s">
        <v>1506</v>
      </c>
      <c r="C332" s="40">
        <v>0</v>
      </c>
      <c r="D332" s="40">
        <v>0</v>
      </c>
      <c r="E332" s="40">
        <v>0</v>
      </c>
      <c r="F332" s="40">
        <v>0</v>
      </c>
      <c r="G332" s="40">
        <v>0</v>
      </c>
    </row>
    <row r="333" spans="2:7" x14ac:dyDescent="0.2">
      <c r="B333" t="s">
        <v>1507</v>
      </c>
      <c r="C333" s="40">
        <v>0</v>
      </c>
      <c r="D333" s="40">
        <v>0</v>
      </c>
      <c r="E333" s="40">
        <v>0</v>
      </c>
      <c r="F333" s="40">
        <v>0</v>
      </c>
      <c r="G333" s="40">
        <v>0</v>
      </c>
    </row>
    <row r="334" spans="2:7" x14ac:dyDescent="0.2">
      <c r="B334" t="s">
        <v>1508</v>
      </c>
      <c r="C334" s="40">
        <v>63844614953</v>
      </c>
      <c r="D334" s="40">
        <v>65807660550</v>
      </c>
      <c r="E334" s="40">
        <v>67338175120</v>
      </c>
      <c r="F334" s="40">
        <v>69443603711</v>
      </c>
      <c r="G334" s="40">
        <v>71080947154</v>
      </c>
    </row>
    <row r="335" spans="2:7" x14ac:dyDescent="0.2">
      <c r="B335" t="s">
        <v>1509</v>
      </c>
      <c r="C335" s="40">
        <v>10126343905</v>
      </c>
      <c r="D335" s="40">
        <v>10422007163</v>
      </c>
      <c r="E335" s="40">
        <v>10656144346</v>
      </c>
      <c r="F335" s="40">
        <v>10997648553</v>
      </c>
      <c r="G335" s="40">
        <v>11124736906</v>
      </c>
    </row>
    <row r="336" spans="2:7" x14ac:dyDescent="0.2">
      <c r="B336" t="s">
        <v>1510</v>
      </c>
      <c r="C336" s="40">
        <v>0</v>
      </c>
      <c r="D336" s="40">
        <v>0</v>
      </c>
      <c r="E336" s="40">
        <v>0</v>
      </c>
      <c r="F336" s="40">
        <v>0</v>
      </c>
      <c r="G336" s="40">
        <v>0</v>
      </c>
    </row>
    <row r="337" spans="2:7" x14ac:dyDescent="0.2">
      <c r="B337" t="s">
        <v>1511</v>
      </c>
      <c r="C337" s="40">
        <v>0</v>
      </c>
      <c r="D337" s="40">
        <v>0</v>
      </c>
      <c r="E337" s="40">
        <v>0</v>
      </c>
      <c r="F337" s="40">
        <v>0</v>
      </c>
      <c r="G337" s="40">
        <v>0</v>
      </c>
    </row>
    <row r="338" spans="2:7" x14ac:dyDescent="0.2">
      <c r="B338" t="s">
        <v>1512</v>
      </c>
      <c r="C338" s="40">
        <v>8264132458</v>
      </c>
      <c r="D338" s="40">
        <v>8735181828</v>
      </c>
      <c r="E338" s="40">
        <v>8603498300</v>
      </c>
      <c r="F338" s="40">
        <v>8832525147</v>
      </c>
      <c r="G338" s="40">
        <v>8896109918</v>
      </c>
    </row>
    <row r="339" spans="2:7" x14ac:dyDescent="0.2">
      <c r="B339" t="s">
        <v>1513</v>
      </c>
      <c r="C339" s="40">
        <v>1405306589</v>
      </c>
      <c r="D339" s="40">
        <v>1460673231</v>
      </c>
      <c r="E339" s="40">
        <v>1513454231</v>
      </c>
      <c r="F339" s="40">
        <v>1614080705</v>
      </c>
      <c r="G339" s="40">
        <v>1690305953</v>
      </c>
    </row>
    <row r="340" spans="2:7" x14ac:dyDescent="0.2">
      <c r="B340" t="s">
        <v>1514</v>
      </c>
      <c r="C340" s="40">
        <v>35880436090</v>
      </c>
      <c r="D340" s="40">
        <v>37290148622</v>
      </c>
      <c r="E340" s="40">
        <v>38455729292</v>
      </c>
      <c r="F340" s="40">
        <v>39697710210</v>
      </c>
      <c r="G340" s="40">
        <v>40642295283</v>
      </c>
    </row>
    <row r="341" spans="2:7" x14ac:dyDescent="0.2">
      <c r="B341" t="s">
        <v>1515</v>
      </c>
      <c r="C341" s="40">
        <v>3398538547</v>
      </c>
      <c r="D341" s="40">
        <v>3670044822</v>
      </c>
      <c r="E341" s="40">
        <v>3832087623</v>
      </c>
      <c r="F341" s="40">
        <v>3984890790</v>
      </c>
      <c r="G341" s="40">
        <v>4030951064</v>
      </c>
    </row>
    <row r="342" spans="2:7" x14ac:dyDescent="0.2">
      <c r="B342" t="s">
        <v>1516</v>
      </c>
      <c r="C342" s="40">
        <v>0</v>
      </c>
      <c r="D342" s="40">
        <v>0</v>
      </c>
      <c r="E342" s="40">
        <v>0</v>
      </c>
      <c r="F342" s="40">
        <v>0</v>
      </c>
      <c r="G342" s="40">
        <v>0</v>
      </c>
    </row>
    <row r="343" spans="2:7" x14ac:dyDescent="0.2">
      <c r="B343" t="s">
        <v>1517</v>
      </c>
      <c r="C343" s="40">
        <v>12268811490</v>
      </c>
      <c r="D343" s="40">
        <v>12806981148</v>
      </c>
      <c r="E343" s="40">
        <v>12749508842</v>
      </c>
      <c r="F343" s="40">
        <v>13207439496</v>
      </c>
      <c r="G343" s="40">
        <v>13413289103</v>
      </c>
    </row>
    <row r="344" spans="2:7" x14ac:dyDescent="0.2">
      <c r="B344" t="s">
        <v>1518</v>
      </c>
      <c r="C344" s="40">
        <v>0</v>
      </c>
      <c r="D344" s="40">
        <v>0</v>
      </c>
      <c r="E344" s="40">
        <v>0</v>
      </c>
      <c r="F344" s="40">
        <v>0</v>
      </c>
      <c r="G344" s="40">
        <v>0</v>
      </c>
    </row>
    <row r="345" spans="2:7" x14ac:dyDescent="0.2">
      <c r="B345" t="s">
        <v>1519</v>
      </c>
      <c r="C345" s="40">
        <v>168385384640</v>
      </c>
      <c r="D345" s="40">
        <v>173979434177</v>
      </c>
      <c r="E345" s="40">
        <v>178065368798</v>
      </c>
      <c r="F345" s="40">
        <v>183247416103</v>
      </c>
      <c r="G345" s="40">
        <v>187991081975</v>
      </c>
    </row>
    <row r="346" spans="2:7" x14ac:dyDescent="0.2">
      <c r="B346" t="s">
        <v>1520</v>
      </c>
      <c r="C346" s="40">
        <v>0</v>
      </c>
      <c r="D346" s="40">
        <v>0</v>
      </c>
      <c r="E346" s="40">
        <v>0</v>
      </c>
      <c r="F346" s="40">
        <v>0</v>
      </c>
      <c r="G346" s="40">
        <v>0</v>
      </c>
    </row>
    <row r="347" spans="2:7" x14ac:dyDescent="0.2">
      <c r="B347" t="s">
        <v>1521</v>
      </c>
      <c r="C347" s="40">
        <v>649922</v>
      </c>
      <c r="D347" s="40">
        <v>1225458</v>
      </c>
      <c r="E347" s="40">
        <v>6431</v>
      </c>
      <c r="F347" s="40">
        <v>41629</v>
      </c>
      <c r="G347" s="40">
        <v>14748</v>
      </c>
    </row>
    <row r="348" spans="2:7" x14ac:dyDescent="0.2">
      <c r="B348" t="s">
        <v>1522</v>
      </c>
      <c r="C348" s="40">
        <v>417494</v>
      </c>
      <c r="D348" s="40">
        <v>1181984</v>
      </c>
      <c r="E348" s="40">
        <v>2359</v>
      </c>
      <c r="F348" s="40">
        <v>32542</v>
      </c>
      <c r="G348" s="40">
        <v>5481</v>
      </c>
    </row>
    <row r="349" spans="2:7" x14ac:dyDescent="0.2">
      <c r="B349" t="s">
        <v>1523</v>
      </c>
      <c r="C349" s="40">
        <v>232428</v>
      </c>
      <c r="D349" s="40">
        <v>43474</v>
      </c>
      <c r="E349" s="40">
        <v>4072</v>
      </c>
      <c r="F349" s="40">
        <v>9087</v>
      </c>
      <c r="G349" s="40">
        <v>9267</v>
      </c>
    </row>
    <row r="350" spans="2:7" x14ac:dyDescent="0.2">
      <c r="B350" t="s">
        <v>1524</v>
      </c>
      <c r="C350" s="40">
        <v>0</v>
      </c>
      <c r="D350" s="40">
        <v>0</v>
      </c>
      <c r="E350" s="40">
        <v>0</v>
      </c>
      <c r="F350" s="40">
        <v>0</v>
      </c>
      <c r="G350" s="40">
        <v>0</v>
      </c>
    </row>
    <row r="351" spans="2:7" x14ac:dyDescent="0.2">
      <c r="B351" t="s">
        <v>1525</v>
      </c>
      <c r="C351" s="40">
        <v>-10616004</v>
      </c>
      <c r="D351" s="40">
        <v>227060915</v>
      </c>
      <c r="E351" s="40">
        <v>-1765292</v>
      </c>
      <c r="F351" s="40">
        <v>-23753450</v>
      </c>
      <c r="G351" s="40">
        <v>-47898828</v>
      </c>
    </row>
    <row r="352" spans="2:7" x14ac:dyDescent="0.2">
      <c r="B352" t="s">
        <v>1526</v>
      </c>
      <c r="C352" s="40">
        <v>93011766</v>
      </c>
      <c r="D352" s="40">
        <v>125498520</v>
      </c>
      <c r="E352" s="40">
        <v>29957184</v>
      </c>
      <c r="F352" s="40">
        <v>48469818</v>
      </c>
      <c r="G352" s="40">
        <v>73572401</v>
      </c>
    </row>
    <row r="353" spans="2:7" x14ac:dyDescent="0.2">
      <c r="B353" t="s">
        <v>1527</v>
      </c>
      <c r="C353" s="40">
        <v>13821801</v>
      </c>
      <c r="D353" s="40">
        <v>19191884</v>
      </c>
      <c r="E353" s="40">
        <v>8691866</v>
      </c>
      <c r="F353" s="40">
        <v>14977177</v>
      </c>
      <c r="G353" s="40">
        <v>20256375</v>
      </c>
    </row>
    <row r="354" spans="2:7" x14ac:dyDescent="0.2">
      <c r="B354" t="s">
        <v>1528</v>
      </c>
      <c r="C354" s="40">
        <v>538849311</v>
      </c>
      <c r="D354" s="40">
        <v>712343135</v>
      </c>
      <c r="E354" s="40">
        <v>113100195</v>
      </c>
      <c r="F354" s="40">
        <v>297764135</v>
      </c>
      <c r="G354" s="40">
        <v>514383497</v>
      </c>
    </row>
    <row r="355" spans="2:7" x14ac:dyDescent="0.2">
      <c r="B355" t="s">
        <v>1529</v>
      </c>
      <c r="C355" s="40">
        <v>0</v>
      </c>
      <c r="D355" s="40">
        <v>0</v>
      </c>
      <c r="E355" s="40">
        <v>0</v>
      </c>
      <c r="F355" s="40">
        <v>0</v>
      </c>
      <c r="G355" s="40">
        <v>0</v>
      </c>
    </row>
    <row r="356" spans="2:7" x14ac:dyDescent="0.2">
      <c r="B356" t="s">
        <v>1530</v>
      </c>
      <c r="C356" s="40">
        <v>15349721</v>
      </c>
      <c r="D356" s="40">
        <v>15353773</v>
      </c>
      <c r="E356" s="40">
        <v>15386766</v>
      </c>
      <c r="F356" s="40">
        <v>15332289</v>
      </c>
      <c r="G356" s="40">
        <v>15450297</v>
      </c>
    </row>
    <row r="357" spans="2:7" x14ac:dyDescent="0.2">
      <c r="B357" t="s">
        <v>1531</v>
      </c>
      <c r="C357" s="40">
        <v>88353945</v>
      </c>
      <c r="D357" s="40">
        <v>88923624</v>
      </c>
      <c r="E357" s="40">
        <v>89904912</v>
      </c>
      <c r="F357" s="40">
        <v>90801132</v>
      </c>
      <c r="G357" s="40">
        <v>91356511</v>
      </c>
    </row>
    <row r="358" spans="2:7" x14ac:dyDescent="0.2">
      <c r="B358" t="s">
        <v>1532</v>
      </c>
      <c r="C358" s="40">
        <v>4378926</v>
      </c>
      <c r="D358" s="40">
        <v>4362644</v>
      </c>
      <c r="E358" s="40">
        <v>4342366</v>
      </c>
      <c r="F358" s="40">
        <v>4348814</v>
      </c>
      <c r="G358" s="40">
        <v>4322182</v>
      </c>
    </row>
    <row r="359" spans="2:7" x14ac:dyDescent="0.2">
      <c r="B359" t="s">
        <v>1533</v>
      </c>
      <c r="C359" s="40">
        <v>161050298</v>
      </c>
      <c r="D359" s="40">
        <v>161483098</v>
      </c>
      <c r="E359" s="40">
        <v>162838668</v>
      </c>
      <c r="F359" s="40">
        <v>163707768</v>
      </c>
      <c r="G359" s="40">
        <v>164941339</v>
      </c>
    </row>
    <row r="360" spans="2:7" x14ac:dyDescent="0.2">
      <c r="B360" t="s">
        <v>1534</v>
      </c>
      <c r="C360" s="40">
        <v>3833734</v>
      </c>
      <c r="D360" s="40">
        <v>3842566</v>
      </c>
      <c r="E360" s="40">
        <v>3831303</v>
      </c>
      <c r="F360" s="40">
        <v>3847769</v>
      </c>
      <c r="G360" s="40">
        <v>3815553</v>
      </c>
    </row>
    <row r="361" spans="2:7" x14ac:dyDescent="0.2">
      <c r="B361" t="s">
        <v>1535</v>
      </c>
      <c r="C361" s="40">
        <v>957613</v>
      </c>
      <c r="D361" s="40">
        <v>935779</v>
      </c>
      <c r="E361" s="40">
        <v>861802</v>
      </c>
      <c r="F361" s="40">
        <v>877431</v>
      </c>
      <c r="G361" s="40">
        <v>811488</v>
      </c>
    </row>
    <row r="362" spans="2:7" x14ac:dyDescent="0.2">
      <c r="B362" t="s">
        <v>1536</v>
      </c>
      <c r="C362" s="40">
        <v>10206849</v>
      </c>
      <c r="D362" s="40">
        <v>10372040</v>
      </c>
      <c r="E362" s="40">
        <v>10575257</v>
      </c>
      <c r="F362" s="40">
        <v>10761518</v>
      </c>
      <c r="G362" s="40">
        <v>10974666</v>
      </c>
    </row>
    <row r="363" spans="2:7" x14ac:dyDescent="0.2">
      <c r="B363" t="s">
        <v>1537</v>
      </c>
      <c r="C363" s="40">
        <v>0</v>
      </c>
      <c r="D363" s="40">
        <v>0</v>
      </c>
      <c r="E363" s="40">
        <v>0</v>
      </c>
      <c r="F363" s="40">
        <v>0</v>
      </c>
      <c r="G363" s="40">
        <v>0</v>
      </c>
    </row>
    <row r="364" spans="2:7" x14ac:dyDescent="0.2">
      <c r="B364" t="s">
        <v>1538</v>
      </c>
      <c r="C364" s="40">
        <v>284131086</v>
      </c>
      <c r="D364" s="40">
        <v>285273524</v>
      </c>
      <c r="E364" s="40">
        <v>287741074</v>
      </c>
      <c r="F364" s="40">
        <v>289676721</v>
      </c>
      <c r="G364" s="40">
        <v>291672036</v>
      </c>
    </row>
    <row r="365" spans="2:7" x14ac:dyDescent="0.2">
      <c r="B365" t="s">
        <v>1539</v>
      </c>
      <c r="C365" s="40">
        <v>0</v>
      </c>
      <c r="D365" s="40">
        <v>0</v>
      </c>
      <c r="E365" s="40">
        <v>0</v>
      </c>
      <c r="F365" s="40">
        <v>0</v>
      </c>
      <c r="G365" s="40">
        <v>0</v>
      </c>
    </row>
    <row r="366" spans="2:7" x14ac:dyDescent="0.2">
      <c r="B366" t="s">
        <v>1540</v>
      </c>
      <c r="C366" s="40">
        <v>23541858088</v>
      </c>
      <c r="D366" s="40">
        <v>34166022296</v>
      </c>
      <c r="E366" s="40">
        <v>9200282080</v>
      </c>
      <c r="F366" s="40">
        <v>20250240665</v>
      </c>
      <c r="G366" s="40">
        <v>30911075150</v>
      </c>
    </row>
    <row r="367" spans="2:7" x14ac:dyDescent="0.2">
      <c r="B367" t="s">
        <v>1541</v>
      </c>
      <c r="C367" s="40">
        <v>0</v>
      </c>
      <c r="D367" s="40">
        <v>0</v>
      </c>
      <c r="E367" s="40">
        <v>0</v>
      </c>
      <c r="F367" s="40">
        <v>0</v>
      </c>
      <c r="G367" s="40">
        <v>0</v>
      </c>
    </row>
    <row r="368" spans="2:7" x14ac:dyDescent="0.2">
      <c r="B368" t="s">
        <v>1542</v>
      </c>
      <c r="C368" s="40">
        <v>2062832015</v>
      </c>
      <c r="D368" s="40">
        <v>3367571193</v>
      </c>
      <c r="E368" s="40">
        <v>1073712170</v>
      </c>
      <c r="F368" s="40">
        <v>2231773112</v>
      </c>
      <c r="G368" s="40">
        <v>3349888191</v>
      </c>
    </row>
    <row r="369" spans="1:7" x14ac:dyDescent="0.2">
      <c r="B369" t="s">
        <v>1543</v>
      </c>
      <c r="C369" s="40">
        <v>0</v>
      </c>
      <c r="D369" s="40">
        <v>0</v>
      </c>
      <c r="E369" s="40">
        <v>0</v>
      </c>
      <c r="F369" s="40">
        <v>0</v>
      </c>
      <c r="G369" s="40">
        <v>0</v>
      </c>
    </row>
    <row r="370" spans="1:7" x14ac:dyDescent="0.2">
      <c r="B370" t="s">
        <v>1544</v>
      </c>
      <c r="C370" s="40">
        <v>0</v>
      </c>
      <c r="D370" s="40">
        <v>0</v>
      </c>
      <c r="E370" s="40">
        <v>0</v>
      </c>
      <c r="F370" s="40">
        <v>0</v>
      </c>
      <c r="G370" s="40">
        <v>0</v>
      </c>
    </row>
    <row r="371" spans="1:7" x14ac:dyDescent="0.2">
      <c r="B371" t="s">
        <v>1545</v>
      </c>
      <c r="C371" s="40">
        <v>11328938532</v>
      </c>
      <c r="D371" s="40">
        <v>15494498126</v>
      </c>
      <c r="E371" s="40">
        <v>4062821725</v>
      </c>
      <c r="F371" s="40">
        <v>7946675818</v>
      </c>
      <c r="G371" s="40">
        <v>11731989265</v>
      </c>
    </row>
    <row r="372" spans="1:7" x14ac:dyDescent="0.2">
      <c r="B372" t="s">
        <v>1546</v>
      </c>
      <c r="C372" s="40">
        <v>0</v>
      </c>
      <c r="D372" s="40">
        <v>0</v>
      </c>
      <c r="E372" s="40">
        <v>0</v>
      </c>
      <c r="F372" s="40">
        <v>0</v>
      </c>
      <c r="G372" s="40">
        <v>0</v>
      </c>
    </row>
    <row r="373" spans="1:7" x14ac:dyDescent="0.2">
      <c r="B373" t="s">
        <v>1547</v>
      </c>
      <c r="C373" s="40">
        <v>703404107</v>
      </c>
      <c r="D373" s="40">
        <v>960019461</v>
      </c>
      <c r="E373" s="40">
        <v>268245415</v>
      </c>
      <c r="F373" s="40">
        <v>519713479</v>
      </c>
      <c r="G373" s="40">
        <v>770453649</v>
      </c>
    </row>
    <row r="374" spans="1:7" x14ac:dyDescent="0.2">
      <c r="B374" t="s">
        <v>1548</v>
      </c>
      <c r="C374" s="40">
        <v>3190368409</v>
      </c>
      <c r="D374" s="40">
        <v>4377538704</v>
      </c>
      <c r="E374" s="40">
        <v>1179615422</v>
      </c>
      <c r="F374" s="40">
        <v>2290405335</v>
      </c>
      <c r="G374" s="40">
        <v>3396692287</v>
      </c>
    </row>
    <row r="375" spans="1:7" x14ac:dyDescent="0.2">
      <c r="B375" t="s">
        <v>1549</v>
      </c>
      <c r="C375" s="40">
        <v>22586863</v>
      </c>
      <c r="D375" s="40">
        <v>25457893</v>
      </c>
      <c r="E375" s="40">
        <v>7345646</v>
      </c>
      <c r="F375" s="40">
        <v>12935597</v>
      </c>
      <c r="G375" s="40">
        <v>19191482</v>
      </c>
    </row>
    <row r="376" spans="1:7" x14ac:dyDescent="0.2">
      <c r="B376" t="s">
        <v>1550</v>
      </c>
      <c r="C376" s="40">
        <v>3139083209</v>
      </c>
      <c r="D376" s="40">
        <v>4238714637</v>
      </c>
      <c r="E376" s="40">
        <v>1124061296</v>
      </c>
      <c r="F376" s="40">
        <v>2159177135</v>
      </c>
      <c r="G376" s="40">
        <v>3148105216</v>
      </c>
    </row>
    <row r="377" spans="1:7" x14ac:dyDescent="0.2">
      <c r="B377" t="s">
        <v>1551</v>
      </c>
      <c r="C377" s="40">
        <v>376650272</v>
      </c>
      <c r="D377" s="40">
        <v>480307999</v>
      </c>
      <c r="E377" s="40">
        <v>113730945</v>
      </c>
      <c r="F377" s="40">
        <v>223080461</v>
      </c>
      <c r="G377" s="40">
        <v>326690418</v>
      </c>
    </row>
    <row r="378" spans="1:7" x14ac:dyDescent="0.2">
      <c r="B378" t="s">
        <v>1552</v>
      </c>
      <c r="C378" s="40">
        <v>0</v>
      </c>
      <c r="D378" s="40">
        <v>0</v>
      </c>
      <c r="E378" s="40">
        <v>0</v>
      </c>
      <c r="F378" s="40">
        <v>0</v>
      </c>
      <c r="G378" s="40">
        <v>0</v>
      </c>
    </row>
    <row r="379" spans="1:7" x14ac:dyDescent="0.2">
      <c r="B379" t="s">
        <v>1553</v>
      </c>
      <c r="C379" s="40">
        <v>0</v>
      </c>
      <c r="D379" s="40">
        <v>0</v>
      </c>
      <c r="E379" s="40">
        <v>0</v>
      </c>
      <c r="F379" s="40">
        <v>0</v>
      </c>
      <c r="G379" s="40">
        <v>0</v>
      </c>
    </row>
    <row r="380" spans="1:7" x14ac:dyDescent="0.2">
      <c r="B380" t="s">
        <v>1554</v>
      </c>
      <c r="C380" s="40">
        <v>0</v>
      </c>
      <c r="D380" s="40">
        <v>0</v>
      </c>
      <c r="E380" s="40">
        <v>0</v>
      </c>
      <c r="F380" s="40">
        <v>0</v>
      </c>
      <c r="G380" s="40">
        <v>0</v>
      </c>
    </row>
    <row r="381" spans="1:7" x14ac:dyDescent="0.2">
      <c r="B381" t="s">
        <v>1555</v>
      </c>
      <c r="C381" s="40">
        <v>0</v>
      </c>
      <c r="D381" s="40">
        <v>0</v>
      </c>
      <c r="E381" s="40">
        <v>0</v>
      </c>
      <c r="F381" s="40">
        <v>0</v>
      </c>
      <c r="G381" s="40">
        <v>0</v>
      </c>
    </row>
    <row r="382" spans="1:7" x14ac:dyDescent="0.2">
      <c r="B382" t="s">
        <v>1556</v>
      </c>
      <c r="C382" s="40">
        <v>0</v>
      </c>
      <c r="D382" s="40">
        <v>0</v>
      </c>
      <c r="E382" s="40">
        <v>0</v>
      </c>
      <c r="F382" s="40">
        <v>0</v>
      </c>
      <c r="G382" s="40">
        <v>0</v>
      </c>
    </row>
    <row r="383" spans="1:7" x14ac:dyDescent="0.2">
      <c r="A383" t="s">
        <v>217</v>
      </c>
      <c r="B383" t="s">
        <v>1557</v>
      </c>
      <c r="C383" s="40">
        <v>0</v>
      </c>
      <c r="D383" s="40">
        <v>0</v>
      </c>
      <c r="E383" s="40">
        <v>0</v>
      </c>
      <c r="F383" s="40">
        <v>0</v>
      </c>
      <c r="G383" s="40">
        <v>0</v>
      </c>
    </row>
    <row r="384" spans="1:7" x14ac:dyDescent="0.2">
      <c r="B384" t="s">
        <v>1558</v>
      </c>
      <c r="C384" s="40">
        <v>0</v>
      </c>
      <c r="D384" s="40">
        <v>0</v>
      </c>
      <c r="E384" s="40">
        <v>0</v>
      </c>
      <c r="F384" s="40">
        <v>0</v>
      </c>
      <c r="G384" s="40">
        <v>0</v>
      </c>
    </row>
    <row r="385" spans="2:7" x14ac:dyDescent="0.2">
      <c r="B385" t="s">
        <v>1559</v>
      </c>
      <c r="C385" s="40">
        <v>0</v>
      </c>
      <c r="D385" s="40">
        <v>0</v>
      </c>
      <c r="E385" s="40">
        <v>0</v>
      </c>
      <c r="F385" s="40">
        <v>0</v>
      </c>
      <c r="G385" s="40">
        <v>0</v>
      </c>
    </row>
    <row r="386" spans="2:7" x14ac:dyDescent="0.2">
      <c r="B386" t="s">
        <v>1560</v>
      </c>
      <c r="C386" s="40">
        <v>0</v>
      </c>
      <c r="D386" s="40">
        <v>0</v>
      </c>
      <c r="E386" s="40">
        <v>0</v>
      </c>
      <c r="F386" s="40">
        <v>0</v>
      </c>
      <c r="G386" s="40">
        <v>0</v>
      </c>
    </row>
    <row r="387" spans="2:7" x14ac:dyDescent="0.2">
      <c r="B387" t="s">
        <v>1561</v>
      </c>
      <c r="C387" s="40">
        <v>0</v>
      </c>
      <c r="D387" s="40">
        <v>0</v>
      </c>
      <c r="E387" s="40">
        <v>0</v>
      </c>
      <c r="F387" s="40">
        <v>0</v>
      </c>
      <c r="G387" s="40">
        <v>0</v>
      </c>
    </row>
    <row r="388" spans="2:7" x14ac:dyDescent="0.2">
      <c r="B388" t="s">
        <v>1562</v>
      </c>
      <c r="C388" s="40">
        <v>0</v>
      </c>
      <c r="D388" s="40">
        <v>0</v>
      </c>
      <c r="E388" s="40">
        <v>0</v>
      </c>
      <c r="F388" s="40">
        <v>0</v>
      </c>
      <c r="G388" s="40">
        <v>0</v>
      </c>
    </row>
    <row r="389" spans="2:7" x14ac:dyDescent="0.2">
      <c r="B389" t="s">
        <v>1563</v>
      </c>
      <c r="C389" s="40">
        <v>0</v>
      </c>
      <c r="D389" s="40">
        <v>0</v>
      </c>
      <c r="E389" s="40">
        <v>0</v>
      </c>
      <c r="F389" s="40">
        <v>0</v>
      </c>
      <c r="G389" s="40">
        <v>0</v>
      </c>
    </row>
    <row r="390" spans="2:7" x14ac:dyDescent="0.2">
      <c r="B390" t="s">
        <v>1564</v>
      </c>
      <c r="C390" s="40">
        <v>0</v>
      </c>
      <c r="D390" s="40">
        <v>0</v>
      </c>
      <c r="E390" s="40">
        <v>0</v>
      </c>
      <c r="F390" s="40">
        <v>0</v>
      </c>
      <c r="G390" s="40">
        <v>0</v>
      </c>
    </row>
    <row r="391" spans="2:7" x14ac:dyDescent="0.2">
      <c r="B391" t="s">
        <v>1565</v>
      </c>
      <c r="C391" s="40">
        <v>0</v>
      </c>
      <c r="D391" s="40">
        <v>0</v>
      </c>
      <c r="E391" s="40">
        <v>0</v>
      </c>
      <c r="F391" s="40">
        <v>0</v>
      </c>
      <c r="G391" s="40">
        <v>0</v>
      </c>
    </row>
    <row r="392" spans="2:7" x14ac:dyDescent="0.2">
      <c r="B392" t="s">
        <v>1566</v>
      </c>
      <c r="C392" s="40">
        <v>0</v>
      </c>
      <c r="D392" s="40">
        <v>0</v>
      </c>
      <c r="E392" s="40">
        <v>0</v>
      </c>
      <c r="F392" s="40">
        <v>0</v>
      </c>
      <c r="G392" s="40">
        <v>0</v>
      </c>
    </row>
    <row r="393" spans="2:7" x14ac:dyDescent="0.2">
      <c r="B393" t="s">
        <v>1567</v>
      </c>
      <c r="C393" s="40">
        <v>0</v>
      </c>
      <c r="D393" s="40">
        <v>0</v>
      </c>
      <c r="E393" s="40">
        <v>0</v>
      </c>
      <c r="F393" s="40">
        <v>0</v>
      </c>
      <c r="G393" s="40">
        <v>0</v>
      </c>
    </row>
    <row r="394" spans="2:7" x14ac:dyDescent="0.2">
      <c r="B394" t="s">
        <v>1568</v>
      </c>
      <c r="C394" s="40">
        <v>55866126</v>
      </c>
      <c r="D394" s="40">
        <v>78287564</v>
      </c>
      <c r="E394" s="40">
        <v>21714611</v>
      </c>
      <c r="F394" s="40">
        <v>39181484</v>
      </c>
      <c r="G394" s="40">
        <v>56436338</v>
      </c>
    </row>
    <row r="395" spans="2:7" x14ac:dyDescent="0.2">
      <c r="B395" t="s">
        <v>1569</v>
      </c>
      <c r="C395" s="40">
        <v>0</v>
      </c>
      <c r="D395" s="40">
        <v>0</v>
      </c>
      <c r="E395" s="40">
        <v>0</v>
      </c>
      <c r="F395" s="40">
        <v>0</v>
      </c>
      <c r="G395" s="40">
        <v>0</v>
      </c>
    </row>
    <row r="396" spans="2:7" x14ac:dyDescent="0.2">
      <c r="B396" t="s">
        <v>1570</v>
      </c>
      <c r="C396" s="40">
        <v>0</v>
      </c>
      <c r="D396" s="40">
        <v>0</v>
      </c>
      <c r="E396" s="40">
        <v>0</v>
      </c>
      <c r="F396" s="40">
        <v>0</v>
      </c>
      <c r="G396" s="40">
        <v>0</v>
      </c>
    </row>
    <row r="397" spans="2:7" x14ac:dyDescent="0.2">
      <c r="B397" t="s">
        <v>1571</v>
      </c>
      <c r="C397" s="40">
        <v>1864420726</v>
      </c>
      <c r="D397" s="40">
        <v>2491216606</v>
      </c>
      <c r="E397" s="40">
        <v>667408264</v>
      </c>
      <c r="F397" s="40">
        <v>1375755642</v>
      </c>
      <c r="G397" s="40">
        <v>2095122334</v>
      </c>
    </row>
    <row r="398" spans="2:7" x14ac:dyDescent="0.2">
      <c r="B398" t="s">
        <v>1572</v>
      </c>
      <c r="C398" s="40">
        <v>0</v>
      </c>
      <c r="D398" s="40">
        <v>0</v>
      </c>
      <c r="E398" s="40">
        <v>0</v>
      </c>
      <c r="F398" s="40">
        <v>0</v>
      </c>
      <c r="G398" s="40">
        <v>0</v>
      </c>
    </row>
    <row r="399" spans="2:7" x14ac:dyDescent="0.2">
      <c r="B399" t="s">
        <v>1573</v>
      </c>
      <c r="C399" s="40">
        <v>183214812</v>
      </c>
      <c r="D399" s="40">
        <v>252359490</v>
      </c>
      <c r="E399" s="40">
        <v>69209157</v>
      </c>
      <c r="F399" s="40">
        <v>145319632</v>
      </c>
      <c r="G399" s="40">
        <v>217991406</v>
      </c>
    </row>
    <row r="400" spans="2:7" x14ac:dyDescent="0.2">
      <c r="B400" t="s">
        <v>1574</v>
      </c>
      <c r="C400" s="40">
        <v>707981424</v>
      </c>
      <c r="D400" s="40">
        <v>944255045</v>
      </c>
      <c r="E400" s="40">
        <v>246929317</v>
      </c>
      <c r="F400" s="40">
        <v>518457765</v>
      </c>
      <c r="G400" s="40">
        <v>773968301</v>
      </c>
    </row>
    <row r="401" spans="2:7" x14ac:dyDescent="0.2">
      <c r="B401" t="s">
        <v>1575</v>
      </c>
      <c r="C401" s="40">
        <v>6622121</v>
      </c>
      <c r="D401" s="40">
        <v>7531329</v>
      </c>
      <c r="E401" s="40">
        <v>1436795</v>
      </c>
      <c r="F401" s="40">
        <v>2449371</v>
      </c>
      <c r="G401" s="40">
        <v>4259243</v>
      </c>
    </row>
    <row r="402" spans="2:7" x14ac:dyDescent="0.2">
      <c r="B402" t="s">
        <v>1576</v>
      </c>
      <c r="C402" s="40">
        <v>686076626</v>
      </c>
      <c r="D402" s="40">
        <v>916596908</v>
      </c>
      <c r="E402" s="40">
        <v>234045242</v>
      </c>
      <c r="F402" s="40">
        <v>493908497</v>
      </c>
      <c r="G402" s="40">
        <v>732268659</v>
      </c>
    </row>
    <row r="403" spans="2:7" x14ac:dyDescent="0.2">
      <c r="B403" t="s">
        <v>1577</v>
      </c>
      <c r="C403" s="40">
        <v>66235754</v>
      </c>
      <c r="D403" s="40">
        <v>88623679</v>
      </c>
      <c r="E403" s="40">
        <v>23483092</v>
      </c>
      <c r="F403" s="40">
        <v>50875315</v>
      </c>
      <c r="G403" s="40">
        <v>77658720</v>
      </c>
    </row>
    <row r="404" spans="2:7" x14ac:dyDescent="0.2">
      <c r="B404" t="s">
        <v>1578</v>
      </c>
      <c r="C404" s="40">
        <v>0</v>
      </c>
      <c r="D404" s="40">
        <v>0</v>
      </c>
      <c r="E404" s="40">
        <v>0</v>
      </c>
      <c r="F404" s="40">
        <v>0</v>
      </c>
      <c r="G404" s="40">
        <v>0</v>
      </c>
    </row>
    <row r="405" spans="2:7" x14ac:dyDescent="0.2">
      <c r="B405" t="s">
        <v>1579</v>
      </c>
      <c r="C405" s="40">
        <v>0</v>
      </c>
      <c r="D405" s="40">
        <v>0</v>
      </c>
      <c r="E405" s="40">
        <v>0</v>
      </c>
      <c r="F405" s="40">
        <v>0</v>
      </c>
      <c r="G405" s="40">
        <v>0</v>
      </c>
    </row>
    <row r="406" spans="2:7" x14ac:dyDescent="0.2">
      <c r="B406" t="s">
        <v>1580</v>
      </c>
      <c r="C406" s="40">
        <v>0</v>
      </c>
      <c r="D406" s="40">
        <v>0</v>
      </c>
      <c r="E406" s="40">
        <v>0</v>
      </c>
      <c r="F406" s="40">
        <v>0</v>
      </c>
      <c r="G406" s="40">
        <v>0</v>
      </c>
    </row>
    <row r="407" spans="2:7" x14ac:dyDescent="0.2">
      <c r="B407" t="s">
        <v>1581</v>
      </c>
      <c r="C407" s="40">
        <v>0</v>
      </c>
      <c r="D407" s="40">
        <v>0</v>
      </c>
      <c r="E407" s="40">
        <v>0</v>
      </c>
      <c r="F407" s="40">
        <v>0</v>
      </c>
      <c r="G407" s="40">
        <v>0</v>
      </c>
    </row>
    <row r="408" spans="2:7" x14ac:dyDescent="0.2">
      <c r="B408" t="s">
        <v>1582</v>
      </c>
      <c r="C408" s="40">
        <v>0</v>
      </c>
      <c r="D408" s="40">
        <v>0</v>
      </c>
      <c r="E408" s="40">
        <v>0</v>
      </c>
      <c r="F408" s="40">
        <v>0</v>
      </c>
      <c r="G408" s="40">
        <v>0</v>
      </c>
    </row>
    <row r="409" spans="2:7" x14ac:dyDescent="0.2">
      <c r="B409" t="s">
        <v>1583</v>
      </c>
      <c r="C409" s="40">
        <v>0</v>
      </c>
      <c r="D409" s="40">
        <v>0</v>
      </c>
      <c r="E409" s="40">
        <v>0</v>
      </c>
      <c r="F409" s="40">
        <v>0</v>
      </c>
      <c r="G409" s="40">
        <v>0</v>
      </c>
    </row>
    <row r="410" spans="2:7" x14ac:dyDescent="0.2">
      <c r="B410" t="s">
        <v>1584</v>
      </c>
      <c r="C410" s="40">
        <v>0</v>
      </c>
      <c r="D410" s="40">
        <v>0</v>
      </c>
      <c r="E410" s="40">
        <v>0</v>
      </c>
      <c r="F410" s="40">
        <v>0</v>
      </c>
      <c r="G410" s="40">
        <v>0</v>
      </c>
    </row>
    <row r="411" spans="2:7" x14ac:dyDescent="0.2">
      <c r="B411" t="s">
        <v>1585</v>
      </c>
      <c r="C411" s="40">
        <v>0</v>
      </c>
      <c r="D411" s="40">
        <v>0</v>
      </c>
      <c r="E411" s="40">
        <v>0</v>
      </c>
      <c r="F411" s="40">
        <v>0</v>
      </c>
      <c r="G411" s="40">
        <v>0</v>
      </c>
    </row>
    <row r="412" spans="2:7" x14ac:dyDescent="0.2">
      <c r="B412" t="s">
        <v>1586</v>
      </c>
      <c r="C412" s="40">
        <v>0</v>
      </c>
      <c r="D412" s="40">
        <v>0</v>
      </c>
      <c r="E412" s="40">
        <v>0</v>
      </c>
      <c r="F412" s="40">
        <v>0</v>
      </c>
      <c r="G412" s="40">
        <v>0</v>
      </c>
    </row>
    <row r="413" spans="2:7" x14ac:dyDescent="0.2">
      <c r="B413" t="s">
        <v>1587</v>
      </c>
      <c r="C413" s="40">
        <v>0</v>
      </c>
      <c r="D413" s="40">
        <v>0</v>
      </c>
      <c r="E413" s="40">
        <v>0</v>
      </c>
      <c r="F413" s="40">
        <v>0</v>
      </c>
      <c r="G413" s="40">
        <v>0</v>
      </c>
    </row>
    <row r="414" spans="2:7" x14ac:dyDescent="0.2">
      <c r="B414" t="s">
        <v>1588</v>
      </c>
      <c r="C414" s="40">
        <v>0</v>
      </c>
      <c r="D414" s="40">
        <v>0</v>
      </c>
      <c r="E414" s="40">
        <v>0</v>
      </c>
      <c r="F414" s="40">
        <v>0</v>
      </c>
      <c r="G414" s="40">
        <v>0</v>
      </c>
    </row>
    <row r="415" spans="2:7" x14ac:dyDescent="0.2">
      <c r="B415" t="s">
        <v>1589</v>
      </c>
      <c r="C415" s="40">
        <v>0</v>
      </c>
      <c r="D415" s="40">
        <v>0</v>
      </c>
      <c r="E415" s="40">
        <v>0</v>
      </c>
      <c r="F415" s="40">
        <v>0</v>
      </c>
      <c r="G415" s="40">
        <v>0</v>
      </c>
    </row>
    <row r="416" spans="2:7" x14ac:dyDescent="0.2">
      <c r="B416" t="s">
        <v>1590</v>
      </c>
      <c r="C416" s="40">
        <v>0</v>
      </c>
      <c r="D416" s="40">
        <v>0</v>
      </c>
      <c r="E416" s="40">
        <v>0</v>
      </c>
      <c r="F416" s="40">
        <v>0</v>
      </c>
      <c r="G416" s="40">
        <v>0</v>
      </c>
    </row>
    <row r="417" spans="2:7" x14ac:dyDescent="0.2">
      <c r="B417" t="s">
        <v>1591</v>
      </c>
      <c r="C417" s="40">
        <v>0</v>
      </c>
      <c r="D417" s="40">
        <v>0</v>
      </c>
      <c r="E417" s="40">
        <v>0</v>
      </c>
      <c r="F417" s="40">
        <v>0</v>
      </c>
      <c r="G417" s="40">
        <v>0</v>
      </c>
    </row>
    <row r="418" spans="2:7" x14ac:dyDescent="0.2">
      <c r="B418" t="s">
        <v>1592</v>
      </c>
      <c r="C418" s="40">
        <v>0</v>
      </c>
      <c r="D418" s="40">
        <v>0</v>
      </c>
      <c r="E418" s="40">
        <v>0</v>
      </c>
      <c r="F418" s="40">
        <v>0</v>
      </c>
      <c r="G418" s="40">
        <v>0</v>
      </c>
    </row>
    <row r="419" spans="2:7" x14ac:dyDescent="0.2">
      <c r="B419" t="s">
        <v>1593</v>
      </c>
      <c r="C419" s="40">
        <v>0</v>
      </c>
      <c r="D419" s="40">
        <v>0</v>
      </c>
      <c r="E419" s="40">
        <v>0</v>
      </c>
      <c r="F419" s="40">
        <v>0</v>
      </c>
      <c r="G419" s="40">
        <v>0</v>
      </c>
    </row>
    <row r="420" spans="2:7" x14ac:dyDescent="0.2">
      <c r="B420" t="s">
        <v>1594</v>
      </c>
      <c r="C420" s="40">
        <v>7008024</v>
      </c>
      <c r="D420" s="40">
        <v>10791199</v>
      </c>
      <c r="E420" s="40">
        <v>2369819</v>
      </c>
      <c r="F420" s="40">
        <v>7323641</v>
      </c>
      <c r="G420" s="40">
        <v>10358693</v>
      </c>
    </row>
    <row r="421" spans="2:7" x14ac:dyDescent="0.2">
      <c r="B421" t="s">
        <v>1595</v>
      </c>
      <c r="C421" s="40">
        <v>0</v>
      </c>
      <c r="D421" s="40">
        <v>0</v>
      </c>
      <c r="E421" s="40">
        <v>0</v>
      </c>
      <c r="F421" s="40">
        <v>0</v>
      </c>
      <c r="G421" s="40">
        <v>0</v>
      </c>
    </row>
    <row r="422" spans="2:7" x14ac:dyDescent="0.2">
      <c r="B422" t="s">
        <v>1596</v>
      </c>
      <c r="C422" s="40">
        <v>0</v>
      </c>
      <c r="D422" s="40">
        <v>0</v>
      </c>
      <c r="E422" s="40">
        <v>0</v>
      </c>
      <c r="F422" s="40">
        <v>0</v>
      </c>
      <c r="G422" s="40">
        <v>0</v>
      </c>
    </row>
    <row r="423" spans="2:7" x14ac:dyDescent="0.2">
      <c r="B423" t="s">
        <v>1597</v>
      </c>
      <c r="C423" s="40">
        <v>342626</v>
      </c>
      <c r="D423" s="40">
        <v>341224</v>
      </c>
      <c r="E423" s="40">
        <v>342675</v>
      </c>
      <c r="F423" s="40">
        <v>344668</v>
      </c>
      <c r="G423" s="40">
        <v>346517</v>
      </c>
    </row>
    <row r="424" spans="2:7" x14ac:dyDescent="0.2">
      <c r="B424" t="s">
        <v>1598</v>
      </c>
      <c r="C424" s="40">
        <v>18949</v>
      </c>
      <c r="D424" s="40">
        <v>18794</v>
      </c>
      <c r="E424" s="40">
        <v>18706</v>
      </c>
      <c r="F424" s="40">
        <v>18978</v>
      </c>
      <c r="G424" s="40">
        <v>18182</v>
      </c>
    </row>
    <row r="425" spans="2:7" x14ac:dyDescent="0.2">
      <c r="B425" t="s">
        <v>1599</v>
      </c>
      <c r="C425" s="40">
        <v>20756</v>
      </c>
      <c r="D425" s="40">
        <v>20838</v>
      </c>
      <c r="E425" s="40">
        <v>20838</v>
      </c>
      <c r="F425" s="40">
        <v>20902</v>
      </c>
      <c r="G425" s="40">
        <v>20945</v>
      </c>
    </row>
    <row r="426" spans="2:7" x14ac:dyDescent="0.2">
      <c r="B426" t="s">
        <v>1600</v>
      </c>
      <c r="C426" s="40">
        <v>1134</v>
      </c>
      <c r="D426" s="40">
        <v>1127</v>
      </c>
      <c r="E426" s="40">
        <v>1119</v>
      </c>
      <c r="F426" s="40">
        <v>1116</v>
      </c>
      <c r="G426" s="40">
        <v>1111</v>
      </c>
    </row>
    <row r="427" spans="2:7" x14ac:dyDescent="0.2">
      <c r="B427" t="s">
        <v>1601</v>
      </c>
      <c r="C427" s="40">
        <v>752</v>
      </c>
      <c r="D427" s="40">
        <v>733</v>
      </c>
      <c r="E427" s="40">
        <v>736</v>
      </c>
      <c r="F427" s="40">
        <v>760</v>
      </c>
      <c r="G427" s="40">
        <v>767</v>
      </c>
    </row>
    <row r="428" spans="2:7" x14ac:dyDescent="0.2">
      <c r="B428" t="s">
        <v>1602</v>
      </c>
      <c r="C428" s="40">
        <v>3806420451</v>
      </c>
      <c r="D428" s="40">
        <v>0</v>
      </c>
      <c r="E428" s="40">
        <v>1246075597</v>
      </c>
      <c r="F428" s="40">
        <v>2856723978</v>
      </c>
      <c r="G428" s="40">
        <v>4601027615</v>
      </c>
    </row>
    <row r="429" spans="2:7" x14ac:dyDescent="0.2">
      <c r="B429" t="s">
        <v>1603</v>
      </c>
      <c r="C429" s="40">
        <v>0</v>
      </c>
      <c r="D429" s="40">
        <v>0</v>
      </c>
      <c r="E429" s="40">
        <v>0</v>
      </c>
      <c r="F429" s="40">
        <v>0</v>
      </c>
      <c r="G429" s="40">
        <v>0</v>
      </c>
    </row>
    <row r="430" spans="2:7" x14ac:dyDescent="0.2">
      <c r="B430" t="s">
        <v>1604</v>
      </c>
      <c r="C430" s="40">
        <v>0</v>
      </c>
      <c r="D430" s="40">
        <v>0</v>
      </c>
      <c r="E430" s="40">
        <v>0</v>
      </c>
      <c r="F430" s="40">
        <v>0</v>
      </c>
      <c r="G430" s="40">
        <v>0</v>
      </c>
    </row>
    <row r="431" spans="2:7" x14ac:dyDescent="0.2">
      <c r="B431" t="s">
        <v>1605</v>
      </c>
      <c r="C431" s="40">
        <v>0</v>
      </c>
      <c r="D431" s="40">
        <v>0</v>
      </c>
      <c r="E431" s="40">
        <v>0</v>
      </c>
      <c r="F431" s="40">
        <v>0</v>
      </c>
      <c r="G431" s="40">
        <v>0</v>
      </c>
    </row>
    <row r="432" spans="2:7" x14ac:dyDescent="0.2">
      <c r="B432" t="s">
        <v>1606</v>
      </c>
      <c r="C432" s="40">
        <v>0</v>
      </c>
      <c r="D432" s="40">
        <v>0</v>
      </c>
      <c r="E432" s="40">
        <v>0</v>
      </c>
      <c r="F432" s="40">
        <v>0</v>
      </c>
      <c r="G432" s="40">
        <v>0</v>
      </c>
    </row>
    <row r="433" spans="2:7" x14ac:dyDescent="0.2">
      <c r="B433" t="s">
        <v>1607</v>
      </c>
      <c r="C433" s="40">
        <v>0</v>
      </c>
      <c r="D433" s="40">
        <v>0</v>
      </c>
      <c r="E433" s="40">
        <v>0</v>
      </c>
      <c r="F433" s="40">
        <v>0</v>
      </c>
      <c r="G433" s="40">
        <v>0</v>
      </c>
    </row>
    <row r="434" spans="2:7" x14ac:dyDescent="0.2">
      <c r="B434" t="s">
        <v>1608</v>
      </c>
      <c r="C434" s="40">
        <v>20016308</v>
      </c>
      <c r="D434" s="40">
        <v>20150489</v>
      </c>
      <c r="E434" s="40">
        <v>19879916</v>
      </c>
      <c r="F434" s="40">
        <v>19930620</v>
      </c>
      <c r="G434" s="40">
        <v>19877233</v>
      </c>
    </row>
    <row r="435" spans="2:7" x14ac:dyDescent="0.2">
      <c r="B435" t="s">
        <v>1609</v>
      </c>
      <c r="C435" s="40">
        <v>341261629017</v>
      </c>
      <c r="D435" s="40">
        <v>338342481548</v>
      </c>
      <c r="E435" s="40">
        <v>338358051807</v>
      </c>
      <c r="F435" s="40">
        <v>341202099207</v>
      </c>
      <c r="G435" s="40">
        <v>341113717329</v>
      </c>
    </row>
    <row r="436" spans="2:7" x14ac:dyDescent="0.2">
      <c r="B436" t="s">
        <v>1610</v>
      </c>
      <c r="C436" s="40">
        <v>0</v>
      </c>
      <c r="D436" s="40">
        <v>0</v>
      </c>
      <c r="E436" s="40">
        <v>0</v>
      </c>
      <c r="F436" s="40">
        <v>0</v>
      </c>
      <c r="G436" s="40">
        <v>0</v>
      </c>
    </row>
    <row r="437" spans="2:7" x14ac:dyDescent="0.2">
      <c r="B437" t="s">
        <v>1611</v>
      </c>
      <c r="C437" s="40">
        <v>0</v>
      </c>
      <c r="D437" s="40">
        <v>0</v>
      </c>
      <c r="E437" s="40">
        <v>0</v>
      </c>
      <c r="F437" s="40">
        <v>0</v>
      </c>
      <c r="G437" s="40">
        <v>0</v>
      </c>
    </row>
    <row r="438" spans="2:7" x14ac:dyDescent="0.2">
      <c r="B438" t="s">
        <v>1612</v>
      </c>
      <c r="C438" s="40">
        <v>0</v>
      </c>
      <c r="D438" s="40">
        <v>0</v>
      </c>
      <c r="E438" s="40">
        <v>0</v>
      </c>
      <c r="F438" s="40">
        <v>0</v>
      </c>
      <c r="G438" s="40">
        <v>0</v>
      </c>
    </row>
    <row r="439" spans="2:7" x14ac:dyDescent="0.2">
      <c r="B439" t="s">
        <v>1613</v>
      </c>
      <c r="C439" s="40">
        <v>0</v>
      </c>
      <c r="D439" s="40">
        <v>0</v>
      </c>
      <c r="E439" s="40">
        <v>0</v>
      </c>
      <c r="F439" s="40">
        <v>0</v>
      </c>
      <c r="G439" s="40">
        <v>0</v>
      </c>
    </row>
    <row r="440" spans="2:7" x14ac:dyDescent="0.2">
      <c r="B440" t="s">
        <v>1614</v>
      </c>
      <c r="C440" s="40">
        <v>13206654688</v>
      </c>
      <c r="D440" s="40">
        <v>12457893963</v>
      </c>
      <c r="E440" s="40">
        <v>13086753274</v>
      </c>
      <c r="F440" s="40">
        <v>13818386498</v>
      </c>
      <c r="G440" s="40">
        <v>13862120794</v>
      </c>
    </row>
    <row r="441" spans="2:7" x14ac:dyDescent="0.2">
      <c r="B441" t="s">
        <v>1615</v>
      </c>
      <c r="C441" s="40">
        <v>13158056409</v>
      </c>
      <c r="D441" s="40">
        <v>12427465901</v>
      </c>
      <c r="E441" s="40">
        <v>13057535470</v>
      </c>
      <c r="F441" s="40">
        <v>13786993131</v>
      </c>
      <c r="G441" s="40">
        <v>13829295543</v>
      </c>
    </row>
    <row r="442" spans="2:7" x14ac:dyDescent="0.2">
      <c r="B442" t="s">
        <v>1616</v>
      </c>
      <c r="C442" s="40">
        <v>39348669</v>
      </c>
      <c r="D442" s="40">
        <v>22251811</v>
      </c>
      <c r="E442" s="40">
        <v>20679542</v>
      </c>
      <c r="F442" s="40">
        <v>21567065</v>
      </c>
      <c r="G442" s="40">
        <v>24908056</v>
      </c>
    </row>
    <row r="443" spans="2:7" x14ac:dyDescent="0.2">
      <c r="B443" t="s">
        <v>1617</v>
      </c>
      <c r="C443" s="40">
        <v>9249610</v>
      </c>
      <c r="D443" s="40">
        <v>8176251</v>
      </c>
      <c r="E443" s="40">
        <v>8538262</v>
      </c>
      <c r="F443" s="40">
        <v>9826302</v>
      </c>
      <c r="G443" s="40">
        <v>7917195</v>
      </c>
    </row>
    <row r="444" spans="2:7" x14ac:dyDescent="0.2">
      <c r="B444" t="s">
        <v>1618</v>
      </c>
      <c r="C444" s="40">
        <v>6970318762</v>
      </c>
      <c r="D444" s="40">
        <v>6907868628</v>
      </c>
      <c r="E444" s="40">
        <v>6771158594</v>
      </c>
      <c r="F444" s="40">
        <v>6584161926</v>
      </c>
      <c r="G444" s="40">
        <v>7057352053</v>
      </c>
    </row>
    <row r="445" spans="2:7" x14ac:dyDescent="0.2">
      <c r="B445" t="s">
        <v>1619</v>
      </c>
      <c r="C445" s="40">
        <v>3942384285</v>
      </c>
      <c r="D445" s="40">
        <v>4001081044</v>
      </c>
      <c r="E445" s="40">
        <v>3359086063</v>
      </c>
      <c r="F445" s="40">
        <v>3129882289</v>
      </c>
      <c r="G445" s="40">
        <v>3170798190</v>
      </c>
    </row>
    <row r="446" spans="2:7" x14ac:dyDescent="0.2">
      <c r="B446" t="s">
        <v>1620</v>
      </c>
      <c r="C446" s="40">
        <v>0</v>
      </c>
      <c r="D446" s="40">
        <v>0</v>
      </c>
      <c r="E446" s="40">
        <v>0</v>
      </c>
      <c r="F446" s="40">
        <v>0</v>
      </c>
      <c r="G446" s="40">
        <v>0</v>
      </c>
    </row>
    <row r="447" spans="2:7" x14ac:dyDescent="0.2">
      <c r="B447" t="s">
        <v>1621</v>
      </c>
      <c r="C447" s="40">
        <v>0</v>
      </c>
      <c r="D447" s="40">
        <v>0</v>
      </c>
      <c r="E447" s="40">
        <v>0</v>
      </c>
      <c r="F447" s="40">
        <v>0</v>
      </c>
      <c r="G447" s="40">
        <v>0</v>
      </c>
    </row>
    <row r="448" spans="2:7" x14ac:dyDescent="0.2">
      <c r="B448" t="s">
        <v>1622</v>
      </c>
      <c r="C448" s="40">
        <v>0</v>
      </c>
      <c r="D448" s="40">
        <v>0</v>
      </c>
      <c r="E448" s="40">
        <v>0</v>
      </c>
      <c r="F448" s="40">
        <v>0</v>
      </c>
      <c r="G448" s="40">
        <v>0</v>
      </c>
    </row>
    <row r="449" spans="2:7" x14ac:dyDescent="0.2">
      <c r="B449" t="s">
        <v>1623</v>
      </c>
      <c r="C449" s="40">
        <v>0</v>
      </c>
      <c r="D449" s="40">
        <v>0</v>
      </c>
      <c r="E449" s="40">
        <v>0</v>
      </c>
      <c r="F449" s="40">
        <v>460602</v>
      </c>
      <c r="G449" s="40">
        <v>0</v>
      </c>
    </row>
    <row r="450" spans="2:7" x14ac:dyDescent="0.2">
      <c r="B450" t="s">
        <v>1624</v>
      </c>
      <c r="C450" s="40">
        <v>0</v>
      </c>
      <c r="D450" s="40">
        <v>0</v>
      </c>
      <c r="E450" s="40">
        <v>0</v>
      </c>
      <c r="F450" s="40">
        <v>0</v>
      </c>
      <c r="G450" s="40">
        <v>0</v>
      </c>
    </row>
    <row r="451" spans="2:7" x14ac:dyDescent="0.2">
      <c r="B451" t="s">
        <v>1625</v>
      </c>
      <c r="C451" s="40">
        <v>320266774325</v>
      </c>
      <c r="D451" s="40">
        <v>328808037499</v>
      </c>
      <c r="E451" s="40">
        <v>335957945025</v>
      </c>
      <c r="F451" s="40">
        <v>341593426389</v>
      </c>
      <c r="G451" s="40">
        <v>350421952709</v>
      </c>
    </row>
    <row r="452" spans="2:7" x14ac:dyDescent="0.2">
      <c r="B452" t="s">
        <v>1626</v>
      </c>
      <c r="C452" s="40">
        <v>35993255407</v>
      </c>
      <c r="D452" s="40">
        <v>36156247462</v>
      </c>
      <c r="E452" s="40">
        <v>36842425340</v>
      </c>
      <c r="F452" s="40">
        <v>37444502597</v>
      </c>
      <c r="G452" s="40">
        <v>37800173623</v>
      </c>
    </row>
    <row r="453" spans="2:7" x14ac:dyDescent="0.2">
      <c r="B453" t="s">
        <v>1627</v>
      </c>
      <c r="C453" s="40">
        <v>10569444461</v>
      </c>
      <c r="D453" s="40">
        <v>10194610974</v>
      </c>
      <c r="E453" s="40">
        <v>9587142672</v>
      </c>
      <c r="F453" s="40">
        <v>9500096745</v>
      </c>
      <c r="G453" s="40">
        <v>9546622227</v>
      </c>
    </row>
    <row r="454" spans="2:7" x14ac:dyDescent="0.2">
      <c r="B454" t="s">
        <v>1628</v>
      </c>
      <c r="C454" s="40">
        <v>0</v>
      </c>
      <c r="D454" s="40">
        <v>0</v>
      </c>
      <c r="E454" s="40">
        <v>0</v>
      </c>
      <c r="F454" s="40">
        <v>0</v>
      </c>
      <c r="G454" s="40">
        <v>0</v>
      </c>
    </row>
    <row r="455" spans="2:7" x14ac:dyDescent="0.2">
      <c r="B455" t="s">
        <v>1629</v>
      </c>
      <c r="C455" s="40">
        <v>87298131086</v>
      </c>
      <c r="D455" s="40">
        <v>86328768725</v>
      </c>
      <c r="E455" s="40">
        <v>88238759734</v>
      </c>
      <c r="F455" s="40">
        <v>92052533631</v>
      </c>
      <c r="G455" s="40">
        <v>95592171857</v>
      </c>
    </row>
    <row r="456" spans="2:7" x14ac:dyDescent="0.2">
      <c r="B456" t="s">
        <v>1630</v>
      </c>
      <c r="C456" s="40">
        <v>714573793</v>
      </c>
      <c r="D456" s="40">
        <v>704666277</v>
      </c>
      <c r="E456" s="40">
        <v>594469080</v>
      </c>
      <c r="F456" s="40">
        <v>689199761</v>
      </c>
      <c r="G456" s="40">
        <v>709241018</v>
      </c>
    </row>
    <row r="457" spans="2:7" x14ac:dyDescent="0.2">
      <c r="B457" t="s">
        <v>1631</v>
      </c>
      <c r="C457" s="40">
        <v>0</v>
      </c>
      <c r="D457" s="40">
        <v>0</v>
      </c>
      <c r="E457" s="40">
        <v>0</v>
      </c>
      <c r="F457" s="40">
        <v>0</v>
      </c>
      <c r="G457" s="40">
        <v>0</v>
      </c>
    </row>
    <row r="458" spans="2:7" x14ac:dyDescent="0.2">
      <c r="B458" t="s">
        <v>1632</v>
      </c>
      <c r="C458" s="40">
        <v>0</v>
      </c>
      <c r="D458" s="40">
        <v>0</v>
      </c>
      <c r="E458" s="40">
        <v>0</v>
      </c>
      <c r="F458" s="40">
        <v>0</v>
      </c>
      <c r="G458" s="40">
        <v>0</v>
      </c>
    </row>
    <row r="459" spans="2:7" x14ac:dyDescent="0.2">
      <c r="B459" t="s">
        <v>1633</v>
      </c>
      <c r="C459" s="40">
        <v>0</v>
      </c>
      <c r="D459" s="40">
        <v>0</v>
      </c>
      <c r="E459" s="40">
        <v>0</v>
      </c>
      <c r="F459" s="40">
        <v>0</v>
      </c>
      <c r="G459" s="40">
        <v>0</v>
      </c>
    </row>
    <row r="460" spans="2:7" x14ac:dyDescent="0.2">
      <c r="B460" t="s">
        <v>1634</v>
      </c>
      <c r="C460" s="40">
        <v>0</v>
      </c>
      <c r="D460" s="40">
        <v>0</v>
      </c>
      <c r="E460" s="40">
        <v>0</v>
      </c>
      <c r="F460" s="40">
        <v>0</v>
      </c>
      <c r="G460" s="40">
        <v>0</v>
      </c>
    </row>
    <row r="461" spans="2:7" x14ac:dyDescent="0.2">
      <c r="B461" t="s">
        <v>1635</v>
      </c>
      <c r="C461" s="40">
        <v>0</v>
      </c>
      <c r="D461" s="40">
        <v>0</v>
      </c>
      <c r="E461" s="40">
        <v>0</v>
      </c>
      <c r="F461" s="40">
        <v>0</v>
      </c>
      <c r="G461" s="40">
        <v>0</v>
      </c>
    </row>
    <row r="462" spans="2:7" x14ac:dyDescent="0.2">
      <c r="B462" t="s">
        <v>1636</v>
      </c>
      <c r="C462" s="40">
        <v>0</v>
      </c>
      <c r="D462" s="40">
        <v>0</v>
      </c>
      <c r="E462" s="40">
        <v>0</v>
      </c>
      <c r="F462" s="40">
        <v>0</v>
      </c>
      <c r="G462" s="40">
        <v>0</v>
      </c>
    </row>
    <row r="463" spans="2:7" x14ac:dyDescent="0.2">
      <c r="B463" t="s">
        <v>1637</v>
      </c>
      <c r="C463" s="40">
        <v>0</v>
      </c>
      <c r="D463" s="40">
        <v>0</v>
      </c>
      <c r="E463" s="40">
        <v>0</v>
      </c>
      <c r="F463" s="40">
        <v>0</v>
      </c>
      <c r="G463" s="40">
        <v>0</v>
      </c>
    </row>
    <row r="464" spans="2:7" x14ac:dyDescent="0.2">
      <c r="B464" t="s">
        <v>1638</v>
      </c>
      <c r="C464" s="40">
        <v>553435146032</v>
      </c>
      <c r="D464" s="40">
        <v>555502701343</v>
      </c>
      <c r="E464" s="40">
        <v>575783571345</v>
      </c>
      <c r="F464" s="40">
        <v>572994656342</v>
      </c>
      <c r="G464" s="40">
        <v>566676892092</v>
      </c>
    </row>
    <row r="465" spans="2:7" x14ac:dyDescent="0.2">
      <c r="B465" t="s">
        <v>1639</v>
      </c>
      <c r="C465" s="40">
        <v>553435146032</v>
      </c>
      <c r="D465" s="40">
        <v>555502701343</v>
      </c>
      <c r="E465" s="40">
        <v>575783571345</v>
      </c>
      <c r="F465" s="40">
        <v>572994656342</v>
      </c>
      <c r="G465" s="40">
        <v>566676892092</v>
      </c>
    </row>
    <row r="466" spans="2:7" x14ac:dyDescent="0.2">
      <c r="B466" t="s">
        <v>1640</v>
      </c>
      <c r="C466" s="40">
        <v>35451913240</v>
      </c>
      <c r="D466" s="40">
        <v>35898116450</v>
      </c>
      <c r="E466" s="40">
        <v>36335103945</v>
      </c>
      <c r="F466" s="40">
        <v>37016707694</v>
      </c>
      <c r="G466" s="40">
        <v>36745133706</v>
      </c>
    </row>
    <row r="467" spans="2:7" x14ac:dyDescent="0.2">
      <c r="B467" t="s">
        <v>1641</v>
      </c>
      <c r="C467" s="40">
        <v>7926179551</v>
      </c>
      <c r="D467" s="40">
        <v>8125369730</v>
      </c>
      <c r="E467" s="40">
        <v>8397634463</v>
      </c>
      <c r="F467" s="40">
        <v>8566710464</v>
      </c>
      <c r="G467" s="40">
        <v>8870145833</v>
      </c>
    </row>
    <row r="468" spans="2:7" x14ac:dyDescent="0.2">
      <c r="B468" t="s">
        <v>1642</v>
      </c>
      <c r="C468" s="40">
        <v>0</v>
      </c>
      <c r="D468" s="40">
        <v>0</v>
      </c>
      <c r="E468" s="40">
        <v>0</v>
      </c>
      <c r="F468" s="40">
        <v>0</v>
      </c>
      <c r="G468" s="40">
        <v>0</v>
      </c>
    </row>
    <row r="469" spans="2:7" x14ac:dyDescent="0.2">
      <c r="B469" t="s">
        <v>1643</v>
      </c>
      <c r="C469" s="40">
        <v>0</v>
      </c>
      <c r="D469" s="40">
        <v>0</v>
      </c>
      <c r="E469" s="40">
        <v>0</v>
      </c>
      <c r="F469" s="40">
        <v>0</v>
      </c>
      <c r="G469" s="40">
        <v>0</v>
      </c>
    </row>
    <row r="470" spans="2:7" x14ac:dyDescent="0.2">
      <c r="B470" t="s">
        <v>1644</v>
      </c>
      <c r="C470" s="40">
        <v>11846895708</v>
      </c>
      <c r="D470" s="40">
        <v>14298321638</v>
      </c>
      <c r="E470" s="40">
        <v>3914861274</v>
      </c>
      <c r="F470" s="40">
        <v>8852981552</v>
      </c>
      <c r="G470" s="40">
        <v>14339769683</v>
      </c>
    </row>
    <row r="471" spans="2:7" x14ac:dyDescent="0.2">
      <c r="B471" t="s">
        <v>1645</v>
      </c>
      <c r="C471" s="40">
        <v>23040529</v>
      </c>
      <c r="D471" s="40">
        <v>21705733</v>
      </c>
      <c r="E471" s="40">
        <v>21307882</v>
      </c>
      <c r="F471" s="40">
        <v>21482155</v>
      </c>
      <c r="G471" s="40">
        <v>21573117</v>
      </c>
    </row>
    <row r="472" spans="2:7" x14ac:dyDescent="0.2">
      <c r="B472" t="s">
        <v>1646</v>
      </c>
      <c r="C472" s="40">
        <v>51323061639</v>
      </c>
      <c r="D472" s="40">
        <v>69240348471</v>
      </c>
      <c r="E472" s="40">
        <v>17863196570</v>
      </c>
      <c r="F472" s="40">
        <v>36229457367</v>
      </c>
      <c r="G472" s="40">
        <v>54863932908</v>
      </c>
    </row>
    <row r="473" spans="2:7" x14ac:dyDescent="0.2">
      <c r="B473" t="s">
        <v>1647</v>
      </c>
      <c r="C473" s="40">
        <v>0</v>
      </c>
      <c r="D473" s="40">
        <v>0</v>
      </c>
      <c r="E473" s="40">
        <v>0</v>
      </c>
      <c r="F473" s="40">
        <v>0</v>
      </c>
      <c r="G473" s="40">
        <v>0</v>
      </c>
    </row>
    <row r="474" spans="2:7" x14ac:dyDescent="0.2">
      <c r="B474" t="s">
        <v>1648</v>
      </c>
      <c r="C474" s="40">
        <v>0</v>
      </c>
      <c r="D474" s="40">
        <v>0</v>
      </c>
      <c r="E474" s="40">
        <v>0</v>
      </c>
      <c r="F474" s="40">
        <v>0</v>
      </c>
      <c r="G474" s="40">
        <v>0</v>
      </c>
    </row>
    <row r="475" spans="2:7" x14ac:dyDescent="0.2">
      <c r="B475" t="s">
        <v>1649</v>
      </c>
      <c r="C475" s="40">
        <v>0</v>
      </c>
      <c r="D475" s="40">
        <v>0</v>
      </c>
      <c r="E475" s="40">
        <v>0</v>
      </c>
      <c r="F475" s="40">
        <v>0</v>
      </c>
      <c r="G475" s="40">
        <v>0</v>
      </c>
    </row>
    <row r="476" spans="2:7" x14ac:dyDescent="0.2">
      <c r="B476" t="s">
        <v>1650</v>
      </c>
      <c r="C476" s="40">
        <v>0</v>
      </c>
      <c r="D476" s="40">
        <v>0</v>
      </c>
      <c r="E476" s="40">
        <v>0</v>
      </c>
      <c r="F476" s="40">
        <v>0</v>
      </c>
      <c r="G476" s="40">
        <v>0</v>
      </c>
    </row>
    <row r="477" spans="2:7" x14ac:dyDescent="0.2">
      <c r="B477" t="s">
        <v>1651</v>
      </c>
      <c r="C477" s="40">
        <v>0</v>
      </c>
      <c r="D477" s="40">
        <v>0</v>
      </c>
      <c r="E477" s="40">
        <v>0</v>
      </c>
      <c r="F477" s="40">
        <v>0</v>
      </c>
      <c r="G477" s="40">
        <v>0</v>
      </c>
    </row>
    <row r="478" spans="2:7" x14ac:dyDescent="0.2">
      <c r="B478" t="s">
        <v>1652</v>
      </c>
      <c r="C478" s="40">
        <v>0</v>
      </c>
      <c r="D478" s="40">
        <v>0</v>
      </c>
      <c r="E478" s="40">
        <v>0</v>
      </c>
      <c r="F478" s="40">
        <v>0</v>
      </c>
      <c r="G478" s="40">
        <v>0</v>
      </c>
    </row>
    <row r="479" spans="2:7" x14ac:dyDescent="0.2">
      <c r="B479" t="s">
        <v>1653</v>
      </c>
      <c r="C479" s="40">
        <v>3418982363</v>
      </c>
      <c r="D479" s="40">
        <v>4662648358</v>
      </c>
      <c r="E479" s="40">
        <v>1250189999</v>
      </c>
      <c r="F479" s="40">
        <v>2450180837</v>
      </c>
      <c r="G479" s="40">
        <v>3612308469</v>
      </c>
    </row>
    <row r="480" spans="2:7" x14ac:dyDescent="0.2">
      <c r="B480" t="s">
        <v>1654</v>
      </c>
      <c r="C480" s="40">
        <v>347520459</v>
      </c>
      <c r="D480" s="40">
        <v>451766657</v>
      </c>
      <c r="E480" s="40">
        <v>120463415</v>
      </c>
      <c r="F480" s="40">
        <v>246091895</v>
      </c>
      <c r="G480" s="40">
        <v>396115937</v>
      </c>
    </row>
    <row r="481" spans="2:7" x14ac:dyDescent="0.2">
      <c r="B481" t="s">
        <v>1655</v>
      </c>
      <c r="C481" s="40">
        <v>0</v>
      </c>
      <c r="D481" s="40">
        <v>0</v>
      </c>
      <c r="E481" s="40">
        <v>0</v>
      </c>
      <c r="F481" s="40">
        <v>0</v>
      </c>
      <c r="G481" s="40">
        <v>0</v>
      </c>
    </row>
    <row r="482" spans="2:7" x14ac:dyDescent="0.2">
      <c r="B482" t="s">
        <v>1656</v>
      </c>
      <c r="C482" s="40">
        <v>10376816761</v>
      </c>
      <c r="D482" s="40">
        <v>14743958317</v>
      </c>
      <c r="E482" s="40">
        <v>3742387883</v>
      </c>
      <c r="F482" s="40">
        <v>8751118364</v>
      </c>
      <c r="G482" s="40">
        <v>13904106343</v>
      </c>
    </row>
    <row r="483" spans="2:7" x14ac:dyDescent="0.2">
      <c r="B483" t="s">
        <v>1657</v>
      </c>
      <c r="C483" s="40">
        <v>9212003482</v>
      </c>
      <c r="D483" s="40">
        <v>12902140773</v>
      </c>
      <c r="E483" s="40">
        <v>3076284203</v>
      </c>
      <c r="F483" s="40">
        <v>7302982010</v>
      </c>
      <c r="G483" s="40">
        <v>11942860861</v>
      </c>
    </row>
    <row r="484" spans="2:7" x14ac:dyDescent="0.2">
      <c r="B484" t="s">
        <v>1658</v>
      </c>
      <c r="C484" s="40">
        <v>8596</v>
      </c>
      <c r="D484" s="40">
        <v>8716</v>
      </c>
      <c r="E484" s="40">
        <v>8919</v>
      </c>
      <c r="F484" s="40">
        <v>9101</v>
      </c>
      <c r="G484" s="40">
        <v>9289</v>
      </c>
    </row>
    <row r="485" spans="2:7" x14ac:dyDescent="0.2">
      <c r="B485" t="s">
        <v>1659</v>
      </c>
      <c r="C485" s="40">
        <v>0</v>
      </c>
      <c r="D485" s="40">
        <v>0</v>
      </c>
      <c r="E485" s="40">
        <v>0</v>
      </c>
      <c r="F485" s="40">
        <v>0</v>
      </c>
      <c r="G485" s="40">
        <v>0</v>
      </c>
    </row>
    <row r="486" spans="2:7" x14ac:dyDescent="0.2">
      <c r="B486" t="s">
        <v>1660</v>
      </c>
      <c r="C486" s="40">
        <v>3743369041</v>
      </c>
      <c r="D486" s="40">
        <v>3954575011</v>
      </c>
      <c r="E486" s="40">
        <v>4034505766</v>
      </c>
      <c r="F486" s="40">
        <v>4150928067</v>
      </c>
      <c r="G486" s="40">
        <v>4311416203</v>
      </c>
    </row>
    <row r="487" spans="2:7" x14ac:dyDescent="0.2">
      <c r="B487" t="s">
        <v>1661</v>
      </c>
      <c r="C487" s="40">
        <v>1961224355</v>
      </c>
      <c r="D487" s="40">
        <v>2050121619</v>
      </c>
      <c r="E487" s="40">
        <v>2108601966</v>
      </c>
      <c r="F487" s="40">
        <v>2181998475</v>
      </c>
      <c r="G487" s="40">
        <v>2264606586</v>
      </c>
    </row>
    <row r="488" spans="2:7" x14ac:dyDescent="0.2">
      <c r="B488" t="s">
        <v>1662</v>
      </c>
      <c r="C488" s="40">
        <v>0</v>
      </c>
      <c r="D488" s="40">
        <v>0</v>
      </c>
      <c r="E488" s="40">
        <v>0</v>
      </c>
      <c r="F488" s="40">
        <v>0</v>
      </c>
      <c r="G488" s="40">
        <v>0</v>
      </c>
    </row>
    <row r="489" spans="2:7" x14ac:dyDescent="0.2">
      <c r="B489" t="s">
        <v>1663</v>
      </c>
      <c r="C489" s="40">
        <v>0</v>
      </c>
      <c r="D489" s="40">
        <v>0</v>
      </c>
      <c r="E489" s="40">
        <v>0</v>
      </c>
      <c r="F489" s="40">
        <v>0</v>
      </c>
      <c r="G489" s="40">
        <v>0</v>
      </c>
    </row>
    <row r="490" spans="2:7" x14ac:dyDescent="0.2">
      <c r="B490" t="s">
        <v>1664</v>
      </c>
      <c r="C490" s="40">
        <v>60407288128</v>
      </c>
      <c r="D490" s="40">
        <v>61490681276</v>
      </c>
      <c r="E490" s="40">
        <v>62595193287</v>
      </c>
      <c r="F490" s="40">
        <v>64466204781</v>
      </c>
      <c r="G490" s="40">
        <v>65932229611</v>
      </c>
    </row>
    <row r="491" spans="2:7" x14ac:dyDescent="0.2">
      <c r="B491" t="s">
        <v>1665</v>
      </c>
      <c r="C491" s="40">
        <v>0</v>
      </c>
      <c r="D491" s="40">
        <v>0</v>
      </c>
      <c r="E491" s="40">
        <v>0</v>
      </c>
      <c r="F491" s="40">
        <v>0</v>
      </c>
      <c r="G491" s="40">
        <v>0</v>
      </c>
    </row>
    <row r="492" spans="2:7" x14ac:dyDescent="0.2">
      <c r="B492" t="s">
        <v>1666</v>
      </c>
      <c r="C492" s="40">
        <v>19926995375</v>
      </c>
      <c r="D492" s="40">
        <v>20411503495</v>
      </c>
      <c r="E492" s="40">
        <v>20878906492</v>
      </c>
      <c r="F492" s="40">
        <v>21755926351</v>
      </c>
      <c r="G492" s="40">
        <v>22591303791</v>
      </c>
    </row>
    <row r="493" spans="2:7" x14ac:dyDescent="0.2">
      <c r="B493" t="s">
        <v>1667</v>
      </c>
      <c r="C493" s="40">
        <v>0</v>
      </c>
      <c r="D493" s="40">
        <v>0</v>
      </c>
      <c r="E493" s="40">
        <v>0</v>
      </c>
      <c r="F493" s="40">
        <v>0</v>
      </c>
      <c r="G493" s="40">
        <v>0</v>
      </c>
    </row>
    <row r="494" spans="2:7" x14ac:dyDescent="0.2">
      <c r="B494" t="s">
        <v>1668</v>
      </c>
      <c r="C494" s="40">
        <v>0</v>
      </c>
      <c r="D494" s="40">
        <v>0</v>
      </c>
      <c r="E494" s="40">
        <v>0</v>
      </c>
      <c r="F494" s="40">
        <v>0</v>
      </c>
      <c r="G494" s="40">
        <v>0</v>
      </c>
    </row>
    <row r="495" spans="2:7" x14ac:dyDescent="0.2">
      <c r="B495" t="s">
        <v>1669</v>
      </c>
      <c r="C495" s="40">
        <v>0</v>
      </c>
      <c r="D495" s="40">
        <v>0</v>
      </c>
      <c r="E495" s="40">
        <v>0</v>
      </c>
      <c r="F495" s="40">
        <v>0</v>
      </c>
      <c r="G495" s="40">
        <v>0</v>
      </c>
    </row>
    <row r="496" spans="2:7" x14ac:dyDescent="0.2">
      <c r="B496" t="s">
        <v>1670</v>
      </c>
      <c r="C496" s="40">
        <v>0</v>
      </c>
      <c r="D496" s="40">
        <v>0</v>
      </c>
      <c r="E496" s="40">
        <v>0</v>
      </c>
      <c r="F496" s="40">
        <v>0</v>
      </c>
      <c r="G496" s="40">
        <v>0</v>
      </c>
    </row>
    <row r="497" spans="2:7" x14ac:dyDescent="0.2">
      <c r="B497" t="s">
        <v>1671</v>
      </c>
      <c r="C497" s="40">
        <v>690895457</v>
      </c>
      <c r="D497" s="40">
        <v>667732048</v>
      </c>
      <c r="E497" s="40">
        <v>661749398</v>
      </c>
      <c r="F497" s="40">
        <v>648031834</v>
      </c>
      <c r="G497" s="40">
        <v>639634445</v>
      </c>
    </row>
    <row r="498" spans="2:7" x14ac:dyDescent="0.2">
      <c r="B498" t="s">
        <v>1672</v>
      </c>
      <c r="C498" s="40">
        <v>17935714538</v>
      </c>
      <c r="D498" s="40">
        <v>18439188171</v>
      </c>
      <c r="E498" s="40">
        <v>19051722738</v>
      </c>
      <c r="F498" s="40">
        <v>19579838824</v>
      </c>
      <c r="G498" s="40">
        <v>19889809711</v>
      </c>
    </row>
    <row r="499" spans="2:7" x14ac:dyDescent="0.2">
      <c r="B499" t="s">
        <v>1673</v>
      </c>
      <c r="C499" s="40">
        <v>1872534697</v>
      </c>
      <c r="D499" s="40">
        <v>1931998022</v>
      </c>
      <c r="E499" s="40">
        <v>1914248169</v>
      </c>
      <c r="F499" s="40">
        <v>1853611814</v>
      </c>
      <c r="G499" s="40">
        <v>1871990281</v>
      </c>
    </row>
    <row r="500" spans="2:7" x14ac:dyDescent="0.2">
      <c r="B500" t="s">
        <v>1674</v>
      </c>
      <c r="C500" s="40">
        <v>15317672872</v>
      </c>
      <c r="D500" s="40">
        <v>15424255224</v>
      </c>
      <c r="E500" s="40">
        <v>16322457836</v>
      </c>
      <c r="F500" s="40">
        <v>15973708989</v>
      </c>
      <c r="G500" s="40">
        <v>16028369446</v>
      </c>
    </row>
    <row r="501" spans="2:7" x14ac:dyDescent="0.2">
      <c r="B501" t="s">
        <v>1675</v>
      </c>
      <c r="C501" s="40">
        <v>0</v>
      </c>
      <c r="D501" s="40">
        <v>0</v>
      </c>
      <c r="E501" s="40">
        <v>0</v>
      </c>
      <c r="F501" s="40">
        <v>0</v>
      </c>
      <c r="G501" s="40">
        <v>0</v>
      </c>
    </row>
    <row r="502" spans="2:7" x14ac:dyDescent="0.2">
      <c r="B502" t="s">
        <v>1676</v>
      </c>
      <c r="C502" s="40">
        <v>3022833163</v>
      </c>
      <c r="D502" s="40">
        <v>3040332055</v>
      </c>
      <c r="E502" s="40">
        <v>3009173714</v>
      </c>
      <c r="F502" s="40">
        <v>3074814318</v>
      </c>
      <c r="G502" s="40">
        <v>2907200048</v>
      </c>
    </row>
    <row r="503" spans="2:7" x14ac:dyDescent="0.2">
      <c r="B503" t="s">
        <v>1677</v>
      </c>
      <c r="C503" s="40">
        <v>0</v>
      </c>
      <c r="D503" s="40">
        <v>0</v>
      </c>
      <c r="E503" s="40">
        <v>0</v>
      </c>
      <c r="F503" s="40">
        <v>0</v>
      </c>
      <c r="G503" s="40">
        <v>0</v>
      </c>
    </row>
    <row r="504" spans="2:7" x14ac:dyDescent="0.2">
      <c r="B504" t="s">
        <v>1678</v>
      </c>
      <c r="C504" s="40">
        <v>0</v>
      </c>
      <c r="D504" s="40">
        <v>0</v>
      </c>
      <c r="E504" s="40">
        <v>0</v>
      </c>
      <c r="F504" s="40">
        <v>0</v>
      </c>
      <c r="G504" s="40">
        <v>0</v>
      </c>
    </row>
    <row r="505" spans="2:7" x14ac:dyDescent="0.2">
      <c r="B505" t="s">
        <v>1679</v>
      </c>
      <c r="C505" s="40">
        <v>0</v>
      </c>
      <c r="D505" s="40">
        <v>0</v>
      </c>
      <c r="E505" s="40">
        <v>0</v>
      </c>
      <c r="F505" s="40">
        <v>0</v>
      </c>
      <c r="G505" s="40">
        <v>0</v>
      </c>
    </row>
    <row r="506" spans="2:7" x14ac:dyDescent="0.2">
      <c r="B506" t="s">
        <v>1680</v>
      </c>
      <c r="C506" s="40">
        <v>0</v>
      </c>
      <c r="D506" s="40">
        <v>0</v>
      </c>
      <c r="E506" s="40">
        <v>0</v>
      </c>
      <c r="F506" s="40">
        <v>0</v>
      </c>
      <c r="G506" s="40">
        <v>0</v>
      </c>
    </row>
    <row r="507" spans="2:7" x14ac:dyDescent="0.2">
      <c r="B507" t="s">
        <v>1681</v>
      </c>
      <c r="C507" s="40">
        <v>81890694</v>
      </c>
      <c r="D507" s="40">
        <v>80407768</v>
      </c>
      <c r="E507" s="40">
        <v>80362572</v>
      </c>
      <c r="F507" s="40">
        <v>83419982</v>
      </c>
      <c r="G507" s="40">
        <v>78058123</v>
      </c>
    </row>
    <row r="508" spans="2:7" x14ac:dyDescent="0.2">
      <c r="B508" t="s">
        <v>1682</v>
      </c>
      <c r="C508" s="40">
        <v>9004520362</v>
      </c>
      <c r="D508" s="40">
        <v>9165511025</v>
      </c>
      <c r="E508" s="40">
        <v>9382378434</v>
      </c>
      <c r="F508" s="40">
        <v>9713182197</v>
      </c>
      <c r="G508" s="40">
        <v>9893525453</v>
      </c>
    </row>
    <row r="509" spans="2:7" x14ac:dyDescent="0.2">
      <c r="B509" t="s">
        <v>1683</v>
      </c>
      <c r="C509" s="40">
        <v>976513412</v>
      </c>
      <c r="D509" s="40">
        <v>1001748728</v>
      </c>
      <c r="E509" s="40">
        <v>943442370</v>
      </c>
      <c r="F509" s="40">
        <v>959289979</v>
      </c>
      <c r="G509" s="40">
        <v>911764771</v>
      </c>
    </row>
    <row r="510" spans="2:7" x14ac:dyDescent="0.2">
      <c r="B510" t="s">
        <v>1684</v>
      </c>
      <c r="C510" s="40">
        <v>3025361124</v>
      </c>
      <c r="D510" s="40">
        <v>3039419948</v>
      </c>
      <c r="E510" s="40">
        <v>3093664173</v>
      </c>
      <c r="F510" s="40">
        <v>3150547244</v>
      </c>
      <c r="G510" s="40">
        <v>3131946150</v>
      </c>
    </row>
    <row r="511" spans="2:7" x14ac:dyDescent="0.2">
      <c r="B511" t="s">
        <v>1685</v>
      </c>
      <c r="C511" s="40">
        <v>2571530892</v>
      </c>
      <c r="D511" s="40">
        <v>2607304751</v>
      </c>
      <c r="E511" s="40">
        <v>2723875572</v>
      </c>
      <c r="F511" s="40">
        <v>2766840128</v>
      </c>
      <c r="G511" s="40">
        <v>2799055971</v>
      </c>
    </row>
    <row r="512" spans="2:7" x14ac:dyDescent="0.2">
      <c r="B512" t="s">
        <v>1686</v>
      </c>
      <c r="C512" s="40">
        <v>0</v>
      </c>
      <c r="D512" s="40">
        <v>0</v>
      </c>
      <c r="E512" s="40">
        <v>0</v>
      </c>
      <c r="F512" s="40">
        <v>0</v>
      </c>
      <c r="G512" s="40">
        <v>0</v>
      </c>
    </row>
    <row r="513" spans="2:7" x14ac:dyDescent="0.2">
      <c r="B513" t="s">
        <v>1687</v>
      </c>
      <c r="C513" s="40">
        <v>0</v>
      </c>
      <c r="D513" s="40">
        <v>0</v>
      </c>
      <c r="E513" s="40">
        <v>0</v>
      </c>
      <c r="F513" s="40">
        <v>0</v>
      </c>
      <c r="G513" s="40">
        <v>0</v>
      </c>
    </row>
    <row r="514" spans="2:7" x14ac:dyDescent="0.2">
      <c r="B514" t="s">
        <v>1688</v>
      </c>
      <c r="C514" s="40">
        <v>7107258616</v>
      </c>
      <c r="D514" s="40">
        <v>6954669814</v>
      </c>
      <c r="E514" s="40">
        <v>6917733775</v>
      </c>
      <c r="F514" s="40">
        <v>6675841919</v>
      </c>
      <c r="G514" s="40">
        <v>6661982681</v>
      </c>
    </row>
    <row r="515" spans="2:7" x14ac:dyDescent="0.2">
      <c r="B515" t="s">
        <v>1689</v>
      </c>
      <c r="C515" s="40">
        <v>0</v>
      </c>
      <c r="D515" s="40">
        <v>0</v>
      </c>
      <c r="E515" s="40">
        <v>0</v>
      </c>
      <c r="F515" s="40">
        <v>0</v>
      </c>
      <c r="G515" s="40">
        <v>0</v>
      </c>
    </row>
    <row r="516" spans="2:7" x14ac:dyDescent="0.2">
      <c r="B516" t="s">
        <v>1690</v>
      </c>
      <c r="C516" s="40">
        <v>70724376395</v>
      </c>
      <c r="D516" s="40">
        <v>69660353444</v>
      </c>
      <c r="E516" s="40">
        <v>70116134366</v>
      </c>
      <c r="F516" s="40">
        <v>70438584327</v>
      </c>
      <c r="G516" s="40">
        <v>70222375471</v>
      </c>
    </row>
    <row r="517" spans="2:7" x14ac:dyDescent="0.2">
      <c r="B517" t="s">
        <v>1691</v>
      </c>
      <c r="C517" s="40">
        <v>0</v>
      </c>
      <c r="D517" s="40">
        <v>0</v>
      </c>
      <c r="E517" s="40">
        <v>0</v>
      </c>
      <c r="F517" s="40">
        <v>0</v>
      </c>
      <c r="G517" s="40">
        <v>0</v>
      </c>
    </row>
    <row r="518" spans="2:7" x14ac:dyDescent="0.2">
      <c r="B518" t="s">
        <v>1692</v>
      </c>
      <c r="C518" s="40">
        <v>587894928961</v>
      </c>
      <c r="D518" s="40">
        <v>594229880329</v>
      </c>
      <c r="E518" s="40">
        <v>597937577725</v>
      </c>
      <c r="F518" s="40">
        <v>607789787605</v>
      </c>
      <c r="G518" s="40">
        <v>617098094465</v>
      </c>
    </row>
    <row r="519" spans="2:7" x14ac:dyDescent="0.2">
      <c r="B519" t="s">
        <v>1693</v>
      </c>
      <c r="C519" s="40">
        <v>0</v>
      </c>
      <c r="D519" s="40">
        <v>0</v>
      </c>
      <c r="E519" s="40">
        <v>0</v>
      </c>
      <c r="F519" s="40">
        <v>0</v>
      </c>
      <c r="G519" s="40">
        <v>0</v>
      </c>
    </row>
    <row r="520" spans="2:7" x14ac:dyDescent="0.2">
      <c r="B520" t="s">
        <v>1694</v>
      </c>
      <c r="C520" s="40">
        <v>0</v>
      </c>
      <c r="D520" s="40">
        <v>0</v>
      </c>
      <c r="E520" s="40">
        <v>0</v>
      </c>
      <c r="F520" s="40">
        <v>0</v>
      </c>
      <c r="G520" s="40">
        <v>0</v>
      </c>
    </row>
    <row r="521" spans="2:7" x14ac:dyDescent="0.2">
      <c r="B521" t="s">
        <v>1695</v>
      </c>
      <c r="C521" s="40">
        <v>0</v>
      </c>
      <c r="D521" s="40">
        <v>0</v>
      </c>
      <c r="E521" s="40">
        <v>0</v>
      </c>
      <c r="F521" s="40">
        <v>0</v>
      </c>
      <c r="G521" s="40">
        <v>0</v>
      </c>
    </row>
    <row r="522" spans="2:7" x14ac:dyDescent="0.2">
      <c r="B522" t="s">
        <v>1696</v>
      </c>
      <c r="C522" s="40">
        <v>5078943519</v>
      </c>
      <c r="D522" s="40">
        <v>5043816335</v>
      </c>
      <c r="E522" s="40">
        <v>5063402801</v>
      </c>
      <c r="F522" s="40">
        <v>5141055152</v>
      </c>
      <c r="G522" s="40">
        <v>5409729013</v>
      </c>
    </row>
    <row r="523" spans="2:7" x14ac:dyDescent="0.2">
      <c r="B523" t="s">
        <v>1697</v>
      </c>
      <c r="C523" s="40">
        <v>0</v>
      </c>
      <c r="D523" s="40">
        <v>0</v>
      </c>
      <c r="E523" s="40">
        <v>0</v>
      </c>
      <c r="F523" s="40">
        <v>0</v>
      </c>
      <c r="G523" s="40">
        <v>0</v>
      </c>
    </row>
    <row r="524" spans="2:7" x14ac:dyDescent="0.2">
      <c r="B524" t="s">
        <v>1698</v>
      </c>
      <c r="C524" s="40">
        <v>0</v>
      </c>
      <c r="D524" s="40">
        <v>0</v>
      </c>
      <c r="E524" s="40">
        <v>0</v>
      </c>
      <c r="F524" s="40">
        <v>0</v>
      </c>
      <c r="G524" s="40">
        <v>0</v>
      </c>
    </row>
    <row r="525" spans="2:7" x14ac:dyDescent="0.2">
      <c r="B525" t="s">
        <v>1699</v>
      </c>
      <c r="C525" s="40">
        <v>15491790543</v>
      </c>
      <c r="D525" s="40">
        <v>16000611113</v>
      </c>
      <c r="E525" s="40">
        <v>15740952035</v>
      </c>
      <c r="F525" s="40">
        <v>16276366031</v>
      </c>
      <c r="G525" s="40">
        <v>16663364142</v>
      </c>
    </row>
    <row r="526" spans="2:7" x14ac:dyDescent="0.2">
      <c r="B526" t="s">
        <v>1700</v>
      </c>
      <c r="C526" s="40">
        <v>0</v>
      </c>
      <c r="D526" s="40">
        <v>0</v>
      </c>
      <c r="E526" s="40">
        <v>0</v>
      </c>
      <c r="F526" s="40">
        <v>0</v>
      </c>
      <c r="G526" s="40">
        <v>0</v>
      </c>
    </row>
    <row r="527" spans="2:7" x14ac:dyDescent="0.2">
      <c r="B527" t="s">
        <v>1701</v>
      </c>
      <c r="C527" s="40">
        <v>0</v>
      </c>
      <c r="D527" s="40">
        <v>0</v>
      </c>
      <c r="E527" s="40">
        <v>0</v>
      </c>
      <c r="F527" s="40">
        <v>0</v>
      </c>
      <c r="G527" s="40">
        <v>0</v>
      </c>
    </row>
    <row r="528" spans="2:7" x14ac:dyDescent="0.2">
      <c r="B528" t="s">
        <v>1702</v>
      </c>
      <c r="C528" s="40">
        <v>0</v>
      </c>
      <c r="D528" s="40">
        <v>0</v>
      </c>
      <c r="E528" s="40">
        <v>0</v>
      </c>
      <c r="F528" s="40">
        <v>0</v>
      </c>
      <c r="G528" s="40">
        <v>0</v>
      </c>
    </row>
    <row r="529" spans="2:7" x14ac:dyDescent="0.2">
      <c r="B529" t="s">
        <v>1703</v>
      </c>
      <c r="C529" s="40">
        <v>0</v>
      </c>
      <c r="D529" s="40">
        <v>0</v>
      </c>
      <c r="E529" s="40">
        <v>0</v>
      </c>
      <c r="F529" s="40">
        <v>0</v>
      </c>
      <c r="G529" s="40">
        <v>0</v>
      </c>
    </row>
    <row r="530" spans="2:7" x14ac:dyDescent="0.2">
      <c r="B530" t="s">
        <v>1704</v>
      </c>
      <c r="C530" s="40">
        <v>0</v>
      </c>
      <c r="D530" s="40">
        <v>0</v>
      </c>
      <c r="E530" s="40">
        <v>0</v>
      </c>
      <c r="F530" s="40">
        <v>0</v>
      </c>
      <c r="G530" s="40">
        <v>0</v>
      </c>
    </row>
    <row r="531" spans="2:7" x14ac:dyDescent="0.2">
      <c r="B531" t="s">
        <v>1705</v>
      </c>
      <c r="C531" s="40">
        <v>0</v>
      </c>
      <c r="D531" s="40">
        <v>0</v>
      </c>
      <c r="E531" s="40">
        <v>0</v>
      </c>
      <c r="F531" s="40">
        <v>0</v>
      </c>
      <c r="G531" s="40">
        <v>0</v>
      </c>
    </row>
    <row r="532" spans="2:7" x14ac:dyDescent="0.2">
      <c r="B532" t="s">
        <v>1706</v>
      </c>
      <c r="C532" s="40">
        <v>0</v>
      </c>
      <c r="D532" s="40">
        <v>0</v>
      </c>
      <c r="E532" s="40">
        <v>0</v>
      </c>
      <c r="F532" s="40">
        <v>0</v>
      </c>
      <c r="G532" s="40">
        <v>0</v>
      </c>
    </row>
    <row r="533" spans="2:7" x14ac:dyDescent="0.2">
      <c r="B533" t="s">
        <v>1707</v>
      </c>
      <c r="C533" s="40">
        <v>0</v>
      </c>
      <c r="D533" s="40">
        <v>0</v>
      </c>
      <c r="E533" s="40">
        <v>0</v>
      </c>
      <c r="F533" s="40">
        <v>0</v>
      </c>
      <c r="G533" s="40">
        <v>0</v>
      </c>
    </row>
    <row r="534" spans="2:7" x14ac:dyDescent="0.2">
      <c r="B534" t="s">
        <v>1708</v>
      </c>
      <c r="C534" s="40">
        <v>0</v>
      </c>
      <c r="D534" s="40">
        <v>0</v>
      </c>
      <c r="E534" s="40">
        <v>0</v>
      </c>
      <c r="F534" s="40">
        <v>0</v>
      </c>
      <c r="G534" s="40">
        <v>0</v>
      </c>
    </row>
    <row r="535" spans="2:7" x14ac:dyDescent="0.2">
      <c r="B535" t="s">
        <v>1709</v>
      </c>
      <c r="C535" s="40">
        <v>0</v>
      </c>
      <c r="D535" s="40">
        <v>0</v>
      </c>
      <c r="E535" s="40">
        <v>0</v>
      </c>
      <c r="F535" s="40">
        <v>0</v>
      </c>
      <c r="G535" s="40">
        <v>0</v>
      </c>
    </row>
    <row r="536" spans="2:7" x14ac:dyDescent="0.2">
      <c r="B536" t="s">
        <v>1710</v>
      </c>
      <c r="C536" s="40">
        <v>0</v>
      </c>
      <c r="D536" s="40">
        <v>0</v>
      </c>
      <c r="E536" s="40">
        <v>0</v>
      </c>
      <c r="F536" s="40">
        <v>0</v>
      </c>
      <c r="G536" s="40">
        <v>0</v>
      </c>
    </row>
    <row r="537" spans="2:7" x14ac:dyDescent="0.2">
      <c r="B537" t="s">
        <v>1711</v>
      </c>
      <c r="C537" s="40">
        <v>0</v>
      </c>
      <c r="D537" s="40">
        <v>0</v>
      </c>
      <c r="E537" s="40">
        <v>0</v>
      </c>
      <c r="F537" s="40">
        <v>0</v>
      </c>
      <c r="G537" s="40">
        <v>0</v>
      </c>
    </row>
    <row r="538" spans="2:7" x14ac:dyDescent="0.2">
      <c r="B538" t="s">
        <v>1712</v>
      </c>
      <c r="C538" s="40">
        <v>0</v>
      </c>
      <c r="D538" s="40">
        <v>0</v>
      </c>
      <c r="E538" s="40">
        <v>0</v>
      </c>
      <c r="F538" s="40">
        <v>0</v>
      </c>
      <c r="G538" s="40">
        <v>0</v>
      </c>
    </row>
    <row r="539" spans="2:7" x14ac:dyDescent="0.2">
      <c r="B539" t="s">
        <v>1713</v>
      </c>
      <c r="C539" s="40">
        <v>0</v>
      </c>
      <c r="D539" s="40">
        <v>0</v>
      </c>
      <c r="E539" s="40">
        <v>0</v>
      </c>
      <c r="F539" s="40">
        <v>0</v>
      </c>
      <c r="G539" s="40">
        <v>0</v>
      </c>
    </row>
    <row r="540" spans="2:7" x14ac:dyDescent="0.2">
      <c r="B540" t="s">
        <v>1714</v>
      </c>
      <c r="C540" s="40">
        <v>0</v>
      </c>
      <c r="D540" s="40">
        <v>0</v>
      </c>
      <c r="E540" s="40">
        <v>0</v>
      </c>
      <c r="F540" s="40">
        <v>0</v>
      </c>
      <c r="G540" s="40">
        <v>0</v>
      </c>
    </row>
    <row r="541" spans="2:7" x14ac:dyDescent="0.2">
      <c r="B541" t="s">
        <v>1715</v>
      </c>
      <c r="C541" s="40">
        <v>0</v>
      </c>
      <c r="D541" s="40">
        <v>0</v>
      </c>
      <c r="E541" s="40">
        <v>0</v>
      </c>
      <c r="F541" s="40">
        <v>0</v>
      </c>
      <c r="G541" s="40">
        <v>0</v>
      </c>
    </row>
    <row r="542" spans="2:7" x14ac:dyDescent="0.2">
      <c r="B542" t="s">
        <v>1716</v>
      </c>
      <c r="C542" s="40">
        <v>0</v>
      </c>
      <c r="D542" s="40">
        <v>0</v>
      </c>
      <c r="E542" s="40">
        <v>0</v>
      </c>
      <c r="F542" s="40">
        <v>0</v>
      </c>
      <c r="G542" s="40">
        <v>0</v>
      </c>
    </row>
    <row r="543" spans="2:7" x14ac:dyDescent="0.2">
      <c r="B543" t="s">
        <v>1717</v>
      </c>
      <c r="C543" s="40">
        <v>0</v>
      </c>
      <c r="D543" s="40">
        <v>0</v>
      </c>
      <c r="E543" s="40">
        <v>0</v>
      </c>
      <c r="F543" s="40">
        <v>0</v>
      </c>
      <c r="G543" s="40">
        <v>0</v>
      </c>
    </row>
    <row r="544" spans="2:7" x14ac:dyDescent="0.2">
      <c r="B544" t="s">
        <v>1718</v>
      </c>
      <c r="C544" s="40">
        <v>0</v>
      </c>
      <c r="D544" s="40">
        <v>0</v>
      </c>
      <c r="E544" s="40">
        <v>0</v>
      </c>
      <c r="F544" s="40">
        <v>0</v>
      </c>
      <c r="G544" s="40">
        <v>0</v>
      </c>
    </row>
    <row r="545" spans="2:7" x14ac:dyDescent="0.2">
      <c r="B545" t="s">
        <v>1719</v>
      </c>
      <c r="C545" s="40">
        <v>0</v>
      </c>
      <c r="D545" s="40">
        <v>0</v>
      </c>
      <c r="E545" s="40">
        <v>0</v>
      </c>
      <c r="F545" s="40">
        <v>0</v>
      </c>
      <c r="G545" s="40">
        <v>0</v>
      </c>
    </row>
    <row r="546" spans="2:7" x14ac:dyDescent="0.2">
      <c r="B546" t="s">
        <v>1720</v>
      </c>
      <c r="C546" s="40">
        <v>0</v>
      </c>
      <c r="D546" s="40">
        <v>0</v>
      </c>
      <c r="E546" s="40">
        <v>0</v>
      </c>
      <c r="F546" s="40">
        <v>0</v>
      </c>
      <c r="G546" s="40">
        <v>0</v>
      </c>
    </row>
    <row r="547" spans="2:7" x14ac:dyDescent="0.2">
      <c r="B547" t="s">
        <v>1721</v>
      </c>
      <c r="C547" s="40">
        <v>0</v>
      </c>
      <c r="D547" s="40">
        <v>0</v>
      </c>
      <c r="E547" s="40">
        <v>0</v>
      </c>
      <c r="F547" s="40">
        <v>0</v>
      </c>
      <c r="G547" s="40">
        <v>0</v>
      </c>
    </row>
    <row r="548" spans="2:7" x14ac:dyDescent="0.2">
      <c r="B548" t="s">
        <v>1722</v>
      </c>
      <c r="C548" s="40">
        <v>0</v>
      </c>
      <c r="D548" s="40">
        <v>0</v>
      </c>
      <c r="E548" s="40">
        <v>0</v>
      </c>
      <c r="F548" s="40">
        <v>0</v>
      </c>
      <c r="G548" s="40">
        <v>0</v>
      </c>
    </row>
    <row r="549" spans="2:7" x14ac:dyDescent="0.2">
      <c r="B549" t="s">
        <v>1723</v>
      </c>
      <c r="C549" s="40">
        <v>0</v>
      </c>
      <c r="D549" s="40">
        <v>0</v>
      </c>
      <c r="E549" s="40">
        <v>0</v>
      </c>
      <c r="F549" s="40">
        <v>0</v>
      </c>
      <c r="G549" s="40">
        <v>0</v>
      </c>
    </row>
    <row r="550" spans="2:7" x14ac:dyDescent="0.2">
      <c r="B550" t="s">
        <v>1724</v>
      </c>
      <c r="C550" s="40">
        <v>0</v>
      </c>
      <c r="D550" s="40">
        <v>0</v>
      </c>
      <c r="E550" s="40">
        <v>0</v>
      </c>
      <c r="F550" s="40">
        <v>0</v>
      </c>
      <c r="G550" s="40">
        <v>0</v>
      </c>
    </row>
    <row r="551" spans="2:7" x14ac:dyDescent="0.2">
      <c r="B551" t="s">
        <v>1725</v>
      </c>
      <c r="C551" s="40">
        <v>0</v>
      </c>
      <c r="D551" s="40">
        <v>0</v>
      </c>
      <c r="E551" s="40">
        <v>0</v>
      </c>
      <c r="F551" s="40">
        <v>0</v>
      </c>
      <c r="G551" s="40">
        <v>0</v>
      </c>
    </row>
    <row r="552" spans="2:7" x14ac:dyDescent="0.2">
      <c r="B552" t="s">
        <v>1726</v>
      </c>
      <c r="C552" s="40">
        <v>0</v>
      </c>
      <c r="D552" s="40">
        <v>0</v>
      </c>
      <c r="E552" s="40">
        <v>0</v>
      </c>
      <c r="F552" s="40">
        <v>0</v>
      </c>
      <c r="G552" s="40">
        <v>0</v>
      </c>
    </row>
    <row r="553" spans="2:7" x14ac:dyDescent="0.2">
      <c r="B553" t="s">
        <v>1727</v>
      </c>
      <c r="C553" s="40">
        <v>138325899885</v>
      </c>
      <c r="D553" s="40">
        <v>142799574577</v>
      </c>
      <c r="E553" s="40">
        <v>146410666216</v>
      </c>
      <c r="F553" s="40">
        <v>150630807801</v>
      </c>
      <c r="G553" s="40">
        <v>154803009804</v>
      </c>
    </row>
    <row r="554" spans="2:7" x14ac:dyDescent="0.2">
      <c r="B554" t="s">
        <v>1728</v>
      </c>
      <c r="C554" s="40">
        <v>17790673321</v>
      </c>
      <c r="D554" s="40">
        <v>18372878465</v>
      </c>
      <c r="E554" s="40">
        <v>18905193773</v>
      </c>
      <c r="F554" s="40">
        <v>19409168846</v>
      </c>
      <c r="G554" s="40">
        <v>19774783118</v>
      </c>
    </row>
    <row r="555" spans="2:7" x14ac:dyDescent="0.2">
      <c r="B555" t="s">
        <v>1729</v>
      </c>
      <c r="C555" s="40">
        <v>156116573224</v>
      </c>
      <c r="D555" s="40">
        <v>161172453135</v>
      </c>
      <c r="E555" s="40">
        <v>165315860040</v>
      </c>
      <c r="F555" s="40">
        <v>170039976657</v>
      </c>
      <c r="G555" s="40">
        <v>174577793008</v>
      </c>
    </row>
    <row r="556" spans="2:7" x14ac:dyDescent="0.2">
      <c r="B556" t="s">
        <v>1730</v>
      </c>
      <c r="C556" s="40">
        <v>24025438</v>
      </c>
      <c r="D556" s="40">
        <v>24208672</v>
      </c>
      <c r="E556" s="40">
        <v>23349739</v>
      </c>
      <c r="F556" s="40">
        <v>29176952</v>
      </c>
      <c r="G556" s="40">
        <v>21867583</v>
      </c>
    </row>
    <row r="557" spans="2:7" x14ac:dyDescent="0.2">
      <c r="B557" t="s">
        <v>1731</v>
      </c>
      <c r="C557" s="40">
        <v>0</v>
      </c>
      <c r="D557" s="40">
        <v>0</v>
      </c>
      <c r="E557" s="40">
        <v>0</v>
      </c>
      <c r="F557" s="40">
        <v>0</v>
      </c>
      <c r="G557" s="40">
        <v>0</v>
      </c>
    </row>
    <row r="558" spans="2:7" x14ac:dyDescent="0.2">
      <c r="B558" t="s">
        <v>1732</v>
      </c>
      <c r="C558" s="40">
        <v>0</v>
      </c>
      <c r="D558" s="40">
        <v>0</v>
      </c>
      <c r="E558" s="40">
        <v>0</v>
      </c>
      <c r="F558" s="40">
        <v>0</v>
      </c>
      <c r="G558" s="40">
        <v>0</v>
      </c>
    </row>
    <row r="559" spans="2:7" x14ac:dyDescent="0.2">
      <c r="B559" t="s">
        <v>1733</v>
      </c>
      <c r="C559" s="40">
        <v>0</v>
      </c>
      <c r="D559" s="40">
        <v>0</v>
      </c>
      <c r="E559" s="40">
        <v>0</v>
      </c>
      <c r="F559" s="40">
        <v>0</v>
      </c>
      <c r="G559" s="40">
        <v>0</v>
      </c>
    </row>
    <row r="560" spans="2:7" x14ac:dyDescent="0.2">
      <c r="B560" t="s">
        <v>1734</v>
      </c>
      <c r="C560" s="40">
        <v>0</v>
      </c>
      <c r="D560" s="40">
        <v>0</v>
      </c>
      <c r="E560" s="40">
        <v>0</v>
      </c>
      <c r="F560" s="40">
        <v>0</v>
      </c>
      <c r="G560" s="40">
        <v>0</v>
      </c>
    </row>
    <row r="561" spans="2:7" x14ac:dyDescent="0.2">
      <c r="B561" t="s">
        <v>1735</v>
      </c>
      <c r="C561" s="40">
        <v>0</v>
      </c>
      <c r="D561" s="40">
        <v>0</v>
      </c>
      <c r="E561" s="40">
        <v>0</v>
      </c>
      <c r="F561" s="40">
        <v>0</v>
      </c>
      <c r="G561" s="40">
        <v>0</v>
      </c>
    </row>
    <row r="562" spans="2:7" x14ac:dyDescent="0.2">
      <c r="B562" t="s">
        <v>1736</v>
      </c>
      <c r="C562" s="40">
        <v>0</v>
      </c>
      <c r="D562" s="40">
        <v>0</v>
      </c>
      <c r="E562" s="40">
        <v>0</v>
      </c>
      <c r="F562" s="40">
        <v>0</v>
      </c>
      <c r="G562" s="40">
        <v>0</v>
      </c>
    </row>
    <row r="563" spans="2:7" x14ac:dyDescent="0.2">
      <c r="B563" t="s">
        <v>1737</v>
      </c>
      <c r="C563" s="40">
        <v>0</v>
      </c>
      <c r="D563" s="40">
        <v>0</v>
      </c>
      <c r="E563" s="40">
        <v>0</v>
      </c>
      <c r="F563" s="40">
        <v>0</v>
      </c>
      <c r="G563" s="40">
        <v>0</v>
      </c>
    </row>
    <row r="564" spans="2:7" x14ac:dyDescent="0.2">
      <c r="B564" t="s">
        <v>1738</v>
      </c>
      <c r="C564" s="40">
        <v>0</v>
      </c>
      <c r="D564" s="40">
        <v>0</v>
      </c>
      <c r="E564" s="40">
        <v>0</v>
      </c>
      <c r="F564" s="40">
        <v>0</v>
      </c>
      <c r="G564" s="40">
        <v>0</v>
      </c>
    </row>
    <row r="565" spans="2:7" x14ac:dyDescent="0.2">
      <c r="B565" t="s">
        <v>1739</v>
      </c>
      <c r="C565" s="40">
        <v>0</v>
      </c>
      <c r="D565" s="40">
        <v>0</v>
      </c>
      <c r="E565" s="40">
        <v>0</v>
      </c>
      <c r="F565" s="40">
        <v>0</v>
      </c>
      <c r="G565" s="40">
        <v>0</v>
      </c>
    </row>
    <row r="566" spans="2:7" x14ac:dyDescent="0.2">
      <c r="B566" t="s">
        <v>1740</v>
      </c>
      <c r="C566" s="40">
        <v>0</v>
      </c>
      <c r="D566" s="40">
        <v>0</v>
      </c>
      <c r="E566" s="40">
        <v>0</v>
      </c>
      <c r="F566" s="40">
        <v>0</v>
      </c>
      <c r="G566" s="40">
        <v>0</v>
      </c>
    </row>
    <row r="567" spans="2:7" x14ac:dyDescent="0.2">
      <c r="B567" t="s">
        <v>1741</v>
      </c>
      <c r="C567" s="40">
        <v>0</v>
      </c>
      <c r="D567" s="40">
        <v>0</v>
      </c>
      <c r="E567" s="40">
        <v>0</v>
      </c>
      <c r="F567" s="40">
        <v>0</v>
      </c>
      <c r="G567" s="40">
        <v>0</v>
      </c>
    </row>
    <row r="568" spans="2:7" x14ac:dyDescent="0.2">
      <c r="B568" t="s">
        <v>1742</v>
      </c>
      <c r="C568" s="40">
        <v>0</v>
      </c>
      <c r="D568" s="40">
        <v>0</v>
      </c>
      <c r="E568" s="40">
        <v>0</v>
      </c>
      <c r="F568" s="40">
        <v>0</v>
      </c>
      <c r="G568" s="40">
        <v>0</v>
      </c>
    </row>
    <row r="569" spans="2:7" x14ac:dyDescent="0.2">
      <c r="B569" t="s">
        <v>1743</v>
      </c>
      <c r="C569" s="40">
        <v>0</v>
      </c>
      <c r="D569" s="40">
        <v>0</v>
      </c>
      <c r="E569" s="40">
        <v>0</v>
      </c>
      <c r="F569" s="40">
        <v>0</v>
      </c>
      <c r="G569" s="40">
        <v>0</v>
      </c>
    </row>
    <row r="570" spans="2:7" x14ac:dyDescent="0.2">
      <c r="B570" t="s">
        <v>1744</v>
      </c>
      <c r="C570" s="40">
        <v>0</v>
      </c>
      <c r="D570" s="40">
        <v>0</v>
      </c>
      <c r="E570" s="40">
        <v>0</v>
      </c>
      <c r="F570" s="40">
        <v>0</v>
      </c>
      <c r="G570" s="40">
        <v>0</v>
      </c>
    </row>
    <row r="571" spans="2:7" x14ac:dyDescent="0.2">
      <c r="B571" t="s">
        <v>1745</v>
      </c>
      <c r="C571" s="40">
        <v>0</v>
      </c>
      <c r="D571" s="40">
        <v>0</v>
      </c>
      <c r="E571" s="40">
        <v>0</v>
      </c>
      <c r="F571" s="40">
        <v>0</v>
      </c>
      <c r="G571" s="40">
        <v>0</v>
      </c>
    </row>
    <row r="572" spans="2:7" x14ac:dyDescent="0.2">
      <c r="B572" t="s">
        <v>1746</v>
      </c>
      <c r="C572" s="40">
        <v>21876274106</v>
      </c>
      <c r="D572" s="40">
        <v>26559590649</v>
      </c>
      <c r="E572" s="40">
        <v>22435240276</v>
      </c>
      <c r="F572" s="40">
        <v>22448303078</v>
      </c>
      <c r="G572" s="40">
        <v>22187237331</v>
      </c>
    </row>
    <row r="573" spans="2:7" x14ac:dyDescent="0.2">
      <c r="B573" t="s">
        <v>1747</v>
      </c>
      <c r="C573" s="40">
        <v>163875229787</v>
      </c>
      <c r="D573" s="40">
        <v>153698988133</v>
      </c>
      <c r="E573" s="40">
        <v>193442680009</v>
      </c>
      <c r="F573" s="40">
        <v>169518762993</v>
      </c>
      <c r="G573" s="40">
        <v>161496660347</v>
      </c>
    </row>
    <row r="574" spans="2:7" x14ac:dyDescent="0.2">
      <c r="B574" t="s">
        <v>1748</v>
      </c>
      <c r="C574" s="40">
        <v>32329286340</v>
      </c>
      <c r="D574" s="40">
        <v>33603618351</v>
      </c>
      <c r="E574" s="40">
        <v>40972202049</v>
      </c>
      <c r="F574" s="40">
        <v>37582945084</v>
      </c>
      <c r="G574" s="40">
        <v>35814491154</v>
      </c>
    </row>
    <row r="575" spans="2:7" x14ac:dyDescent="0.2">
      <c r="B575" t="s">
        <v>1749</v>
      </c>
      <c r="C575" s="40">
        <v>9263717148</v>
      </c>
      <c r="D575" s="40">
        <v>9547441372</v>
      </c>
      <c r="E575" s="40">
        <v>10017586021</v>
      </c>
      <c r="F575" s="40">
        <v>10162177248</v>
      </c>
      <c r="G575" s="40">
        <v>9702009352</v>
      </c>
    </row>
    <row r="576" spans="2:7" x14ac:dyDescent="0.2">
      <c r="B576" t="s">
        <v>1750</v>
      </c>
      <c r="C576" s="40">
        <v>0</v>
      </c>
      <c r="D576" s="40">
        <v>0</v>
      </c>
      <c r="E576" s="40">
        <v>0</v>
      </c>
      <c r="F576" s="40">
        <v>0</v>
      </c>
      <c r="G576" s="40">
        <v>0</v>
      </c>
    </row>
    <row r="577" spans="2:7" x14ac:dyDescent="0.2">
      <c r="B577" t="s">
        <v>1751</v>
      </c>
      <c r="C577" s="40">
        <v>0</v>
      </c>
      <c r="D577" s="40">
        <v>0</v>
      </c>
      <c r="E577" s="40">
        <v>0</v>
      </c>
      <c r="F577" s="40">
        <v>0</v>
      </c>
      <c r="G577" s="40">
        <v>0</v>
      </c>
    </row>
    <row r="578" spans="2:7" x14ac:dyDescent="0.2">
      <c r="B578" t="s">
        <v>1752</v>
      </c>
      <c r="C578" s="40">
        <v>0</v>
      </c>
      <c r="D578" s="40">
        <v>0</v>
      </c>
      <c r="E578" s="40">
        <v>0</v>
      </c>
      <c r="F578" s="40">
        <v>0</v>
      </c>
      <c r="G578" s="40">
        <v>0</v>
      </c>
    </row>
    <row r="579" spans="2:7" x14ac:dyDescent="0.2">
      <c r="B579" t="s">
        <v>1753</v>
      </c>
      <c r="C579" s="40">
        <v>0</v>
      </c>
      <c r="D579" s="40">
        <v>0</v>
      </c>
      <c r="E579" s="40">
        <v>0</v>
      </c>
      <c r="F579" s="40">
        <v>0</v>
      </c>
      <c r="G579" s="40">
        <v>0</v>
      </c>
    </row>
    <row r="580" spans="2:7" x14ac:dyDescent="0.2">
      <c r="B580" t="s">
        <v>1754</v>
      </c>
      <c r="C580" s="40">
        <v>0</v>
      </c>
      <c r="D580" s="40">
        <v>0</v>
      </c>
      <c r="E580" s="40">
        <v>0</v>
      </c>
      <c r="F580" s="40">
        <v>0</v>
      </c>
      <c r="G580" s="40">
        <v>0</v>
      </c>
    </row>
    <row r="581" spans="2:7" x14ac:dyDescent="0.2">
      <c r="B581" t="s">
        <v>1755</v>
      </c>
      <c r="C581" s="40">
        <v>25542343143</v>
      </c>
      <c r="D581" s="40">
        <v>34676579029</v>
      </c>
      <c r="E581" s="40">
        <v>6663243138</v>
      </c>
      <c r="F581" s="40">
        <v>15203437206</v>
      </c>
      <c r="G581" s="40">
        <v>24739796878</v>
      </c>
    </row>
    <row r="582" spans="2:7" x14ac:dyDescent="0.2">
      <c r="B582" t="s">
        <v>1756</v>
      </c>
      <c r="C582" s="40">
        <v>0</v>
      </c>
      <c r="D582" s="40">
        <v>0</v>
      </c>
      <c r="E582" s="40">
        <v>0</v>
      </c>
      <c r="F582" s="40">
        <v>0</v>
      </c>
      <c r="G582" s="40">
        <v>0</v>
      </c>
    </row>
    <row r="583" spans="2:7" x14ac:dyDescent="0.2">
      <c r="B583" t="s">
        <v>1757</v>
      </c>
      <c r="C583" s="40">
        <v>0</v>
      </c>
      <c r="D583" s="40">
        <v>0</v>
      </c>
      <c r="E583" s="40">
        <v>0</v>
      </c>
      <c r="F583" s="40">
        <v>0</v>
      </c>
      <c r="G583" s="40">
        <v>0</v>
      </c>
    </row>
    <row r="584" spans="2:7" x14ac:dyDescent="0.2">
      <c r="B584" t="s">
        <v>1758</v>
      </c>
      <c r="C584" s="40">
        <v>0</v>
      </c>
      <c r="D584" s="40">
        <v>0</v>
      </c>
      <c r="E584" s="40">
        <v>0</v>
      </c>
      <c r="F584" s="40">
        <v>0</v>
      </c>
      <c r="G584" s="40">
        <v>0</v>
      </c>
    </row>
    <row r="585" spans="2:7" x14ac:dyDescent="0.2">
      <c r="B585" t="s">
        <v>1759</v>
      </c>
      <c r="C585" s="40">
        <v>0</v>
      </c>
      <c r="D585" s="40">
        <v>0</v>
      </c>
      <c r="E585" s="40">
        <v>0</v>
      </c>
      <c r="F585" s="40">
        <v>0</v>
      </c>
      <c r="G585" s="40">
        <v>0</v>
      </c>
    </row>
    <row r="586" spans="2:7" x14ac:dyDescent="0.2">
      <c r="B586" t="s">
        <v>1760</v>
      </c>
      <c r="C586" s="40">
        <v>0</v>
      </c>
      <c r="D586" s="40">
        <v>0</v>
      </c>
      <c r="E586" s="40">
        <v>0</v>
      </c>
      <c r="F586" s="40">
        <v>0</v>
      </c>
      <c r="G586" s="40">
        <v>0</v>
      </c>
    </row>
    <row r="587" spans="2:7" x14ac:dyDescent="0.2">
      <c r="B587" t="s">
        <v>1761</v>
      </c>
      <c r="C587" s="40">
        <v>0</v>
      </c>
      <c r="D587" s="40">
        <v>0</v>
      </c>
      <c r="E587" s="40">
        <v>0</v>
      </c>
      <c r="F587" s="40">
        <v>0</v>
      </c>
      <c r="G587" s="40">
        <v>0</v>
      </c>
    </row>
    <row r="588" spans="2:7" x14ac:dyDescent="0.2">
      <c r="B588" t="s">
        <v>1762</v>
      </c>
      <c r="C588" s="40">
        <v>0</v>
      </c>
      <c r="D588" s="40">
        <v>0</v>
      </c>
      <c r="E588" s="40">
        <v>0</v>
      </c>
      <c r="F588" s="40">
        <v>0</v>
      </c>
      <c r="G588" s="40">
        <v>0</v>
      </c>
    </row>
    <row r="589" spans="2:7" x14ac:dyDescent="0.2">
      <c r="B589" t="s">
        <v>1763</v>
      </c>
      <c r="C589" s="40">
        <v>0</v>
      </c>
      <c r="D589" s="40">
        <v>0</v>
      </c>
      <c r="E589" s="40">
        <v>0</v>
      </c>
      <c r="F589" s="40">
        <v>0</v>
      </c>
      <c r="G589" s="40">
        <v>0</v>
      </c>
    </row>
    <row r="590" spans="2:7" x14ac:dyDescent="0.2">
      <c r="B590" t="s">
        <v>1764</v>
      </c>
      <c r="C590" s="40">
        <v>0</v>
      </c>
      <c r="D590" s="40">
        <v>0</v>
      </c>
      <c r="E590" s="40">
        <v>0</v>
      </c>
      <c r="F590" s="40">
        <v>0</v>
      </c>
      <c r="G590" s="40">
        <v>0</v>
      </c>
    </row>
    <row r="591" spans="2:7" x14ac:dyDescent="0.2">
      <c r="B591" t="s">
        <v>1765</v>
      </c>
      <c r="C591" s="40">
        <v>0</v>
      </c>
      <c r="D591" s="40">
        <v>0</v>
      </c>
      <c r="E591" s="40">
        <v>0</v>
      </c>
      <c r="F591" s="40">
        <v>0</v>
      </c>
      <c r="G591" s="40">
        <v>0</v>
      </c>
    </row>
    <row r="592" spans="2:7" x14ac:dyDescent="0.2">
      <c r="B592" t="s">
        <v>1766</v>
      </c>
      <c r="C592" s="40">
        <v>0</v>
      </c>
      <c r="D592" s="40">
        <v>0</v>
      </c>
      <c r="E592" s="40">
        <v>0</v>
      </c>
      <c r="F592" s="40">
        <v>0</v>
      </c>
      <c r="G592" s="40">
        <v>0</v>
      </c>
    </row>
    <row r="593" spans="2:7" x14ac:dyDescent="0.2">
      <c r="B593" t="s">
        <v>1767</v>
      </c>
      <c r="C593" s="40">
        <v>0</v>
      </c>
      <c r="D593" s="40">
        <v>0</v>
      </c>
      <c r="E593" s="40">
        <v>0</v>
      </c>
      <c r="F593" s="40">
        <v>0</v>
      </c>
      <c r="G593" s="40">
        <v>0</v>
      </c>
    </row>
    <row r="594" spans="2:7" x14ac:dyDescent="0.2">
      <c r="B594" t="s">
        <v>1768</v>
      </c>
      <c r="C594" s="40">
        <v>0</v>
      </c>
      <c r="D594" s="40">
        <v>0</v>
      </c>
      <c r="E594" s="40">
        <v>0</v>
      </c>
      <c r="F594" s="40">
        <v>0</v>
      </c>
      <c r="G594" s="40">
        <v>0</v>
      </c>
    </row>
    <row r="595" spans="2:7" x14ac:dyDescent="0.2">
      <c r="B595" t="s">
        <v>1769</v>
      </c>
      <c r="C595" s="40">
        <v>0</v>
      </c>
      <c r="D595" s="40">
        <v>0</v>
      </c>
      <c r="E595" s="40">
        <v>0</v>
      </c>
      <c r="F595" s="40">
        <v>0</v>
      </c>
      <c r="G595" s="40">
        <v>0</v>
      </c>
    </row>
    <row r="596" spans="2:7" x14ac:dyDescent="0.2">
      <c r="B596" t="s">
        <v>1770</v>
      </c>
      <c r="C596" s="40">
        <v>0</v>
      </c>
      <c r="D596" s="40">
        <v>0</v>
      </c>
      <c r="E596" s="40">
        <v>0</v>
      </c>
      <c r="F596" s="40">
        <v>0</v>
      </c>
      <c r="G596" s="40">
        <v>0</v>
      </c>
    </row>
    <row r="597" spans="2:7" x14ac:dyDescent="0.2">
      <c r="B597" t="s">
        <v>1771</v>
      </c>
      <c r="C597" s="40">
        <v>0</v>
      </c>
      <c r="D597" s="40">
        <v>0</v>
      </c>
      <c r="E597" s="40">
        <v>0</v>
      </c>
      <c r="F597" s="40">
        <v>0</v>
      </c>
      <c r="G597" s="40">
        <v>0</v>
      </c>
    </row>
    <row r="598" spans="2:7" x14ac:dyDescent="0.2">
      <c r="B598" t="s">
        <v>1772</v>
      </c>
      <c r="C598" s="40">
        <v>0</v>
      </c>
      <c r="D598" s="40">
        <v>0</v>
      </c>
      <c r="E598" s="40">
        <v>0</v>
      </c>
      <c r="F598" s="40">
        <v>0</v>
      </c>
      <c r="G598" s="40">
        <v>0</v>
      </c>
    </row>
    <row r="599" spans="2:7" x14ac:dyDescent="0.2">
      <c r="B599" t="s">
        <v>1773</v>
      </c>
      <c r="C599" s="40">
        <v>0</v>
      </c>
      <c r="D599" s="40">
        <v>0</v>
      </c>
      <c r="E599" s="40">
        <v>0</v>
      </c>
      <c r="F599" s="40">
        <v>0</v>
      </c>
      <c r="G599" s="40">
        <v>0</v>
      </c>
    </row>
    <row r="600" spans="2:7" x14ac:dyDescent="0.2">
      <c r="B600" t="s">
        <v>1774</v>
      </c>
      <c r="C600" s="40">
        <v>0</v>
      </c>
      <c r="D600" s="40">
        <v>0</v>
      </c>
      <c r="E600" s="40">
        <v>0</v>
      </c>
      <c r="F600" s="40">
        <v>0</v>
      </c>
      <c r="G600" s="40">
        <v>0</v>
      </c>
    </row>
    <row r="601" spans="2:7" x14ac:dyDescent="0.2">
      <c r="B601" t="s">
        <v>1775</v>
      </c>
      <c r="C601" s="40">
        <v>0</v>
      </c>
      <c r="D601" s="40">
        <v>0</v>
      </c>
      <c r="E601" s="40">
        <v>0</v>
      </c>
      <c r="F601" s="40">
        <v>0</v>
      </c>
      <c r="G601" s="40">
        <v>0</v>
      </c>
    </row>
    <row r="602" spans="2:7" x14ac:dyDescent="0.2">
      <c r="B602" t="s">
        <v>1776</v>
      </c>
      <c r="C602" s="40">
        <v>0</v>
      </c>
      <c r="D602" s="40">
        <v>0</v>
      </c>
      <c r="E602" s="40">
        <v>0</v>
      </c>
      <c r="F602" s="40">
        <v>0</v>
      </c>
      <c r="G602" s="40">
        <v>0</v>
      </c>
    </row>
    <row r="603" spans="2:7" x14ac:dyDescent="0.2">
      <c r="B603" t="s">
        <v>1777</v>
      </c>
      <c r="C603" s="40">
        <v>0</v>
      </c>
      <c r="D603" s="40">
        <v>0</v>
      </c>
      <c r="E603" s="40">
        <v>0</v>
      </c>
      <c r="F603" s="40">
        <v>0</v>
      </c>
      <c r="G603" s="40">
        <v>0</v>
      </c>
    </row>
    <row r="604" spans="2:7" x14ac:dyDescent="0.2">
      <c r="B604" t="s">
        <v>1778</v>
      </c>
      <c r="C604" s="40">
        <v>0</v>
      </c>
      <c r="D604" s="40">
        <v>0</v>
      </c>
      <c r="E604" s="40">
        <v>0</v>
      </c>
      <c r="F604" s="40">
        <v>0</v>
      </c>
      <c r="G604" s="40">
        <v>0</v>
      </c>
    </row>
    <row r="605" spans="2:7" x14ac:dyDescent="0.2">
      <c r="B605" t="s">
        <v>1779</v>
      </c>
      <c r="C605" s="40">
        <v>0</v>
      </c>
      <c r="D605" s="40">
        <v>0</v>
      </c>
      <c r="E605" s="40">
        <v>0</v>
      </c>
      <c r="F605" s="40">
        <v>0</v>
      </c>
      <c r="G605" s="40">
        <v>0</v>
      </c>
    </row>
    <row r="606" spans="2:7" x14ac:dyDescent="0.2">
      <c r="B606" t="s">
        <v>1780</v>
      </c>
      <c r="C606" s="40">
        <v>0</v>
      </c>
      <c r="D606" s="40">
        <v>0</v>
      </c>
      <c r="E606" s="40">
        <v>0</v>
      </c>
      <c r="F606" s="40">
        <v>0</v>
      </c>
      <c r="G606" s="40">
        <v>0</v>
      </c>
    </row>
    <row r="607" spans="2:7" x14ac:dyDescent="0.2">
      <c r="B607" t="s">
        <v>1781</v>
      </c>
      <c r="C607" s="40">
        <v>0</v>
      </c>
      <c r="D607" s="40">
        <v>0</v>
      </c>
      <c r="E607" s="40">
        <v>0</v>
      </c>
      <c r="F607" s="40">
        <v>0</v>
      </c>
      <c r="G607" s="40">
        <v>0</v>
      </c>
    </row>
    <row r="608" spans="2:7" x14ac:dyDescent="0.2">
      <c r="B608" t="s">
        <v>1782</v>
      </c>
      <c r="C608" s="40">
        <v>0</v>
      </c>
      <c r="D608" s="40">
        <v>0</v>
      </c>
      <c r="E608" s="40">
        <v>0</v>
      </c>
      <c r="F608" s="40">
        <v>0</v>
      </c>
      <c r="G608" s="40">
        <v>0</v>
      </c>
    </row>
    <row r="609" spans="2:7" x14ac:dyDescent="0.2">
      <c r="B609" t="s">
        <v>1783</v>
      </c>
      <c r="C609" s="40">
        <v>0</v>
      </c>
      <c r="D609" s="40">
        <v>0</v>
      </c>
      <c r="E609" s="40">
        <v>0</v>
      </c>
      <c r="F609" s="40">
        <v>0</v>
      </c>
      <c r="G609" s="40">
        <v>0</v>
      </c>
    </row>
    <row r="610" spans="2:7" x14ac:dyDescent="0.2">
      <c r="B610" t="s">
        <v>1784</v>
      </c>
      <c r="C610" s="40">
        <v>0</v>
      </c>
      <c r="D610" s="40">
        <v>0</v>
      </c>
      <c r="E610" s="40">
        <v>0</v>
      </c>
      <c r="F610" s="40">
        <v>0</v>
      </c>
      <c r="G610" s="40">
        <v>0</v>
      </c>
    </row>
    <row r="611" spans="2:7" x14ac:dyDescent="0.2">
      <c r="B611" t="s">
        <v>1785</v>
      </c>
      <c r="C611" s="40">
        <v>0</v>
      </c>
      <c r="D611" s="40">
        <v>0</v>
      </c>
      <c r="E611" s="40">
        <v>0</v>
      </c>
      <c r="F611" s="40">
        <v>0</v>
      </c>
      <c r="G611" s="40">
        <v>0</v>
      </c>
    </row>
    <row r="612" spans="2:7" x14ac:dyDescent="0.2">
      <c r="B612" t="s">
        <v>1786</v>
      </c>
      <c r="C612" s="40">
        <v>0</v>
      </c>
      <c r="D612" s="40">
        <v>0</v>
      </c>
      <c r="E612" s="40">
        <v>0</v>
      </c>
      <c r="F612" s="40">
        <v>0</v>
      </c>
      <c r="G612" s="40">
        <v>0</v>
      </c>
    </row>
    <row r="613" spans="2:7" x14ac:dyDescent="0.2">
      <c r="B613" t="s">
        <v>1787</v>
      </c>
      <c r="C613" s="40">
        <v>0</v>
      </c>
      <c r="D613" s="40">
        <v>0</v>
      </c>
      <c r="E613" s="40">
        <v>0</v>
      </c>
      <c r="F613" s="40">
        <v>0</v>
      </c>
      <c r="G613" s="40">
        <v>0</v>
      </c>
    </row>
    <row r="614" spans="2:7" x14ac:dyDescent="0.2">
      <c r="B614" t="s">
        <v>1788</v>
      </c>
      <c r="C614" s="40">
        <v>0</v>
      </c>
      <c r="D614" s="40">
        <v>0</v>
      </c>
      <c r="E614" s="40">
        <v>0</v>
      </c>
      <c r="F614" s="40">
        <v>0</v>
      </c>
      <c r="G614" s="40">
        <v>0</v>
      </c>
    </row>
    <row r="615" spans="2:7" x14ac:dyDescent="0.2">
      <c r="B615" t="s">
        <v>1789</v>
      </c>
      <c r="C615" s="40">
        <v>0</v>
      </c>
      <c r="D615" s="40">
        <v>0</v>
      </c>
      <c r="E615" s="40">
        <v>0</v>
      </c>
      <c r="F615" s="40">
        <v>0</v>
      </c>
      <c r="G615" s="40">
        <v>0</v>
      </c>
    </row>
    <row r="616" spans="2:7" x14ac:dyDescent="0.2">
      <c r="B616" t="s">
        <v>1790</v>
      </c>
      <c r="C616" s="40">
        <v>0</v>
      </c>
      <c r="D616" s="40">
        <v>0</v>
      </c>
      <c r="E616" s="40">
        <v>0</v>
      </c>
      <c r="F616" s="40">
        <v>0</v>
      </c>
      <c r="G616" s="40">
        <v>0</v>
      </c>
    </row>
    <row r="617" spans="2:7" x14ac:dyDescent="0.2">
      <c r="B617" t="s">
        <v>1791</v>
      </c>
      <c r="C617" s="40">
        <v>0</v>
      </c>
      <c r="D617" s="40">
        <v>0</v>
      </c>
      <c r="E617" s="40">
        <v>0</v>
      </c>
      <c r="F617" s="40">
        <v>0</v>
      </c>
      <c r="G617" s="40">
        <v>0</v>
      </c>
    </row>
    <row r="618" spans="2:7" x14ac:dyDescent="0.2">
      <c r="B618" t="s">
        <v>1792</v>
      </c>
      <c r="C618" s="40">
        <v>0</v>
      </c>
      <c r="D618" s="40">
        <v>0</v>
      </c>
      <c r="E618" s="40">
        <v>0</v>
      </c>
      <c r="F618" s="40">
        <v>0</v>
      </c>
      <c r="G618" s="40">
        <v>0</v>
      </c>
    </row>
    <row r="619" spans="2:7" x14ac:dyDescent="0.2">
      <c r="B619" t="s">
        <v>1793</v>
      </c>
      <c r="C619" s="40">
        <v>0</v>
      </c>
      <c r="D619" s="40">
        <v>0</v>
      </c>
      <c r="E619" s="40">
        <v>0</v>
      </c>
      <c r="F619" s="40">
        <v>0</v>
      </c>
      <c r="G619" s="40">
        <v>0</v>
      </c>
    </row>
    <row r="620" spans="2:7" x14ac:dyDescent="0.2">
      <c r="B620" t="s">
        <v>1794</v>
      </c>
      <c r="C620" s="40">
        <v>0</v>
      </c>
      <c r="D620" s="40">
        <v>0</v>
      </c>
      <c r="E620" s="40">
        <v>0</v>
      </c>
      <c r="F620" s="40">
        <v>0</v>
      </c>
      <c r="G620" s="40">
        <v>0</v>
      </c>
    </row>
    <row r="621" spans="2:7" x14ac:dyDescent="0.2">
      <c r="B621" t="s">
        <v>1795</v>
      </c>
      <c r="C621" s="40">
        <v>0</v>
      </c>
      <c r="D621" s="40">
        <v>0</v>
      </c>
      <c r="E621" s="40">
        <v>0</v>
      </c>
      <c r="F621" s="40">
        <v>0</v>
      </c>
      <c r="G621" s="40">
        <v>0</v>
      </c>
    </row>
    <row r="622" spans="2:7" x14ac:dyDescent="0.2">
      <c r="B622" t="s">
        <v>1796</v>
      </c>
      <c r="C622" s="40">
        <v>139415604</v>
      </c>
      <c r="D622" s="40">
        <v>138069553</v>
      </c>
      <c r="E622" s="40">
        <v>134675221</v>
      </c>
      <c r="F622" s="40">
        <v>125743655</v>
      </c>
      <c r="G622" s="40">
        <v>128117087</v>
      </c>
    </row>
    <row r="623" spans="2:7" x14ac:dyDescent="0.2">
      <c r="B623" t="s">
        <v>1797</v>
      </c>
      <c r="C623" s="40">
        <v>0</v>
      </c>
      <c r="D623" s="40">
        <v>0</v>
      </c>
      <c r="E623" s="40">
        <v>0</v>
      </c>
      <c r="F623" s="40">
        <v>0</v>
      </c>
      <c r="G623" s="40">
        <v>0</v>
      </c>
    </row>
    <row r="624" spans="2:7" x14ac:dyDescent="0.2">
      <c r="B624" t="s">
        <v>1798</v>
      </c>
      <c r="C624" s="40">
        <v>1247597919</v>
      </c>
      <c r="D624" s="40">
        <v>1263898452</v>
      </c>
      <c r="E624" s="40">
        <v>1266804674</v>
      </c>
      <c r="F624" s="40">
        <v>1312691352</v>
      </c>
      <c r="G624" s="40">
        <v>1332968961</v>
      </c>
    </row>
    <row r="625" spans="2:7" x14ac:dyDescent="0.2">
      <c r="B625" t="s">
        <v>1799</v>
      </c>
      <c r="C625" s="40">
        <v>0</v>
      </c>
      <c r="D625" s="40">
        <v>0</v>
      </c>
      <c r="E625" s="40">
        <v>0</v>
      </c>
      <c r="F625" s="40">
        <v>0</v>
      </c>
      <c r="G625" s="40">
        <v>0</v>
      </c>
    </row>
    <row r="626" spans="2:7" x14ac:dyDescent="0.2">
      <c r="B626" t="s">
        <v>1800</v>
      </c>
      <c r="C626" s="40">
        <v>0</v>
      </c>
      <c r="D626" s="40">
        <v>0</v>
      </c>
      <c r="E626" s="40">
        <v>0</v>
      </c>
      <c r="F626" s="40">
        <v>0</v>
      </c>
      <c r="G626" s="40">
        <v>0</v>
      </c>
    </row>
    <row r="627" spans="2:7" x14ac:dyDescent="0.2">
      <c r="B627" t="s">
        <v>1801</v>
      </c>
      <c r="C627" s="40">
        <v>0</v>
      </c>
      <c r="D627" s="40">
        <v>0</v>
      </c>
      <c r="E627" s="40">
        <v>0</v>
      </c>
      <c r="F627" s="40">
        <v>0</v>
      </c>
      <c r="G627" s="40">
        <v>0</v>
      </c>
    </row>
    <row r="628" spans="2:7" x14ac:dyDescent="0.2">
      <c r="B628" t="s">
        <v>1802</v>
      </c>
      <c r="C628" s="40">
        <v>0</v>
      </c>
      <c r="D628" s="40">
        <v>0</v>
      </c>
      <c r="E628" s="40">
        <v>0</v>
      </c>
      <c r="F628" s="40">
        <v>0</v>
      </c>
      <c r="G628" s="40">
        <v>0</v>
      </c>
    </row>
    <row r="629" spans="2:7" x14ac:dyDescent="0.2">
      <c r="B629" t="s">
        <v>1803</v>
      </c>
      <c r="C629" s="40">
        <v>0</v>
      </c>
      <c r="D629" s="40">
        <v>0</v>
      </c>
      <c r="E629" s="40">
        <v>0</v>
      </c>
      <c r="F629" s="40">
        <v>0</v>
      </c>
      <c r="G629" s="40">
        <v>0</v>
      </c>
    </row>
    <row r="630" spans="2:7" x14ac:dyDescent="0.2">
      <c r="B630" t="s">
        <v>1804</v>
      </c>
      <c r="C630" s="40">
        <v>0</v>
      </c>
      <c r="D630" s="40">
        <v>0</v>
      </c>
      <c r="E630" s="40">
        <v>0</v>
      </c>
      <c r="F630" s="40">
        <v>0</v>
      </c>
      <c r="G630" s="40">
        <v>0</v>
      </c>
    </row>
    <row r="631" spans="2:7" x14ac:dyDescent="0.2">
      <c r="B631" t="s">
        <v>1805</v>
      </c>
      <c r="C631" s="40">
        <v>0</v>
      </c>
      <c r="D631" s="40">
        <v>0</v>
      </c>
      <c r="E631" s="40">
        <v>0</v>
      </c>
      <c r="F631" s="40">
        <v>0</v>
      </c>
      <c r="G631" s="40">
        <v>0</v>
      </c>
    </row>
    <row r="632" spans="2:7" x14ac:dyDescent="0.2">
      <c r="B632" t="s">
        <v>1806</v>
      </c>
      <c r="C632" s="40">
        <v>0</v>
      </c>
      <c r="D632" s="40">
        <v>0</v>
      </c>
      <c r="E632" s="40">
        <v>0</v>
      </c>
      <c r="F632" s="40">
        <v>0</v>
      </c>
      <c r="G632" s="40">
        <v>0</v>
      </c>
    </row>
    <row r="633" spans="2:7" x14ac:dyDescent="0.2">
      <c r="B633" t="s">
        <v>1807</v>
      </c>
      <c r="C633" s="40">
        <v>0</v>
      </c>
      <c r="D633" s="40">
        <v>0</v>
      </c>
      <c r="E633" s="40">
        <v>0</v>
      </c>
      <c r="F633" s="40">
        <v>0</v>
      </c>
      <c r="G633" s="40">
        <v>0</v>
      </c>
    </row>
    <row r="634" spans="2:7" x14ac:dyDescent="0.2">
      <c r="B634" t="s">
        <v>1808</v>
      </c>
      <c r="C634" s="40">
        <v>2779087541</v>
      </c>
      <c r="D634" s="40">
        <v>2878577931</v>
      </c>
      <c r="E634" s="40">
        <v>2852393222</v>
      </c>
      <c r="F634" s="40">
        <v>2853228204</v>
      </c>
      <c r="G634" s="40">
        <v>2842754282</v>
      </c>
    </row>
    <row r="635" spans="2:7" x14ac:dyDescent="0.2">
      <c r="B635" t="s">
        <v>1809</v>
      </c>
      <c r="C635" s="40">
        <v>262425907694</v>
      </c>
      <c r="D635" s="40">
        <v>261944013027</v>
      </c>
      <c r="E635" s="40">
        <v>262119972536</v>
      </c>
      <c r="F635" s="40">
        <v>262587956506</v>
      </c>
      <c r="G635" s="40">
        <v>263736556031</v>
      </c>
    </row>
    <row r="636" spans="2:7" x14ac:dyDescent="0.2">
      <c r="B636" t="s">
        <v>1810</v>
      </c>
      <c r="C636" s="40">
        <v>0</v>
      </c>
      <c r="D636" s="40">
        <v>0</v>
      </c>
      <c r="E636" s="40">
        <v>0</v>
      </c>
      <c r="F636" s="40">
        <v>0</v>
      </c>
      <c r="G636" s="40">
        <v>0</v>
      </c>
    </row>
    <row r="637" spans="2:7" x14ac:dyDescent="0.2">
      <c r="B637" t="s">
        <v>1811</v>
      </c>
      <c r="C637" s="40">
        <v>0</v>
      </c>
      <c r="D637" s="40">
        <v>0</v>
      </c>
      <c r="E637" s="40">
        <v>0</v>
      </c>
      <c r="F637" s="40">
        <v>0</v>
      </c>
      <c r="G637" s="40">
        <v>0</v>
      </c>
    </row>
    <row r="638" spans="2:7" x14ac:dyDescent="0.2">
      <c r="B638" t="s">
        <v>1812</v>
      </c>
      <c r="C638" s="40">
        <v>0</v>
      </c>
      <c r="D638" s="40">
        <v>0</v>
      </c>
      <c r="E638" s="40">
        <v>0</v>
      </c>
      <c r="F638" s="40">
        <v>0</v>
      </c>
      <c r="G638" s="40">
        <v>0</v>
      </c>
    </row>
    <row r="639" spans="2:7" x14ac:dyDescent="0.2">
      <c r="B639" t="s">
        <v>1813</v>
      </c>
      <c r="C639" s="40">
        <v>3594675317</v>
      </c>
      <c r="D639" s="40">
        <v>3374908738</v>
      </c>
      <c r="E639" s="40">
        <v>3359454586</v>
      </c>
      <c r="F639" s="40">
        <v>3222342239</v>
      </c>
      <c r="G639" s="40">
        <v>3160838618</v>
      </c>
    </row>
    <row r="640" spans="2:7" x14ac:dyDescent="0.2">
      <c r="B640" t="s">
        <v>1814</v>
      </c>
      <c r="C640" s="40">
        <v>0</v>
      </c>
      <c r="D640" s="40">
        <v>0</v>
      </c>
      <c r="E640" s="40">
        <v>0</v>
      </c>
      <c r="F640" s="40">
        <v>0</v>
      </c>
      <c r="G640" s="40">
        <v>0</v>
      </c>
    </row>
    <row r="641" spans="1:7" x14ac:dyDescent="0.2">
      <c r="B641" t="s">
        <v>1815</v>
      </c>
      <c r="C641" s="40">
        <v>0</v>
      </c>
      <c r="D641" s="40">
        <v>0</v>
      </c>
      <c r="E641" s="40">
        <v>0</v>
      </c>
      <c r="F641" s="40">
        <v>0</v>
      </c>
      <c r="G641" s="40">
        <v>0</v>
      </c>
    </row>
    <row r="642" spans="1:7" x14ac:dyDescent="0.2">
      <c r="B642" t="s">
        <v>1816</v>
      </c>
      <c r="C642" s="40">
        <v>0</v>
      </c>
      <c r="D642" s="40">
        <v>0</v>
      </c>
      <c r="E642" s="40">
        <v>0</v>
      </c>
      <c r="F642" s="40">
        <v>0</v>
      </c>
      <c r="G642" s="40">
        <v>0</v>
      </c>
    </row>
    <row r="643" spans="1:7" x14ac:dyDescent="0.2">
      <c r="B643" t="s">
        <v>1817</v>
      </c>
      <c r="C643" s="40">
        <v>0</v>
      </c>
      <c r="D643" s="40">
        <v>0</v>
      </c>
      <c r="E643" s="40">
        <v>0</v>
      </c>
      <c r="F643" s="40">
        <v>0</v>
      </c>
      <c r="G643" s="40">
        <v>0</v>
      </c>
    </row>
    <row r="644" spans="1:7" x14ac:dyDescent="0.2">
      <c r="B644" t="s">
        <v>1818</v>
      </c>
      <c r="C644" s="40">
        <v>0</v>
      </c>
      <c r="D644" s="40">
        <v>0</v>
      </c>
      <c r="E644" s="40">
        <v>0</v>
      </c>
      <c r="F644" s="40">
        <v>0</v>
      </c>
      <c r="G644" s="40">
        <v>0</v>
      </c>
    </row>
    <row r="645" spans="1:7" x14ac:dyDescent="0.2">
      <c r="A645" t="s">
        <v>1819</v>
      </c>
      <c r="B645" t="s">
        <v>1820</v>
      </c>
      <c r="C645" s="40">
        <v>23909442557</v>
      </c>
      <c r="D645" s="40">
        <v>23501217826</v>
      </c>
      <c r="E645" s="40">
        <v>23191167997</v>
      </c>
      <c r="F645" s="40">
        <v>23608279675</v>
      </c>
      <c r="G645" s="40">
        <v>23471057624</v>
      </c>
    </row>
    <row r="646" spans="1:7" x14ac:dyDescent="0.2">
      <c r="B646" t="s">
        <v>1821</v>
      </c>
      <c r="C646" s="40">
        <v>0</v>
      </c>
      <c r="D646" s="40">
        <v>0</v>
      </c>
      <c r="E646" s="40">
        <v>0</v>
      </c>
      <c r="F646" s="40">
        <v>0</v>
      </c>
      <c r="G646" s="40">
        <v>0</v>
      </c>
    </row>
    <row r="647" spans="1:7" x14ac:dyDescent="0.2">
      <c r="B647" t="s">
        <v>1822</v>
      </c>
      <c r="C647" s="40">
        <v>0</v>
      </c>
      <c r="D647" s="40">
        <v>0</v>
      </c>
      <c r="E647" s="40">
        <v>0</v>
      </c>
      <c r="F647" s="40">
        <v>0</v>
      </c>
      <c r="G647" s="40">
        <v>0</v>
      </c>
    </row>
    <row r="648" spans="1:7" x14ac:dyDescent="0.2">
      <c r="B648" t="s">
        <v>1823</v>
      </c>
      <c r="C648" s="40">
        <v>0</v>
      </c>
      <c r="D648" s="40">
        <v>0</v>
      </c>
      <c r="E648" s="40">
        <v>0</v>
      </c>
      <c r="F648" s="40">
        <v>0</v>
      </c>
      <c r="G648" s="40">
        <v>0</v>
      </c>
    </row>
    <row r="649" spans="1:7" x14ac:dyDescent="0.2">
      <c r="B649" t="s">
        <v>1824</v>
      </c>
      <c r="C649" s="40">
        <v>0</v>
      </c>
      <c r="D649" s="40">
        <v>0</v>
      </c>
      <c r="E649" s="40">
        <v>0</v>
      </c>
      <c r="F649" s="40">
        <v>0</v>
      </c>
      <c r="G649" s="40">
        <v>0</v>
      </c>
    </row>
    <row r="650" spans="1:7" x14ac:dyDescent="0.2">
      <c r="B650" t="s">
        <v>1825</v>
      </c>
      <c r="C650" s="40">
        <v>10725955842</v>
      </c>
      <c r="D650" s="40">
        <v>10466106143</v>
      </c>
      <c r="E650" s="40">
        <v>11066826200</v>
      </c>
      <c r="F650" s="40">
        <v>11820715965</v>
      </c>
      <c r="G650" s="40">
        <v>12001502256</v>
      </c>
    </row>
    <row r="651" spans="1:7" x14ac:dyDescent="0.2">
      <c r="B651" t="s">
        <v>1826</v>
      </c>
      <c r="C651" s="40">
        <v>1982170077</v>
      </c>
      <c r="D651" s="40">
        <v>2059818952</v>
      </c>
      <c r="E651" s="40">
        <v>2087625710</v>
      </c>
      <c r="F651" s="40">
        <v>2258963906</v>
      </c>
      <c r="G651" s="40">
        <v>2474427087</v>
      </c>
    </row>
    <row r="652" spans="1:7" x14ac:dyDescent="0.2">
      <c r="B652" t="s">
        <v>1827</v>
      </c>
      <c r="C652" s="40">
        <v>8010793350</v>
      </c>
      <c r="D652" s="40">
        <v>8465603245</v>
      </c>
      <c r="E652" s="40">
        <v>8778585762</v>
      </c>
      <c r="F652" s="40">
        <v>9154759929</v>
      </c>
      <c r="G652" s="40">
        <v>9357880481</v>
      </c>
    </row>
    <row r="653" spans="1:7" x14ac:dyDescent="0.2">
      <c r="B653" t="s">
        <v>1828</v>
      </c>
      <c r="C653" s="40">
        <v>987770450</v>
      </c>
      <c r="D653" s="40">
        <v>958596872</v>
      </c>
      <c r="E653" s="40">
        <v>896742575</v>
      </c>
      <c r="F653" s="40">
        <v>892402308</v>
      </c>
      <c r="G653" s="40">
        <v>896170339</v>
      </c>
    </row>
    <row r="654" spans="1:7" x14ac:dyDescent="0.2">
      <c r="B654" t="s">
        <v>1829</v>
      </c>
      <c r="C654" s="40">
        <v>5920906125</v>
      </c>
      <c r="D654" s="40">
        <v>6138402374</v>
      </c>
      <c r="E654" s="40">
        <v>6054417057</v>
      </c>
      <c r="F654" s="40">
        <v>6105141207</v>
      </c>
      <c r="G654" s="40">
        <v>6160635172</v>
      </c>
    </row>
    <row r="655" spans="1:7" x14ac:dyDescent="0.2">
      <c r="B655" t="s">
        <v>1830</v>
      </c>
      <c r="C655" s="40">
        <v>1261570731</v>
      </c>
      <c r="D655" s="40">
        <v>1297879399</v>
      </c>
      <c r="E655" s="40">
        <v>1329736132</v>
      </c>
      <c r="F655" s="40">
        <v>1302870557</v>
      </c>
      <c r="G655" s="40">
        <v>1384606273</v>
      </c>
    </row>
    <row r="656" spans="1:7" x14ac:dyDescent="0.2">
      <c r="B656" t="s">
        <v>1831</v>
      </c>
      <c r="C656" s="40">
        <v>28889166575</v>
      </c>
      <c r="D656" s="40">
        <v>29386406985</v>
      </c>
      <c r="E656" s="40">
        <v>30213933436</v>
      </c>
      <c r="F656" s="40">
        <v>31534853872</v>
      </c>
      <c r="G656" s="40">
        <v>32275221608</v>
      </c>
    </row>
    <row r="657" spans="2:7" x14ac:dyDescent="0.2">
      <c r="B657" t="s">
        <v>1832</v>
      </c>
      <c r="C657" s="40">
        <v>1918644589</v>
      </c>
      <c r="D657" s="40">
        <v>2013483854</v>
      </c>
      <c r="E657" s="40">
        <v>1986903746</v>
      </c>
      <c r="F657" s="40">
        <v>1924119667</v>
      </c>
      <c r="G657" s="40">
        <v>2032906935</v>
      </c>
    </row>
    <row r="658" spans="2:7" x14ac:dyDescent="0.2">
      <c r="B658" t="s">
        <v>1833</v>
      </c>
      <c r="C658" s="40">
        <v>17258701232</v>
      </c>
      <c r="D658" s="40">
        <v>17596522724</v>
      </c>
      <c r="E658" s="40">
        <v>17629582217</v>
      </c>
      <c r="F658" s="40">
        <v>17814785003</v>
      </c>
      <c r="G658" s="40">
        <v>17859123639</v>
      </c>
    </row>
    <row r="659" spans="2:7" x14ac:dyDescent="0.2">
      <c r="B659" t="s">
        <v>1834</v>
      </c>
      <c r="C659" s="40">
        <v>0</v>
      </c>
      <c r="D659" s="40">
        <v>0</v>
      </c>
      <c r="E659" s="40">
        <v>0</v>
      </c>
      <c r="F659" s="40">
        <v>0</v>
      </c>
      <c r="G659" s="40">
        <v>0</v>
      </c>
    </row>
    <row r="660" spans="2:7" x14ac:dyDescent="0.2">
      <c r="B660" t="s">
        <v>1835</v>
      </c>
      <c r="C660" s="40">
        <v>0</v>
      </c>
      <c r="D660" s="40">
        <v>0</v>
      </c>
      <c r="E660" s="40">
        <v>0</v>
      </c>
      <c r="F660" s="40">
        <v>0</v>
      </c>
      <c r="G660" s="40">
        <v>0</v>
      </c>
    </row>
    <row r="661" spans="2:7" x14ac:dyDescent="0.2">
      <c r="B661" t="s">
        <v>1836</v>
      </c>
      <c r="C661" s="40">
        <v>0</v>
      </c>
      <c r="D661" s="40">
        <v>0</v>
      </c>
      <c r="E661" s="40">
        <v>0</v>
      </c>
      <c r="F661" s="40">
        <v>0</v>
      </c>
      <c r="G661" s="40">
        <v>0</v>
      </c>
    </row>
    <row r="662" spans="2:7" x14ac:dyDescent="0.2">
      <c r="B662" t="s">
        <v>1837</v>
      </c>
      <c r="C662" s="40">
        <v>0</v>
      </c>
      <c r="D662" s="40">
        <v>0</v>
      </c>
      <c r="E662" s="40">
        <v>0</v>
      </c>
      <c r="F662" s="40">
        <v>0</v>
      </c>
      <c r="G662" s="40">
        <v>0</v>
      </c>
    </row>
    <row r="663" spans="2:7" x14ac:dyDescent="0.2">
      <c r="B663" t="s">
        <v>1838</v>
      </c>
      <c r="C663" s="40">
        <v>0</v>
      </c>
      <c r="D663" s="40">
        <v>0</v>
      </c>
      <c r="E663" s="40">
        <v>0</v>
      </c>
      <c r="F663" s="40">
        <v>0</v>
      </c>
      <c r="G663" s="40">
        <v>0</v>
      </c>
    </row>
    <row r="664" spans="2:7" x14ac:dyDescent="0.2">
      <c r="B664" t="s">
        <v>1839</v>
      </c>
      <c r="C664" s="40">
        <v>0</v>
      </c>
      <c r="D664" s="40">
        <v>0</v>
      </c>
      <c r="E664" s="40">
        <v>0</v>
      </c>
      <c r="F664" s="40">
        <v>0</v>
      </c>
      <c r="G664" s="40">
        <v>0</v>
      </c>
    </row>
    <row r="665" spans="2:7" x14ac:dyDescent="0.2">
      <c r="B665" t="s">
        <v>1840</v>
      </c>
      <c r="C665" s="40">
        <v>0</v>
      </c>
      <c r="D665" s="40">
        <v>0</v>
      </c>
      <c r="E665" s="40">
        <v>0</v>
      </c>
      <c r="F665" s="40">
        <v>0</v>
      </c>
      <c r="G665" s="40">
        <v>0</v>
      </c>
    </row>
    <row r="666" spans="2:7" x14ac:dyDescent="0.2">
      <c r="B666" t="s">
        <v>1841</v>
      </c>
      <c r="C666" s="40">
        <v>0</v>
      </c>
      <c r="D666" s="40">
        <v>0</v>
      </c>
      <c r="E666" s="40">
        <v>0</v>
      </c>
      <c r="F666" s="40">
        <v>0</v>
      </c>
      <c r="G666" s="40">
        <v>0</v>
      </c>
    </row>
    <row r="667" spans="2:7" x14ac:dyDescent="0.2">
      <c r="B667" t="s">
        <v>1842</v>
      </c>
      <c r="C667" s="40">
        <v>0</v>
      </c>
      <c r="D667" s="40">
        <v>0</v>
      </c>
      <c r="E667" s="40">
        <v>0</v>
      </c>
      <c r="F667" s="40">
        <v>0</v>
      </c>
      <c r="G667" s="40">
        <v>0</v>
      </c>
    </row>
    <row r="668" spans="2:7" x14ac:dyDescent="0.2">
      <c r="B668" t="s">
        <v>1843</v>
      </c>
      <c r="C668" s="40">
        <v>0</v>
      </c>
      <c r="D668" s="40">
        <v>0</v>
      </c>
      <c r="E668" s="40">
        <v>0</v>
      </c>
      <c r="F668" s="40">
        <v>0</v>
      </c>
      <c r="G668" s="40">
        <v>0</v>
      </c>
    </row>
    <row r="669" spans="2:7" x14ac:dyDescent="0.2">
      <c r="B669" t="s">
        <v>1844</v>
      </c>
      <c r="C669" s="40">
        <v>0</v>
      </c>
      <c r="D669" s="40">
        <v>0</v>
      </c>
      <c r="E669" s="40">
        <v>0</v>
      </c>
      <c r="F669" s="40">
        <v>0</v>
      </c>
      <c r="G669" s="40">
        <v>0</v>
      </c>
    </row>
    <row r="670" spans="2:7" x14ac:dyDescent="0.2">
      <c r="B670" t="s">
        <v>1845</v>
      </c>
      <c r="C670" s="40">
        <v>0</v>
      </c>
      <c r="D670" s="40">
        <v>0</v>
      </c>
      <c r="E670" s="40">
        <v>0</v>
      </c>
      <c r="F670" s="40">
        <v>0</v>
      </c>
      <c r="G670" s="40">
        <v>0</v>
      </c>
    </row>
    <row r="671" spans="2:7" x14ac:dyDescent="0.2">
      <c r="B671" t="s">
        <v>1846</v>
      </c>
      <c r="C671" s="40">
        <v>0</v>
      </c>
      <c r="D671" s="40">
        <v>0</v>
      </c>
      <c r="E671" s="40">
        <v>0</v>
      </c>
      <c r="F671" s="40">
        <v>0</v>
      </c>
      <c r="G671" s="40">
        <v>0</v>
      </c>
    </row>
    <row r="672" spans="2:7" x14ac:dyDescent="0.2">
      <c r="B672" t="s">
        <v>1847</v>
      </c>
      <c r="C672" s="40">
        <v>0</v>
      </c>
      <c r="D672" s="40">
        <v>0</v>
      </c>
      <c r="E672" s="40">
        <v>0</v>
      </c>
      <c r="F672" s="40">
        <v>0</v>
      </c>
      <c r="G672" s="40">
        <v>0</v>
      </c>
    </row>
    <row r="673" spans="2:7" x14ac:dyDescent="0.2">
      <c r="B673" t="s">
        <v>1848</v>
      </c>
      <c r="C673" s="40">
        <v>0</v>
      </c>
      <c r="D673" s="40">
        <v>0</v>
      </c>
      <c r="E673" s="40">
        <v>0</v>
      </c>
      <c r="F673" s="40">
        <v>0</v>
      </c>
      <c r="G673" s="40">
        <v>0</v>
      </c>
    </row>
    <row r="674" spans="2:7" x14ac:dyDescent="0.2">
      <c r="B674" t="s">
        <v>1849</v>
      </c>
      <c r="C674" s="40">
        <v>895759746</v>
      </c>
      <c r="D674" s="40">
        <v>938174493</v>
      </c>
      <c r="E674" s="40">
        <v>1000665442</v>
      </c>
      <c r="F674" s="40">
        <v>994467289</v>
      </c>
      <c r="G674" s="40">
        <v>1071698127</v>
      </c>
    </row>
    <row r="675" spans="2:7" x14ac:dyDescent="0.2">
      <c r="B675" t="s">
        <v>1850</v>
      </c>
      <c r="C675" s="40">
        <v>0</v>
      </c>
      <c r="D675" s="40">
        <v>0</v>
      </c>
      <c r="E675" s="40">
        <v>0</v>
      </c>
      <c r="F675" s="40">
        <v>0</v>
      </c>
      <c r="G675" s="40">
        <v>0</v>
      </c>
    </row>
    <row r="676" spans="2:7" x14ac:dyDescent="0.2">
      <c r="B676" t="s">
        <v>1851</v>
      </c>
      <c r="C676" s="40">
        <v>0</v>
      </c>
      <c r="D676" s="40">
        <v>0</v>
      </c>
      <c r="E676" s="40">
        <v>0</v>
      </c>
      <c r="F676" s="40">
        <v>0</v>
      </c>
      <c r="G676" s="40">
        <v>0</v>
      </c>
    </row>
    <row r="677" spans="2:7" x14ac:dyDescent="0.2">
      <c r="B677" t="s">
        <v>1852</v>
      </c>
      <c r="C677" s="40">
        <v>0</v>
      </c>
      <c r="D677" s="40">
        <v>0</v>
      </c>
      <c r="E677" s="40">
        <v>0</v>
      </c>
      <c r="F677" s="40">
        <v>0</v>
      </c>
      <c r="G677" s="40">
        <v>0</v>
      </c>
    </row>
    <row r="678" spans="2:7" x14ac:dyDescent="0.2">
      <c r="B678" t="s">
        <v>1853</v>
      </c>
      <c r="C678" s="40">
        <v>0</v>
      </c>
      <c r="D678" s="40">
        <v>0</v>
      </c>
      <c r="E678" s="40">
        <v>0</v>
      </c>
      <c r="F678" s="40">
        <v>0</v>
      </c>
      <c r="G678" s="40">
        <v>0</v>
      </c>
    </row>
    <row r="679" spans="2:7" x14ac:dyDescent="0.2">
      <c r="B679" t="s">
        <v>1854</v>
      </c>
      <c r="C679" s="40">
        <v>0</v>
      </c>
      <c r="D679" s="40">
        <v>0</v>
      </c>
      <c r="E679" s="40">
        <v>0</v>
      </c>
      <c r="F679" s="40">
        <v>0</v>
      </c>
      <c r="G679" s="40">
        <v>0</v>
      </c>
    </row>
    <row r="680" spans="2:7" x14ac:dyDescent="0.2">
      <c r="B680" t="s">
        <v>1855</v>
      </c>
      <c r="C680" s="40">
        <v>0</v>
      </c>
      <c r="D680" s="40">
        <v>0</v>
      </c>
      <c r="E680" s="40">
        <v>0</v>
      </c>
      <c r="F680" s="40">
        <v>0</v>
      </c>
      <c r="G680" s="40">
        <v>0</v>
      </c>
    </row>
    <row r="681" spans="2:7" x14ac:dyDescent="0.2">
      <c r="B681" t="s">
        <v>1856</v>
      </c>
      <c r="C681" s="40">
        <v>0</v>
      </c>
      <c r="D681" s="40">
        <v>0</v>
      </c>
      <c r="E681" s="40">
        <v>0</v>
      </c>
      <c r="F681" s="40">
        <v>0</v>
      </c>
      <c r="G681" s="40">
        <v>0</v>
      </c>
    </row>
    <row r="682" spans="2:7" x14ac:dyDescent="0.2">
      <c r="B682" t="s">
        <v>1857</v>
      </c>
      <c r="C682" s="40">
        <v>0</v>
      </c>
      <c r="D682" s="40">
        <v>0</v>
      </c>
      <c r="E682" s="40">
        <v>0</v>
      </c>
      <c r="F682" s="40">
        <v>0</v>
      </c>
      <c r="G682" s="40">
        <v>0</v>
      </c>
    </row>
    <row r="683" spans="2:7" x14ac:dyDescent="0.2">
      <c r="B683" t="s">
        <v>1858</v>
      </c>
      <c r="C683" s="40">
        <v>0</v>
      </c>
      <c r="D683" s="40">
        <v>0</v>
      </c>
      <c r="E683" s="40">
        <v>0</v>
      </c>
      <c r="F683" s="40">
        <v>0</v>
      </c>
      <c r="G683" s="40">
        <v>0</v>
      </c>
    </row>
    <row r="684" spans="2:7" x14ac:dyDescent="0.2">
      <c r="B684" t="s">
        <v>1859</v>
      </c>
      <c r="C684" s="40">
        <v>0</v>
      </c>
      <c r="D684" s="40">
        <v>0</v>
      </c>
      <c r="E684" s="40">
        <v>0</v>
      </c>
      <c r="F684" s="40">
        <v>0</v>
      </c>
      <c r="G684" s="40">
        <v>0</v>
      </c>
    </row>
    <row r="685" spans="2:7" x14ac:dyDescent="0.2">
      <c r="B685" t="s">
        <v>1860</v>
      </c>
      <c r="C685" s="40">
        <v>0</v>
      </c>
      <c r="D685" s="40">
        <v>0</v>
      </c>
      <c r="E685" s="40">
        <v>0</v>
      </c>
      <c r="F685" s="40">
        <v>0</v>
      </c>
      <c r="G685" s="40">
        <v>0</v>
      </c>
    </row>
    <row r="686" spans="2:7" x14ac:dyDescent="0.2">
      <c r="B686" t="s">
        <v>1861</v>
      </c>
      <c r="C686" s="40">
        <v>0</v>
      </c>
      <c r="D686" s="40">
        <v>0</v>
      </c>
      <c r="E686" s="40">
        <v>0</v>
      </c>
      <c r="F686" s="40">
        <v>0</v>
      </c>
      <c r="G686" s="40">
        <v>0</v>
      </c>
    </row>
    <row r="687" spans="2:7" x14ac:dyDescent="0.2">
      <c r="B687" t="s">
        <v>1862</v>
      </c>
      <c r="C687" s="40">
        <v>0</v>
      </c>
      <c r="D687" s="40">
        <v>0</v>
      </c>
      <c r="E687" s="40">
        <v>0</v>
      </c>
      <c r="F687" s="40">
        <v>0</v>
      </c>
      <c r="G687" s="40">
        <v>0</v>
      </c>
    </row>
    <row r="688" spans="2:7" x14ac:dyDescent="0.2">
      <c r="B688" t="s">
        <v>1863</v>
      </c>
      <c r="C688" s="40">
        <v>49886666464</v>
      </c>
      <c r="D688" s="40">
        <v>46123996251</v>
      </c>
      <c r="E688" s="40">
        <v>46118982710</v>
      </c>
      <c r="F688" s="40">
        <v>46464153714</v>
      </c>
      <c r="G688" s="40">
        <v>46106363910</v>
      </c>
    </row>
    <row r="689" spans="2:7" x14ac:dyDescent="0.2">
      <c r="B689" t="s">
        <v>1864</v>
      </c>
      <c r="C689" s="40">
        <v>0</v>
      </c>
      <c r="D689" s="40">
        <v>0</v>
      </c>
      <c r="E689" s="40">
        <v>0</v>
      </c>
      <c r="F689" s="40">
        <v>0</v>
      </c>
      <c r="G689" s="40">
        <v>0</v>
      </c>
    </row>
    <row r="690" spans="2:7" x14ac:dyDescent="0.2">
      <c r="B690" t="s">
        <v>1865</v>
      </c>
      <c r="C690" s="40">
        <v>0</v>
      </c>
      <c r="D690" s="40">
        <v>0</v>
      </c>
      <c r="E690" s="40">
        <v>0</v>
      </c>
      <c r="F690" s="40">
        <v>0</v>
      </c>
      <c r="G690" s="40">
        <v>0</v>
      </c>
    </row>
    <row r="691" spans="2:7" x14ac:dyDescent="0.2">
      <c r="B691" t="s">
        <v>1866</v>
      </c>
      <c r="C691" s="40">
        <v>0</v>
      </c>
      <c r="D691" s="40">
        <v>0</v>
      </c>
      <c r="E691" s="40">
        <v>0</v>
      </c>
      <c r="F691" s="40">
        <v>0</v>
      </c>
      <c r="G691" s="40">
        <v>0</v>
      </c>
    </row>
    <row r="692" spans="2:7" x14ac:dyDescent="0.2">
      <c r="B692" t="s">
        <v>1867</v>
      </c>
      <c r="C692" s="40">
        <v>0</v>
      </c>
      <c r="D692" s="40">
        <v>0</v>
      </c>
      <c r="E692" s="40">
        <v>0</v>
      </c>
      <c r="F692" s="40">
        <v>0</v>
      </c>
      <c r="G692" s="40">
        <v>0</v>
      </c>
    </row>
    <row r="693" spans="2:7" x14ac:dyDescent="0.2">
      <c r="B693" t="s">
        <v>1868</v>
      </c>
      <c r="C693" s="40">
        <v>0</v>
      </c>
      <c r="D693" s="40">
        <v>0</v>
      </c>
      <c r="E693" s="40">
        <v>0</v>
      </c>
      <c r="F693" s="40">
        <v>0</v>
      </c>
      <c r="G693" s="40">
        <v>0</v>
      </c>
    </row>
    <row r="694" spans="2:7" x14ac:dyDescent="0.2">
      <c r="B694" t="s">
        <v>1869</v>
      </c>
      <c r="C694" s="40">
        <v>0</v>
      </c>
      <c r="D694" s="40">
        <v>0</v>
      </c>
      <c r="E694" s="40">
        <v>0</v>
      </c>
      <c r="F694" s="40">
        <v>0</v>
      </c>
      <c r="G694" s="40">
        <v>0</v>
      </c>
    </row>
    <row r="695" spans="2:7" x14ac:dyDescent="0.2">
      <c r="B695" t="s">
        <v>1870</v>
      </c>
      <c r="C695" s="40">
        <v>123036280547</v>
      </c>
      <c r="D695" s="40">
        <v>125099446932</v>
      </c>
      <c r="E695" s="40">
        <v>128490103550</v>
      </c>
      <c r="F695" s="40">
        <v>132242457553</v>
      </c>
      <c r="G695" s="40">
        <v>135233409804</v>
      </c>
    </row>
    <row r="696" spans="2:7" x14ac:dyDescent="0.2">
      <c r="B696" t="s">
        <v>1871</v>
      </c>
      <c r="C696" s="40">
        <v>0</v>
      </c>
      <c r="D696" s="40">
        <v>0</v>
      </c>
      <c r="E696" s="40">
        <v>0</v>
      </c>
      <c r="F696" s="40">
        <v>0</v>
      </c>
      <c r="G696" s="40">
        <v>0</v>
      </c>
    </row>
    <row r="697" spans="2:7" x14ac:dyDescent="0.2">
      <c r="B697" t="s">
        <v>1872</v>
      </c>
      <c r="C697" s="40">
        <v>0</v>
      </c>
      <c r="D697" s="40">
        <v>0</v>
      </c>
      <c r="E697" s="40">
        <v>0</v>
      </c>
      <c r="F697" s="40">
        <v>0</v>
      </c>
      <c r="G697" s="40">
        <v>0</v>
      </c>
    </row>
    <row r="698" spans="2:7" x14ac:dyDescent="0.2">
      <c r="B698" t="s">
        <v>1873</v>
      </c>
      <c r="C698" s="40">
        <v>205602280796</v>
      </c>
      <c r="D698" s="40">
        <v>207127727881</v>
      </c>
      <c r="E698" s="40">
        <v>212801597228</v>
      </c>
      <c r="F698" s="40">
        <v>214941003157</v>
      </c>
      <c r="G698" s="40">
        <v>217371779003</v>
      </c>
    </row>
    <row r="699" spans="2:7" x14ac:dyDescent="0.2">
      <c r="B699" t="s">
        <v>1874</v>
      </c>
      <c r="C699" s="40">
        <v>0</v>
      </c>
      <c r="D699" s="40">
        <v>0</v>
      </c>
      <c r="E699" s="40">
        <v>0</v>
      </c>
      <c r="F699" s="40">
        <v>0</v>
      </c>
      <c r="G699" s="40">
        <v>0</v>
      </c>
    </row>
    <row r="700" spans="2:7" x14ac:dyDescent="0.2">
      <c r="B700" t="s">
        <v>1875</v>
      </c>
      <c r="C700" s="40">
        <v>0</v>
      </c>
      <c r="D700" s="40">
        <v>0</v>
      </c>
      <c r="E700" s="40">
        <v>0</v>
      </c>
      <c r="F700" s="40">
        <v>0</v>
      </c>
      <c r="G700" s="40">
        <v>0</v>
      </c>
    </row>
    <row r="701" spans="2:7" x14ac:dyDescent="0.2">
      <c r="B701" t="s">
        <v>1876</v>
      </c>
      <c r="C701" s="40">
        <v>0</v>
      </c>
      <c r="D701" s="40">
        <v>0</v>
      </c>
      <c r="E701" s="40">
        <v>0</v>
      </c>
      <c r="F701" s="40">
        <v>0</v>
      </c>
      <c r="G701" s="40">
        <v>0</v>
      </c>
    </row>
    <row r="702" spans="2:7" x14ac:dyDescent="0.2">
      <c r="B702" t="s">
        <v>1877</v>
      </c>
      <c r="C702" s="40">
        <v>0</v>
      </c>
      <c r="D702" s="40">
        <v>0</v>
      </c>
      <c r="E702" s="40">
        <v>0</v>
      </c>
      <c r="F702" s="40">
        <v>0</v>
      </c>
      <c r="G702" s="40">
        <v>0</v>
      </c>
    </row>
    <row r="703" spans="2:7" x14ac:dyDescent="0.2">
      <c r="B703" t="s">
        <v>1878</v>
      </c>
      <c r="C703" s="40">
        <v>0</v>
      </c>
      <c r="D703" s="40">
        <v>0</v>
      </c>
      <c r="E703" s="40">
        <v>0</v>
      </c>
      <c r="F703" s="40">
        <v>0</v>
      </c>
      <c r="G703" s="40">
        <v>0</v>
      </c>
    </row>
    <row r="704" spans="2:7" x14ac:dyDescent="0.2">
      <c r="B704" t="s">
        <v>1879</v>
      </c>
      <c r="C704" s="40">
        <v>0</v>
      </c>
      <c r="D704" s="40">
        <v>0</v>
      </c>
      <c r="E704" s="40">
        <v>0</v>
      </c>
      <c r="F704" s="40">
        <v>0</v>
      </c>
      <c r="G704" s="40">
        <v>0</v>
      </c>
    </row>
    <row r="705" spans="2:7" x14ac:dyDescent="0.2">
      <c r="B705" t="s">
        <v>1880</v>
      </c>
      <c r="C705" s="40">
        <v>0</v>
      </c>
      <c r="D705" s="40">
        <v>0</v>
      </c>
      <c r="E705" s="40">
        <v>0</v>
      </c>
      <c r="F705" s="40">
        <v>0</v>
      </c>
      <c r="G705" s="40">
        <v>0</v>
      </c>
    </row>
    <row r="706" spans="2:7" x14ac:dyDescent="0.2">
      <c r="B706" t="s">
        <v>1881</v>
      </c>
      <c r="C706" s="40">
        <v>0</v>
      </c>
      <c r="D706" s="40">
        <v>0</v>
      </c>
      <c r="E706" s="40">
        <v>0</v>
      </c>
      <c r="F706" s="40">
        <v>0</v>
      </c>
      <c r="G706" s="40">
        <v>0</v>
      </c>
    </row>
    <row r="707" spans="2:7" x14ac:dyDescent="0.2">
      <c r="B707" t="s">
        <v>1882</v>
      </c>
      <c r="C707" s="40">
        <v>0</v>
      </c>
      <c r="D707" s="40">
        <v>0</v>
      </c>
      <c r="E707" s="40">
        <v>0</v>
      </c>
      <c r="F707" s="40">
        <v>0</v>
      </c>
      <c r="G707" s="40">
        <v>0</v>
      </c>
    </row>
    <row r="708" spans="2:7" x14ac:dyDescent="0.2">
      <c r="B708" t="s">
        <v>1883</v>
      </c>
      <c r="C708" s="40">
        <v>0</v>
      </c>
      <c r="D708" s="40">
        <v>0</v>
      </c>
      <c r="E708" s="40">
        <v>0</v>
      </c>
      <c r="F708" s="40">
        <v>0</v>
      </c>
      <c r="G708" s="40">
        <v>0</v>
      </c>
    </row>
    <row r="709" spans="2:7" x14ac:dyDescent="0.2">
      <c r="B709" t="s">
        <v>1884</v>
      </c>
      <c r="C709" s="40">
        <v>0</v>
      </c>
      <c r="D709" s="40">
        <v>0</v>
      </c>
      <c r="E709" s="40">
        <v>0</v>
      </c>
      <c r="F709" s="40">
        <v>0</v>
      </c>
      <c r="G709" s="40">
        <v>0</v>
      </c>
    </row>
    <row r="710" spans="2:7" x14ac:dyDescent="0.2">
      <c r="B710" t="s">
        <v>1885</v>
      </c>
      <c r="C710" s="40">
        <v>0</v>
      </c>
      <c r="D710" s="40">
        <v>0</v>
      </c>
      <c r="E710" s="40">
        <v>0</v>
      </c>
      <c r="F710" s="40">
        <v>0</v>
      </c>
      <c r="G710" s="40">
        <v>0</v>
      </c>
    </row>
    <row r="711" spans="2:7" x14ac:dyDescent="0.2">
      <c r="B711" t="s">
        <v>1886</v>
      </c>
      <c r="C711" s="40">
        <v>0</v>
      </c>
      <c r="D711" s="40">
        <v>0</v>
      </c>
      <c r="E711" s="40">
        <v>0</v>
      </c>
      <c r="F711" s="40">
        <v>0</v>
      </c>
      <c r="G711" s="40">
        <v>0</v>
      </c>
    </row>
    <row r="712" spans="2:7" x14ac:dyDescent="0.2">
      <c r="B712" t="s">
        <v>1887</v>
      </c>
      <c r="C712" s="40">
        <v>0</v>
      </c>
      <c r="D712" s="40">
        <v>0</v>
      </c>
      <c r="E712" s="40">
        <v>0</v>
      </c>
      <c r="F712" s="40">
        <v>0</v>
      </c>
      <c r="G712" s="40">
        <v>0</v>
      </c>
    </row>
    <row r="713" spans="2:7" x14ac:dyDescent="0.2">
      <c r="B713" t="s">
        <v>1888</v>
      </c>
      <c r="C713" s="40">
        <v>13562104207</v>
      </c>
      <c r="D713" s="40">
        <v>13613379719</v>
      </c>
      <c r="E713" s="40">
        <v>13739928276</v>
      </c>
      <c r="F713" s="40">
        <v>14146850265</v>
      </c>
      <c r="G713" s="40">
        <v>13869495298</v>
      </c>
    </row>
    <row r="714" spans="2:7" x14ac:dyDescent="0.2">
      <c r="B714" t="s">
        <v>1889</v>
      </c>
      <c r="C714" s="40">
        <v>0</v>
      </c>
      <c r="D714" s="40">
        <v>0</v>
      </c>
      <c r="E714" s="40">
        <v>0</v>
      </c>
      <c r="F714" s="40">
        <v>0</v>
      </c>
      <c r="G714" s="40">
        <v>0</v>
      </c>
    </row>
    <row r="715" spans="2:7" x14ac:dyDescent="0.2">
      <c r="B715" t="s">
        <v>1890</v>
      </c>
      <c r="C715" s="40">
        <v>13543931713</v>
      </c>
      <c r="D715" s="40">
        <v>13441441110</v>
      </c>
      <c r="E715" s="40">
        <v>13592123313</v>
      </c>
      <c r="F715" s="40">
        <v>13571396327</v>
      </c>
      <c r="G715" s="40">
        <v>13455924680</v>
      </c>
    </row>
    <row r="716" spans="2:7" x14ac:dyDescent="0.2">
      <c r="B716" t="s">
        <v>1891</v>
      </c>
      <c r="C716" s="40">
        <v>0</v>
      </c>
      <c r="D716" s="40">
        <v>0</v>
      </c>
      <c r="E716" s="40">
        <v>0</v>
      </c>
      <c r="F716" s="40">
        <v>0</v>
      </c>
      <c r="G716" s="40">
        <v>0</v>
      </c>
    </row>
    <row r="717" spans="2:7" x14ac:dyDescent="0.2">
      <c r="B717" t="s">
        <v>1892</v>
      </c>
      <c r="C717" s="40">
        <v>397389249766</v>
      </c>
      <c r="D717" s="40">
        <v>400713625495</v>
      </c>
      <c r="E717" s="40">
        <v>410769223957</v>
      </c>
      <c r="F717" s="40">
        <v>418407400826</v>
      </c>
      <c r="G717" s="40">
        <v>424282736377</v>
      </c>
    </row>
    <row r="718" spans="2:7" x14ac:dyDescent="0.2">
      <c r="B718" t="s">
        <v>1893</v>
      </c>
      <c r="C718" s="40">
        <v>0</v>
      </c>
      <c r="D718" s="40">
        <v>0</v>
      </c>
      <c r="E718" s="40">
        <v>0</v>
      </c>
      <c r="F718" s="40">
        <v>0</v>
      </c>
      <c r="G718" s="40">
        <v>0</v>
      </c>
    </row>
    <row r="719" spans="2:7" x14ac:dyDescent="0.2">
      <c r="B719" t="s">
        <v>1894</v>
      </c>
      <c r="C719" s="40">
        <v>0</v>
      </c>
      <c r="D719" s="40">
        <v>0</v>
      </c>
      <c r="E719" s="40">
        <v>0</v>
      </c>
      <c r="F719" s="40">
        <v>0</v>
      </c>
      <c r="G719" s="40">
        <v>0</v>
      </c>
    </row>
    <row r="720" spans="2:7" x14ac:dyDescent="0.2">
      <c r="B720" t="s">
        <v>1895</v>
      </c>
      <c r="C720" s="40">
        <v>12964896757</v>
      </c>
      <c r="D720" s="40">
        <v>12414550237</v>
      </c>
      <c r="E720" s="40">
        <v>12489434670</v>
      </c>
      <c r="F720" s="40">
        <v>13288413781</v>
      </c>
      <c r="G720" s="40">
        <v>13840582155</v>
      </c>
    </row>
    <row r="721" spans="2:7" x14ac:dyDescent="0.2">
      <c r="B721" t="s">
        <v>1896</v>
      </c>
      <c r="C721" s="40">
        <v>0</v>
      </c>
      <c r="D721" s="40">
        <v>0</v>
      </c>
      <c r="E721" s="40">
        <v>0</v>
      </c>
      <c r="F721" s="40">
        <v>0</v>
      </c>
      <c r="G721" s="40">
        <v>0</v>
      </c>
    </row>
    <row r="722" spans="2:7" x14ac:dyDescent="0.2">
      <c r="B722" t="s">
        <v>1897</v>
      </c>
      <c r="C722" s="40">
        <v>383827145559</v>
      </c>
      <c r="D722" s="40">
        <v>387100245776</v>
      </c>
      <c r="E722" s="40">
        <v>397029295681</v>
      </c>
      <c r="F722" s="40">
        <v>404260550561</v>
      </c>
      <c r="G722" s="40">
        <v>410413241079</v>
      </c>
    </row>
    <row r="723" spans="2:7" x14ac:dyDescent="0.2">
      <c r="B723" t="s">
        <v>1898</v>
      </c>
      <c r="C723" s="40">
        <v>0</v>
      </c>
      <c r="D723" s="40">
        <v>0</v>
      </c>
      <c r="E723" s="40">
        <v>0</v>
      </c>
      <c r="F723" s="40">
        <v>0</v>
      </c>
      <c r="G723" s="40">
        <v>0</v>
      </c>
    </row>
    <row r="724" spans="2:7" x14ac:dyDescent="0.2">
      <c r="B724" t="s">
        <v>1899</v>
      </c>
      <c r="C724" s="40">
        <v>346455700</v>
      </c>
      <c r="D724" s="40">
        <v>222347530</v>
      </c>
      <c r="E724" s="40">
        <v>221727114</v>
      </c>
      <c r="F724" s="40">
        <v>230959803</v>
      </c>
      <c r="G724" s="40">
        <v>219344663</v>
      </c>
    </row>
    <row r="725" spans="2:7" x14ac:dyDescent="0.2">
      <c r="B725" t="s">
        <v>1900</v>
      </c>
      <c r="C725" s="40">
        <v>423696294</v>
      </c>
      <c r="D725" s="40">
        <v>786214848</v>
      </c>
      <c r="E725" s="40">
        <v>130283810</v>
      </c>
      <c r="F725" s="40">
        <v>372468786</v>
      </c>
      <c r="G725" s="40">
        <v>746904725</v>
      </c>
    </row>
    <row r="726" spans="2:7" x14ac:dyDescent="0.2">
      <c r="B726" t="s">
        <v>1901</v>
      </c>
      <c r="C726" s="40">
        <v>1002932908</v>
      </c>
      <c r="D726" s="40">
        <v>1066399393</v>
      </c>
      <c r="E726" s="40">
        <v>889000226</v>
      </c>
      <c r="F726" s="40">
        <v>884169894</v>
      </c>
      <c r="G726" s="40">
        <v>902902939</v>
      </c>
    </row>
    <row r="727" spans="2:7" x14ac:dyDescent="0.2">
      <c r="B727" t="s">
        <v>1902</v>
      </c>
      <c r="C727" s="40">
        <v>0</v>
      </c>
      <c r="D727" s="40">
        <v>0</v>
      </c>
      <c r="E727" s="40">
        <v>0</v>
      </c>
      <c r="F727" s="40">
        <v>0</v>
      </c>
      <c r="G727" s="40">
        <v>0</v>
      </c>
    </row>
    <row r="728" spans="2:7" x14ac:dyDescent="0.2">
      <c r="B728" t="s">
        <v>1903</v>
      </c>
      <c r="C728" s="40">
        <v>28679755746</v>
      </c>
      <c r="D728" s="40">
        <v>29017079616</v>
      </c>
      <c r="E728" s="40">
        <v>29656036920</v>
      </c>
      <c r="F728" s="40">
        <v>30217279743</v>
      </c>
      <c r="G728" s="40">
        <v>30511545437</v>
      </c>
    </row>
    <row r="729" spans="2:7" x14ac:dyDescent="0.2">
      <c r="B729" t="s">
        <v>1904</v>
      </c>
      <c r="C729" s="40">
        <v>28326846613</v>
      </c>
      <c r="D729" s="40">
        <v>27635771906</v>
      </c>
      <c r="E729" s="40">
        <v>27530164737</v>
      </c>
      <c r="F729" s="40">
        <v>28534974395</v>
      </c>
      <c r="G729" s="40">
        <v>29299829570</v>
      </c>
    </row>
    <row r="730" spans="2:7" x14ac:dyDescent="0.2">
      <c r="B730" t="s">
        <v>1905</v>
      </c>
      <c r="C730" s="40">
        <v>0</v>
      </c>
      <c r="D730" s="40">
        <v>0</v>
      </c>
      <c r="E730" s="40">
        <v>0</v>
      </c>
      <c r="F730" s="40">
        <v>0</v>
      </c>
      <c r="G730" s="40">
        <v>0</v>
      </c>
    </row>
    <row r="731" spans="2:7" x14ac:dyDescent="0.2">
      <c r="B731" t="s">
        <v>1906</v>
      </c>
      <c r="C731" s="40">
        <v>0</v>
      </c>
      <c r="D731" s="40">
        <v>0</v>
      </c>
      <c r="E731" s="40">
        <v>0</v>
      </c>
      <c r="F731" s="40">
        <v>0</v>
      </c>
      <c r="G731" s="40">
        <v>0</v>
      </c>
    </row>
    <row r="732" spans="2:7" x14ac:dyDescent="0.2">
      <c r="B732" t="s">
        <v>1907</v>
      </c>
      <c r="C732" s="40">
        <v>0</v>
      </c>
      <c r="D732" s="40">
        <v>0</v>
      </c>
      <c r="E732" s="40">
        <v>0</v>
      </c>
      <c r="F732" s="40">
        <v>0</v>
      </c>
      <c r="G732" s="40">
        <v>0</v>
      </c>
    </row>
    <row r="733" spans="2:7" x14ac:dyDescent="0.2">
      <c r="B733" t="s">
        <v>1908</v>
      </c>
      <c r="C733" s="40">
        <v>0</v>
      </c>
      <c r="D733" s="40">
        <v>0</v>
      </c>
      <c r="E733" s="40">
        <v>0</v>
      </c>
      <c r="F733" s="40">
        <v>0</v>
      </c>
      <c r="G733" s="40">
        <v>0</v>
      </c>
    </row>
    <row r="734" spans="2:7" x14ac:dyDescent="0.2">
      <c r="B734" t="s">
        <v>1909</v>
      </c>
      <c r="C734" s="40">
        <v>0</v>
      </c>
      <c r="D734" s="40">
        <v>0</v>
      </c>
      <c r="E734" s="40">
        <v>0</v>
      </c>
      <c r="F734" s="40">
        <v>0</v>
      </c>
      <c r="G734" s="40">
        <v>0</v>
      </c>
    </row>
    <row r="735" spans="2:7" x14ac:dyDescent="0.2">
      <c r="B735" t="s">
        <v>1910</v>
      </c>
      <c r="C735" s="40">
        <v>0</v>
      </c>
      <c r="D735" s="40">
        <v>0</v>
      </c>
      <c r="E735" s="40">
        <v>0</v>
      </c>
      <c r="F735" s="40">
        <v>0</v>
      </c>
      <c r="G735" s="40">
        <v>0</v>
      </c>
    </row>
    <row r="736" spans="2:7" x14ac:dyDescent="0.2">
      <c r="B736" t="s">
        <v>1911</v>
      </c>
      <c r="C736" s="40">
        <v>0</v>
      </c>
      <c r="D736" s="40">
        <v>0</v>
      </c>
      <c r="E736" s="40">
        <v>0</v>
      </c>
      <c r="F736" s="40">
        <v>0</v>
      </c>
      <c r="G736" s="40">
        <v>0</v>
      </c>
    </row>
    <row r="737" spans="2:7" x14ac:dyDescent="0.2">
      <c r="B737" t="s">
        <v>1912</v>
      </c>
      <c r="C737" s="40">
        <v>0</v>
      </c>
      <c r="D737" s="40">
        <v>0</v>
      </c>
      <c r="E737" s="40">
        <v>0</v>
      </c>
      <c r="F737" s="40">
        <v>0</v>
      </c>
      <c r="G737" s="40">
        <v>0</v>
      </c>
    </row>
    <row r="738" spans="2:7" x14ac:dyDescent="0.2">
      <c r="B738" t="s">
        <v>1913</v>
      </c>
      <c r="C738" s="40">
        <v>0</v>
      </c>
      <c r="D738" s="40">
        <v>0</v>
      </c>
      <c r="E738" s="40">
        <v>0</v>
      </c>
      <c r="F738" s="40">
        <v>0</v>
      </c>
      <c r="G738" s="40">
        <v>0</v>
      </c>
    </row>
    <row r="739" spans="2:7" x14ac:dyDescent="0.2">
      <c r="B739" t="s">
        <v>1914</v>
      </c>
      <c r="C739" s="40">
        <v>0</v>
      </c>
      <c r="D739" s="40">
        <v>0</v>
      </c>
      <c r="E739" s="40">
        <v>0</v>
      </c>
      <c r="F739" s="40">
        <v>0</v>
      </c>
      <c r="G739" s="40">
        <v>0</v>
      </c>
    </row>
    <row r="740" spans="2:7" x14ac:dyDescent="0.2">
      <c r="B740" t="s">
        <v>1915</v>
      </c>
      <c r="C740" s="40">
        <v>0</v>
      </c>
      <c r="D740" s="40">
        <v>0</v>
      </c>
      <c r="E740" s="40">
        <v>0</v>
      </c>
      <c r="F740" s="40">
        <v>0</v>
      </c>
      <c r="G740" s="40">
        <v>0</v>
      </c>
    </row>
    <row r="741" spans="2:7" x14ac:dyDescent="0.2">
      <c r="B741" t="s">
        <v>1916</v>
      </c>
      <c r="C741" s="40">
        <v>0</v>
      </c>
      <c r="D741" s="40">
        <v>0</v>
      </c>
      <c r="E741" s="40">
        <v>0</v>
      </c>
      <c r="F741" s="40">
        <v>0</v>
      </c>
      <c r="G741" s="40">
        <v>0</v>
      </c>
    </row>
    <row r="742" spans="2:7" x14ac:dyDescent="0.2">
      <c r="B742" t="s">
        <v>1917</v>
      </c>
      <c r="C742" s="40">
        <v>0</v>
      </c>
      <c r="D742" s="40">
        <v>0</v>
      </c>
      <c r="E742" s="40">
        <v>0</v>
      </c>
      <c r="F742" s="40">
        <v>0</v>
      </c>
      <c r="G742" s="40">
        <v>0</v>
      </c>
    </row>
    <row r="743" spans="2:7" x14ac:dyDescent="0.2">
      <c r="B743" t="s">
        <v>1918</v>
      </c>
      <c r="C743" s="40">
        <v>0</v>
      </c>
      <c r="D743" s="40">
        <v>0</v>
      </c>
      <c r="E743" s="40">
        <v>0</v>
      </c>
      <c r="F743" s="40">
        <v>0</v>
      </c>
      <c r="G743" s="40">
        <v>0</v>
      </c>
    </row>
    <row r="744" spans="2:7" x14ac:dyDescent="0.2">
      <c r="B744" t="s">
        <v>1919</v>
      </c>
      <c r="C744" s="40">
        <v>0</v>
      </c>
      <c r="D744" s="40">
        <v>0</v>
      </c>
      <c r="E744" s="40">
        <v>0</v>
      </c>
      <c r="F744" s="40">
        <v>0</v>
      </c>
      <c r="G744" s="40">
        <v>0</v>
      </c>
    </row>
    <row r="745" spans="2:7" x14ac:dyDescent="0.2">
      <c r="B745" t="s">
        <v>1920</v>
      </c>
      <c r="C745" s="40">
        <v>0</v>
      </c>
      <c r="D745" s="40">
        <v>0</v>
      </c>
      <c r="E745" s="40">
        <v>0</v>
      </c>
      <c r="F745" s="40">
        <v>0</v>
      </c>
      <c r="G745" s="40">
        <v>0</v>
      </c>
    </row>
    <row r="746" spans="2:7" x14ac:dyDescent="0.2">
      <c r="B746" t="s">
        <v>1921</v>
      </c>
      <c r="C746" s="40">
        <v>0</v>
      </c>
      <c r="D746" s="40">
        <v>0</v>
      </c>
      <c r="E746" s="40">
        <v>0</v>
      </c>
      <c r="F746" s="40">
        <v>0</v>
      </c>
      <c r="G746" s="40">
        <v>0</v>
      </c>
    </row>
    <row r="747" spans="2:7" x14ac:dyDescent="0.2">
      <c r="B747" t="s">
        <v>1922</v>
      </c>
      <c r="C747" s="40">
        <v>0</v>
      </c>
      <c r="D747" s="40">
        <v>0</v>
      </c>
      <c r="E747" s="40">
        <v>0</v>
      </c>
      <c r="F747" s="40">
        <v>0</v>
      </c>
      <c r="G747" s="40">
        <v>0</v>
      </c>
    </row>
    <row r="748" spans="2:7" x14ac:dyDescent="0.2">
      <c r="B748" t="s">
        <v>1923</v>
      </c>
      <c r="C748" s="40">
        <v>0</v>
      </c>
      <c r="D748" s="40">
        <v>0</v>
      </c>
      <c r="E748" s="40">
        <v>0</v>
      </c>
      <c r="F748" s="40">
        <v>0</v>
      </c>
      <c r="G748" s="40">
        <v>0</v>
      </c>
    </row>
    <row r="749" spans="2:7" x14ac:dyDescent="0.2">
      <c r="B749" t="s">
        <v>1924</v>
      </c>
      <c r="C749" s="40">
        <v>0</v>
      </c>
      <c r="D749" s="40">
        <v>0</v>
      </c>
      <c r="E749" s="40">
        <v>0</v>
      </c>
      <c r="F749" s="40">
        <v>0</v>
      </c>
      <c r="G749" s="40">
        <v>0</v>
      </c>
    </row>
    <row r="750" spans="2:7" x14ac:dyDescent="0.2">
      <c r="B750" t="s">
        <v>1925</v>
      </c>
      <c r="C750" s="40">
        <v>0</v>
      </c>
      <c r="D750" s="40">
        <v>0</v>
      </c>
      <c r="E750" s="40">
        <v>0</v>
      </c>
      <c r="F750" s="40">
        <v>0</v>
      </c>
      <c r="G750" s="40">
        <v>0</v>
      </c>
    </row>
    <row r="751" spans="2:7" x14ac:dyDescent="0.2">
      <c r="B751" t="s">
        <v>1926</v>
      </c>
      <c r="C751" s="40">
        <v>0</v>
      </c>
      <c r="D751" s="40">
        <v>0</v>
      </c>
      <c r="E751" s="40">
        <v>0</v>
      </c>
      <c r="F751" s="40">
        <v>0</v>
      </c>
      <c r="G751" s="40">
        <v>0</v>
      </c>
    </row>
    <row r="752" spans="2:7" x14ac:dyDescent="0.2">
      <c r="B752" t="s">
        <v>1927</v>
      </c>
      <c r="C752" s="40">
        <v>0</v>
      </c>
      <c r="D752" s="40">
        <v>0</v>
      </c>
      <c r="E752" s="40">
        <v>0</v>
      </c>
      <c r="F752" s="40">
        <v>0</v>
      </c>
      <c r="G752" s="40">
        <v>0</v>
      </c>
    </row>
    <row r="753" spans="2:7" x14ac:dyDescent="0.2">
      <c r="B753" t="s">
        <v>1928</v>
      </c>
      <c r="C753" s="40">
        <v>0</v>
      </c>
      <c r="D753" s="40">
        <v>0</v>
      </c>
      <c r="E753" s="40">
        <v>0</v>
      </c>
      <c r="F753" s="40">
        <v>0</v>
      </c>
      <c r="G753" s="40">
        <v>0</v>
      </c>
    </row>
    <row r="754" spans="2:7" x14ac:dyDescent="0.2">
      <c r="B754" t="s">
        <v>1929</v>
      </c>
      <c r="C754" s="40">
        <v>0</v>
      </c>
      <c r="D754" s="40">
        <v>0</v>
      </c>
      <c r="E754" s="40">
        <v>0</v>
      </c>
      <c r="F754" s="40">
        <v>0</v>
      </c>
      <c r="G754" s="40">
        <v>0</v>
      </c>
    </row>
    <row r="755" spans="2:7" x14ac:dyDescent="0.2">
      <c r="B755" t="s">
        <v>1930</v>
      </c>
      <c r="C755" s="40">
        <v>0</v>
      </c>
      <c r="D755" s="40">
        <v>0</v>
      </c>
      <c r="E755" s="40">
        <v>0</v>
      </c>
      <c r="F755" s="40">
        <v>0</v>
      </c>
      <c r="G755" s="40">
        <v>0</v>
      </c>
    </row>
    <row r="756" spans="2:7" x14ac:dyDescent="0.2">
      <c r="B756" t="s">
        <v>1931</v>
      </c>
      <c r="C756" s="40">
        <v>0</v>
      </c>
      <c r="D756" s="40">
        <v>0</v>
      </c>
      <c r="E756" s="40">
        <v>0</v>
      </c>
      <c r="F756" s="40">
        <v>0</v>
      </c>
      <c r="G756" s="40">
        <v>0</v>
      </c>
    </row>
    <row r="757" spans="2:7" x14ac:dyDescent="0.2">
      <c r="B757" t="s">
        <v>1932</v>
      </c>
      <c r="C757" s="40">
        <v>0</v>
      </c>
      <c r="D757" s="40">
        <v>0</v>
      </c>
      <c r="E757" s="40">
        <v>0</v>
      </c>
      <c r="F757" s="40">
        <v>0</v>
      </c>
      <c r="G757" s="40">
        <v>0</v>
      </c>
    </row>
    <row r="758" spans="2:7" x14ac:dyDescent="0.2">
      <c r="B758" t="s">
        <v>1933</v>
      </c>
      <c r="C758" s="40">
        <v>0</v>
      </c>
      <c r="D758" s="40">
        <v>0</v>
      </c>
      <c r="E758" s="40">
        <v>0</v>
      </c>
      <c r="F758" s="40">
        <v>0</v>
      </c>
      <c r="G758" s="40">
        <v>0</v>
      </c>
    </row>
    <row r="759" spans="2:7" x14ac:dyDescent="0.2">
      <c r="B759" t="s">
        <v>1934</v>
      </c>
      <c r="C759" s="40">
        <v>0</v>
      </c>
      <c r="D759" s="40">
        <v>0</v>
      </c>
      <c r="E759" s="40">
        <v>0</v>
      </c>
      <c r="F759" s="40">
        <v>0</v>
      </c>
      <c r="G759" s="40">
        <v>0</v>
      </c>
    </row>
    <row r="760" spans="2:7" x14ac:dyDescent="0.2">
      <c r="B760" t="s">
        <v>1935</v>
      </c>
      <c r="C760" s="40">
        <v>0</v>
      </c>
      <c r="D760" s="40">
        <v>0</v>
      </c>
      <c r="E760" s="40">
        <v>0</v>
      </c>
      <c r="F760" s="40">
        <v>0</v>
      </c>
      <c r="G760" s="40">
        <v>0</v>
      </c>
    </row>
    <row r="761" spans="2:7" x14ac:dyDescent="0.2">
      <c r="B761" t="s">
        <v>1936</v>
      </c>
      <c r="C761" s="40">
        <v>0</v>
      </c>
      <c r="D761" s="40">
        <v>0</v>
      </c>
      <c r="E761" s="40">
        <v>0</v>
      </c>
      <c r="F761" s="40">
        <v>0</v>
      </c>
      <c r="G761" s="40">
        <v>0</v>
      </c>
    </row>
    <row r="762" spans="2:7" x14ac:dyDescent="0.2">
      <c r="B762" t="s">
        <v>1937</v>
      </c>
      <c r="C762" s="40">
        <v>0</v>
      </c>
      <c r="D762" s="40">
        <v>0</v>
      </c>
      <c r="E762" s="40">
        <v>0</v>
      </c>
      <c r="F762" s="40">
        <v>0</v>
      </c>
      <c r="G762" s="40">
        <v>0</v>
      </c>
    </row>
    <row r="763" spans="2:7" x14ac:dyDescent="0.2">
      <c r="B763" t="s">
        <v>1938</v>
      </c>
      <c r="C763" s="40">
        <v>0</v>
      </c>
      <c r="D763" s="40">
        <v>0</v>
      </c>
      <c r="E763" s="40">
        <v>0</v>
      </c>
      <c r="F763" s="40">
        <v>0</v>
      </c>
      <c r="G763" s="40">
        <v>0</v>
      </c>
    </row>
    <row r="764" spans="2:7" x14ac:dyDescent="0.2">
      <c r="B764" t="s">
        <v>1939</v>
      </c>
      <c r="C764" s="40">
        <v>0</v>
      </c>
      <c r="D764" s="40">
        <v>0</v>
      </c>
      <c r="E764" s="40">
        <v>0</v>
      </c>
      <c r="F764" s="40">
        <v>0</v>
      </c>
      <c r="G764" s="40">
        <v>0</v>
      </c>
    </row>
    <row r="765" spans="2:7" x14ac:dyDescent="0.2">
      <c r="B765" t="s">
        <v>1940</v>
      </c>
      <c r="C765" s="40">
        <v>0</v>
      </c>
      <c r="D765" s="40">
        <v>0</v>
      </c>
      <c r="E765" s="40">
        <v>0</v>
      </c>
      <c r="F765" s="40">
        <v>0</v>
      </c>
      <c r="G765" s="40">
        <v>0</v>
      </c>
    </row>
    <row r="766" spans="2:7" x14ac:dyDescent="0.2">
      <c r="B766" t="s">
        <v>1941</v>
      </c>
      <c r="C766" s="40">
        <v>0</v>
      </c>
      <c r="D766" s="40">
        <v>0</v>
      </c>
      <c r="E766" s="40">
        <v>0</v>
      </c>
      <c r="F766" s="40">
        <v>0</v>
      </c>
      <c r="G766" s="40">
        <v>0</v>
      </c>
    </row>
    <row r="767" spans="2:7" x14ac:dyDescent="0.2">
      <c r="B767" t="s">
        <v>1942</v>
      </c>
      <c r="C767" s="40">
        <v>0</v>
      </c>
      <c r="D767" s="40">
        <v>0</v>
      </c>
      <c r="E767" s="40">
        <v>0</v>
      </c>
      <c r="F767" s="40">
        <v>0</v>
      </c>
      <c r="G767" s="40">
        <v>0</v>
      </c>
    </row>
    <row r="768" spans="2:7" x14ac:dyDescent="0.2">
      <c r="B768" t="s">
        <v>1943</v>
      </c>
      <c r="C768" s="40">
        <v>0</v>
      </c>
      <c r="D768" s="40">
        <v>0</v>
      </c>
      <c r="E768" s="40">
        <v>0</v>
      </c>
      <c r="F768" s="40">
        <v>0</v>
      </c>
      <c r="G768" s="40">
        <v>0</v>
      </c>
    </row>
    <row r="769" spans="2:7" x14ac:dyDescent="0.2">
      <c r="B769" t="s">
        <v>1944</v>
      </c>
      <c r="C769" s="40">
        <v>0</v>
      </c>
      <c r="D769" s="40">
        <v>0</v>
      </c>
      <c r="E769" s="40">
        <v>0</v>
      </c>
      <c r="F769" s="40">
        <v>0</v>
      </c>
      <c r="G769" s="40">
        <v>0</v>
      </c>
    </row>
    <row r="770" spans="2:7" x14ac:dyDescent="0.2">
      <c r="B770" t="s">
        <v>1945</v>
      </c>
      <c r="C770" s="40">
        <v>0</v>
      </c>
      <c r="D770" s="40">
        <v>0</v>
      </c>
      <c r="E770" s="40">
        <v>0</v>
      </c>
      <c r="F770" s="40">
        <v>0</v>
      </c>
      <c r="G770" s="40">
        <v>0</v>
      </c>
    </row>
    <row r="771" spans="2:7" x14ac:dyDescent="0.2">
      <c r="B771" t="s">
        <v>1946</v>
      </c>
      <c r="C771" s="40">
        <v>0</v>
      </c>
      <c r="D771" s="40">
        <v>0</v>
      </c>
      <c r="E771" s="40">
        <v>0</v>
      </c>
      <c r="F771" s="40">
        <v>0</v>
      </c>
      <c r="G771" s="40">
        <v>0</v>
      </c>
    </row>
    <row r="772" spans="2:7" x14ac:dyDescent="0.2">
      <c r="B772" t="s">
        <v>1947</v>
      </c>
      <c r="C772" s="40">
        <v>0</v>
      </c>
      <c r="D772" s="40">
        <v>0</v>
      </c>
      <c r="E772" s="40">
        <v>0</v>
      </c>
      <c r="F772" s="40">
        <v>0</v>
      </c>
      <c r="G772" s="40">
        <v>0</v>
      </c>
    </row>
    <row r="773" spans="2:7" x14ac:dyDescent="0.2">
      <c r="B773" t="s">
        <v>1948</v>
      </c>
      <c r="C773" s="40">
        <v>0</v>
      </c>
      <c r="D773" s="40">
        <v>0</v>
      </c>
      <c r="E773" s="40">
        <v>0</v>
      </c>
      <c r="F773" s="40">
        <v>0</v>
      </c>
      <c r="G773" s="40">
        <v>0</v>
      </c>
    </row>
    <row r="774" spans="2:7" x14ac:dyDescent="0.2">
      <c r="B774" t="s">
        <v>1949</v>
      </c>
      <c r="C774" s="40">
        <v>0</v>
      </c>
      <c r="D774" s="40">
        <v>0</v>
      </c>
      <c r="E774" s="40">
        <v>0</v>
      </c>
      <c r="F774" s="40">
        <v>0</v>
      </c>
      <c r="G774" s="40">
        <v>0</v>
      </c>
    </row>
    <row r="775" spans="2:7" x14ac:dyDescent="0.2">
      <c r="B775" t="s">
        <v>1950</v>
      </c>
      <c r="C775" s="40">
        <v>0</v>
      </c>
      <c r="D775" s="40">
        <v>0</v>
      </c>
      <c r="E775" s="40">
        <v>0</v>
      </c>
      <c r="F775" s="40">
        <v>0</v>
      </c>
      <c r="G775" s="40">
        <v>0</v>
      </c>
    </row>
    <row r="776" spans="2:7" x14ac:dyDescent="0.2">
      <c r="B776" t="s">
        <v>1951</v>
      </c>
      <c r="C776" s="40">
        <v>0</v>
      </c>
      <c r="D776" s="40">
        <v>0</v>
      </c>
      <c r="E776" s="40">
        <v>0</v>
      </c>
      <c r="F776" s="40">
        <v>0</v>
      </c>
      <c r="G776" s="40">
        <v>0</v>
      </c>
    </row>
    <row r="777" spans="2:7" x14ac:dyDescent="0.2">
      <c r="B777" t="s">
        <v>1952</v>
      </c>
      <c r="C777" s="40">
        <v>0</v>
      </c>
      <c r="D777" s="40">
        <v>0</v>
      </c>
      <c r="E777" s="40">
        <v>0</v>
      </c>
      <c r="F777" s="40">
        <v>0</v>
      </c>
      <c r="G777" s="40">
        <v>0</v>
      </c>
    </row>
    <row r="778" spans="2:7" x14ac:dyDescent="0.2">
      <c r="B778" t="s">
        <v>1953</v>
      </c>
      <c r="C778" s="40">
        <v>0</v>
      </c>
      <c r="D778" s="40">
        <v>0</v>
      </c>
      <c r="E778" s="40">
        <v>0</v>
      </c>
      <c r="F778" s="40">
        <v>0</v>
      </c>
      <c r="G778" s="40">
        <v>0</v>
      </c>
    </row>
    <row r="779" spans="2:7" x14ac:dyDescent="0.2">
      <c r="B779" t="s">
        <v>1954</v>
      </c>
      <c r="C779" s="40">
        <v>0</v>
      </c>
      <c r="D779" s="40">
        <v>0</v>
      </c>
      <c r="E779" s="40">
        <v>0</v>
      </c>
      <c r="F779" s="40">
        <v>0</v>
      </c>
      <c r="G779" s="40">
        <v>0</v>
      </c>
    </row>
    <row r="780" spans="2:7" x14ac:dyDescent="0.2">
      <c r="B780" t="s">
        <v>1955</v>
      </c>
      <c r="C780" s="40">
        <v>0</v>
      </c>
      <c r="D780" s="40">
        <v>0</v>
      </c>
      <c r="E780" s="40">
        <v>0</v>
      </c>
      <c r="F780" s="40">
        <v>0</v>
      </c>
      <c r="G780" s="40">
        <v>0</v>
      </c>
    </row>
    <row r="781" spans="2:7" x14ac:dyDescent="0.2">
      <c r="B781" t="s">
        <v>1956</v>
      </c>
      <c r="C781" s="40">
        <v>0</v>
      </c>
      <c r="D781" s="40">
        <v>0</v>
      </c>
      <c r="E781" s="40">
        <v>0</v>
      </c>
      <c r="F781" s="40">
        <v>0</v>
      </c>
      <c r="G781" s="40">
        <v>0</v>
      </c>
    </row>
    <row r="782" spans="2:7" x14ac:dyDescent="0.2">
      <c r="B782" t="s">
        <v>1957</v>
      </c>
      <c r="C782" s="40">
        <v>0</v>
      </c>
      <c r="D782" s="40">
        <v>0</v>
      </c>
      <c r="E782" s="40">
        <v>0</v>
      </c>
      <c r="F782" s="40">
        <v>0</v>
      </c>
      <c r="G782" s="40">
        <v>0</v>
      </c>
    </row>
    <row r="783" spans="2:7" x14ac:dyDescent="0.2">
      <c r="B783" t="s">
        <v>1958</v>
      </c>
      <c r="C783" s="40">
        <v>0</v>
      </c>
      <c r="D783" s="40">
        <v>0</v>
      </c>
      <c r="E783" s="40">
        <v>0</v>
      </c>
      <c r="F783" s="40">
        <v>0</v>
      </c>
      <c r="G783" s="40">
        <v>0</v>
      </c>
    </row>
    <row r="784" spans="2:7" x14ac:dyDescent="0.2">
      <c r="B784" t="s">
        <v>1959</v>
      </c>
      <c r="C784" s="40">
        <v>0</v>
      </c>
      <c r="D784" s="40">
        <v>0</v>
      </c>
      <c r="E784" s="40">
        <v>0</v>
      </c>
      <c r="F784" s="40">
        <v>0</v>
      </c>
      <c r="G784" s="40">
        <v>0</v>
      </c>
    </row>
    <row r="785" spans="2:7" x14ac:dyDescent="0.2">
      <c r="B785" t="s">
        <v>1960</v>
      </c>
      <c r="C785" s="40">
        <v>0</v>
      </c>
      <c r="D785" s="40">
        <v>0</v>
      </c>
      <c r="E785" s="40">
        <v>0</v>
      </c>
      <c r="F785" s="40">
        <v>0</v>
      </c>
      <c r="G785" s="40">
        <v>0</v>
      </c>
    </row>
    <row r="786" spans="2:7" x14ac:dyDescent="0.2">
      <c r="B786" t="s">
        <v>1961</v>
      </c>
      <c r="C786" s="40">
        <v>0</v>
      </c>
      <c r="D786" s="40">
        <v>0</v>
      </c>
      <c r="E786" s="40">
        <v>0</v>
      </c>
      <c r="F786" s="40">
        <v>0</v>
      </c>
      <c r="G786" s="40">
        <v>0</v>
      </c>
    </row>
    <row r="787" spans="2:7" x14ac:dyDescent="0.2">
      <c r="B787" t="s">
        <v>1962</v>
      </c>
      <c r="C787" s="40">
        <v>0</v>
      </c>
      <c r="D787" s="40">
        <v>0</v>
      </c>
      <c r="E787" s="40">
        <v>0</v>
      </c>
      <c r="F787" s="40">
        <v>0</v>
      </c>
      <c r="G787" s="40">
        <v>0</v>
      </c>
    </row>
    <row r="788" spans="2:7" x14ac:dyDescent="0.2">
      <c r="B788" t="s">
        <v>1963</v>
      </c>
      <c r="C788" s="40">
        <v>0</v>
      </c>
      <c r="D788" s="40">
        <v>0</v>
      </c>
      <c r="E788" s="40">
        <v>0</v>
      </c>
      <c r="F788" s="40">
        <v>0</v>
      </c>
      <c r="G788" s="40">
        <v>0</v>
      </c>
    </row>
    <row r="789" spans="2:7" x14ac:dyDescent="0.2">
      <c r="B789" t="s">
        <v>1964</v>
      </c>
      <c r="C789" s="40">
        <v>0</v>
      </c>
      <c r="D789" s="40">
        <v>0</v>
      </c>
      <c r="E789" s="40">
        <v>0</v>
      </c>
      <c r="F789" s="40">
        <v>0</v>
      </c>
      <c r="G789" s="40">
        <v>0</v>
      </c>
    </row>
    <row r="790" spans="2:7" x14ac:dyDescent="0.2">
      <c r="B790" t="s">
        <v>1965</v>
      </c>
      <c r="C790" s="40">
        <v>0</v>
      </c>
      <c r="D790" s="40">
        <v>0</v>
      </c>
      <c r="E790" s="40">
        <v>0</v>
      </c>
      <c r="F790" s="40">
        <v>0</v>
      </c>
      <c r="G790" s="40">
        <v>0</v>
      </c>
    </row>
    <row r="791" spans="2:7" x14ac:dyDescent="0.2">
      <c r="B791" t="s">
        <v>1966</v>
      </c>
      <c r="C791" s="40">
        <v>0</v>
      </c>
      <c r="D791" s="40">
        <v>0</v>
      </c>
      <c r="E791" s="40">
        <v>0</v>
      </c>
      <c r="F791" s="40">
        <v>0</v>
      </c>
      <c r="G791" s="40">
        <v>0</v>
      </c>
    </row>
    <row r="792" spans="2:7" x14ac:dyDescent="0.2">
      <c r="B792" t="s">
        <v>1967</v>
      </c>
      <c r="C792" s="40">
        <v>0</v>
      </c>
      <c r="D792" s="40">
        <v>0</v>
      </c>
      <c r="E792" s="40">
        <v>0</v>
      </c>
      <c r="F792" s="40">
        <v>0</v>
      </c>
      <c r="G792" s="40">
        <v>0</v>
      </c>
    </row>
    <row r="793" spans="2:7" x14ac:dyDescent="0.2">
      <c r="B793" t="s">
        <v>1968</v>
      </c>
      <c r="C793" s="40">
        <v>0</v>
      </c>
      <c r="D793" s="40">
        <v>0</v>
      </c>
      <c r="E793" s="40">
        <v>0</v>
      </c>
      <c r="F793" s="40">
        <v>0</v>
      </c>
      <c r="G793" s="40">
        <v>0</v>
      </c>
    </row>
    <row r="794" spans="2:7" x14ac:dyDescent="0.2">
      <c r="B794" t="s">
        <v>1969</v>
      </c>
      <c r="C794" s="40">
        <v>0</v>
      </c>
      <c r="D794" s="40">
        <v>0</v>
      </c>
      <c r="E794" s="40">
        <v>0</v>
      </c>
      <c r="F794" s="40">
        <v>0</v>
      </c>
      <c r="G794" s="40">
        <v>0</v>
      </c>
    </row>
    <row r="795" spans="2:7" x14ac:dyDescent="0.2">
      <c r="B795" t="s">
        <v>1970</v>
      </c>
      <c r="C795" s="40">
        <v>0</v>
      </c>
      <c r="D795" s="40">
        <v>0</v>
      </c>
      <c r="E795" s="40">
        <v>0</v>
      </c>
      <c r="F795" s="40">
        <v>0</v>
      </c>
      <c r="G795" s="40">
        <v>0</v>
      </c>
    </row>
    <row r="796" spans="2:7" x14ac:dyDescent="0.2">
      <c r="B796" t="s">
        <v>1971</v>
      </c>
      <c r="C796" s="40">
        <v>0</v>
      </c>
      <c r="D796" s="40">
        <v>0</v>
      </c>
      <c r="E796" s="40">
        <v>0</v>
      </c>
      <c r="F796" s="40">
        <v>0</v>
      </c>
      <c r="G796" s="40">
        <v>0</v>
      </c>
    </row>
    <row r="797" spans="2:7" x14ac:dyDescent="0.2">
      <c r="B797" t="s">
        <v>1972</v>
      </c>
      <c r="C797" s="40">
        <v>0</v>
      </c>
      <c r="D797" s="40">
        <v>0</v>
      </c>
      <c r="E797" s="40">
        <v>0</v>
      </c>
      <c r="F797" s="40">
        <v>0</v>
      </c>
      <c r="G797" s="40">
        <v>0</v>
      </c>
    </row>
    <row r="798" spans="2:7" x14ac:dyDescent="0.2">
      <c r="B798" t="s">
        <v>1973</v>
      </c>
      <c r="C798" s="40">
        <v>0</v>
      </c>
      <c r="D798" s="40">
        <v>0</v>
      </c>
      <c r="E798" s="40">
        <v>0</v>
      </c>
      <c r="F798" s="40">
        <v>0</v>
      </c>
      <c r="G798" s="40">
        <v>0</v>
      </c>
    </row>
    <row r="799" spans="2:7" x14ac:dyDescent="0.2">
      <c r="B799" t="s">
        <v>1974</v>
      </c>
      <c r="C799" s="40">
        <v>0</v>
      </c>
      <c r="D799" s="40">
        <v>0</v>
      </c>
      <c r="E799" s="40">
        <v>0</v>
      </c>
      <c r="F799" s="40">
        <v>0</v>
      </c>
      <c r="G799" s="40">
        <v>0</v>
      </c>
    </row>
    <row r="800" spans="2:7" x14ac:dyDescent="0.2">
      <c r="B800" t="s">
        <v>1975</v>
      </c>
      <c r="C800" s="40">
        <v>0</v>
      </c>
      <c r="D800" s="40">
        <v>0</v>
      </c>
      <c r="E800" s="40">
        <v>0</v>
      </c>
      <c r="F800" s="40">
        <v>0</v>
      </c>
      <c r="G800" s="40">
        <v>0</v>
      </c>
    </row>
    <row r="801" spans="2:7" x14ac:dyDescent="0.2">
      <c r="B801" t="s">
        <v>1976</v>
      </c>
      <c r="C801" s="40">
        <v>0</v>
      </c>
      <c r="D801" s="40">
        <v>0</v>
      </c>
      <c r="E801" s="40">
        <v>0</v>
      </c>
      <c r="F801" s="40">
        <v>0</v>
      </c>
      <c r="G801" s="40">
        <v>0</v>
      </c>
    </row>
    <row r="802" spans="2:7" x14ac:dyDescent="0.2">
      <c r="B802" t="s">
        <v>1977</v>
      </c>
      <c r="C802" s="40">
        <v>0</v>
      </c>
      <c r="D802" s="40">
        <v>0</v>
      </c>
      <c r="E802" s="40">
        <v>0</v>
      </c>
      <c r="F802" s="40">
        <v>0</v>
      </c>
      <c r="G802" s="40">
        <v>0</v>
      </c>
    </row>
    <row r="803" spans="2:7" x14ac:dyDescent="0.2">
      <c r="B803" t="s">
        <v>1978</v>
      </c>
      <c r="C803" s="40">
        <v>0</v>
      </c>
      <c r="D803" s="40">
        <v>0</v>
      </c>
      <c r="E803" s="40">
        <v>0</v>
      </c>
      <c r="F803" s="40">
        <v>0</v>
      </c>
      <c r="G803" s="40">
        <v>0</v>
      </c>
    </row>
    <row r="804" spans="2:7" x14ac:dyDescent="0.2">
      <c r="B804" t="s">
        <v>1979</v>
      </c>
      <c r="C804" s="40">
        <v>0</v>
      </c>
      <c r="D804" s="40">
        <v>0</v>
      </c>
      <c r="E804" s="40">
        <v>0</v>
      </c>
      <c r="F804" s="40">
        <v>0</v>
      </c>
      <c r="G804" s="40">
        <v>0</v>
      </c>
    </row>
    <row r="805" spans="2:7" x14ac:dyDescent="0.2">
      <c r="B805" t="s">
        <v>1980</v>
      </c>
      <c r="C805" s="40">
        <v>0</v>
      </c>
      <c r="D805" s="40">
        <v>0</v>
      </c>
      <c r="E805" s="40">
        <v>0</v>
      </c>
      <c r="F805" s="40">
        <v>0</v>
      </c>
      <c r="G805" s="40">
        <v>0</v>
      </c>
    </row>
    <row r="806" spans="2:7" x14ac:dyDescent="0.2">
      <c r="B806" t="s">
        <v>1981</v>
      </c>
      <c r="C806" s="40">
        <v>0</v>
      </c>
      <c r="D806" s="40">
        <v>0</v>
      </c>
      <c r="E806" s="40">
        <v>0</v>
      </c>
      <c r="F806" s="40">
        <v>0</v>
      </c>
      <c r="G806" s="40">
        <v>0</v>
      </c>
    </row>
    <row r="807" spans="2:7" x14ac:dyDescent="0.2">
      <c r="B807" t="s">
        <v>1982</v>
      </c>
      <c r="C807" s="40">
        <v>0</v>
      </c>
      <c r="D807" s="40">
        <v>0</v>
      </c>
      <c r="E807" s="40">
        <v>0</v>
      </c>
      <c r="F807" s="40">
        <v>0</v>
      </c>
      <c r="G807" s="40">
        <v>0</v>
      </c>
    </row>
    <row r="808" spans="2:7" x14ac:dyDescent="0.2">
      <c r="B808" t="s">
        <v>1983</v>
      </c>
      <c r="C808" s="40">
        <v>0</v>
      </c>
      <c r="D808" s="40">
        <v>0</v>
      </c>
      <c r="E808" s="40">
        <v>0</v>
      </c>
      <c r="F808" s="40">
        <v>0</v>
      </c>
      <c r="G808" s="40">
        <v>0</v>
      </c>
    </row>
    <row r="809" spans="2:7" x14ac:dyDescent="0.2">
      <c r="B809" t="s">
        <v>1984</v>
      </c>
      <c r="C809" s="40">
        <v>0</v>
      </c>
      <c r="D809" s="40">
        <v>0</v>
      </c>
      <c r="E809" s="40">
        <v>0</v>
      </c>
      <c r="F809" s="40">
        <v>0</v>
      </c>
      <c r="G809" s="40">
        <v>0</v>
      </c>
    </row>
    <row r="810" spans="2:7" x14ac:dyDescent="0.2">
      <c r="B810" t="s">
        <v>1985</v>
      </c>
      <c r="C810" s="40">
        <v>0</v>
      </c>
      <c r="D810" s="40">
        <v>0</v>
      </c>
      <c r="E810" s="40">
        <v>0</v>
      </c>
      <c r="F810" s="40">
        <v>0</v>
      </c>
      <c r="G810" s="40">
        <v>0</v>
      </c>
    </row>
    <row r="811" spans="2:7" x14ac:dyDescent="0.2">
      <c r="B811" t="s">
        <v>1986</v>
      </c>
      <c r="C811" s="40">
        <v>0</v>
      </c>
      <c r="D811" s="40">
        <v>0</v>
      </c>
      <c r="E811" s="40">
        <v>0</v>
      </c>
      <c r="F811" s="40">
        <v>0</v>
      </c>
      <c r="G811" s="40">
        <v>0</v>
      </c>
    </row>
    <row r="812" spans="2:7" x14ac:dyDescent="0.2">
      <c r="B812" t="s">
        <v>1987</v>
      </c>
      <c r="C812" s="40">
        <v>0</v>
      </c>
      <c r="D812" s="40">
        <v>0</v>
      </c>
      <c r="E812" s="40">
        <v>0</v>
      </c>
      <c r="F812" s="40">
        <v>0</v>
      </c>
      <c r="G812" s="40">
        <v>0</v>
      </c>
    </row>
    <row r="813" spans="2:7" x14ac:dyDescent="0.2">
      <c r="B813" t="s">
        <v>1988</v>
      </c>
      <c r="C813" s="40">
        <v>0</v>
      </c>
      <c r="D813" s="40">
        <v>0</v>
      </c>
      <c r="E813" s="40">
        <v>0</v>
      </c>
      <c r="F813" s="40">
        <v>0</v>
      </c>
      <c r="G813" s="40">
        <v>0</v>
      </c>
    </row>
    <row r="814" spans="2:7" x14ac:dyDescent="0.2">
      <c r="B814" t="s">
        <v>1989</v>
      </c>
      <c r="C814" s="40">
        <v>0</v>
      </c>
      <c r="D814" s="40">
        <v>0</v>
      </c>
      <c r="E814" s="40">
        <v>0</v>
      </c>
      <c r="F814" s="40">
        <v>0</v>
      </c>
      <c r="G814" s="40">
        <v>0</v>
      </c>
    </row>
    <row r="815" spans="2:7" x14ac:dyDescent="0.2">
      <c r="B815" t="s">
        <v>1990</v>
      </c>
      <c r="C815" s="40">
        <v>0</v>
      </c>
      <c r="D815" s="40">
        <v>0</v>
      </c>
      <c r="E815" s="40">
        <v>0</v>
      </c>
      <c r="F815" s="40">
        <v>0</v>
      </c>
      <c r="G815" s="40">
        <v>0</v>
      </c>
    </row>
    <row r="816" spans="2:7" x14ac:dyDescent="0.2">
      <c r="B816" t="s">
        <v>1991</v>
      </c>
      <c r="C816" s="40">
        <v>0</v>
      </c>
      <c r="D816" s="40">
        <v>0</v>
      </c>
      <c r="E816" s="40">
        <v>0</v>
      </c>
      <c r="F816" s="40">
        <v>0</v>
      </c>
      <c r="G816" s="40">
        <v>0</v>
      </c>
    </row>
    <row r="817" spans="2:7" x14ac:dyDescent="0.2">
      <c r="B817" t="s">
        <v>1992</v>
      </c>
      <c r="C817" s="40">
        <v>0</v>
      </c>
      <c r="D817" s="40">
        <v>0</v>
      </c>
      <c r="E817" s="40">
        <v>0</v>
      </c>
      <c r="F817" s="40">
        <v>0</v>
      </c>
      <c r="G817" s="40">
        <v>0</v>
      </c>
    </row>
    <row r="818" spans="2:7" x14ac:dyDescent="0.2">
      <c r="B818" t="s">
        <v>1993</v>
      </c>
      <c r="C818" s="40">
        <v>0</v>
      </c>
      <c r="D818" s="40">
        <v>0</v>
      </c>
      <c r="E818" s="40">
        <v>0</v>
      </c>
      <c r="F818" s="40">
        <v>0</v>
      </c>
      <c r="G818" s="40">
        <v>0</v>
      </c>
    </row>
    <row r="819" spans="2:7" x14ac:dyDescent="0.2">
      <c r="B819" t="s">
        <v>1994</v>
      </c>
      <c r="C819" s="40">
        <v>0</v>
      </c>
      <c r="D819" s="40">
        <v>0</v>
      </c>
      <c r="E819" s="40">
        <v>0</v>
      </c>
      <c r="F819" s="40">
        <v>0</v>
      </c>
      <c r="G819" s="40">
        <v>0</v>
      </c>
    </row>
    <row r="820" spans="2:7" x14ac:dyDescent="0.2">
      <c r="B820" t="s">
        <v>1995</v>
      </c>
      <c r="C820" s="40">
        <v>0</v>
      </c>
      <c r="D820" s="40">
        <v>0</v>
      </c>
      <c r="E820" s="40">
        <v>0</v>
      </c>
      <c r="F820" s="40">
        <v>0</v>
      </c>
      <c r="G820" s="40">
        <v>0</v>
      </c>
    </row>
    <row r="821" spans="2:7" x14ac:dyDescent="0.2">
      <c r="B821" t="s">
        <v>1996</v>
      </c>
      <c r="C821" s="40">
        <v>0</v>
      </c>
      <c r="D821" s="40">
        <v>0</v>
      </c>
      <c r="E821" s="40">
        <v>0</v>
      </c>
      <c r="F821" s="40">
        <v>0</v>
      </c>
      <c r="G821" s="40">
        <v>0</v>
      </c>
    </row>
    <row r="822" spans="2:7" x14ac:dyDescent="0.2">
      <c r="B822" t="s">
        <v>1997</v>
      </c>
      <c r="C822" s="40">
        <v>0</v>
      </c>
      <c r="D822" s="40">
        <v>0</v>
      </c>
      <c r="E822" s="40">
        <v>0</v>
      </c>
      <c r="F822" s="40">
        <v>0</v>
      </c>
      <c r="G822" s="40">
        <v>0</v>
      </c>
    </row>
    <row r="823" spans="2:7" x14ac:dyDescent="0.2">
      <c r="B823" t="s">
        <v>1998</v>
      </c>
      <c r="C823" s="40">
        <v>0</v>
      </c>
      <c r="D823" s="40">
        <v>0</v>
      </c>
      <c r="E823" s="40">
        <v>0</v>
      </c>
      <c r="F823" s="40">
        <v>0</v>
      </c>
      <c r="G823" s="40">
        <v>0</v>
      </c>
    </row>
    <row r="824" spans="2:7" x14ac:dyDescent="0.2">
      <c r="B824" t="s">
        <v>1999</v>
      </c>
      <c r="C824" s="40">
        <v>0</v>
      </c>
      <c r="D824" s="40">
        <v>0</v>
      </c>
      <c r="E824" s="40">
        <v>0</v>
      </c>
      <c r="F824" s="40">
        <v>0</v>
      </c>
      <c r="G824" s="40">
        <v>0</v>
      </c>
    </row>
    <row r="825" spans="2:7" x14ac:dyDescent="0.2">
      <c r="B825" t="s">
        <v>2000</v>
      </c>
      <c r="C825" s="40">
        <v>0</v>
      </c>
      <c r="D825" s="40">
        <v>0</v>
      </c>
      <c r="E825" s="40">
        <v>0</v>
      </c>
      <c r="F825" s="40">
        <v>0</v>
      </c>
      <c r="G825" s="40">
        <v>0</v>
      </c>
    </row>
    <row r="826" spans="2:7" x14ac:dyDescent="0.2">
      <c r="B826" t="s">
        <v>2001</v>
      </c>
      <c r="C826" s="40">
        <v>0</v>
      </c>
      <c r="D826" s="40">
        <v>0</v>
      </c>
      <c r="E826" s="40">
        <v>0</v>
      </c>
      <c r="F826" s="40">
        <v>0</v>
      </c>
      <c r="G826" s="40">
        <v>0</v>
      </c>
    </row>
    <row r="827" spans="2:7" x14ac:dyDescent="0.2">
      <c r="B827" t="s">
        <v>2002</v>
      </c>
      <c r="C827" s="40">
        <v>0</v>
      </c>
      <c r="D827" s="40">
        <v>0</v>
      </c>
      <c r="E827" s="40">
        <v>0</v>
      </c>
      <c r="F827" s="40">
        <v>0</v>
      </c>
      <c r="G827" s="40">
        <v>0</v>
      </c>
    </row>
    <row r="828" spans="2:7" x14ac:dyDescent="0.2">
      <c r="B828" t="s">
        <v>2003</v>
      </c>
      <c r="C828" s="40">
        <v>0</v>
      </c>
      <c r="D828" s="40">
        <v>0</v>
      </c>
      <c r="E828" s="40">
        <v>0</v>
      </c>
      <c r="F828" s="40">
        <v>0</v>
      </c>
      <c r="G828" s="40">
        <v>0</v>
      </c>
    </row>
    <row r="829" spans="2:7" x14ac:dyDescent="0.2">
      <c r="B829" t="s">
        <v>2004</v>
      </c>
      <c r="C829" s="40">
        <v>0</v>
      </c>
      <c r="D829" s="40">
        <v>0</v>
      </c>
      <c r="E829" s="40">
        <v>0</v>
      </c>
      <c r="F829" s="40">
        <v>0</v>
      </c>
      <c r="G829" s="40">
        <v>0</v>
      </c>
    </row>
    <row r="830" spans="2:7" x14ac:dyDescent="0.2">
      <c r="B830" t="s">
        <v>2005</v>
      </c>
      <c r="C830" s="40">
        <v>0</v>
      </c>
      <c r="D830" s="40">
        <v>0</v>
      </c>
      <c r="E830" s="40">
        <v>0</v>
      </c>
      <c r="F830" s="40">
        <v>0</v>
      </c>
      <c r="G830" s="40">
        <v>0</v>
      </c>
    </row>
    <row r="831" spans="2:7" x14ac:dyDescent="0.2">
      <c r="B831" t="s">
        <v>2006</v>
      </c>
      <c r="C831" s="40">
        <v>0</v>
      </c>
      <c r="D831" s="40">
        <v>0</v>
      </c>
      <c r="E831" s="40">
        <v>0</v>
      </c>
      <c r="F831" s="40">
        <v>0</v>
      </c>
      <c r="G831" s="40">
        <v>0</v>
      </c>
    </row>
    <row r="832" spans="2:7" x14ac:dyDescent="0.2">
      <c r="B832" t="s">
        <v>2007</v>
      </c>
      <c r="C832" s="40">
        <v>0</v>
      </c>
      <c r="D832" s="40">
        <v>0</v>
      </c>
      <c r="E832" s="40">
        <v>0</v>
      </c>
      <c r="F832" s="40">
        <v>0</v>
      </c>
      <c r="G832" s="40">
        <v>0</v>
      </c>
    </row>
    <row r="833" spans="2:7" x14ac:dyDescent="0.2">
      <c r="B833" t="s">
        <v>2008</v>
      </c>
      <c r="C833" s="40">
        <v>0</v>
      </c>
      <c r="D833" s="40">
        <v>0</v>
      </c>
      <c r="E833" s="40">
        <v>0</v>
      </c>
      <c r="F833" s="40">
        <v>0</v>
      </c>
      <c r="G833" s="40">
        <v>0</v>
      </c>
    </row>
    <row r="834" spans="2:7" x14ac:dyDescent="0.2">
      <c r="B834" t="s">
        <v>2009</v>
      </c>
      <c r="C834" s="40">
        <v>0</v>
      </c>
      <c r="D834" s="40">
        <v>0</v>
      </c>
      <c r="E834" s="40">
        <v>0</v>
      </c>
      <c r="F834" s="40">
        <v>0</v>
      </c>
      <c r="G834" s="40">
        <v>0</v>
      </c>
    </row>
    <row r="835" spans="2:7" x14ac:dyDescent="0.2">
      <c r="B835" t="s">
        <v>2010</v>
      </c>
      <c r="C835" s="40">
        <v>0</v>
      </c>
      <c r="D835" s="40">
        <v>0</v>
      </c>
      <c r="E835" s="40">
        <v>0</v>
      </c>
      <c r="F835" s="40">
        <v>0</v>
      </c>
      <c r="G835" s="40">
        <v>0</v>
      </c>
    </row>
    <row r="836" spans="2:7" x14ac:dyDescent="0.2">
      <c r="B836" t="s">
        <v>2011</v>
      </c>
      <c r="C836" s="40">
        <v>0</v>
      </c>
      <c r="D836" s="40">
        <v>0</v>
      </c>
      <c r="E836" s="40">
        <v>0</v>
      </c>
      <c r="F836" s="40">
        <v>0</v>
      </c>
      <c r="G836" s="40">
        <v>0</v>
      </c>
    </row>
    <row r="837" spans="2:7" x14ac:dyDescent="0.2">
      <c r="B837" t="s">
        <v>2012</v>
      </c>
      <c r="C837" s="40">
        <v>0</v>
      </c>
      <c r="D837" s="40">
        <v>0</v>
      </c>
      <c r="E837" s="40">
        <v>0</v>
      </c>
      <c r="F837" s="40">
        <v>0</v>
      </c>
      <c r="G837" s="40">
        <v>0</v>
      </c>
    </row>
    <row r="838" spans="2:7" x14ac:dyDescent="0.2">
      <c r="B838" t="s">
        <v>2013</v>
      </c>
      <c r="C838" s="40">
        <v>0</v>
      </c>
      <c r="D838" s="40">
        <v>0</v>
      </c>
      <c r="E838" s="40">
        <v>0</v>
      </c>
      <c r="F838" s="40">
        <v>0</v>
      </c>
      <c r="G838" s="40">
        <v>0</v>
      </c>
    </row>
    <row r="839" spans="2:7" x14ac:dyDescent="0.2">
      <c r="B839" t="s">
        <v>2014</v>
      </c>
      <c r="C839" s="40">
        <v>0</v>
      </c>
      <c r="D839" s="40">
        <v>0</v>
      </c>
      <c r="E839" s="40">
        <v>0</v>
      </c>
      <c r="F839" s="40">
        <v>0</v>
      </c>
      <c r="G839" s="40">
        <v>0</v>
      </c>
    </row>
    <row r="840" spans="2:7" x14ac:dyDescent="0.2">
      <c r="B840" t="s">
        <v>2015</v>
      </c>
      <c r="C840" s="40">
        <v>0</v>
      </c>
      <c r="D840" s="40">
        <v>0</v>
      </c>
      <c r="E840" s="40">
        <v>0</v>
      </c>
      <c r="F840" s="40">
        <v>0</v>
      </c>
      <c r="G840" s="40">
        <v>0</v>
      </c>
    </row>
    <row r="841" spans="2:7" x14ac:dyDescent="0.2">
      <c r="B841" t="s">
        <v>2016</v>
      </c>
      <c r="C841" s="40">
        <v>0</v>
      </c>
      <c r="D841" s="40">
        <v>0</v>
      </c>
      <c r="E841" s="40">
        <v>0</v>
      </c>
      <c r="F841" s="40">
        <v>0</v>
      </c>
      <c r="G841" s="40">
        <v>0</v>
      </c>
    </row>
    <row r="842" spans="2:7" x14ac:dyDescent="0.2">
      <c r="B842" t="s">
        <v>2017</v>
      </c>
      <c r="C842" s="40">
        <v>0</v>
      </c>
      <c r="D842" s="40">
        <v>0</v>
      </c>
      <c r="E842" s="40">
        <v>0</v>
      </c>
      <c r="F842" s="40">
        <v>0</v>
      </c>
      <c r="G842" s="40">
        <v>0</v>
      </c>
    </row>
    <row r="843" spans="2:7" x14ac:dyDescent="0.2">
      <c r="B843" t="s">
        <v>2018</v>
      </c>
      <c r="C843" s="40">
        <v>0</v>
      </c>
      <c r="D843" s="40">
        <v>0</v>
      </c>
      <c r="E843" s="40">
        <v>0</v>
      </c>
      <c r="F843" s="40">
        <v>0</v>
      </c>
      <c r="G843" s="40">
        <v>0</v>
      </c>
    </row>
    <row r="844" spans="2:7" x14ac:dyDescent="0.2">
      <c r="B844" t="s">
        <v>2019</v>
      </c>
      <c r="C844" s="40">
        <v>0</v>
      </c>
      <c r="D844" s="40">
        <v>0</v>
      </c>
      <c r="E844" s="40">
        <v>0</v>
      </c>
      <c r="F844" s="40">
        <v>0</v>
      </c>
      <c r="G844" s="40">
        <v>0</v>
      </c>
    </row>
    <row r="845" spans="2:7" x14ac:dyDescent="0.2">
      <c r="B845" t="s">
        <v>2020</v>
      </c>
      <c r="C845" s="40">
        <v>0</v>
      </c>
      <c r="D845" s="40">
        <v>0</v>
      </c>
      <c r="E845" s="40">
        <v>0</v>
      </c>
      <c r="F845" s="40">
        <v>0</v>
      </c>
      <c r="G845" s="40">
        <v>0</v>
      </c>
    </row>
    <row r="846" spans="2:7" x14ac:dyDescent="0.2">
      <c r="B846" t="s">
        <v>2021</v>
      </c>
      <c r="C846" s="40">
        <v>0</v>
      </c>
      <c r="D846" s="40">
        <v>0</v>
      </c>
      <c r="E846" s="40">
        <v>0</v>
      </c>
      <c r="F846" s="40">
        <v>0</v>
      </c>
      <c r="G846" s="40">
        <v>0</v>
      </c>
    </row>
    <row r="847" spans="2:7" x14ac:dyDescent="0.2">
      <c r="B847" t="s">
        <v>2022</v>
      </c>
      <c r="C847" s="40">
        <v>0</v>
      </c>
      <c r="D847" s="40">
        <v>0</v>
      </c>
      <c r="E847" s="40">
        <v>0</v>
      </c>
      <c r="F847" s="40">
        <v>0</v>
      </c>
      <c r="G847" s="40">
        <v>0</v>
      </c>
    </row>
    <row r="848" spans="2:7" x14ac:dyDescent="0.2">
      <c r="B848" t="s">
        <v>2023</v>
      </c>
      <c r="C848" s="40">
        <v>0</v>
      </c>
      <c r="D848" s="40">
        <v>0</v>
      </c>
      <c r="E848" s="40">
        <v>0</v>
      </c>
      <c r="F848" s="40">
        <v>0</v>
      </c>
      <c r="G848" s="40">
        <v>0</v>
      </c>
    </row>
    <row r="849" spans="2:7" x14ac:dyDescent="0.2">
      <c r="B849" t="s">
        <v>2024</v>
      </c>
      <c r="C849" s="40">
        <v>0</v>
      </c>
      <c r="D849" s="40">
        <v>0</v>
      </c>
      <c r="E849" s="40">
        <v>0</v>
      </c>
      <c r="F849" s="40">
        <v>0</v>
      </c>
      <c r="G849" s="40">
        <v>0</v>
      </c>
    </row>
    <row r="850" spans="2:7" x14ac:dyDescent="0.2">
      <c r="B850" t="s">
        <v>2025</v>
      </c>
      <c r="C850" s="40">
        <v>0</v>
      </c>
      <c r="D850" s="40">
        <v>0</v>
      </c>
      <c r="E850" s="40">
        <v>0</v>
      </c>
      <c r="F850" s="40">
        <v>0</v>
      </c>
      <c r="G850" s="40">
        <v>0</v>
      </c>
    </row>
    <row r="851" spans="2:7" x14ac:dyDescent="0.2">
      <c r="B851" t="s">
        <v>2026</v>
      </c>
      <c r="C851" s="40">
        <v>0</v>
      </c>
      <c r="D851" s="40">
        <v>0</v>
      </c>
      <c r="E851" s="40">
        <v>0</v>
      </c>
      <c r="F851" s="40">
        <v>0</v>
      </c>
      <c r="G851" s="40">
        <v>0</v>
      </c>
    </row>
    <row r="852" spans="2:7" x14ac:dyDescent="0.2">
      <c r="B852" t="s">
        <v>2027</v>
      </c>
      <c r="C852" s="40">
        <v>0</v>
      </c>
      <c r="D852" s="40">
        <v>0</v>
      </c>
      <c r="E852" s="40">
        <v>0</v>
      </c>
      <c r="F852" s="40">
        <v>0</v>
      </c>
      <c r="G852" s="40">
        <v>0</v>
      </c>
    </row>
    <row r="853" spans="2:7" x14ac:dyDescent="0.2">
      <c r="B853" t="s">
        <v>2028</v>
      </c>
      <c r="C853" s="40">
        <v>0</v>
      </c>
      <c r="D853" s="40">
        <v>0</v>
      </c>
      <c r="E853" s="40">
        <v>0</v>
      </c>
      <c r="F853" s="40">
        <v>0</v>
      </c>
      <c r="G853" s="40">
        <v>0</v>
      </c>
    </row>
    <row r="854" spans="2:7" x14ac:dyDescent="0.2">
      <c r="B854" t="s">
        <v>2029</v>
      </c>
      <c r="C854" s="40">
        <v>0</v>
      </c>
      <c r="D854" s="40">
        <v>0</v>
      </c>
      <c r="E854" s="40">
        <v>0</v>
      </c>
      <c r="F854" s="40">
        <v>0</v>
      </c>
      <c r="G854" s="40">
        <v>0</v>
      </c>
    </row>
    <row r="855" spans="2:7" x14ac:dyDescent="0.2">
      <c r="B855" t="s">
        <v>2030</v>
      </c>
      <c r="C855" s="40">
        <v>0</v>
      </c>
      <c r="D855" s="40">
        <v>0</v>
      </c>
      <c r="E855" s="40">
        <v>0</v>
      </c>
      <c r="F855" s="40">
        <v>0</v>
      </c>
      <c r="G855" s="40">
        <v>0</v>
      </c>
    </row>
    <row r="856" spans="2:7" x14ac:dyDescent="0.2">
      <c r="B856" t="s">
        <v>2031</v>
      </c>
      <c r="C856" s="40">
        <v>0</v>
      </c>
      <c r="D856" s="40">
        <v>0</v>
      </c>
      <c r="E856" s="40">
        <v>0</v>
      </c>
      <c r="F856" s="40">
        <v>0</v>
      </c>
      <c r="G856" s="40">
        <v>0</v>
      </c>
    </row>
    <row r="857" spans="2:7" x14ac:dyDescent="0.2">
      <c r="B857" t="s">
        <v>2032</v>
      </c>
      <c r="C857" s="40">
        <v>0</v>
      </c>
      <c r="D857" s="40">
        <v>0</v>
      </c>
      <c r="E857" s="40">
        <v>0</v>
      </c>
      <c r="F857" s="40">
        <v>0</v>
      </c>
      <c r="G857" s="40">
        <v>0</v>
      </c>
    </row>
    <row r="858" spans="2:7" x14ac:dyDescent="0.2">
      <c r="B858" t="s">
        <v>2033</v>
      </c>
      <c r="C858" s="40">
        <v>0</v>
      </c>
      <c r="D858" s="40">
        <v>0</v>
      </c>
      <c r="E858" s="40">
        <v>0</v>
      </c>
      <c r="F858" s="40">
        <v>0</v>
      </c>
      <c r="G858" s="40">
        <v>0</v>
      </c>
    </row>
    <row r="859" spans="2:7" x14ac:dyDescent="0.2">
      <c r="B859" t="s">
        <v>2034</v>
      </c>
      <c r="C859" s="40">
        <v>0</v>
      </c>
      <c r="D859" s="40">
        <v>0</v>
      </c>
      <c r="E859" s="40">
        <v>0</v>
      </c>
      <c r="F859" s="40">
        <v>0</v>
      </c>
      <c r="G859" s="40">
        <v>0</v>
      </c>
    </row>
    <row r="860" spans="2:7" x14ac:dyDescent="0.2">
      <c r="B860" t="s">
        <v>2035</v>
      </c>
      <c r="C860" s="40">
        <v>0</v>
      </c>
      <c r="D860" s="40">
        <v>0</v>
      </c>
      <c r="E860" s="40">
        <v>0</v>
      </c>
      <c r="F860" s="40">
        <v>0</v>
      </c>
      <c r="G860" s="40">
        <v>0</v>
      </c>
    </row>
    <row r="861" spans="2:7" x14ac:dyDescent="0.2">
      <c r="B861" t="s">
        <v>2036</v>
      </c>
      <c r="C861" s="40">
        <v>0</v>
      </c>
      <c r="D861" s="40">
        <v>0</v>
      </c>
      <c r="E861" s="40">
        <v>0</v>
      </c>
      <c r="F861" s="40">
        <v>0</v>
      </c>
      <c r="G861" s="40">
        <v>0</v>
      </c>
    </row>
    <row r="862" spans="2:7" x14ac:dyDescent="0.2">
      <c r="B862" t="s">
        <v>2037</v>
      </c>
      <c r="C862" s="40">
        <v>0</v>
      </c>
      <c r="D862" s="40">
        <v>0</v>
      </c>
      <c r="E862" s="40">
        <v>0</v>
      </c>
      <c r="F862" s="40">
        <v>0</v>
      </c>
      <c r="G862" s="40">
        <v>0</v>
      </c>
    </row>
    <row r="863" spans="2:7" x14ac:dyDescent="0.2">
      <c r="B863" t="s">
        <v>2038</v>
      </c>
      <c r="C863" s="40">
        <v>0</v>
      </c>
      <c r="D863" s="40">
        <v>0</v>
      </c>
      <c r="E863" s="40">
        <v>0</v>
      </c>
      <c r="F863" s="40">
        <v>0</v>
      </c>
      <c r="G863" s="40">
        <v>0</v>
      </c>
    </row>
    <row r="864" spans="2:7" x14ac:dyDescent="0.2">
      <c r="B864" t="s">
        <v>2039</v>
      </c>
      <c r="C864" s="40">
        <v>0</v>
      </c>
      <c r="D864" s="40">
        <v>0</v>
      </c>
      <c r="E864" s="40">
        <v>0</v>
      </c>
      <c r="F864" s="40">
        <v>0</v>
      </c>
      <c r="G864" s="40">
        <v>0</v>
      </c>
    </row>
    <row r="865" spans="2:7" x14ac:dyDescent="0.2">
      <c r="B865" t="s">
        <v>2040</v>
      </c>
      <c r="C865" s="40">
        <v>0</v>
      </c>
      <c r="D865" s="40">
        <v>0</v>
      </c>
      <c r="E865" s="40">
        <v>0</v>
      </c>
      <c r="F865" s="40">
        <v>0</v>
      </c>
      <c r="G865" s="40">
        <v>0</v>
      </c>
    </row>
    <row r="866" spans="2:7" x14ac:dyDescent="0.2">
      <c r="B866" t="s">
        <v>2041</v>
      </c>
      <c r="C866" s="40">
        <v>0</v>
      </c>
      <c r="D866" s="40">
        <v>0</v>
      </c>
      <c r="E866" s="40">
        <v>0</v>
      </c>
      <c r="F866" s="40">
        <v>0</v>
      </c>
      <c r="G866" s="40">
        <v>0</v>
      </c>
    </row>
    <row r="867" spans="2:7" x14ac:dyDescent="0.2">
      <c r="B867" t="s">
        <v>2042</v>
      </c>
      <c r="C867" s="40">
        <v>0</v>
      </c>
      <c r="D867" s="40">
        <v>0</v>
      </c>
      <c r="E867" s="40">
        <v>0</v>
      </c>
      <c r="F867" s="40">
        <v>0</v>
      </c>
      <c r="G867" s="40">
        <v>0</v>
      </c>
    </row>
    <row r="868" spans="2:7" x14ac:dyDescent="0.2">
      <c r="B868" t="s">
        <v>2043</v>
      </c>
      <c r="C868" s="40">
        <v>0</v>
      </c>
      <c r="D868" s="40">
        <v>0</v>
      </c>
      <c r="E868" s="40">
        <v>0</v>
      </c>
      <c r="F868" s="40">
        <v>0</v>
      </c>
      <c r="G868" s="40">
        <v>0</v>
      </c>
    </row>
    <row r="869" spans="2:7" x14ac:dyDescent="0.2">
      <c r="B869" t="s">
        <v>2044</v>
      </c>
      <c r="C869" s="40">
        <v>0</v>
      </c>
      <c r="D869" s="40">
        <v>0</v>
      </c>
      <c r="E869" s="40">
        <v>0</v>
      </c>
      <c r="F869" s="40">
        <v>0</v>
      </c>
      <c r="G869" s="40">
        <v>0</v>
      </c>
    </row>
    <row r="870" spans="2:7" x14ac:dyDescent="0.2">
      <c r="B870" t="s">
        <v>2045</v>
      </c>
      <c r="C870" s="40">
        <v>0</v>
      </c>
      <c r="D870" s="40">
        <v>0</v>
      </c>
      <c r="E870" s="40">
        <v>0</v>
      </c>
      <c r="F870" s="40">
        <v>0</v>
      </c>
      <c r="G870" s="40">
        <v>0</v>
      </c>
    </row>
    <row r="871" spans="2:7" x14ac:dyDescent="0.2">
      <c r="B871" t="s">
        <v>2046</v>
      </c>
      <c r="C871" s="40">
        <v>0</v>
      </c>
      <c r="D871" s="40">
        <v>0</v>
      </c>
      <c r="E871" s="40">
        <v>0</v>
      </c>
      <c r="F871" s="40">
        <v>0</v>
      </c>
      <c r="G871" s="40">
        <v>0</v>
      </c>
    </row>
    <row r="872" spans="2:7" x14ac:dyDescent="0.2">
      <c r="B872" t="s">
        <v>2047</v>
      </c>
      <c r="C872" s="40">
        <v>4559977156</v>
      </c>
      <c r="D872" s="40">
        <v>4695792853</v>
      </c>
      <c r="E872" s="40">
        <v>4743890053</v>
      </c>
      <c r="F872" s="40">
        <v>4861868682</v>
      </c>
      <c r="G872" s="40">
        <v>5011443816</v>
      </c>
    </row>
    <row r="873" spans="2:7" x14ac:dyDescent="0.2">
      <c r="B873" t="s">
        <v>2048</v>
      </c>
      <c r="C873" s="40">
        <v>1199789099</v>
      </c>
      <c r="D873" s="40">
        <v>1184247696</v>
      </c>
      <c r="E873" s="40">
        <v>1145160639</v>
      </c>
      <c r="F873" s="40">
        <v>1109137863</v>
      </c>
      <c r="G873" s="40">
        <v>1052784023</v>
      </c>
    </row>
    <row r="874" spans="2:7" x14ac:dyDescent="0.2">
      <c r="B874" t="s">
        <v>2049</v>
      </c>
      <c r="C874" s="40">
        <v>2505808801</v>
      </c>
      <c r="D874" s="40">
        <v>2563083512</v>
      </c>
      <c r="E874" s="40">
        <v>2626138188</v>
      </c>
      <c r="F874" s="40">
        <v>2696219368</v>
      </c>
      <c r="G874" s="40">
        <v>2830462957</v>
      </c>
    </row>
    <row r="875" spans="2:7" x14ac:dyDescent="0.2">
      <c r="B875" t="s">
        <v>2050</v>
      </c>
      <c r="C875" s="40">
        <v>0</v>
      </c>
      <c r="D875" s="40">
        <v>0</v>
      </c>
      <c r="E875" s="40">
        <v>0</v>
      </c>
      <c r="F875" s="40">
        <v>0</v>
      </c>
      <c r="G875" s="40">
        <v>0</v>
      </c>
    </row>
    <row r="876" spans="2:7" x14ac:dyDescent="0.2">
      <c r="B876" t="s">
        <v>2051</v>
      </c>
      <c r="C876" s="40">
        <v>0</v>
      </c>
      <c r="D876" s="40">
        <v>0</v>
      </c>
      <c r="E876" s="40">
        <v>0</v>
      </c>
      <c r="F876" s="40">
        <v>0</v>
      </c>
      <c r="G876" s="40">
        <v>0</v>
      </c>
    </row>
    <row r="877" spans="2:7" x14ac:dyDescent="0.2">
      <c r="B877" t="s">
        <v>2052</v>
      </c>
      <c r="C877" s="40">
        <v>0</v>
      </c>
      <c r="D877" s="40">
        <v>0</v>
      </c>
      <c r="E877" s="40">
        <v>0</v>
      </c>
      <c r="F877" s="40">
        <v>0</v>
      </c>
      <c r="G877" s="40">
        <v>0</v>
      </c>
    </row>
    <row r="878" spans="2:7" x14ac:dyDescent="0.2">
      <c r="B878" t="s">
        <v>2053</v>
      </c>
      <c r="C878" s="40">
        <v>0</v>
      </c>
      <c r="D878" s="40">
        <v>0</v>
      </c>
      <c r="E878" s="40">
        <v>0</v>
      </c>
      <c r="F878" s="40">
        <v>0</v>
      </c>
      <c r="G878" s="40">
        <v>0</v>
      </c>
    </row>
    <row r="879" spans="2:7" x14ac:dyDescent="0.2">
      <c r="B879" t="s">
        <v>2054</v>
      </c>
      <c r="C879" s="40">
        <v>0</v>
      </c>
      <c r="D879" s="40">
        <v>0</v>
      </c>
      <c r="E879" s="40">
        <v>0</v>
      </c>
      <c r="F879" s="40">
        <v>0</v>
      </c>
      <c r="G879" s="40">
        <v>0</v>
      </c>
    </row>
    <row r="880" spans="2:7" x14ac:dyDescent="0.2">
      <c r="B880" t="s">
        <v>2055</v>
      </c>
      <c r="C880" s="40">
        <v>0</v>
      </c>
      <c r="D880" s="40">
        <v>0</v>
      </c>
      <c r="E880" s="40">
        <v>0</v>
      </c>
      <c r="F880" s="40">
        <v>0</v>
      </c>
      <c r="G880" s="40">
        <v>0</v>
      </c>
    </row>
    <row r="881" spans="2:7" x14ac:dyDescent="0.2">
      <c r="B881" t="s">
        <v>2056</v>
      </c>
      <c r="C881" s="40">
        <v>0</v>
      </c>
      <c r="D881" s="40">
        <v>0</v>
      </c>
      <c r="E881" s="40">
        <v>0</v>
      </c>
      <c r="F881" s="40">
        <v>0</v>
      </c>
      <c r="G881" s="40">
        <v>0</v>
      </c>
    </row>
    <row r="882" spans="2:7" x14ac:dyDescent="0.2">
      <c r="B882" t="s">
        <v>2057</v>
      </c>
      <c r="C882" s="40">
        <v>0</v>
      </c>
      <c r="D882" s="40">
        <v>0</v>
      </c>
      <c r="E882" s="40">
        <v>0</v>
      </c>
      <c r="F882" s="40">
        <v>0</v>
      </c>
      <c r="G882" s="40">
        <v>0</v>
      </c>
    </row>
    <row r="883" spans="2:7" x14ac:dyDescent="0.2">
      <c r="B883" t="s">
        <v>2058</v>
      </c>
      <c r="C883" s="40">
        <v>0</v>
      </c>
      <c r="D883" s="40">
        <v>0</v>
      </c>
      <c r="E883" s="40">
        <v>0</v>
      </c>
      <c r="F883" s="40">
        <v>0</v>
      </c>
      <c r="G883" s="40">
        <v>0</v>
      </c>
    </row>
    <row r="884" spans="2:7" x14ac:dyDescent="0.2">
      <c r="B884" t="s">
        <v>2059</v>
      </c>
      <c r="C884" s="40">
        <v>0</v>
      </c>
      <c r="D884" s="40">
        <v>0</v>
      </c>
      <c r="E884" s="40">
        <v>0</v>
      </c>
      <c r="F884" s="40">
        <v>0</v>
      </c>
      <c r="G884" s="40">
        <v>0</v>
      </c>
    </row>
    <row r="885" spans="2:7" x14ac:dyDescent="0.2">
      <c r="B885" t="s">
        <v>2060</v>
      </c>
      <c r="C885" s="40">
        <v>0</v>
      </c>
      <c r="D885" s="40">
        <v>0</v>
      </c>
      <c r="E885" s="40">
        <v>0</v>
      </c>
      <c r="F885" s="40">
        <v>0</v>
      </c>
      <c r="G885" s="40">
        <v>0</v>
      </c>
    </row>
    <row r="886" spans="2:7" x14ac:dyDescent="0.2">
      <c r="B886" t="s">
        <v>2061</v>
      </c>
      <c r="C886" s="40">
        <v>0</v>
      </c>
      <c r="D886" s="40">
        <v>0</v>
      </c>
      <c r="E886" s="40">
        <v>0</v>
      </c>
      <c r="F886" s="40">
        <v>0</v>
      </c>
      <c r="G886" s="40">
        <v>0</v>
      </c>
    </row>
    <row r="887" spans="2:7" x14ac:dyDescent="0.2">
      <c r="B887" t="s">
        <v>2062</v>
      </c>
      <c r="C887" s="40">
        <v>0</v>
      </c>
      <c r="D887" s="40">
        <v>0</v>
      </c>
      <c r="E887" s="40">
        <v>0</v>
      </c>
      <c r="F887" s="40">
        <v>0</v>
      </c>
      <c r="G887" s="40">
        <v>0</v>
      </c>
    </row>
    <row r="888" spans="2:7" x14ac:dyDescent="0.2">
      <c r="B888" t="s">
        <v>2063</v>
      </c>
      <c r="C888" s="40">
        <v>0</v>
      </c>
      <c r="D888" s="40">
        <v>0</v>
      </c>
      <c r="E888" s="40">
        <v>0</v>
      </c>
      <c r="F888" s="40">
        <v>0</v>
      </c>
      <c r="G888" s="40">
        <v>0</v>
      </c>
    </row>
    <row r="889" spans="2:7" x14ac:dyDescent="0.2">
      <c r="B889" t="s">
        <v>2064</v>
      </c>
      <c r="C889" s="40">
        <v>0</v>
      </c>
      <c r="D889" s="40">
        <v>0</v>
      </c>
      <c r="E889" s="40">
        <v>0</v>
      </c>
      <c r="F889" s="40">
        <v>0</v>
      </c>
      <c r="G889" s="40">
        <v>0</v>
      </c>
    </row>
    <row r="890" spans="2:7" x14ac:dyDescent="0.2">
      <c r="B890" t="s">
        <v>2065</v>
      </c>
      <c r="C890" s="40">
        <v>0</v>
      </c>
      <c r="D890" s="40">
        <v>0</v>
      </c>
      <c r="E890" s="40">
        <v>0</v>
      </c>
      <c r="F890" s="40">
        <v>0</v>
      </c>
      <c r="G890" s="40">
        <v>0</v>
      </c>
    </row>
    <row r="891" spans="2:7" x14ac:dyDescent="0.2">
      <c r="B891" t="s">
        <v>2066</v>
      </c>
      <c r="C891" s="40">
        <v>0</v>
      </c>
      <c r="D891" s="40">
        <v>0</v>
      </c>
      <c r="E891" s="40">
        <v>0</v>
      </c>
      <c r="F891" s="40">
        <v>0</v>
      </c>
      <c r="G891" s="40">
        <v>0</v>
      </c>
    </row>
    <row r="892" spans="2:7" x14ac:dyDescent="0.2">
      <c r="B892" t="s">
        <v>2067</v>
      </c>
      <c r="C892" s="40">
        <v>0</v>
      </c>
      <c r="D892" s="40">
        <v>0</v>
      </c>
      <c r="E892" s="40">
        <v>0</v>
      </c>
      <c r="F892" s="40">
        <v>0</v>
      </c>
      <c r="G892" s="40">
        <v>0</v>
      </c>
    </row>
    <row r="893" spans="2:7" x14ac:dyDescent="0.2">
      <c r="B893" t="s">
        <v>2068</v>
      </c>
      <c r="C893" s="40">
        <v>0</v>
      </c>
      <c r="D893" s="40">
        <v>0</v>
      </c>
      <c r="E893" s="40">
        <v>0</v>
      </c>
      <c r="F893" s="40">
        <v>0</v>
      </c>
      <c r="G893" s="40">
        <v>0</v>
      </c>
    </row>
    <row r="894" spans="2:7" x14ac:dyDescent="0.2">
      <c r="B894" t="s">
        <v>2069</v>
      </c>
      <c r="C894" s="40">
        <v>0</v>
      </c>
      <c r="D894" s="40">
        <v>0</v>
      </c>
      <c r="E894" s="40">
        <v>0</v>
      </c>
      <c r="F894" s="40">
        <v>0</v>
      </c>
      <c r="G894" s="40">
        <v>0</v>
      </c>
    </row>
    <row r="895" spans="2:7" x14ac:dyDescent="0.2">
      <c r="B895" t="s">
        <v>2070</v>
      </c>
      <c r="C895" s="40">
        <v>66087077180</v>
      </c>
      <c r="D895" s="40">
        <v>44300205623</v>
      </c>
      <c r="E895" s="40">
        <v>38827833086</v>
      </c>
      <c r="F895" s="40">
        <v>43611130267</v>
      </c>
      <c r="G895" s="40">
        <v>44423629261</v>
      </c>
    </row>
    <row r="896" spans="2:7" x14ac:dyDescent="0.2">
      <c r="B896" t="s">
        <v>2071</v>
      </c>
      <c r="C896" s="40">
        <v>27316505322</v>
      </c>
      <c r="D896" s="40">
        <v>27074582444</v>
      </c>
      <c r="E896" s="40">
        <v>25479506290</v>
      </c>
      <c r="F896" s="40">
        <v>25814416370</v>
      </c>
      <c r="G896" s="40">
        <v>25221097121</v>
      </c>
    </row>
    <row r="897" spans="2:7" x14ac:dyDescent="0.2">
      <c r="B897" t="s">
        <v>2072</v>
      </c>
      <c r="C897" s="40">
        <v>28456914015</v>
      </c>
      <c r="D897" s="40">
        <v>25078910311</v>
      </c>
      <c r="E897" s="40">
        <v>23121992162</v>
      </c>
      <c r="F897" s="40">
        <v>20687326845</v>
      </c>
      <c r="G897" s="40">
        <v>18256078167</v>
      </c>
    </row>
    <row r="898" spans="2:7" x14ac:dyDescent="0.2">
      <c r="B898" t="s">
        <v>2073</v>
      </c>
      <c r="C898" s="40">
        <v>121860496521</v>
      </c>
      <c r="D898" s="40">
        <v>96453698383</v>
      </c>
      <c r="E898" s="40">
        <v>87429331543</v>
      </c>
      <c r="F898" s="40">
        <v>90112873489</v>
      </c>
      <c r="G898" s="40">
        <v>87900804556</v>
      </c>
    </row>
    <row r="899" spans="2:7" x14ac:dyDescent="0.2">
      <c r="B899" t="s">
        <v>2074</v>
      </c>
      <c r="C899" s="40">
        <v>0</v>
      </c>
      <c r="D899" s="40">
        <v>0</v>
      </c>
      <c r="E899" s="40">
        <v>0</v>
      </c>
      <c r="F899" s="40">
        <v>0</v>
      </c>
      <c r="G899" s="40">
        <v>0</v>
      </c>
    </row>
    <row r="900" spans="2:7" x14ac:dyDescent="0.2">
      <c r="B900" t="s">
        <v>2075</v>
      </c>
      <c r="C900" s="40">
        <v>6536294841</v>
      </c>
      <c r="D900" s="40">
        <v>6575076020</v>
      </c>
      <c r="E900" s="40">
        <v>6758871145</v>
      </c>
      <c r="F900" s="40">
        <v>6929521179</v>
      </c>
      <c r="G900" s="40">
        <v>6840821179</v>
      </c>
    </row>
    <row r="901" spans="2:7" x14ac:dyDescent="0.2">
      <c r="B901" t="s">
        <v>2076</v>
      </c>
      <c r="C901" s="40">
        <v>39633500</v>
      </c>
      <c r="D901" s="40">
        <v>40976417</v>
      </c>
      <c r="E901" s="40">
        <v>42116917</v>
      </c>
      <c r="F901" s="40">
        <v>50226667</v>
      </c>
      <c r="G901" s="40">
        <v>46347813</v>
      </c>
    </row>
    <row r="902" spans="2:7" x14ac:dyDescent="0.2">
      <c r="B902" t="s">
        <v>2077</v>
      </c>
      <c r="C902" s="40">
        <v>78719917</v>
      </c>
      <c r="D902" s="40">
        <v>88587396</v>
      </c>
      <c r="E902" s="40">
        <v>97496565</v>
      </c>
      <c r="F902" s="40">
        <v>102168440</v>
      </c>
      <c r="G902" s="40">
        <v>116220524</v>
      </c>
    </row>
    <row r="903" spans="2:7" x14ac:dyDescent="0.2">
      <c r="B903" t="s">
        <v>2078</v>
      </c>
      <c r="C903" s="40">
        <v>3997043765</v>
      </c>
      <c r="D903" s="40">
        <v>4023460628</v>
      </c>
      <c r="E903" s="40">
        <v>4041207487</v>
      </c>
      <c r="F903" s="40">
        <v>4052994765</v>
      </c>
      <c r="G903" s="40">
        <v>4053605476</v>
      </c>
    </row>
    <row r="904" spans="2:7" x14ac:dyDescent="0.2">
      <c r="B904" t="s">
        <v>2079</v>
      </c>
      <c r="C904" s="40">
        <v>4115397182</v>
      </c>
      <c r="D904" s="40">
        <v>4153024441</v>
      </c>
      <c r="E904" s="40">
        <v>4180820969</v>
      </c>
      <c r="F904" s="40">
        <v>4205389872</v>
      </c>
      <c r="G904" s="40">
        <v>4216173813</v>
      </c>
    </row>
    <row r="905" spans="2:7" x14ac:dyDescent="0.2">
      <c r="B905" t="s">
        <v>2080</v>
      </c>
      <c r="C905" s="40">
        <v>378</v>
      </c>
      <c r="D905" s="40">
        <v>392</v>
      </c>
      <c r="E905" s="40">
        <v>396</v>
      </c>
      <c r="F905" s="40">
        <v>397</v>
      </c>
      <c r="G905" s="40">
        <v>404</v>
      </c>
    </row>
    <row r="906" spans="2:7" x14ac:dyDescent="0.2">
      <c r="B906" t="s">
        <v>2081</v>
      </c>
      <c r="C906" s="40">
        <v>7251415119</v>
      </c>
      <c r="D906" s="40">
        <v>7563023818</v>
      </c>
      <c r="E906" s="40">
        <v>7819403589</v>
      </c>
      <c r="F906" s="40">
        <v>7891898017</v>
      </c>
      <c r="G906" s="40">
        <v>8235499357</v>
      </c>
    </row>
    <row r="907" spans="2:7" x14ac:dyDescent="0.2">
      <c r="B907" t="s">
        <v>2082</v>
      </c>
      <c r="C907" s="40">
        <v>815128458610</v>
      </c>
      <c r="D907" s="40">
        <v>797096848285</v>
      </c>
      <c r="E907" s="40">
        <v>815136907630</v>
      </c>
      <c r="F907" s="40">
        <v>826508432509</v>
      </c>
      <c r="G907" s="40">
        <v>830823917759</v>
      </c>
    </row>
    <row r="908" spans="2:7" x14ac:dyDescent="0.2">
      <c r="B908" t="s">
        <v>2083</v>
      </c>
      <c r="C908" s="40">
        <v>0</v>
      </c>
      <c r="D908" s="40">
        <v>0</v>
      </c>
      <c r="E908" s="40">
        <v>0</v>
      </c>
      <c r="F908" s="40">
        <v>0</v>
      </c>
      <c r="G908" s="40">
        <v>0</v>
      </c>
    </row>
    <row r="909" spans="2:7" x14ac:dyDescent="0.2">
      <c r="B909" t="s">
        <v>2084</v>
      </c>
      <c r="C909" s="40">
        <v>0</v>
      </c>
      <c r="D909" s="40">
        <v>0</v>
      </c>
      <c r="E909" s="40">
        <v>0</v>
      </c>
      <c r="F909" s="40">
        <v>0</v>
      </c>
      <c r="G909" s="40">
        <v>0</v>
      </c>
    </row>
    <row r="910" spans="2:7" x14ac:dyDescent="0.2">
      <c r="B910" t="s">
        <v>2085</v>
      </c>
      <c r="C910" s="40">
        <v>0</v>
      </c>
      <c r="D910" s="40">
        <v>0</v>
      </c>
      <c r="E910" s="40">
        <v>0</v>
      </c>
      <c r="F910" s="40">
        <v>0</v>
      </c>
      <c r="G910" s="40">
        <v>0</v>
      </c>
    </row>
    <row r="911" spans="2:7" x14ac:dyDescent="0.2">
      <c r="B911" t="s">
        <v>2086</v>
      </c>
      <c r="C911" s="40">
        <v>0</v>
      </c>
      <c r="D911" s="40">
        <v>0</v>
      </c>
      <c r="E911" s="40">
        <v>0</v>
      </c>
      <c r="F911" s="40">
        <v>0</v>
      </c>
      <c r="G911" s="40">
        <v>0</v>
      </c>
    </row>
    <row r="912" spans="2:7" x14ac:dyDescent="0.2">
      <c r="B912" t="s">
        <v>2087</v>
      </c>
      <c r="C912" s="40">
        <v>0</v>
      </c>
      <c r="D912" s="40">
        <v>0</v>
      </c>
      <c r="E912" s="40">
        <v>0</v>
      </c>
      <c r="F912" s="40">
        <v>0</v>
      </c>
      <c r="G912" s="40">
        <v>0</v>
      </c>
    </row>
    <row r="913" spans="2:7" x14ac:dyDescent="0.2">
      <c r="B913" t="s">
        <v>2088</v>
      </c>
      <c r="C913" s="40">
        <v>1061</v>
      </c>
      <c r="D913" s="40">
        <v>1064</v>
      </c>
      <c r="E913" s="40">
        <v>1069</v>
      </c>
      <c r="F913" s="40">
        <v>1074</v>
      </c>
      <c r="G913" s="40">
        <v>1075</v>
      </c>
    </row>
    <row r="914" spans="2:7" x14ac:dyDescent="0.2">
      <c r="B914" t="s">
        <v>2089</v>
      </c>
      <c r="C914" s="40">
        <v>0</v>
      </c>
      <c r="D914" s="40">
        <v>0</v>
      </c>
      <c r="E914" s="40">
        <v>0</v>
      </c>
      <c r="F914" s="40">
        <v>0</v>
      </c>
      <c r="G914" s="40">
        <v>0</v>
      </c>
    </row>
    <row r="915" spans="2:7" x14ac:dyDescent="0.2">
      <c r="B915" t="s">
        <v>2090</v>
      </c>
      <c r="C915" s="40">
        <v>0</v>
      </c>
      <c r="D915" s="40">
        <v>0</v>
      </c>
      <c r="E915" s="40">
        <v>0</v>
      </c>
      <c r="F915" s="40">
        <v>0</v>
      </c>
      <c r="G915" s="40">
        <v>0</v>
      </c>
    </row>
    <row r="916" spans="2:7" x14ac:dyDescent="0.2">
      <c r="B916" t="s">
        <v>2091</v>
      </c>
      <c r="C916" s="40">
        <v>0</v>
      </c>
      <c r="D916" s="40">
        <v>0</v>
      </c>
      <c r="E916" s="40">
        <v>0</v>
      </c>
      <c r="F916" s="40">
        <v>0</v>
      </c>
      <c r="G916" s="40">
        <v>0</v>
      </c>
    </row>
    <row r="917" spans="2:7" x14ac:dyDescent="0.2">
      <c r="B917" t="s">
        <v>2092</v>
      </c>
      <c r="C917" s="40">
        <v>879</v>
      </c>
      <c r="D917" s="40">
        <v>913</v>
      </c>
      <c r="E917" s="40">
        <v>934</v>
      </c>
      <c r="F917" s="40">
        <v>943</v>
      </c>
      <c r="G917" s="40">
        <v>955</v>
      </c>
    </row>
    <row r="918" spans="2:7" x14ac:dyDescent="0.2">
      <c r="B918" t="s">
        <v>2093</v>
      </c>
      <c r="C918" s="40">
        <v>0</v>
      </c>
      <c r="D918" s="40">
        <v>0</v>
      </c>
      <c r="E918" s="40">
        <v>0</v>
      </c>
      <c r="F918" s="40">
        <v>0</v>
      </c>
      <c r="G918" s="40">
        <v>0</v>
      </c>
    </row>
    <row r="919" spans="2:7" x14ac:dyDescent="0.2">
      <c r="B919" t="s">
        <v>2094</v>
      </c>
      <c r="C919" s="40">
        <v>0</v>
      </c>
      <c r="D919" s="40">
        <v>0</v>
      </c>
      <c r="E919" s="40">
        <v>0</v>
      </c>
      <c r="F919" s="40">
        <v>0</v>
      </c>
      <c r="G919" s="40">
        <v>0</v>
      </c>
    </row>
    <row r="920" spans="2:7" x14ac:dyDescent="0.2">
      <c r="B920" t="s">
        <v>2095</v>
      </c>
      <c r="C920" s="40">
        <v>0</v>
      </c>
      <c r="D920" s="40">
        <v>0</v>
      </c>
      <c r="E920" s="40">
        <v>0</v>
      </c>
      <c r="F920" s="40">
        <v>0</v>
      </c>
      <c r="G920" s="40">
        <v>0</v>
      </c>
    </row>
    <row r="921" spans="2:7" x14ac:dyDescent="0.2">
      <c r="B921" t="s">
        <v>2096</v>
      </c>
      <c r="C921" s="40">
        <v>0</v>
      </c>
      <c r="D921" s="40">
        <v>0</v>
      </c>
      <c r="E921" s="40">
        <v>0</v>
      </c>
      <c r="F921" s="40">
        <v>0</v>
      </c>
      <c r="G921" s="40">
        <v>0</v>
      </c>
    </row>
    <row r="922" spans="2:7" x14ac:dyDescent="0.2">
      <c r="B922" t="s">
        <v>2097</v>
      </c>
      <c r="C922" s="40">
        <v>0</v>
      </c>
      <c r="D922" s="40">
        <v>0</v>
      </c>
      <c r="E922" s="40">
        <v>0</v>
      </c>
      <c r="F922" s="40">
        <v>0</v>
      </c>
      <c r="G922" s="40">
        <v>0</v>
      </c>
    </row>
    <row r="923" spans="2:7" x14ac:dyDescent="0.2">
      <c r="B923" t="s">
        <v>2098</v>
      </c>
      <c r="C923" s="40">
        <v>0</v>
      </c>
      <c r="D923" s="40">
        <v>0</v>
      </c>
      <c r="E923" s="40">
        <v>0</v>
      </c>
      <c r="F923" s="40">
        <v>0</v>
      </c>
      <c r="G923" s="40">
        <v>0</v>
      </c>
    </row>
    <row r="924" spans="2:7" x14ac:dyDescent="0.2">
      <c r="B924" t="s">
        <v>2099</v>
      </c>
      <c r="C924" s="40">
        <v>0</v>
      </c>
      <c r="D924" s="40">
        <v>0</v>
      </c>
      <c r="E924" s="40">
        <v>0</v>
      </c>
      <c r="F924" s="40">
        <v>0</v>
      </c>
      <c r="G924" s="40">
        <v>0</v>
      </c>
    </row>
    <row r="925" spans="2:7" x14ac:dyDescent="0.2">
      <c r="B925" t="s">
        <v>2100</v>
      </c>
      <c r="C925" s="40">
        <v>517</v>
      </c>
      <c r="D925" s="40">
        <v>510</v>
      </c>
      <c r="E925" s="40">
        <v>510</v>
      </c>
      <c r="F925" s="40">
        <v>499</v>
      </c>
      <c r="G925" s="40">
        <v>493</v>
      </c>
    </row>
    <row r="926" spans="2:7" x14ac:dyDescent="0.2">
      <c r="B926" t="s">
        <v>2101</v>
      </c>
      <c r="C926" s="40">
        <v>141</v>
      </c>
      <c r="D926" s="40">
        <v>139</v>
      </c>
      <c r="E926" s="40">
        <v>141</v>
      </c>
      <c r="F926" s="40">
        <v>147</v>
      </c>
      <c r="G926" s="40">
        <v>158</v>
      </c>
    </row>
    <row r="927" spans="2:7" x14ac:dyDescent="0.2">
      <c r="B927" t="s">
        <v>2102</v>
      </c>
      <c r="C927" s="40">
        <v>0</v>
      </c>
      <c r="D927" s="40">
        <v>0</v>
      </c>
      <c r="E927" s="40">
        <v>0</v>
      </c>
      <c r="F927" s="40">
        <v>0</v>
      </c>
      <c r="G927" s="40">
        <v>0</v>
      </c>
    </row>
    <row r="928" spans="2:7" x14ac:dyDescent="0.2">
      <c r="B928" t="s">
        <v>2103</v>
      </c>
      <c r="C928" s="40">
        <v>0</v>
      </c>
      <c r="D928" s="40">
        <v>0</v>
      </c>
      <c r="E928" s="40">
        <v>0</v>
      </c>
      <c r="F928" s="40">
        <v>0</v>
      </c>
      <c r="G928" s="40">
        <v>0</v>
      </c>
    </row>
    <row r="929" spans="2:7" x14ac:dyDescent="0.2">
      <c r="B929" t="s">
        <v>2104</v>
      </c>
      <c r="C929" s="40">
        <v>1420</v>
      </c>
      <c r="D929" s="40">
        <v>1422</v>
      </c>
      <c r="E929" s="40">
        <v>1417</v>
      </c>
      <c r="F929" s="40">
        <v>1410</v>
      </c>
      <c r="G929" s="40">
        <v>1405</v>
      </c>
    </row>
    <row r="930" spans="2:7" x14ac:dyDescent="0.2">
      <c r="B930" t="s">
        <v>2105</v>
      </c>
      <c r="C930" s="40">
        <v>1233</v>
      </c>
      <c r="D930" s="40">
        <v>1222</v>
      </c>
      <c r="E930" s="40">
        <v>1214</v>
      </c>
      <c r="F930" s="40">
        <v>1212</v>
      </c>
      <c r="G930" s="40">
        <v>1202</v>
      </c>
    </row>
    <row r="931" spans="2:7" x14ac:dyDescent="0.2">
      <c r="B931" t="s">
        <v>2106</v>
      </c>
      <c r="C931" s="40">
        <v>0</v>
      </c>
      <c r="D931" s="40">
        <v>0</v>
      </c>
      <c r="E931" s="40">
        <v>0</v>
      </c>
      <c r="F931" s="40">
        <v>0</v>
      </c>
      <c r="G931" s="40">
        <v>0</v>
      </c>
    </row>
    <row r="932" spans="2:7" x14ac:dyDescent="0.2">
      <c r="B932" t="s">
        <v>2107</v>
      </c>
      <c r="C932" s="40">
        <v>0</v>
      </c>
      <c r="D932" s="40">
        <v>0</v>
      </c>
      <c r="E932" s="40">
        <v>0</v>
      </c>
      <c r="F932" s="40">
        <v>0</v>
      </c>
      <c r="G932" s="40">
        <v>0</v>
      </c>
    </row>
    <row r="933" spans="2:7" x14ac:dyDescent="0.2">
      <c r="B933" t="s">
        <v>2108</v>
      </c>
      <c r="C933" s="40">
        <v>8</v>
      </c>
      <c r="D933" s="40">
        <v>8</v>
      </c>
      <c r="E933" s="40">
        <v>8</v>
      </c>
      <c r="F933" s="40">
        <v>8</v>
      </c>
      <c r="G933" s="40">
        <v>8</v>
      </c>
    </row>
    <row r="934" spans="2:7" x14ac:dyDescent="0.2">
      <c r="B934" t="s">
        <v>2109</v>
      </c>
      <c r="C934" s="40">
        <v>0</v>
      </c>
      <c r="D934" s="40">
        <v>0</v>
      </c>
      <c r="E934" s="40">
        <v>0</v>
      </c>
      <c r="F934" s="40">
        <v>0</v>
      </c>
      <c r="G934" s="40">
        <v>0</v>
      </c>
    </row>
    <row r="935" spans="2:7" x14ac:dyDescent="0.2">
      <c r="B935" t="s">
        <v>2110</v>
      </c>
      <c r="C935" s="40">
        <v>1413</v>
      </c>
      <c r="D935" s="40">
        <v>1398</v>
      </c>
      <c r="E935" s="40">
        <v>1385</v>
      </c>
      <c r="F935" s="40">
        <v>1373</v>
      </c>
      <c r="G935" s="40">
        <v>1363</v>
      </c>
    </row>
    <row r="936" spans="2:7" x14ac:dyDescent="0.2">
      <c r="B936" t="s">
        <v>2111</v>
      </c>
      <c r="C936" s="40">
        <v>2399</v>
      </c>
      <c r="D936" s="40">
        <v>2367</v>
      </c>
      <c r="E936" s="40">
        <v>2331</v>
      </c>
      <c r="F936" s="40">
        <v>2300</v>
      </c>
      <c r="G936" s="40">
        <v>2277</v>
      </c>
    </row>
    <row r="937" spans="2:7" x14ac:dyDescent="0.2">
      <c r="B937" t="s">
        <v>2112</v>
      </c>
      <c r="C937" s="40">
        <v>0</v>
      </c>
      <c r="D937" s="40">
        <v>0</v>
      </c>
      <c r="E937" s="40">
        <v>0</v>
      </c>
      <c r="F937" s="40">
        <v>0</v>
      </c>
      <c r="G937" s="40">
        <v>0</v>
      </c>
    </row>
    <row r="938" spans="2:7" x14ac:dyDescent="0.2">
      <c r="B938" t="s">
        <v>2113</v>
      </c>
      <c r="C938" s="40">
        <v>0</v>
      </c>
      <c r="D938" s="40">
        <v>0</v>
      </c>
      <c r="E938" s="40">
        <v>0</v>
      </c>
      <c r="F938" s="40">
        <v>0</v>
      </c>
      <c r="G938" s="40">
        <v>0</v>
      </c>
    </row>
    <row r="939" spans="2:7" x14ac:dyDescent="0.2">
      <c r="B939" t="s">
        <v>2114</v>
      </c>
      <c r="C939" s="40">
        <v>0</v>
      </c>
      <c r="D939" s="40">
        <v>0</v>
      </c>
      <c r="E939" s="40">
        <v>0</v>
      </c>
      <c r="F939" s="40">
        <v>0</v>
      </c>
      <c r="G939" s="40">
        <v>0</v>
      </c>
    </row>
    <row r="940" spans="2:7" x14ac:dyDescent="0.2">
      <c r="B940" t="s">
        <v>2115</v>
      </c>
      <c r="C940" s="40">
        <v>0</v>
      </c>
      <c r="D940" s="40">
        <v>0</v>
      </c>
      <c r="E940" s="40">
        <v>0</v>
      </c>
      <c r="F940" s="40">
        <v>0</v>
      </c>
      <c r="G940" s="40">
        <v>0</v>
      </c>
    </row>
    <row r="941" spans="2:7" x14ac:dyDescent="0.2">
      <c r="B941" t="s">
        <v>2116</v>
      </c>
      <c r="C941" s="40">
        <v>0</v>
      </c>
      <c r="D941" s="40">
        <v>0</v>
      </c>
      <c r="E941" s="40">
        <v>0</v>
      </c>
      <c r="F941" s="40">
        <v>0</v>
      </c>
      <c r="G941" s="40">
        <v>0</v>
      </c>
    </row>
    <row r="942" spans="2:7" x14ac:dyDescent="0.2">
      <c r="B942" t="s">
        <v>2117</v>
      </c>
      <c r="C942" s="40">
        <v>575</v>
      </c>
      <c r="D942" s="40">
        <v>578</v>
      </c>
      <c r="E942" s="40">
        <v>575</v>
      </c>
      <c r="F942" s="40">
        <v>575</v>
      </c>
      <c r="G942" s="40">
        <v>570</v>
      </c>
    </row>
    <row r="943" spans="2:7" x14ac:dyDescent="0.2">
      <c r="B943" t="s">
        <v>2118</v>
      </c>
      <c r="C943" s="40">
        <v>0</v>
      </c>
      <c r="D943" s="40">
        <v>0</v>
      </c>
      <c r="E943" s="40">
        <v>0</v>
      </c>
      <c r="F943" s="40">
        <v>0</v>
      </c>
      <c r="G943" s="40">
        <v>0</v>
      </c>
    </row>
    <row r="944" spans="2:7" x14ac:dyDescent="0.2">
      <c r="B944" t="s">
        <v>2119</v>
      </c>
      <c r="C944" s="40">
        <v>1413</v>
      </c>
      <c r="D944" s="40">
        <v>1420</v>
      </c>
      <c r="E944" s="40">
        <v>1410</v>
      </c>
      <c r="F944" s="40">
        <v>1405</v>
      </c>
      <c r="G944" s="40">
        <v>1399</v>
      </c>
    </row>
    <row r="945" spans="2:7" x14ac:dyDescent="0.2">
      <c r="B945" t="s">
        <v>2120</v>
      </c>
      <c r="C945" s="40">
        <v>3266</v>
      </c>
      <c r="D945" s="40">
        <v>3232</v>
      </c>
      <c r="E945" s="40">
        <v>3197</v>
      </c>
      <c r="F945" s="40">
        <v>3159</v>
      </c>
      <c r="G945" s="40">
        <v>3130</v>
      </c>
    </row>
    <row r="946" spans="2:7" x14ac:dyDescent="0.2">
      <c r="B946" t="s">
        <v>2121</v>
      </c>
      <c r="C946" s="40">
        <v>26333939398</v>
      </c>
      <c r="D946" s="40">
        <v>26312799910</v>
      </c>
      <c r="E946" s="40">
        <v>24825540172</v>
      </c>
      <c r="F946" s="40">
        <v>24733266570</v>
      </c>
      <c r="G946" s="40">
        <v>25058536812</v>
      </c>
    </row>
    <row r="947" spans="2:7" x14ac:dyDescent="0.2">
      <c r="B947" t="s">
        <v>2122</v>
      </c>
      <c r="C947" s="40">
        <v>14269828482</v>
      </c>
      <c r="D947" s="40">
        <v>14424299387</v>
      </c>
      <c r="E947" s="40">
        <v>13647793490</v>
      </c>
      <c r="F947" s="40">
        <v>13927637243</v>
      </c>
      <c r="G947" s="40">
        <v>14051565360</v>
      </c>
    </row>
    <row r="948" spans="2:7" x14ac:dyDescent="0.2">
      <c r="B948" t="s">
        <v>2123</v>
      </c>
      <c r="C948" s="40">
        <v>8918841150</v>
      </c>
      <c r="D948" s="40">
        <v>9036812378</v>
      </c>
      <c r="E948" s="40">
        <v>8484399471</v>
      </c>
      <c r="F948" s="40">
        <v>8415344253</v>
      </c>
      <c r="G948" s="40">
        <v>9027752865</v>
      </c>
    </row>
    <row r="949" spans="2:7" x14ac:dyDescent="0.2">
      <c r="B949" t="s">
        <v>2124</v>
      </c>
      <c r="C949" s="40">
        <v>3145269765</v>
      </c>
      <c r="D949" s="40">
        <v>2851688153</v>
      </c>
      <c r="E949" s="40">
        <v>2693347205</v>
      </c>
      <c r="F949" s="40">
        <v>2390285065</v>
      </c>
      <c r="G949" s="40">
        <v>1979218572</v>
      </c>
    </row>
    <row r="950" spans="2:7" x14ac:dyDescent="0.2">
      <c r="B950" t="s">
        <v>2125</v>
      </c>
      <c r="C950" s="40">
        <v>653040313646</v>
      </c>
      <c r="D950" s="40">
        <v>641054407809</v>
      </c>
      <c r="E950" s="40">
        <v>646299005251</v>
      </c>
      <c r="F950" s="40">
        <v>653042019950</v>
      </c>
      <c r="G950" s="40">
        <v>659039888711</v>
      </c>
    </row>
    <row r="951" spans="2:7" x14ac:dyDescent="0.2">
      <c r="B951" t="s">
        <v>2126</v>
      </c>
      <c r="C951" s="40">
        <v>0</v>
      </c>
      <c r="D951" s="40">
        <v>0</v>
      </c>
      <c r="E951" s="40">
        <v>0</v>
      </c>
      <c r="F951" s="40">
        <v>0</v>
      </c>
      <c r="G951" s="40">
        <v>0</v>
      </c>
    </row>
    <row r="952" spans="2:7" x14ac:dyDescent="0.2">
      <c r="B952" t="s">
        <v>2127</v>
      </c>
      <c r="C952" s="40">
        <v>64161094347</v>
      </c>
      <c r="D952" s="40">
        <v>44194325676</v>
      </c>
      <c r="E952" s="40">
        <v>38576858437</v>
      </c>
      <c r="F952" s="40">
        <v>43082333031</v>
      </c>
      <c r="G952" s="40">
        <v>44101459094</v>
      </c>
    </row>
    <row r="953" spans="2:7" x14ac:dyDescent="0.2">
      <c r="B953" t="s">
        <v>2128</v>
      </c>
      <c r="C953" s="40">
        <v>27237785405</v>
      </c>
      <c r="D953" s="40">
        <v>26985995048</v>
      </c>
      <c r="E953" s="40">
        <v>25382009725</v>
      </c>
      <c r="F953" s="40">
        <v>25712239813</v>
      </c>
      <c r="G953" s="40">
        <v>25104869095</v>
      </c>
    </row>
    <row r="954" spans="2:7" x14ac:dyDescent="0.2">
      <c r="B954" t="s">
        <v>2129</v>
      </c>
      <c r="C954" s="40">
        <v>24444943148</v>
      </c>
      <c r="D954" s="40">
        <v>21041519125</v>
      </c>
      <c r="E954" s="40">
        <v>19068685248</v>
      </c>
      <c r="F954" s="40">
        <v>16623556006</v>
      </c>
      <c r="G954" s="40">
        <v>14193244166</v>
      </c>
    </row>
    <row r="955" spans="2:7" x14ac:dyDescent="0.2">
      <c r="B955" t="s">
        <v>2130</v>
      </c>
      <c r="C955" s="40">
        <v>115843822900</v>
      </c>
      <c r="D955" s="40">
        <v>92221839849</v>
      </c>
      <c r="E955" s="40">
        <v>83027553410</v>
      </c>
      <c r="F955" s="40">
        <v>85418128850</v>
      </c>
      <c r="G955" s="40">
        <v>83399572355</v>
      </c>
    </row>
    <row r="956" spans="2:7" x14ac:dyDescent="0.2">
      <c r="B956" t="s">
        <v>2131</v>
      </c>
      <c r="C956" s="40">
        <v>51401218627</v>
      </c>
      <c r="D956" s="40">
        <v>51745146774</v>
      </c>
      <c r="E956" s="40">
        <v>52113294059</v>
      </c>
      <c r="F956" s="40">
        <v>53072100771</v>
      </c>
      <c r="G956" s="40">
        <v>53339121208</v>
      </c>
    </row>
    <row r="957" spans="2:7" x14ac:dyDescent="0.2">
      <c r="B957" t="s">
        <v>2132</v>
      </c>
      <c r="C957" s="40">
        <v>1296192021</v>
      </c>
      <c r="D957" s="40">
        <v>1017192253</v>
      </c>
      <c r="E957" s="40">
        <v>935365775</v>
      </c>
      <c r="F957" s="40">
        <v>1329878548</v>
      </c>
      <c r="G957" s="40">
        <v>1005080711</v>
      </c>
    </row>
    <row r="958" spans="2:7" x14ac:dyDescent="0.2">
      <c r="B958" t="s">
        <v>2133</v>
      </c>
      <c r="C958" s="40">
        <v>9534312775</v>
      </c>
      <c r="D958" s="40">
        <v>8970985613</v>
      </c>
      <c r="E958" s="40">
        <v>8925509385</v>
      </c>
      <c r="F958" s="40">
        <v>9118301973</v>
      </c>
      <c r="G958" s="40">
        <v>8558264389</v>
      </c>
    </row>
    <row r="959" spans="2:7" x14ac:dyDescent="0.2">
      <c r="B959" t="s">
        <v>2134</v>
      </c>
      <c r="C959" s="40">
        <v>948933910</v>
      </c>
      <c r="D959" s="40">
        <v>842306474</v>
      </c>
      <c r="E959" s="40">
        <v>643980092</v>
      </c>
      <c r="F959" s="40">
        <v>635243632</v>
      </c>
      <c r="G959" s="40">
        <v>691970413</v>
      </c>
    </row>
    <row r="960" spans="2:7" x14ac:dyDescent="0.2">
      <c r="B960" t="s">
        <v>2135</v>
      </c>
      <c r="C960" s="40">
        <v>928079933</v>
      </c>
      <c r="D960" s="40">
        <v>726048698</v>
      </c>
      <c r="E960" s="40">
        <v>723509920</v>
      </c>
      <c r="F960" s="40">
        <v>796337908</v>
      </c>
      <c r="G960" s="40">
        <v>739120444</v>
      </c>
    </row>
    <row r="961" spans="2:7" x14ac:dyDescent="0.2">
      <c r="B961" t="s">
        <v>2136</v>
      </c>
      <c r="C961" s="40">
        <v>5776270311</v>
      </c>
      <c r="D961" s="40">
        <v>3684193729</v>
      </c>
      <c r="E961" s="40">
        <v>3845895062</v>
      </c>
      <c r="F961" s="40">
        <v>4109909688</v>
      </c>
      <c r="G961" s="40">
        <v>3869978198</v>
      </c>
    </row>
    <row r="962" spans="2:7" x14ac:dyDescent="0.2">
      <c r="B962" t="s">
        <v>2137</v>
      </c>
      <c r="C962" s="40">
        <v>85494176503</v>
      </c>
      <c r="D962" s="40">
        <v>88220368161</v>
      </c>
      <c r="E962" s="40">
        <v>81853546464</v>
      </c>
      <c r="F962" s="40">
        <v>84348221254</v>
      </c>
      <c r="G962" s="40">
        <v>80824484494</v>
      </c>
    </row>
    <row r="963" spans="2:7" x14ac:dyDescent="0.2">
      <c r="B963" t="s">
        <v>2138</v>
      </c>
      <c r="C963" s="40">
        <v>121860496517</v>
      </c>
      <c r="D963" s="40">
        <v>96453698378</v>
      </c>
      <c r="E963" s="40">
        <v>87429331538</v>
      </c>
      <c r="F963" s="40">
        <v>90112873482</v>
      </c>
      <c r="G963" s="40">
        <v>87900804549</v>
      </c>
    </row>
    <row r="964" spans="2:7" x14ac:dyDescent="0.2">
      <c r="B964" t="s">
        <v>2139</v>
      </c>
      <c r="C964" s="40">
        <v>0</v>
      </c>
      <c r="D964" s="40">
        <v>0</v>
      </c>
      <c r="E964" s="40">
        <v>0</v>
      </c>
      <c r="F964" s="40">
        <v>0</v>
      </c>
      <c r="G964" s="40">
        <v>0</v>
      </c>
    </row>
    <row r="965" spans="2:7" x14ac:dyDescent="0.2">
      <c r="B965" t="s">
        <v>2140</v>
      </c>
      <c r="C965" s="40">
        <v>0</v>
      </c>
      <c r="D965" s="40">
        <v>0</v>
      </c>
      <c r="E965" s="40">
        <v>0</v>
      </c>
      <c r="F965" s="40">
        <v>0</v>
      </c>
      <c r="G965" s="40">
        <v>0</v>
      </c>
    </row>
    <row r="966" spans="2:7" x14ac:dyDescent="0.2">
      <c r="B966" t="s">
        <v>2141</v>
      </c>
      <c r="C966" s="40">
        <v>0</v>
      </c>
      <c r="D966" s="40">
        <v>0</v>
      </c>
      <c r="E966" s="40">
        <v>0</v>
      </c>
      <c r="F966" s="40">
        <v>0</v>
      </c>
      <c r="G966" s="40">
        <v>0</v>
      </c>
    </row>
    <row r="967" spans="2:7" x14ac:dyDescent="0.2">
      <c r="B967" t="s">
        <v>2142</v>
      </c>
      <c r="C967" s="40">
        <v>0</v>
      </c>
      <c r="D967" s="40">
        <v>0</v>
      </c>
      <c r="E967" s="40">
        <v>0</v>
      </c>
      <c r="F967" s="40">
        <v>0</v>
      </c>
      <c r="G967" s="40">
        <v>0</v>
      </c>
    </row>
    <row r="968" spans="2:7" x14ac:dyDescent="0.2">
      <c r="B968" t="s">
        <v>2143</v>
      </c>
      <c r="C968" s="40">
        <v>0</v>
      </c>
      <c r="D968" s="40">
        <v>0</v>
      </c>
      <c r="E968" s="40">
        <v>0</v>
      </c>
      <c r="F968" s="40">
        <v>0</v>
      </c>
      <c r="G968" s="40">
        <v>0</v>
      </c>
    </row>
    <row r="969" spans="2:7" x14ac:dyDescent="0.2">
      <c r="B969" t="s">
        <v>2144</v>
      </c>
      <c r="C969" s="40">
        <v>0</v>
      </c>
      <c r="D969" s="40">
        <v>0</v>
      </c>
      <c r="E969" s="40">
        <v>0</v>
      </c>
      <c r="F969" s="40">
        <v>0</v>
      </c>
      <c r="G969" s="40">
        <v>0</v>
      </c>
    </row>
    <row r="970" spans="2:7" x14ac:dyDescent="0.2">
      <c r="B970" t="s">
        <v>2145</v>
      </c>
      <c r="C970" s="40">
        <v>0</v>
      </c>
      <c r="D970" s="40">
        <v>0</v>
      </c>
      <c r="E970" s="40">
        <v>0</v>
      </c>
      <c r="F970" s="40">
        <v>0</v>
      </c>
      <c r="G970" s="40">
        <v>0</v>
      </c>
    </row>
    <row r="971" spans="2:7" x14ac:dyDescent="0.2">
      <c r="B971" t="s">
        <v>2146</v>
      </c>
      <c r="C971" s="40">
        <v>0</v>
      </c>
      <c r="D971" s="40">
        <v>0</v>
      </c>
      <c r="E971" s="40">
        <v>0</v>
      </c>
      <c r="F971" s="40">
        <v>0</v>
      </c>
      <c r="G971" s="40">
        <v>0</v>
      </c>
    </row>
    <row r="972" spans="2:7" x14ac:dyDescent="0.2">
      <c r="B972" t="s">
        <v>2147</v>
      </c>
      <c r="C972" s="40">
        <v>0</v>
      </c>
      <c r="D972" s="40">
        <v>0</v>
      </c>
      <c r="E972" s="40">
        <v>0</v>
      </c>
      <c r="F972" s="40">
        <v>0</v>
      </c>
      <c r="G972" s="40">
        <v>0</v>
      </c>
    </row>
    <row r="973" spans="2:7" x14ac:dyDescent="0.2">
      <c r="B973" t="s">
        <v>2148</v>
      </c>
      <c r="C973" s="40">
        <v>0</v>
      </c>
      <c r="D973" s="40">
        <v>0</v>
      </c>
      <c r="E973" s="40">
        <v>0</v>
      </c>
      <c r="F973" s="40">
        <v>0</v>
      </c>
      <c r="G973" s="40">
        <v>0</v>
      </c>
    </row>
    <row r="974" spans="2:7" x14ac:dyDescent="0.2">
      <c r="B974" t="s">
        <v>2149</v>
      </c>
      <c r="C974" s="40">
        <v>0</v>
      </c>
      <c r="D974" s="40">
        <v>0</v>
      </c>
      <c r="E974" s="40">
        <v>0</v>
      </c>
      <c r="F974" s="40">
        <v>0</v>
      </c>
      <c r="G974" s="40">
        <v>0</v>
      </c>
    </row>
    <row r="975" spans="2:7" x14ac:dyDescent="0.2">
      <c r="B975" t="s">
        <v>2150</v>
      </c>
      <c r="C975" s="40">
        <v>0</v>
      </c>
      <c r="D975" s="40">
        <v>0</v>
      </c>
      <c r="E975" s="40">
        <v>0</v>
      </c>
      <c r="F975" s="40">
        <v>0</v>
      </c>
      <c r="G975" s="40">
        <v>0</v>
      </c>
    </row>
    <row r="976" spans="2:7" x14ac:dyDescent="0.2">
      <c r="B976" t="s">
        <v>2151</v>
      </c>
      <c r="C976" s="40">
        <v>0</v>
      </c>
      <c r="D976" s="40">
        <v>0</v>
      </c>
      <c r="E976" s="40">
        <v>0</v>
      </c>
      <c r="F976" s="40">
        <v>0</v>
      </c>
      <c r="G976" s="40">
        <v>0</v>
      </c>
    </row>
    <row r="977" spans="2:7" x14ac:dyDescent="0.2">
      <c r="B977" t="s">
        <v>2152</v>
      </c>
      <c r="C977" s="40">
        <v>0</v>
      </c>
      <c r="D977" s="40">
        <v>0</v>
      </c>
      <c r="E977" s="40">
        <v>0</v>
      </c>
      <c r="F977" s="40">
        <v>0</v>
      </c>
      <c r="G977" s="40">
        <v>0</v>
      </c>
    </row>
    <row r="978" spans="2:7" x14ac:dyDescent="0.2">
      <c r="B978" t="s">
        <v>2153</v>
      </c>
      <c r="C978" s="40">
        <v>0</v>
      </c>
      <c r="D978" s="40">
        <v>0</v>
      </c>
      <c r="E978" s="40">
        <v>0</v>
      </c>
      <c r="F978" s="40">
        <v>0</v>
      </c>
      <c r="G978" s="40">
        <v>0</v>
      </c>
    </row>
    <row r="979" spans="2:7" x14ac:dyDescent="0.2">
      <c r="B979" t="s">
        <v>2154</v>
      </c>
      <c r="C979" s="40">
        <v>0</v>
      </c>
      <c r="D979" s="40">
        <v>0</v>
      </c>
      <c r="E979" s="40">
        <v>0</v>
      </c>
      <c r="F979" s="40">
        <v>0</v>
      </c>
      <c r="G979" s="40">
        <v>0</v>
      </c>
    </row>
    <row r="980" spans="2:7" x14ac:dyDescent="0.2">
      <c r="B980" t="s">
        <v>2155</v>
      </c>
      <c r="C980" s="40">
        <v>0</v>
      </c>
      <c r="D980" s="40">
        <v>0</v>
      </c>
      <c r="E980" s="40">
        <v>0</v>
      </c>
      <c r="F980" s="40">
        <v>0</v>
      </c>
      <c r="G980" s="40">
        <v>0</v>
      </c>
    </row>
    <row r="981" spans="2:7" x14ac:dyDescent="0.2">
      <c r="B981" t="s">
        <v>2156</v>
      </c>
      <c r="C981" s="40">
        <v>0</v>
      </c>
      <c r="D981" s="40">
        <v>0</v>
      </c>
      <c r="E981" s="40">
        <v>0</v>
      </c>
      <c r="F981" s="40">
        <v>0</v>
      </c>
      <c r="G981" s="40">
        <v>0</v>
      </c>
    </row>
    <row r="982" spans="2:7" x14ac:dyDescent="0.2">
      <c r="B982" t="s">
        <v>2157</v>
      </c>
      <c r="C982" s="40">
        <v>0</v>
      </c>
      <c r="D982" s="40">
        <v>0</v>
      </c>
      <c r="E982" s="40">
        <v>0</v>
      </c>
      <c r="F982" s="40">
        <v>0</v>
      </c>
      <c r="G982" s="40">
        <v>0</v>
      </c>
    </row>
    <row r="983" spans="2:7" x14ac:dyDescent="0.2">
      <c r="B983" t="s">
        <v>2158</v>
      </c>
      <c r="C983" s="40">
        <v>0</v>
      </c>
      <c r="D983" s="40">
        <v>0</v>
      </c>
      <c r="E983" s="40">
        <v>0</v>
      </c>
      <c r="F983" s="40">
        <v>0</v>
      </c>
      <c r="G983" s="40">
        <v>0</v>
      </c>
    </row>
    <row r="984" spans="2:7" x14ac:dyDescent="0.2">
      <c r="B984" t="s">
        <v>2159</v>
      </c>
      <c r="C984" s="40">
        <v>0</v>
      </c>
      <c r="D984" s="40">
        <v>0</v>
      </c>
      <c r="E984" s="40">
        <v>0</v>
      </c>
      <c r="F984" s="40">
        <v>0</v>
      </c>
      <c r="G984" s="40">
        <v>0</v>
      </c>
    </row>
    <row r="985" spans="2:7" x14ac:dyDescent="0.2">
      <c r="B985" t="s">
        <v>2160</v>
      </c>
      <c r="C985" s="40">
        <v>0</v>
      </c>
      <c r="D985" s="40">
        <v>0</v>
      </c>
      <c r="E985" s="40">
        <v>0</v>
      </c>
      <c r="F985" s="40">
        <v>0</v>
      </c>
      <c r="G985" s="40">
        <v>0</v>
      </c>
    </row>
    <row r="986" spans="2:7" x14ac:dyDescent="0.2">
      <c r="B986" t="s">
        <v>2161</v>
      </c>
      <c r="C986" s="40">
        <v>0</v>
      </c>
      <c r="D986" s="40">
        <v>0</v>
      </c>
      <c r="E986" s="40">
        <v>0</v>
      </c>
      <c r="F986" s="40">
        <v>0</v>
      </c>
      <c r="G986" s="40">
        <v>0</v>
      </c>
    </row>
    <row r="987" spans="2:7" x14ac:dyDescent="0.2">
      <c r="B987" t="s">
        <v>2162</v>
      </c>
      <c r="C987" s="40">
        <v>0</v>
      </c>
      <c r="D987" s="40">
        <v>0</v>
      </c>
      <c r="E987" s="40">
        <v>0</v>
      </c>
      <c r="F987" s="40">
        <v>0</v>
      </c>
      <c r="G987" s="40">
        <v>0</v>
      </c>
    </row>
    <row r="988" spans="2:7" x14ac:dyDescent="0.2">
      <c r="B988" t="s">
        <v>2163</v>
      </c>
      <c r="C988" s="40">
        <v>0</v>
      </c>
      <c r="D988" s="40">
        <v>0</v>
      </c>
      <c r="E988" s="40">
        <v>0</v>
      </c>
      <c r="F988" s="40">
        <v>0</v>
      </c>
      <c r="G988" s="40">
        <v>0</v>
      </c>
    </row>
    <row r="989" spans="2:7" x14ac:dyDescent="0.2">
      <c r="B989" t="s">
        <v>2164</v>
      </c>
      <c r="C989" s="40">
        <v>0</v>
      </c>
      <c r="D989" s="40">
        <v>0</v>
      </c>
      <c r="E989" s="40">
        <v>0</v>
      </c>
      <c r="F989" s="40">
        <v>0</v>
      </c>
      <c r="G989" s="40">
        <v>0</v>
      </c>
    </row>
    <row r="990" spans="2:7" x14ac:dyDescent="0.2">
      <c r="B990" t="s">
        <v>2165</v>
      </c>
      <c r="C990" s="40">
        <v>0</v>
      </c>
      <c r="D990" s="40">
        <v>0</v>
      </c>
      <c r="E990" s="40">
        <v>0</v>
      </c>
      <c r="F990" s="40">
        <v>0</v>
      </c>
      <c r="G990" s="40">
        <v>0</v>
      </c>
    </row>
    <row r="991" spans="2:7" x14ac:dyDescent="0.2">
      <c r="B991" t="s">
        <v>2166</v>
      </c>
      <c r="C991" s="40">
        <v>0</v>
      </c>
      <c r="D991" s="40">
        <v>0</v>
      </c>
      <c r="E991" s="40">
        <v>0</v>
      </c>
      <c r="F991" s="40">
        <v>0</v>
      </c>
      <c r="G991" s="40">
        <v>0</v>
      </c>
    </row>
    <row r="992" spans="2:7" x14ac:dyDescent="0.2">
      <c r="B992" t="s">
        <v>2167</v>
      </c>
      <c r="C992" s="40">
        <v>2561</v>
      </c>
      <c r="D992" s="40">
        <v>2570</v>
      </c>
      <c r="E992" s="40">
        <v>2571</v>
      </c>
      <c r="F992" s="40">
        <v>2580</v>
      </c>
      <c r="G992" s="40">
        <v>2590</v>
      </c>
    </row>
    <row r="993" spans="2:7" x14ac:dyDescent="0.2">
      <c r="B993" t="s">
        <v>2168</v>
      </c>
      <c r="C993" s="40">
        <v>3184</v>
      </c>
      <c r="D993" s="40">
        <v>3191</v>
      </c>
      <c r="E993" s="40">
        <v>3194</v>
      </c>
      <c r="F993" s="40">
        <v>3186</v>
      </c>
      <c r="G993" s="40">
        <v>3187</v>
      </c>
    </row>
    <row r="994" spans="2:7" x14ac:dyDescent="0.2">
      <c r="B994" t="s">
        <v>2169</v>
      </c>
      <c r="C994" s="40">
        <v>0</v>
      </c>
      <c r="D994" s="40">
        <v>0</v>
      </c>
      <c r="E994" s="40">
        <v>0</v>
      </c>
      <c r="F994" s="40">
        <v>0</v>
      </c>
      <c r="G994" s="40">
        <v>0</v>
      </c>
    </row>
    <row r="995" spans="2:7" x14ac:dyDescent="0.2">
      <c r="B995" t="s">
        <v>2170</v>
      </c>
      <c r="C995" s="40">
        <v>0</v>
      </c>
      <c r="D995" s="40">
        <v>0</v>
      </c>
      <c r="E995" s="40">
        <v>0</v>
      </c>
      <c r="F995" s="40">
        <v>0</v>
      </c>
      <c r="G995" s="40">
        <v>0</v>
      </c>
    </row>
    <row r="996" spans="2:7" x14ac:dyDescent="0.2">
      <c r="B996" t="s">
        <v>2171</v>
      </c>
      <c r="C996" s="40">
        <v>2037</v>
      </c>
      <c r="D996" s="40">
        <v>2052</v>
      </c>
      <c r="E996" s="40">
        <v>2052</v>
      </c>
      <c r="F996" s="40">
        <v>2061</v>
      </c>
      <c r="G996" s="40">
        <v>2072</v>
      </c>
    </row>
    <row r="997" spans="2:7" x14ac:dyDescent="0.2">
      <c r="B997" t="s">
        <v>2172</v>
      </c>
      <c r="C997" s="40">
        <v>3653</v>
      </c>
      <c r="D997" s="40">
        <v>3632</v>
      </c>
      <c r="E997" s="40">
        <v>3604</v>
      </c>
      <c r="F997" s="40">
        <v>3574</v>
      </c>
      <c r="G997" s="40">
        <v>3563</v>
      </c>
    </row>
    <row r="998" spans="2:7" x14ac:dyDescent="0.2">
      <c r="B998" t="s">
        <v>2173</v>
      </c>
      <c r="C998" s="40">
        <v>0</v>
      </c>
      <c r="D998" s="40">
        <v>0</v>
      </c>
      <c r="E998" s="40">
        <v>0</v>
      </c>
      <c r="F998" s="40">
        <v>0</v>
      </c>
      <c r="G998" s="40">
        <v>0</v>
      </c>
    </row>
    <row r="999" spans="2:7" x14ac:dyDescent="0.2">
      <c r="B999" t="s">
        <v>2174</v>
      </c>
      <c r="C999" s="40">
        <v>0</v>
      </c>
      <c r="D999" s="40">
        <v>0</v>
      </c>
      <c r="E999" s="40">
        <v>0</v>
      </c>
      <c r="F999" s="40">
        <v>0</v>
      </c>
      <c r="G999" s="40">
        <v>0</v>
      </c>
    </row>
    <row r="1000" spans="2:7" x14ac:dyDescent="0.2">
      <c r="B1000" t="s">
        <v>2175</v>
      </c>
      <c r="C1000" s="40">
        <v>0</v>
      </c>
      <c r="D1000" s="40">
        <v>0</v>
      </c>
      <c r="E1000" s="40">
        <v>0</v>
      </c>
      <c r="F1000" s="40">
        <v>0</v>
      </c>
      <c r="G1000" s="40">
        <v>0</v>
      </c>
    </row>
    <row r="1001" spans="2:7" x14ac:dyDescent="0.2">
      <c r="B1001" t="s">
        <v>2176</v>
      </c>
      <c r="C1001" s="40">
        <v>3265</v>
      </c>
      <c r="D1001" s="40">
        <v>3242</v>
      </c>
      <c r="E1001" s="40">
        <v>3217</v>
      </c>
      <c r="F1001" s="40">
        <v>3193</v>
      </c>
      <c r="G1001" s="40">
        <v>3184</v>
      </c>
    </row>
    <row r="1002" spans="2:7" x14ac:dyDescent="0.2">
      <c r="B1002" t="s">
        <v>2177</v>
      </c>
      <c r="C1002" s="40">
        <v>0</v>
      </c>
      <c r="D1002" s="40">
        <v>0</v>
      </c>
      <c r="E1002" s="40">
        <v>0</v>
      </c>
      <c r="F1002" s="40">
        <v>0</v>
      </c>
      <c r="G1002" s="40">
        <v>0</v>
      </c>
    </row>
    <row r="1003" spans="2:7" x14ac:dyDescent="0.2">
      <c r="B1003" t="s">
        <v>2178</v>
      </c>
      <c r="C1003" s="40">
        <v>0</v>
      </c>
      <c r="D1003" s="40">
        <v>0</v>
      </c>
      <c r="E1003" s="40">
        <v>0</v>
      </c>
      <c r="F1003" s="40">
        <v>0</v>
      </c>
      <c r="G1003" s="40">
        <v>0</v>
      </c>
    </row>
    <row r="1004" spans="2:7" x14ac:dyDescent="0.2">
      <c r="B1004" t="s">
        <v>2179</v>
      </c>
      <c r="C1004" s="40">
        <v>901</v>
      </c>
      <c r="D1004" s="40">
        <v>917</v>
      </c>
      <c r="E1004" s="40">
        <v>917</v>
      </c>
      <c r="F1004" s="40">
        <v>920</v>
      </c>
      <c r="G1004" s="40">
        <v>922</v>
      </c>
    </row>
    <row r="1005" spans="2:7" x14ac:dyDescent="0.2">
      <c r="B1005" t="s">
        <v>2180</v>
      </c>
      <c r="C1005" s="40">
        <v>0</v>
      </c>
      <c r="D1005" s="40">
        <v>0</v>
      </c>
      <c r="E1005" s="40">
        <v>0</v>
      </c>
      <c r="F1005" s="40">
        <v>0</v>
      </c>
      <c r="G1005" s="40">
        <v>0</v>
      </c>
    </row>
    <row r="1006" spans="2:7" x14ac:dyDescent="0.2">
      <c r="B1006" t="s">
        <v>2181</v>
      </c>
      <c r="C1006" s="40">
        <v>2296</v>
      </c>
      <c r="D1006" s="40">
        <v>2313</v>
      </c>
      <c r="E1006" s="40">
        <v>2309</v>
      </c>
      <c r="F1006" s="40">
        <v>2321</v>
      </c>
      <c r="G1006" s="40">
        <v>2324</v>
      </c>
    </row>
    <row r="1007" spans="2:7" x14ac:dyDescent="0.2">
      <c r="B1007" t="s">
        <v>2182</v>
      </c>
      <c r="C1007" s="40">
        <v>3697</v>
      </c>
      <c r="D1007" s="40">
        <v>3677</v>
      </c>
      <c r="E1007" s="40">
        <v>3649</v>
      </c>
      <c r="F1007" s="40">
        <v>3623</v>
      </c>
      <c r="G1007" s="40">
        <v>3613</v>
      </c>
    </row>
    <row r="1008" spans="2:7" x14ac:dyDescent="0.2">
      <c r="B1008" t="s">
        <v>2183</v>
      </c>
      <c r="C1008" s="40">
        <v>2134</v>
      </c>
      <c r="D1008" s="40">
        <v>2169</v>
      </c>
      <c r="E1008" s="40">
        <v>2179</v>
      </c>
      <c r="F1008" s="40">
        <v>2178</v>
      </c>
      <c r="G1008" s="40">
        <v>2199</v>
      </c>
    </row>
    <row r="1009" spans="2:7" x14ac:dyDescent="0.2">
      <c r="B1009" t="s">
        <v>2184</v>
      </c>
      <c r="C1009" s="40">
        <v>0</v>
      </c>
      <c r="D1009" s="40">
        <v>0</v>
      </c>
      <c r="E1009" s="40">
        <v>0</v>
      </c>
      <c r="F1009" s="40">
        <v>0</v>
      </c>
      <c r="G1009" s="40">
        <v>0</v>
      </c>
    </row>
    <row r="1010" spans="2:7" x14ac:dyDescent="0.2">
      <c r="B1010" t="s">
        <v>2185</v>
      </c>
      <c r="C1010" s="40">
        <v>2957</v>
      </c>
      <c r="D1010" s="40">
        <v>2956</v>
      </c>
      <c r="E1010" s="40">
        <v>2942</v>
      </c>
      <c r="F1010" s="40">
        <v>2935</v>
      </c>
      <c r="G1010" s="40">
        <v>2936</v>
      </c>
    </row>
    <row r="1011" spans="2:7" x14ac:dyDescent="0.2">
      <c r="B1011" t="s">
        <v>2186</v>
      </c>
      <c r="C1011" s="40">
        <v>2294</v>
      </c>
      <c r="D1011" s="40">
        <v>2320</v>
      </c>
      <c r="E1011" s="40">
        <v>2311</v>
      </c>
      <c r="F1011" s="40">
        <v>2308</v>
      </c>
      <c r="G1011" s="40">
        <v>2322</v>
      </c>
    </row>
    <row r="1012" spans="2:7" x14ac:dyDescent="0.2">
      <c r="B1012" t="s">
        <v>2187</v>
      </c>
      <c r="C1012" s="40">
        <v>0</v>
      </c>
      <c r="D1012" s="40">
        <v>0</v>
      </c>
      <c r="E1012" s="40">
        <v>0</v>
      </c>
      <c r="F1012" s="40">
        <v>0</v>
      </c>
      <c r="G1012" s="40">
        <v>0</v>
      </c>
    </row>
    <row r="1013" spans="2:7" x14ac:dyDescent="0.2">
      <c r="B1013" t="s">
        <v>2188</v>
      </c>
      <c r="C1013" s="40">
        <v>0</v>
      </c>
      <c r="D1013" s="40">
        <v>0</v>
      </c>
      <c r="E1013" s="40">
        <v>0</v>
      </c>
      <c r="F1013" s="40">
        <v>0</v>
      </c>
      <c r="G1013" s="40">
        <v>0</v>
      </c>
    </row>
    <row r="1014" spans="2:7" x14ac:dyDescent="0.2">
      <c r="B1014" t="s">
        <v>2189</v>
      </c>
      <c r="C1014" s="40">
        <v>0</v>
      </c>
      <c r="D1014" s="40">
        <v>0</v>
      </c>
      <c r="E1014" s="40">
        <v>0</v>
      </c>
      <c r="F1014" s="40">
        <v>0</v>
      </c>
      <c r="G1014" s="40">
        <v>0</v>
      </c>
    </row>
    <row r="1015" spans="2:7" x14ac:dyDescent="0.2">
      <c r="B1015" t="s">
        <v>2190</v>
      </c>
      <c r="C1015" s="40">
        <v>0</v>
      </c>
      <c r="D1015" s="40">
        <v>0</v>
      </c>
      <c r="E1015" s="40">
        <v>0</v>
      </c>
      <c r="F1015" s="40">
        <v>0</v>
      </c>
      <c r="G1015" s="40">
        <v>0</v>
      </c>
    </row>
    <row r="1016" spans="2:7" x14ac:dyDescent="0.2">
      <c r="B1016" t="s">
        <v>2191</v>
      </c>
      <c r="C1016" s="40">
        <v>0</v>
      </c>
      <c r="D1016" s="40">
        <v>0</v>
      </c>
      <c r="E1016" s="40">
        <v>0</v>
      </c>
      <c r="F1016" s="40">
        <v>0</v>
      </c>
      <c r="G1016" s="40">
        <v>0</v>
      </c>
    </row>
    <row r="1017" spans="2:7" x14ac:dyDescent="0.2">
      <c r="B1017" t="s">
        <v>2192</v>
      </c>
      <c r="C1017" s="40">
        <v>0</v>
      </c>
      <c r="D1017" s="40">
        <v>0</v>
      </c>
      <c r="E1017" s="40">
        <v>0</v>
      </c>
      <c r="F1017" s="40">
        <v>0</v>
      </c>
      <c r="G1017" s="40">
        <v>0</v>
      </c>
    </row>
    <row r="1018" spans="2:7" x14ac:dyDescent="0.2">
      <c r="B1018" t="s">
        <v>2193</v>
      </c>
      <c r="C1018" s="40">
        <v>0</v>
      </c>
      <c r="D1018" s="40">
        <v>0</v>
      </c>
      <c r="E1018" s="40">
        <v>0</v>
      </c>
      <c r="F1018" s="40">
        <v>0</v>
      </c>
      <c r="G1018" s="40">
        <v>0</v>
      </c>
    </row>
    <row r="1019" spans="2:7" x14ac:dyDescent="0.2">
      <c r="B1019" t="s">
        <v>2194</v>
      </c>
      <c r="C1019" s="40">
        <v>0</v>
      </c>
      <c r="D1019" s="40">
        <v>0</v>
      </c>
      <c r="E1019" s="40">
        <v>0</v>
      </c>
      <c r="F1019" s="40">
        <v>0</v>
      </c>
      <c r="G1019" s="40">
        <v>0</v>
      </c>
    </row>
    <row r="1020" spans="2:7" x14ac:dyDescent="0.2">
      <c r="B1020" t="s">
        <v>2195</v>
      </c>
      <c r="C1020" s="40">
        <v>0</v>
      </c>
      <c r="D1020" s="40">
        <v>0</v>
      </c>
      <c r="E1020" s="40">
        <v>0</v>
      </c>
      <c r="F1020" s="40">
        <v>0</v>
      </c>
      <c r="G1020" s="40">
        <v>0</v>
      </c>
    </row>
    <row r="1021" spans="2:7" x14ac:dyDescent="0.2">
      <c r="B1021" t="s">
        <v>2196</v>
      </c>
      <c r="C1021" s="40">
        <v>0</v>
      </c>
      <c r="D1021" s="40">
        <v>0</v>
      </c>
      <c r="E1021" s="40">
        <v>0</v>
      </c>
      <c r="F1021" s="40">
        <v>0</v>
      </c>
      <c r="G1021" s="40">
        <v>0</v>
      </c>
    </row>
    <row r="1022" spans="2:7" x14ac:dyDescent="0.2">
      <c r="B1022" t="s">
        <v>2197</v>
      </c>
      <c r="C1022" s="40">
        <v>0</v>
      </c>
      <c r="D1022" s="40">
        <v>0</v>
      </c>
      <c r="E1022" s="40">
        <v>0</v>
      </c>
      <c r="F1022" s="40">
        <v>0</v>
      </c>
      <c r="G1022" s="40">
        <v>0</v>
      </c>
    </row>
    <row r="1023" spans="2:7" x14ac:dyDescent="0.2">
      <c r="B1023" t="s">
        <v>2198</v>
      </c>
      <c r="C1023" s="40">
        <v>0</v>
      </c>
      <c r="D1023" s="40">
        <v>0</v>
      </c>
      <c r="E1023" s="40">
        <v>0</v>
      </c>
      <c r="F1023" s="40">
        <v>0</v>
      </c>
      <c r="G1023" s="40">
        <v>0</v>
      </c>
    </row>
    <row r="1024" spans="2:7" x14ac:dyDescent="0.2">
      <c r="B1024" t="s">
        <v>2199</v>
      </c>
      <c r="C1024" s="40">
        <v>1559</v>
      </c>
      <c r="D1024" s="40">
        <v>1570</v>
      </c>
      <c r="E1024" s="40">
        <v>1570</v>
      </c>
      <c r="F1024" s="40">
        <v>1571</v>
      </c>
      <c r="G1024" s="40">
        <v>1572</v>
      </c>
    </row>
    <row r="1025" spans="2:7" x14ac:dyDescent="0.2">
      <c r="B1025" t="s">
        <v>2200</v>
      </c>
      <c r="C1025" s="40">
        <v>0</v>
      </c>
      <c r="D1025" s="40">
        <v>0</v>
      </c>
      <c r="E1025" s="40">
        <v>0</v>
      </c>
      <c r="F1025" s="40">
        <v>0</v>
      </c>
      <c r="G1025" s="40">
        <v>0</v>
      </c>
    </row>
    <row r="1026" spans="2:7" x14ac:dyDescent="0.2">
      <c r="B1026" t="s">
        <v>2201</v>
      </c>
      <c r="C1026" s="40">
        <v>0</v>
      </c>
      <c r="D1026" s="40">
        <v>0</v>
      </c>
      <c r="E1026" s="40">
        <v>0</v>
      </c>
      <c r="F1026" s="40">
        <v>0</v>
      </c>
      <c r="G1026" s="40">
        <v>0</v>
      </c>
    </row>
    <row r="1027" spans="2:7" x14ac:dyDescent="0.2">
      <c r="B1027" t="s">
        <v>2202</v>
      </c>
      <c r="C1027" s="40">
        <v>282408</v>
      </c>
      <c r="D1027" s="40">
        <v>285824</v>
      </c>
      <c r="E1027" s="40">
        <v>306705</v>
      </c>
      <c r="F1027" s="40">
        <v>310960</v>
      </c>
      <c r="G1027" s="40">
        <v>308474</v>
      </c>
    </row>
    <row r="1028" spans="2:7" x14ac:dyDescent="0.2">
      <c r="B1028" t="s">
        <v>2203</v>
      </c>
      <c r="C1028" s="40">
        <v>0</v>
      </c>
      <c r="D1028" s="40">
        <v>0</v>
      </c>
      <c r="E1028" s="40">
        <v>0</v>
      </c>
      <c r="F1028" s="40">
        <v>0</v>
      </c>
      <c r="G1028" s="40">
        <v>0</v>
      </c>
    </row>
    <row r="1029" spans="2:7" x14ac:dyDescent="0.2">
      <c r="B1029" t="s">
        <v>2204</v>
      </c>
      <c r="C1029" s="40">
        <v>32433</v>
      </c>
      <c r="D1029" s="40">
        <v>32663</v>
      </c>
      <c r="E1029" s="40">
        <v>33168</v>
      </c>
      <c r="F1029" s="40">
        <v>33807</v>
      </c>
      <c r="G1029" s="40">
        <v>34141</v>
      </c>
    </row>
    <row r="1030" spans="2:7" x14ac:dyDescent="0.2">
      <c r="B1030" t="s">
        <v>2205</v>
      </c>
      <c r="C1030" s="40">
        <v>0</v>
      </c>
      <c r="D1030" s="40">
        <v>0</v>
      </c>
      <c r="E1030" s="40">
        <v>0</v>
      </c>
      <c r="F1030" s="40">
        <v>0</v>
      </c>
      <c r="G1030" s="40">
        <v>0</v>
      </c>
    </row>
    <row r="1031" spans="2:7" x14ac:dyDescent="0.2">
      <c r="B1031" t="s">
        <v>2206</v>
      </c>
      <c r="C1031" s="40">
        <v>0</v>
      </c>
      <c r="D1031" s="40">
        <v>0</v>
      </c>
      <c r="E1031" s="40">
        <v>0</v>
      </c>
      <c r="F1031" s="40">
        <v>0</v>
      </c>
      <c r="G1031" s="40">
        <v>0</v>
      </c>
    </row>
    <row r="1032" spans="2:7" x14ac:dyDescent="0.2">
      <c r="B1032" t="s">
        <v>2207</v>
      </c>
      <c r="C1032" s="40">
        <v>0</v>
      </c>
      <c r="D1032" s="40">
        <v>0</v>
      </c>
      <c r="E1032" s="40">
        <v>0</v>
      </c>
      <c r="F1032" s="40">
        <v>0</v>
      </c>
      <c r="G1032" s="40">
        <v>0</v>
      </c>
    </row>
    <row r="1033" spans="2:7" x14ac:dyDescent="0.2">
      <c r="B1033" t="s">
        <v>2208</v>
      </c>
      <c r="C1033" s="40">
        <v>0</v>
      </c>
      <c r="D1033" s="40">
        <v>0</v>
      </c>
      <c r="E1033" s="40">
        <v>0</v>
      </c>
      <c r="F1033" s="40">
        <v>0</v>
      </c>
      <c r="G1033" s="40">
        <v>0</v>
      </c>
    </row>
    <row r="1034" spans="2:7" x14ac:dyDescent="0.2">
      <c r="B1034" t="s">
        <v>2209</v>
      </c>
      <c r="C1034" s="40">
        <v>0</v>
      </c>
      <c r="D1034" s="40">
        <v>0</v>
      </c>
      <c r="E1034" s="40">
        <v>0</v>
      </c>
      <c r="F1034" s="40">
        <v>0</v>
      </c>
      <c r="G1034" s="40">
        <v>0</v>
      </c>
    </row>
    <row r="1035" spans="2:7" x14ac:dyDescent="0.2">
      <c r="B1035" t="s">
        <v>2210</v>
      </c>
      <c r="C1035" s="40">
        <v>9012</v>
      </c>
      <c r="D1035" s="40">
        <v>9211</v>
      </c>
      <c r="E1035" s="40">
        <v>9065</v>
      </c>
      <c r="F1035" s="40">
        <v>9205</v>
      </c>
      <c r="G1035" s="40">
        <v>9715</v>
      </c>
    </row>
    <row r="1036" spans="2:7" x14ac:dyDescent="0.2">
      <c r="B1036" t="s">
        <v>2211</v>
      </c>
      <c r="C1036" s="40">
        <v>47335</v>
      </c>
      <c r="D1036" s="40">
        <v>48180</v>
      </c>
      <c r="E1036" s="40">
        <v>67741</v>
      </c>
      <c r="F1036" s="40">
        <v>67077</v>
      </c>
      <c r="G1036" s="40">
        <v>62109</v>
      </c>
    </row>
    <row r="1037" spans="2:7" x14ac:dyDescent="0.2">
      <c r="B1037" t="s">
        <v>2212</v>
      </c>
      <c r="C1037" s="40">
        <v>2551</v>
      </c>
      <c r="D1037" s="40">
        <v>1851</v>
      </c>
      <c r="E1037" s="40">
        <v>1807</v>
      </c>
      <c r="F1037" s="40">
        <v>1952</v>
      </c>
      <c r="G1037" s="40">
        <v>1801</v>
      </c>
    </row>
    <row r="1038" spans="2:7" x14ac:dyDescent="0.2">
      <c r="B1038" t="s">
        <v>2213</v>
      </c>
      <c r="C1038" s="40">
        <v>17</v>
      </c>
      <c r="D1038" s="40">
        <v>539</v>
      </c>
      <c r="E1038" s="40">
        <v>553</v>
      </c>
      <c r="F1038" s="40">
        <v>563</v>
      </c>
      <c r="G1038" s="40">
        <v>581</v>
      </c>
    </row>
    <row r="1039" spans="2:7" x14ac:dyDescent="0.2">
      <c r="B1039" t="s">
        <v>2214</v>
      </c>
      <c r="C1039" s="40">
        <v>0</v>
      </c>
      <c r="D1039" s="40">
        <v>0</v>
      </c>
      <c r="E1039" s="40">
        <v>0</v>
      </c>
      <c r="F1039" s="40">
        <v>0</v>
      </c>
      <c r="G1039" s="40">
        <v>0</v>
      </c>
    </row>
    <row r="1040" spans="2:7" x14ac:dyDescent="0.2">
      <c r="B1040" t="s">
        <v>2215</v>
      </c>
      <c r="C1040" s="40">
        <v>0</v>
      </c>
      <c r="D1040" s="40">
        <v>0</v>
      </c>
      <c r="E1040" s="40">
        <v>0</v>
      </c>
      <c r="F1040" s="40">
        <v>0</v>
      </c>
      <c r="G1040" s="40">
        <v>0</v>
      </c>
    </row>
    <row r="1041" spans="2:7" x14ac:dyDescent="0.2">
      <c r="B1041" t="s">
        <v>2216</v>
      </c>
      <c r="C1041" s="40">
        <v>0</v>
      </c>
      <c r="D1041" s="40">
        <v>0</v>
      </c>
      <c r="E1041" s="40">
        <v>0</v>
      </c>
      <c r="F1041" s="40">
        <v>0</v>
      </c>
      <c r="G1041" s="40">
        <v>0</v>
      </c>
    </row>
    <row r="1042" spans="2:7" x14ac:dyDescent="0.2">
      <c r="B1042" t="s">
        <v>2217</v>
      </c>
      <c r="C1042" s="40">
        <v>0</v>
      </c>
      <c r="D1042" s="40">
        <v>0</v>
      </c>
      <c r="E1042" s="40">
        <v>0</v>
      </c>
      <c r="F1042" s="40">
        <v>0</v>
      </c>
      <c r="G1042" s="40">
        <v>0</v>
      </c>
    </row>
    <row r="1043" spans="2:7" x14ac:dyDescent="0.2">
      <c r="B1043" t="s">
        <v>2218</v>
      </c>
      <c r="C1043" s="40">
        <v>0</v>
      </c>
      <c r="D1043" s="40">
        <v>0</v>
      </c>
      <c r="E1043" s="40">
        <v>0</v>
      </c>
      <c r="F1043" s="40">
        <v>0</v>
      </c>
      <c r="G1043" s="40">
        <v>0</v>
      </c>
    </row>
    <row r="1044" spans="2:7" x14ac:dyDescent="0.2">
      <c r="B1044" t="s">
        <v>2219</v>
      </c>
      <c r="C1044" s="40">
        <v>0</v>
      </c>
      <c r="D1044" s="40">
        <v>0</v>
      </c>
      <c r="E1044" s="40">
        <v>0</v>
      </c>
      <c r="F1044" s="40">
        <v>0</v>
      </c>
      <c r="G1044" s="40">
        <v>0</v>
      </c>
    </row>
    <row r="1045" spans="2:7" x14ac:dyDescent="0.2">
      <c r="B1045" t="s">
        <v>2220</v>
      </c>
      <c r="C1045" s="40">
        <v>44430</v>
      </c>
      <c r="D1045" s="40">
        <v>44927</v>
      </c>
      <c r="E1045" s="40">
        <v>45342</v>
      </c>
      <c r="F1045" s="40">
        <v>45963</v>
      </c>
      <c r="G1045" s="40">
        <v>46895</v>
      </c>
    </row>
    <row r="1046" spans="2:7" x14ac:dyDescent="0.2">
      <c r="B1046" t="s">
        <v>2221</v>
      </c>
      <c r="C1046" s="40">
        <v>4665</v>
      </c>
      <c r="D1046" s="40">
        <v>4705</v>
      </c>
      <c r="E1046" s="40">
        <v>4704</v>
      </c>
      <c r="F1046" s="40">
        <v>4786</v>
      </c>
      <c r="G1046" s="40">
        <v>4819</v>
      </c>
    </row>
    <row r="1047" spans="2:7" x14ac:dyDescent="0.2">
      <c r="B1047" t="s">
        <v>2222</v>
      </c>
      <c r="C1047" s="40">
        <v>0</v>
      </c>
      <c r="D1047" s="40">
        <v>0</v>
      </c>
      <c r="E1047" s="40">
        <v>0</v>
      </c>
      <c r="F1047" s="40">
        <v>0</v>
      </c>
      <c r="G1047" s="40">
        <v>0</v>
      </c>
    </row>
    <row r="1048" spans="2:7" x14ac:dyDescent="0.2">
      <c r="B1048" t="s">
        <v>2223</v>
      </c>
      <c r="C1048" s="40">
        <v>0</v>
      </c>
      <c r="D1048" s="40">
        <v>0</v>
      </c>
      <c r="E1048" s="40">
        <v>0</v>
      </c>
      <c r="F1048" s="40">
        <v>0</v>
      </c>
      <c r="G1048" s="40">
        <v>0</v>
      </c>
    </row>
    <row r="1049" spans="2:7" x14ac:dyDescent="0.2">
      <c r="B1049" t="s">
        <v>2224</v>
      </c>
      <c r="C1049" s="40">
        <v>49270</v>
      </c>
      <c r="D1049" s="40">
        <v>50125</v>
      </c>
      <c r="E1049" s="40">
        <v>50615</v>
      </c>
      <c r="F1049" s="40">
        <v>51772</v>
      </c>
      <c r="G1049" s="40">
        <v>52633</v>
      </c>
    </row>
    <row r="1050" spans="2:7" x14ac:dyDescent="0.2">
      <c r="B1050" t="s">
        <v>2225</v>
      </c>
      <c r="C1050" s="40">
        <v>13387</v>
      </c>
      <c r="D1050" s="40">
        <v>13685</v>
      </c>
      <c r="E1050" s="40">
        <v>13867</v>
      </c>
      <c r="F1050" s="40">
        <v>14209</v>
      </c>
      <c r="G1050" s="40">
        <v>14220</v>
      </c>
    </row>
    <row r="1051" spans="2:7" x14ac:dyDescent="0.2">
      <c r="B1051" t="s">
        <v>2226</v>
      </c>
      <c r="C1051" s="40">
        <v>0</v>
      </c>
      <c r="D1051" s="40">
        <v>0</v>
      </c>
      <c r="E1051" s="40">
        <v>0</v>
      </c>
      <c r="F1051" s="40">
        <v>0</v>
      </c>
      <c r="G1051" s="40">
        <v>0</v>
      </c>
    </row>
    <row r="1052" spans="2:7" x14ac:dyDescent="0.2">
      <c r="B1052" t="s">
        <v>2227</v>
      </c>
      <c r="C1052" s="40">
        <v>0</v>
      </c>
      <c r="D1052" s="40">
        <v>0</v>
      </c>
      <c r="E1052" s="40">
        <v>0</v>
      </c>
      <c r="F1052" s="40">
        <v>0</v>
      </c>
      <c r="G1052" s="40">
        <v>0</v>
      </c>
    </row>
    <row r="1053" spans="2:7" x14ac:dyDescent="0.2">
      <c r="B1053" t="s">
        <v>2228</v>
      </c>
      <c r="C1053" s="40">
        <v>142545</v>
      </c>
      <c r="D1053" s="40">
        <v>144708</v>
      </c>
      <c r="E1053" s="40">
        <v>146331</v>
      </c>
      <c r="F1053" s="40">
        <v>148791</v>
      </c>
      <c r="G1053" s="40">
        <v>151661</v>
      </c>
    </row>
    <row r="1054" spans="2:7" x14ac:dyDescent="0.2">
      <c r="B1054" t="s">
        <v>2229</v>
      </c>
      <c r="C1054" s="40">
        <v>24636</v>
      </c>
      <c r="D1054" s="40">
        <v>25062</v>
      </c>
      <c r="E1054" s="40">
        <v>25346</v>
      </c>
      <c r="F1054" s="40">
        <v>25683</v>
      </c>
      <c r="G1054" s="40">
        <v>25755</v>
      </c>
    </row>
    <row r="1055" spans="2:7" x14ac:dyDescent="0.2">
      <c r="B1055" t="s">
        <v>2230</v>
      </c>
      <c r="C1055" s="40">
        <v>0</v>
      </c>
      <c r="D1055" s="40">
        <v>0</v>
      </c>
      <c r="E1055" s="40">
        <v>0</v>
      </c>
      <c r="F1055" s="40">
        <v>0</v>
      </c>
      <c r="G1055" s="40">
        <v>0</v>
      </c>
    </row>
    <row r="1056" spans="2:7" x14ac:dyDescent="0.2">
      <c r="B1056" t="s">
        <v>2231</v>
      </c>
      <c r="C1056" s="40">
        <v>0</v>
      </c>
      <c r="D1056" s="40">
        <v>0</v>
      </c>
      <c r="E1056" s="40">
        <v>0</v>
      </c>
      <c r="F1056" s="40">
        <v>0</v>
      </c>
      <c r="G1056" s="40">
        <v>0</v>
      </c>
    </row>
    <row r="1057" spans="2:7" x14ac:dyDescent="0.2">
      <c r="B1057" t="s">
        <v>2232</v>
      </c>
      <c r="C1057" s="40">
        <v>72847</v>
      </c>
      <c r="D1057" s="40">
        <v>73435</v>
      </c>
      <c r="E1057" s="40">
        <v>73568</v>
      </c>
      <c r="F1057" s="40">
        <v>75498</v>
      </c>
      <c r="G1057" s="40">
        <v>74710</v>
      </c>
    </row>
    <row r="1058" spans="2:7" x14ac:dyDescent="0.2">
      <c r="B1058" t="s">
        <v>2233</v>
      </c>
      <c r="C1058" s="40">
        <v>4100</v>
      </c>
      <c r="D1058" s="40">
        <v>4068</v>
      </c>
      <c r="E1058" s="40">
        <v>4281</v>
      </c>
      <c r="F1058" s="40">
        <v>4424</v>
      </c>
      <c r="G1058" s="40">
        <v>4823</v>
      </c>
    </row>
    <row r="1059" spans="2:7" x14ac:dyDescent="0.2">
      <c r="B1059" t="s">
        <v>2234</v>
      </c>
      <c r="C1059" s="40">
        <v>36283</v>
      </c>
      <c r="D1059" s="40">
        <v>37064</v>
      </c>
      <c r="E1059" s="40">
        <v>37936</v>
      </c>
      <c r="F1059" s="40">
        <v>38656</v>
      </c>
      <c r="G1059" s="40">
        <v>39358</v>
      </c>
    </row>
    <row r="1060" spans="2:7" x14ac:dyDescent="0.2">
      <c r="B1060" t="s">
        <v>2235</v>
      </c>
      <c r="C1060" s="40">
        <v>4479</v>
      </c>
      <c r="D1060" s="40">
        <v>4589</v>
      </c>
      <c r="E1060" s="40">
        <v>4640</v>
      </c>
      <c r="F1060" s="40">
        <v>4595</v>
      </c>
      <c r="G1060" s="40">
        <v>4574</v>
      </c>
    </row>
    <row r="1061" spans="2:7" x14ac:dyDescent="0.2">
      <c r="B1061" t="s">
        <v>2236</v>
      </c>
      <c r="C1061" s="40">
        <v>0</v>
      </c>
      <c r="D1061" s="40">
        <v>0</v>
      </c>
      <c r="E1061" s="40">
        <v>0</v>
      </c>
      <c r="F1061" s="40">
        <v>0</v>
      </c>
      <c r="G1061" s="40">
        <v>0</v>
      </c>
    </row>
    <row r="1062" spans="2:7" x14ac:dyDescent="0.2">
      <c r="B1062" t="s">
        <v>2237</v>
      </c>
      <c r="C1062" s="40">
        <v>314841</v>
      </c>
      <c r="D1062" s="40">
        <v>318487</v>
      </c>
      <c r="E1062" s="40">
        <v>339873</v>
      </c>
      <c r="F1062" s="40">
        <v>344767</v>
      </c>
      <c r="G1062" s="40">
        <v>342615</v>
      </c>
    </row>
    <row r="1063" spans="2:7" x14ac:dyDescent="0.2">
      <c r="B1063" t="s">
        <v>2238</v>
      </c>
      <c r="C1063" s="40">
        <v>372690170711</v>
      </c>
      <c r="D1063" s="40">
        <v>378544315456</v>
      </c>
      <c r="E1063" s="40">
        <v>397835948987</v>
      </c>
      <c r="F1063" s="40">
        <v>390792884811</v>
      </c>
      <c r="G1063" s="40">
        <v>391032036269</v>
      </c>
    </row>
    <row r="1064" spans="2:7" x14ac:dyDescent="0.2">
      <c r="B1064" t="s">
        <v>2239</v>
      </c>
      <c r="C1064" s="40">
        <v>372690170711</v>
      </c>
      <c r="D1064" s="40">
        <v>378544315456</v>
      </c>
      <c r="E1064" s="40">
        <v>397835948987</v>
      </c>
      <c r="F1064" s="40">
        <v>390792884811</v>
      </c>
      <c r="G1064" s="40">
        <v>391032036269</v>
      </c>
    </row>
    <row r="1065" spans="2:7" x14ac:dyDescent="0.2">
      <c r="B1065" t="s">
        <v>2240</v>
      </c>
      <c r="C1065" s="40">
        <v>0</v>
      </c>
      <c r="D1065" s="40">
        <v>0</v>
      </c>
      <c r="E1065" s="40">
        <v>0</v>
      </c>
      <c r="F1065" s="40">
        <v>0</v>
      </c>
      <c r="G1065" s="40">
        <v>0</v>
      </c>
    </row>
    <row r="1066" spans="2:7" x14ac:dyDescent="0.2">
      <c r="B1066" t="s">
        <v>2241</v>
      </c>
      <c r="C1066" s="40">
        <v>0</v>
      </c>
      <c r="D1066" s="40">
        <v>0</v>
      </c>
      <c r="E1066" s="40">
        <v>0</v>
      </c>
      <c r="F1066" s="40">
        <v>0</v>
      </c>
      <c r="G1066" s="40">
        <v>0</v>
      </c>
    </row>
    <row r="1067" spans="2:7" x14ac:dyDescent="0.2">
      <c r="B1067" t="s">
        <v>2242</v>
      </c>
      <c r="C1067" s="40">
        <v>0</v>
      </c>
      <c r="D1067" s="40">
        <v>0</v>
      </c>
      <c r="E1067" s="40">
        <v>0</v>
      </c>
      <c r="F1067" s="40">
        <v>0</v>
      </c>
      <c r="G1067" s="40">
        <v>0</v>
      </c>
    </row>
    <row r="1068" spans="2:7" x14ac:dyDescent="0.2">
      <c r="B1068" t="s">
        <v>2243</v>
      </c>
      <c r="C1068" s="40">
        <v>0</v>
      </c>
      <c r="D1068" s="40">
        <v>0</v>
      </c>
      <c r="E1068" s="40">
        <v>0</v>
      </c>
      <c r="F1068" s="40">
        <v>0</v>
      </c>
      <c r="G1068" s="40">
        <v>0</v>
      </c>
    </row>
    <row r="1069" spans="2:7" x14ac:dyDescent="0.2">
      <c r="B1069" t="s">
        <v>2244</v>
      </c>
      <c r="C1069" s="40">
        <v>65045923961</v>
      </c>
      <c r="D1069" s="40">
        <v>65383810093</v>
      </c>
      <c r="E1069" s="40">
        <v>65524472948</v>
      </c>
      <c r="F1069" s="40">
        <v>66311285147</v>
      </c>
      <c r="G1069" s="40">
        <v>66188735947</v>
      </c>
    </row>
    <row r="1070" spans="2:7" x14ac:dyDescent="0.2">
      <c r="B1070" t="s">
        <v>2245</v>
      </c>
      <c r="C1070" s="40">
        <v>13482845175</v>
      </c>
      <c r="D1070" s="40">
        <v>13720521865</v>
      </c>
      <c r="E1070" s="40">
        <v>14663832860</v>
      </c>
      <c r="F1070" s="40">
        <v>15026849092</v>
      </c>
      <c r="G1070" s="40">
        <v>15461513611</v>
      </c>
    </row>
    <row r="1071" spans="2:7" x14ac:dyDescent="0.2">
      <c r="B1071" t="s">
        <v>2246</v>
      </c>
      <c r="C1071" s="40">
        <v>8282599602</v>
      </c>
      <c r="D1071" s="40">
        <v>7668706864</v>
      </c>
      <c r="E1071" s="40">
        <v>7023317885</v>
      </c>
      <c r="F1071" s="40">
        <v>6650939937</v>
      </c>
      <c r="G1071" s="40">
        <v>6507669651</v>
      </c>
    </row>
    <row r="1072" spans="2:7" x14ac:dyDescent="0.2">
      <c r="B1072" t="s">
        <v>2247</v>
      </c>
      <c r="C1072" s="40">
        <v>86811368738</v>
      </c>
      <c r="D1072" s="40">
        <v>86773038822</v>
      </c>
      <c r="E1072" s="40">
        <v>87211623693</v>
      </c>
      <c r="F1072" s="40">
        <v>87989074176</v>
      </c>
      <c r="G1072" s="40">
        <v>88157919209</v>
      </c>
    </row>
    <row r="1073" spans="2:7" x14ac:dyDescent="0.2">
      <c r="B1073" t="s">
        <v>2248</v>
      </c>
      <c r="C1073" s="40">
        <v>454132456265</v>
      </c>
      <c r="D1073" s="40">
        <v>474859055055</v>
      </c>
      <c r="E1073" s="40">
        <v>479604673323</v>
      </c>
      <c r="F1073" s="40">
        <v>483799567755</v>
      </c>
      <c r="G1073" s="40">
        <v>491650197754</v>
      </c>
    </row>
    <row r="1074" spans="2:7" x14ac:dyDescent="0.2">
      <c r="B1074" t="s">
        <v>2249</v>
      </c>
      <c r="C1074" s="40">
        <v>76661462399</v>
      </c>
      <c r="D1074" s="40">
        <v>67929747401</v>
      </c>
      <c r="E1074" s="40">
        <v>74545104711</v>
      </c>
      <c r="F1074" s="40">
        <v>77242281416</v>
      </c>
      <c r="G1074" s="40">
        <v>81292491431</v>
      </c>
    </row>
    <row r="1075" spans="2:7" x14ac:dyDescent="0.2">
      <c r="B1075" t="s">
        <v>2250</v>
      </c>
      <c r="C1075" s="40">
        <v>20293242507</v>
      </c>
      <c r="D1075" s="40">
        <v>18432478119</v>
      </c>
      <c r="E1075" s="40">
        <v>16887995617</v>
      </c>
      <c r="F1075" s="40">
        <v>16174269239</v>
      </c>
      <c r="G1075" s="40">
        <v>16579228782</v>
      </c>
    </row>
    <row r="1076" spans="2:7" x14ac:dyDescent="0.2">
      <c r="B1076" t="s">
        <v>2251</v>
      </c>
      <c r="C1076" s="40">
        <v>551087161171</v>
      </c>
      <c r="D1076" s="40">
        <v>561221280575</v>
      </c>
      <c r="E1076" s="40">
        <v>571037773651</v>
      </c>
      <c r="F1076" s="40">
        <v>577216118410</v>
      </c>
      <c r="G1076" s="40">
        <v>589521917967</v>
      </c>
    </row>
    <row r="1077" spans="2:7" x14ac:dyDescent="0.2">
      <c r="B1077" t="s">
        <v>2252</v>
      </c>
      <c r="C1077" s="40">
        <v>331176762084</v>
      </c>
      <c r="D1077" s="40">
        <v>338434703713</v>
      </c>
      <c r="E1077" s="40">
        <v>350688342320</v>
      </c>
      <c r="F1077" s="40">
        <v>354495491767</v>
      </c>
      <c r="G1077" s="40">
        <v>359385884889</v>
      </c>
    </row>
    <row r="1078" spans="2:7" x14ac:dyDescent="0.2">
      <c r="B1078" t="s">
        <v>2253</v>
      </c>
      <c r="C1078" s="40">
        <v>331176762084</v>
      </c>
      <c r="D1078" s="40">
        <v>338434703713</v>
      </c>
      <c r="E1078" s="40">
        <v>350688342320</v>
      </c>
      <c r="F1078" s="40">
        <v>354495491767</v>
      </c>
      <c r="G1078" s="40">
        <v>359385884889</v>
      </c>
    </row>
    <row r="1079" spans="2:7" x14ac:dyDescent="0.2">
      <c r="B1079" t="s">
        <v>2254</v>
      </c>
      <c r="C1079" s="40">
        <v>0</v>
      </c>
      <c r="D1079" s="40">
        <v>0</v>
      </c>
      <c r="E1079" s="40">
        <v>0</v>
      </c>
      <c r="F1079" s="40">
        <v>0</v>
      </c>
      <c r="G1079" s="40">
        <v>0</v>
      </c>
    </row>
    <row r="1080" spans="2:7" x14ac:dyDescent="0.2">
      <c r="B1080" t="s">
        <v>2255</v>
      </c>
      <c r="C1080" s="40">
        <v>0</v>
      </c>
      <c r="D1080" s="40">
        <v>0</v>
      </c>
      <c r="E1080" s="40">
        <v>0</v>
      </c>
      <c r="F1080" s="40">
        <v>0</v>
      </c>
      <c r="G1080" s="40">
        <v>0</v>
      </c>
    </row>
    <row r="1081" spans="2:7" x14ac:dyDescent="0.2">
      <c r="B1081" t="s">
        <v>2256</v>
      </c>
      <c r="C1081" s="40">
        <v>4086458229</v>
      </c>
      <c r="D1081" s="40">
        <v>4125715377</v>
      </c>
      <c r="E1081" s="40">
        <v>4152169576</v>
      </c>
      <c r="F1081" s="40">
        <v>4176921633</v>
      </c>
      <c r="G1081" s="40">
        <v>4187674807</v>
      </c>
    </row>
    <row r="1082" spans="2:7" x14ac:dyDescent="0.2">
      <c r="B1082" t="s">
        <v>2257</v>
      </c>
      <c r="C1082" s="40">
        <v>0</v>
      </c>
      <c r="D1082" s="40">
        <v>0</v>
      </c>
      <c r="E1082" s="40">
        <v>0</v>
      </c>
      <c r="F1082" s="40">
        <v>0</v>
      </c>
      <c r="G1082" s="40">
        <v>0</v>
      </c>
    </row>
    <row r="1083" spans="2:7" x14ac:dyDescent="0.2">
      <c r="B1083" t="s">
        <v>2258</v>
      </c>
      <c r="C1083" s="40">
        <v>0</v>
      </c>
      <c r="D1083" s="40">
        <v>0</v>
      </c>
      <c r="E1083" s="40">
        <v>0</v>
      </c>
      <c r="F1083" s="40">
        <v>0</v>
      </c>
      <c r="G1083" s="40">
        <v>0</v>
      </c>
    </row>
    <row r="1084" spans="2:7" x14ac:dyDescent="0.2">
      <c r="B1084" t="s">
        <v>2259</v>
      </c>
      <c r="C1084" s="40">
        <v>107206515</v>
      </c>
      <c r="D1084" s="40">
        <v>143751654</v>
      </c>
      <c r="E1084" s="40">
        <v>98654810</v>
      </c>
      <c r="F1084" s="40">
        <v>93887358</v>
      </c>
      <c r="G1084" s="40">
        <v>104662303</v>
      </c>
    </row>
    <row r="1085" spans="2:7" x14ac:dyDescent="0.2">
      <c r="B1085" t="s">
        <v>2260</v>
      </c>
      <c r="C1085" s="40">
        <v>60163106</v>
      </c>
      <c r="D1085" s="40">
        <v>84106777</v>
      </c>
      <c r="E1085" s="40">
        <v>116661822</v>
      </c>
      <c r="F1085" s="40">
        <v>140307718</v>
      </c>
      <c r="G1085" s="40">
        <v>159601513</v>
      </c>
    </row>
    <row r="1086" spans="2:7" x14ac:dyDescent="0.2">
      <c r="B1086" t="s">
        <v>2261</v>
      </c>
      <c r="C1086" s="40">
        <v>2495807</v>
      </c>
      <c r="D1086" s="40">
        <v>1941961</v>
      </c>
      <c r="E1086" s="40">
        <v>502481</v>
      </c>
      <c r="F1086" s="40">
        <v>1006921</v>
      </c>
      <c r="G1086" s="40">
        <v>1526425</v>
      </c>
    </row>
    <row r="1087" spans="2:7" x14ac:dyDescent="0.2">
      <c r="B1087" t="s">
        <v>2262</v>
      </c>
      <c r="C1087" s="40">
        <v>0</v>
      </c>
      <c r="D1087" s="40">
        <v>0</v>
      </c>
      <c r="E1087" s="40">
        <v>0</v>
      </c>
      <c r="F1087" s="40">
        <v>0</v>
      </c>
      <c r="G1087" s="40">
        <v>0</v>
      </c>
    </row>
    <row r="1088" spans="2:7" x14ac:dyDescent="0.2">
      <c r="B1088" t="s">
        <v>2263</v>
      </c>
      <c r="C1088" s="40">
        <v>201720140256</v>
      </c>
      <c r="D1088" s="40">
        <v>207274819310</v>
      </c>
      <c r="E1088" s="40">
        <v>209184104338</v>
      </c>
      <c r="F1088" s="40">
        <v>211608564048</v>
      </c>
      <c r="G1088" s="40">
        <v>215274305121</v>
      </c>
    </row>
    <row r="1089" spans="2:7" x14ac:dyDescent="0.2">
      <c r="B1089" t="s">
        <v>2264</v>
      </c>
      <c r="C1089" s="40">
        <v>0</v>
      </c>
      <c r="D1089" s="40">
        <v>0</v>
      </c>
      <c r="E1089" s="40">
        <v>0</v>
      </c>
      <c r="F1089" s="40">
        <v>0</v>
      </c>
      <c r="G1089" s="40">
        <v>0</v>
      </c>
    </row>
    <row r="1090" spans="2:7" x14ac:dyDescent="0.2">
      <c r="B1090" t="s">
        <v>2265</v>
      </c>
      <c r="C1090" s="40">
        <v>203818622</v>
      </c>
      <c r="D1090" s="40">
        <v>451996126</v>
      </c>
      <c r="E1090" s="40">
        <v>209078337</v>
      </c>
      <c r="F1090" s="40">
        <v>93717334</v>
      </c>
      <c r="G1090" s="40">
        <v>60241660</v>
      </c>
    </row>
    <row r="1091" spans="2:7" x14ac:dyDescent="0.2">
      <c r="B1091" t="s">
        <v>2266</v>
      </c>
      <c r="C1091" s="40">
        <v>-1560923239</v>
      </c>
      <c r="D1091" s="40">
        <v>-1001289743</v>
      </c>
      <c r="E1091" s="40">
        <v>-966560981</v>
      </c>
      <c r="F1091" s="40">
        <v>-993089554</v>
      </c>
      <c r="G1091" s="40">
        <v>-908972466</v>
      </c>
    </row>
    <row r="1092" spans="2:7" x14ac:dyDescent="0.2">
      <c r="B1092" t="s">
        <v>2267</v>
      </c>
      <c r="C1092" s="40">
        <v>0</v>
      </c>
      <c r="D1092" s="40">
        <v>0</v>
      </c>
      <c r="E1092" s="40">
        <v>0</v>
      </c>
      <c r="F1092" s="40">
        <v>0</v>
      </c>
      <c r="G1092" s="40">
        <v>0</v>
      </c>
    </row>
    <row r="1093" spans="2:7" x14ac:dyDescent="0.2">
      <c r="B1093" t="s">
        <v>2268</v>
      </c>
      <c r="C1093" s="40">
        <v>4453104074</v>
      </c>
      <c r="D1093" s="40">
        <v>4225492363</v>
      </c>
      <c r="E1093" s="40">
        <v>4175756854</v>
      </c>
      <c r="F1093" s="40">
        <v>4236758872</v>
      </c>
      <c r="G1093" s="40">
        <v>4269391624</v>
      </c>
    </row>
    <row r="1094" spans="2:7" x14ac:dyDescent="0.2">
      <c r="B1094" t="s">
        <v>2269</v>
      </c>
      <c r="C1094" s="40">
        <v>0</v>
      </c>
      <c r="D1094" s="40">
        <v>0</v>
      </c>
      <c r="E1094" s="40">
        <v>0</v>
      </c>
      <c r="F1094" s="40">
        <v>0</v>
      </c>
      <c r="G1094" s="40">
        <v>0</v>
      </c>
    </row>
    <row r="1095" spans="2:7" x14ac:dyDescent="0.2">
      <c r="B1095" t="s">
        <v>2270</v>
      </c>
      <c r="C1095" s="40">
        <v>0</v>
      </c>
      <c r="D1095" s="40">
        <v>0</v>
      </c>
      <c r="E1095" s="40">
        <v>0</v>
      </c>
      <c r="F1095" s="40">
        <v>0</v>
      </c>
      <c r="G1095" s="40">
        <v>0</v>
      </c>
    </row>
    <row r="1096" spans="2:7" x14ac:dyDescent="0.2">
      <c r="B1096" t="s">
        <v>2271</v>
      </c>
      <c r="C1096" s="40">
        <v>0</v>
      </c>
      <c r="D1096" s="40">
        <v>0</v>
      </c>
      <c r="E1096" s="40">
        <v>0</v>
      </c>
      <c r="F1096" s="40">
        <v>0</v>
      </c>
      <c r="G1096" s="40">
        <v>0</v>
      </c>
    </row>
    <row r="1097" spans="2:7" x14ac:dyDescent="0.2">
      <c r="B1097" t="s">
        <v>2272</v>
      </c>
      <c r="C1097" s="40">
        <v>0</v>
      </c>
      <c r="D1097" s="40">
        <v>0</v>
      </c>
      <c r="E1097" s="40">
        <v>0</v>
      </c>
      <c r="F1097" s="40">
        <v>0</v>
      </c>
      <c r="G1097" s="40">
        <v>0</v>
      </c>
    </row>
    <row r="1098" spans="2:7" x14ac:dyDescent="0.2">
      <c r="B1098" t="s">
        <v>2273</v>
      </c>
      <c r="C1098" s="40">
        <v>0</v>
      </c>
      <c r="D1098" s="40">
        <v>0</v>
      </c>
      <c r="E1098" s="40">
        <v>0</v>
      </c>
      <c r="F1098" s="40">
        <v>0</v>
      </c>
      <c r="G1098" s="40">
        <v>0</v>
      </c>
    </row>
    <row r="1099" spans="2:7" x14ac:dyDescent="0.2">
      <c r="B1099" t="s">
        <v>2274</v>
      </c>
      <c r="C1099" s="40">
        <v>7275</v>
      </c>
      <c r="D1099" s="40">
        <v>7301</v>
      </c>
      <c r="E1099" s="40">
        <v>7246</v>
      </c>
      <c r="F1099" s="40">
        <v>7225</v>
      </c>
      <c r="G1099" s="40">
        <v>7354</v>
      </c>
    </row>
    <row r="1100" spans="2:7" x14ac:dyDescent="0.2">
      <c r="B1100" t="s">
        <v>2275</v>
      </c>
      <c r="C1100" s="40">
        <v>10669</v>
      </c>
      <c r="D1100" s="40">
        <v>10290</v>
      </c>
      <c r="E1100" s="40">
        <v>10000</v>
      </c>
      <c r="F1100" s="40">
        <v>10389</v>
      </c>
      <c r="G1100" s="40">
        <v>10279</v>
      </c>
    </row>
    <row r="1101" spans="2:7" x14ac:dyDescent="0.2">
      <c r="B1101" t="s">
        <v>2276</v>
      </c>
      <c r="C1101" s="40">
        <v>966</v>
      </c>
      <c r="D1101" s="40">
        <v>929</v>
      </c>
      <c r="E1101" s="40">
        <v>966</v>
      </c>
      <c r="F1101" s="40">
        <v>959</v>
      </c>
      <c r="G1101" s="40">
        <v>1002</v>
      </c>
    </row>
    <row r="1102" spans="2:7" x14ac:dyDescent="0.2">
      <c r="B1102" t="s">
        <v>2277</v>
      </c>
      <c r="C1102" s="40">
        <v>1129</v>
      </c>
      <c r="D1102" s="40">
        <v>1143</v>
      </c>
      <c r="E1102" s="40">
        <v>1181</v>
      </c>
      <c r="F1102" s="40">
        <v>1185</v>
      </c>
      <c r="G1102" s="40">
        <v>1181</v>
      </c>
    </row>
    <row r="1103" spans="2:7" x14ac:dyDescent="0.2">
      <c r="B1103" t="s">
        <v>2278</v>
      </c>
      <c r="C1103" s="40">
        <v>20039</v>
      </c>
      <c r="D1103" s="40">
        <v>19663</v>
      </c>
      <c r="E1103" s="40">
        <v>19393</v>
      </c>
      <c r="F1103" s="40">
        <v>19758</v>
      </c>
      <c r="G1103" s="40">
        <v>19816</v>
      </c>
    </row>
    <row r="1104" spans="2:7" x14ac:dyDescent="0.2">
      <c r="B1104" t="s">
        <v>2279</v>
      </c>
      <c r="C1104" s="40">
        <v>0</v>
      </c>
      <c r="D1104" s="40">
        <v>0</v>
      </c>
      <c r="E1104" s="40">
        <v>0</v>
      </c>
      <c r="F1104" s="40">
        <v>0</v>
      </c>
      <c r="G1104" s="40">
        <v>0</v>
      </c>
    </row>
    <row r="1105" spans="2:7" x14ac:dyDescent="0.2">
      <c r="B1105" t="s">
        <v>2280</v>
      </c>
      <c r="C1105" s="40">
        <v>0</v>
      </c>
      <c r="D1105" s="40">
        <v>0</v>
      </c>
      <c r="E1105" s="40">
        <v>0</v>
      </c>
      <c r="F1105" s="40">
        <v>0</v>
      </c>
      <c r="G1105" s="40">
        <v>0</v>
      </c>
    </row>
    <row r="1106" spans="2:7" x14ac:dyDescent="0.2">
      <c r="B1106" t="s">
        <v>2281</v>
      </c>
      <c r="C1106" s="40">
        <v>0</v>
      </c>
      <c r="D1106" s="40">
        <v>0</v>
      </c>
      <c r="E1106" s="40">
        <v>0</v>
      </c>
      <c r="F1106" s="40">
        <v>0</v>
      </c>
      <c r="G1106" s="40">
        <v>0</v>
      </c>
    </row>
    <row r="1107" spans="2:7" x14ac:dyDescent="0.2">
      <c r="B1107" t="s">
        <v>2282</v>
      </c>
      <c r="C1107" s="40">
        <v>0</v>
      </c>
      <c r="D1107" s="40">
        <v>0</v>
      </c>
      <c r="E1107" s="40">
        <v>0</v>
      </c>
      <c r="F1107" s="40">
        <v>0</v>
      </c>
      <c r="G1107" s="40">
        <v>0</v>
      </c>
    </row>
    <row r="1108" spans="2:7" x14ac:dyDescent="0.2">
      <c r="B1108" t="s">
        <v>2283</v>
      </c>
      <c r="C1108" s="40">
        <v>0</v>
      </c>
      <c r="D1108" s="40">
        <v>0</v>
      </c>
      <c r="E1108" s="40">
        <v>0</v>
      </c>
      <c r="F1108" s="40">
        <v>0</v>
      </c>
      <c r="G1108" s="40">
        <v>0</v>
      </c>
    </row>
    <row r="1109" spans="2:7" x14ac:dyDescent="0.2">
      <c r="B1109" t="s">
        <v>2284</v>
      </c>
      <c r="C1109" s="40">
        <v>0</v>
      </c>
      <c r="D1109" s="40">
        <v>0</v>
      </c>
      <c r="E1109" s="40">
        <v>0</v>
      </c>
      <c r="F1109" s="40">
        <v>0</v>
      </c>
      <c r="G1109" s="40">
        <v>0</v>
      </c>
    </row>
    <row r="1110" spans="2:7" x14ac:dyDescent="0.2">
      <c r="B1110" t="s">
        <v>2285</v>
      </c>
      <c r="C1110" s="40">
        <v>0</v>
      </c>
      <c r="D1110" s="40">
        <v>0</v>
      </c>
      <c r="E1110" s="40">
        <v>0</v>
      </c>
      <c r="F1110" s="40">
        <v>0</v>
      </c>
      <c r="G1110" s="40">
        <v>0</v>
      </c>
    </row>
    <row r="1111" spans="2:7" x14ac:dyDescent="0.2">
      <c r="B1111" t="s">
        <v>2286</v>
      </c>
      <c r="C1111" s="40">
        <v>283173473</v>
      </c>
      <c r="D1111" s="40">
        <v>284337745</v>
      </c>
      <c r="E1111" s="40">
        <v>286879272</v>
      </c>
      <c r="F1111" s="40">
        <v>288799290</v>
      </c>
      <c r="G1111" s="40">
        <v>290860548</v>
      </c>
    </row>
    <row r="1112" spans="2:7" x14ac:dyDescent="0.2">
      <c r="B1112" t="s">
        <v>2287</v>
      </c>
      <c r="C1112" s="40">
        <v>3805979489</v>
      </c>
      <c r="D1112" s="40">
        <v>4142834109</v>
      </c>
      <c r="E1112" s="40">
        <v>3942339140</v>
      </c>
      <c r="F1112" s="40">
        <v>4338947940</v>
      </c>
      <c r="G1112" s="40">
        <v>4728757795</v>
      </c>
    </row>
    <row r="1113" spans="2:7" x14ac:dyDescent="0.2">
      <c r="B1113" t="s">
        <v>2288</v>
      </c>
      <c r="C1113" s="40">
        <v>0</v>
      </c>
      <c r="D1113" s="40">
        <v>0</v>
      </c>
      <c r="E1113" s="40">
        <v>0</v>
      </c>
      <c r="F1113" s="40">
        <v>0</v>
      </c>
      <c r="G1113" s="40">
        <v>0</v>
      </c>
    </row>
    <row r="1114" spans="2:7" x14ac:dyDescent="0.2">
      <c r="B1114" t="s">
        <v>2289</v>
      </c>
      <c r="C1114" s="40">
        <v>0</v>
      </c>
      <c r="D1114" s="40">
        <v>0</v>
      </c>
      <c r="E1114" s="40">
        <v>0</v>
      </c>
      <c r="F1114" s="40">
        <v>0</v>
      </c>
      <c r="G1114" s="40">
        <v>0</v>
      </c>
    </row>
    <row r="1115" spans="2:7" x14ac:dyDescent="0.2">
      <c r="B1115" t="s">
        <v>2290</v>
      </c>
      <c r="C1115" s="40">
        <v>0</v>
      </c>
      <c r="D1115" s="40">
        <v>0</v>
      </c>
      <c r="E1115" s="40">
        <v>0</v>
      </c>
      <c r="F1115" s="40">
        <v>0</v>
      </c>
      <c r="G1115" s="40">
        <v>0</v>
      </c>
    </row>
    <row r="1116" spans="2:7" x14ac:dyDescent="0.2">
      <c r="B1116" t="s">
        <v>2291</v>
      </c>
      <c r="C1116" s="40">
        <v>0</v>
      </c>
      <c r="D1116" s="40">
        <v>0</v>
      </c>
      <c r="E1116" s="40">
        <v>0</v>
      </c>
      <c r="F1116" s="40">
        <v>0</v>
      </c>
      <c r="G1116" s="40">
        <v>0</v>
      </c>
    </row>
    <row r="1117" spans="2:7" x14ac:dyDescent="0.2">
      <c r="B1117" t="s">
        <v>2292</v>
      </c>
      <c r="C1117" s="40">
        <v>0</v>
      </c>
      <c r="D1117" s="40">
        <v>0</v>
      </c>
      <c r="E1117" s="40">
        <v>0</v>
      </c>
      <c r="F1117" s="40">
        <v>0</v>
      </c>
      <c r="G1117" s="40">
        <v>0</v>
      </c>
    </row>
    <row r="1118" spans="2:7" x14ac:dyDescent="0.2">
      <c r="B1118" t="s">
        <v>2293</v>
      </c>
      <c r="C1118" s="40">
        <v>50952466</v>
      </c>
      <c r="D1118" s="40">
        <v>55865573</v>
      </c>
      <c r="E1118" s="40">
        <v>52935875</v>
      </c>
      <c r="F1118" s="40">
        <v>52708394</v>
      </c>
      <c r="G1118" s="40">
        <v>69655835</v>
      </c>
    </row>
    <row r="1119" spans="2:7" x14ac:dyDescent="0.2">
      <c r="B1119" t="s">
        <v>2294</v>
      </c>
      <c r="C1119" s="40">
        <v>257658455724</v>
      </c>
      <c r="D1119" s="40">
        <v>258098693167</v>
      </c>
      <c r="E1119" s="40">
        <v>261972015462</v>
      </c>
      <c r="F1119" s="40">
        <v>266662167062</v>
      </c>
      <c r="G1119" s="40">
        <v>271977349581</v>
      </c>
    </row>
    <row r="1120" spans="2:7" x14ac:dyDescent="0.2">
      <c r="B1120" t="s">
        <v>2295</v>
      </c>
      <c r="C1120" s="40">
        <v>6361742</v>
      </c>
      <c r="D1120" s="40">
        <v>6337712</v>
      </c>
      <c r="E1120" s="40">
        <v>6214826</v>
      </c>
      <c r="F1120" s="40">
        <v>6235722</v>
      </c>
      <c r="G1120" s="40">
        <v>6276315</v>
      </c>
    </row>
    <row r="1121" spans="2:7" x14ac:dyDescent="0.2">
      <c r="B1121" t="s">
        <v>2296</v>
      </c>
      <c r="C1121" s="40">
        <v>0</v>
      </c>
      <c r="D1121" s="40">
        <v>0</v>
      </c>
      <c r="E1121" s="40">
        <v>0</v>
      </c>
      <c r="F1121" s="40">
        <v>0</v>
      </c>
      <c r="G1121" s="40">
        <v>0</v>
      </c>
    </row>
    <row r="1122" spans="2:7" x14ac:dyDescent="0.2">
      <c r="B1122" t="s">
        <v>2297</v>
      </c>
      <c r="C1122" s="40">
        <v>0</v>
      </c>
      <c r="D1122" s="40">
        <v>0</v>
      </c>
      <c r="E1122" s="40">
        <v>0</v>
      </c>
      <c r="F1122" s="40">
        <v>0</v>
      </c>
      <c r="G1122" s="40">
        <v>0</v>
      </c>
    </row>
    <row r="1123" spans="2:7" x14ac:dyDescent="0.2">
      <c r="B1123" t="s">
        <v>2298</v>
      </c>
      <c r="C1123" s="40">
        <v>0</v>
      </c>
      <c r="D1123" s="40">
        <v>0</v>
      </c>
      <c r="E1123" s="40">
        <v>0</v>
      </c>
      <c r="F1123" s="40">
        <v>0</v>
      </c>
      <c r="G1123" s="40">
        <v>0</v>
      </c>
    </row>
    <row r="1124" spans="2:7" x14ac:dyDescent="0.2">
      <c r="B1124" t="s">
        <v>2299</v>
      </c>
      <c r="C1124" s="40">
        <v>122282226299</v>
      </c>
      <c r="D1124" s="40">
        <v>110547928410</v>
      </c>
      <c r="E1124" s="40">
        <v>142452891939</v>
      </c>
      <c r="F1124" s="40">
        <v>121773640661</v>
      </c>
      <c r="G1124" s="40">
        <v>115980159841</v>
      </c>
    </row>
    <row r="1125" spans="2:7" x14ac:dyDescent="0.2">
      <c r="B1125" t="s">
        <v>2300</v>
      </c>
      <c r="C1125" s="40">
        <v>12838345997</v>
      </c>
      <c r="D1125" s="40">
        <v>14173471400</v>
      </c>
      <c r="E1125" s="40">
        <v>12827346719</v>
      </c>
      <c r="F1125" s="40">
        <v>13068429717</v>
      </c>
      <c r="G1125" s="40">
        <v>13359168498</v>
      </c>
    </row>
    <row r="1126" spans="2:7" x14ac:dyDescent="0.2">
      <c r="B1126" t="s">
        <v>2301</v>
      </c>
      <c r="C1126" s="40">
        <v>9037928109</v>
      </c>
      <c r="D1126" s="40">
        <v>12386119249</v>
      </c>
      <c r="E1126" s="40">
        <v>9607893557</v>
      </c>
      <c r="F1126" s="40">
        <v>9379873361</v>
      </c>
      <c r="G1126" s="40">
        <v>8828068833</v>
      </c>
    </row>
    <row r="1127" spans="2:7" x14ac:dyDescent="0.2">
      <c r="B1127" t="s">
        <v>2302</v>
      </c>
      <c r="C1127" s="40">
        <v>30945239971</v>
      </c>
      <c r="D1127" s="40">
        <v>30569671892</v>
      </c>
      <c r="E1127" s="40">
        <v>31315308557</v>
      </c>
      <c r="F1127" s="40">
        <v>31530120225</v>
      </c>
      <c r="G1127" s="40">
        <v>31602816748</v>
      </c>
    </row>
    <row r="1128" spans="2:7" x14ac:dyDescent="0.2">
      <c r="B1128" t="s">
        <v>2303</v>
      </c>
      <c r="C1128" s="40">
        <v>301354657</v>
      </c>
      <c r="D1128" s="40">
        <v>253065924</v>
      </c>
      <c r="E1128" s="40">
        <v>339225233</v>
      </c>
      <c r="F1128" s="40">
        <v>256793808</v>
      </c>
      <c r="G1128" s="40">
        <v>245604587</v>
      </c>
    </row>
    <row r="1129" spans="2:7" x14ac:dyDescent="0.2">
      <c r="B1129" t="s">
        <v>2304</v>
      </c>
      <c r="C1129" s="40">
        <v>216998098521</v>
      </c>
      <c r="D1129" s="40">
        <v>211081316598</v>
      </c>
      <c r="E1129" s="40">
        <v>247532454075</v>
      </c>
      <c r="F1129" s="40">
        <v>223753980104</v>
      </c>
      <c r="G1129" s="40">
        <v>215532319013</v>
      </c>
    </row>
    <row r="1130" spans="2:7" x14ac:dyDescent="0.2">
      <c r="B1130" t="s">
        <v>2305</v>
      </c>
      <c r="C1130" s="40">
        <v>3677</v>
      </c>
      <c r="D1130" s="40">
        <v>3663</v>
      </c>
      <c r="E1130" s="40">
        <v>3640</v>
      </c>
      <c r="F1130" s="40">
        <v>3618</v>
      </c>
      <c r="G1130" s="40">
        <v>3595</v>
      </c>
    </row>
    <row r="1131" spans="2:7" x14ac:dyDescent="0.2">
      <c r="B1131" t="s">
        <v>2306</v>
      </c>
      <c r="C1131" s="40">
        <v>347815035117</v>
      </c>
      <c r="D1131" s="40">
        <v>338657665013</v>
      </c>
      <c r="E1131" s="40">
        <v>346857130826</v>
      </c>
      <c r="F1131" s="40">
        <v>351990988997</v>
      </c>
      <c r="G1131" s="40">
        <v>355678959108</v>
      </c>
    </row>
    <row r="1132" spans="2:7" x14ac:dyDescent="0.2">
      <c r="B1132" t="s">
        <v>2307</v>
      </c>
      <c r="C1132" s="40">
        <v>11995673414</v>
      </c>
      <c r="D1132" s="40">
        <v>11197786391</v>
      </c>
      <c r="E1132" s="40">
        <v>11524966695</v>
      </c>
      <c r="F1132" s="40">
        <v>11905898716</v>
      </c>
      <c r="G1132" s="40">
        <v>11934888334</v>
      </c>
    </row>
    <row r="1133" spans="2:7" x14ac:dyDescent="0.2">
      <c r="B1133" t="s">
        <v>2308</v>
      </c>
      <c r="C1133" s="40">
        <v>13382686937</v>
      </c>
      <c r="D1133" s="40">
        <v>12599754396</v>
      </c>
      <c r="E1133" s="40">
        <v>12926446590</v>
      </c>
      <c r="F1133" s="40">
        <v>13344333723</v>
      </c>
      <c r="G1133" s="40">
        <v>13395974382</v>
      </c>
    </row>
    <row r="1134" spans="2:7" x14ac:dyDescent="0.2">
      <c r="B1134" t="s">
        <v>2309</v>
      </c>
      <c r="C1134" s="40">
        <v>172567161</v>
      </c>
      <c r="D1134" s="40">
        <v>192005152</v>
      </c>
      <c r="E1134" s="40">
        <v>192957100</v>
      </c>
      <c r="F1134" s="40">
        <v>216750724</v>
      </c>
      <c r="G1134" s="40">
        <v>236486337</v>
      </c>
    </row>
    <row r="1135" spans="2:7" x14ac:dyDescent="0.2">
      <c r="B1135" t="s">
        <v>2310</v>
      </c>
      <c r="C1135" s="40">
        <v>117210101</v>
      </c>
      <c r="D1135" s="40">
        <v>142193478</v>
      </c>
      <c r="E1135" s="40">
        <v>163754542</v>
      </c>
      <c r="F1135" s="40">
        <v>181827695</v>
      </c>
      <c r="G1135" s="40">
        <v>198928415</v>
      </c>
    </row>
    <row r="1136" spans="2:7" x14ac:dyDescent="0.2">
      <c r="B1136" t="s">
        <v>2311</v>
      </c>
      <c r="C1136" s="40">
        <v>566278272</v>
      </c>
      <c r="D1136" s="40">
        <v>563942297</v>
      </c>
      <c r="E1136" s="40">
        <v>605703741</v>
      </c>
      <c r="F1136" s="40">
        <v>553538008</v>
      </c>
      <c r="G1136" s="40">
        <v>588974189</v>
      </c>
    </row>
    <row r="1137" spans="2:7" x14ac:dyDescent="0.2">
      <c r="B1137" t="s">
        <v>2312</v>
      </c>
      <c r="C1137" s="40">
        <v>39704212</v>
      </c>
      <c r="D1137" s="40">
        <v>40033566</v>
      </c>
      <c r="E1137" s="40">
        <v>38250059</v>
      </c>
      <c r="F1137" s="40">
        <v>42350862</v>
      </c>
      <c r="G1137" s="40">
        <v>47309186</v>
      </c>
    </row>
    <row r="1138" spans="2:7" x14ac:dyDescent="0.2">
      <c r="B1138" t="s">
        <v>2313</v>
      </c>
      <c r="C1138" s="40">
        <v>914832451</v>
      </c>
      <c r="D1138" s="40">
        <v>946489807</v>
      </c>
      <c r="E1138" s="40">
        <v>993217254</v>
      </c>
      <c r="F1138" s="40">
        <v>1086150615</v>
      </c>
      <c r="G1138" s="40">
        <v>1145728572</v>
      </c>
    </row>
    <row r="1139" spans="2:7" x14ac:dyDescent="0.2">
      <c r="B1139" t="s">
        <v>2314</v>
      </c>
      <c r="C1139" s="40">
        <v>60641817092</v>
      </c>
      <c r="D1139" s="40">
        <v>57902970463</v>
      </c>
      <c r="E1139" s="40">
        <v>63973865124</v>
      </c>
      <c r="F1139" s="40">
        <v>65745871045</v>
      </c>
      <c r="G1139" s="40">
        <v>67417288721</v>
      </c>
    </row>
    <row r="1140" spans="2:7" x14ac:dyDescent="0.2">
      <c r="B1140" t="s">
        <v>2315</v>
      </c>
      <c r="C1140" s="40">
        <v>4166229</v>
      </c>
      <c r="D1140" s="40">
        <v>3973505</v>
      </c>
      <c r="E1140" s="40">
        <v>4107437</v>
      </c>
      <c r="F1140" s="40">
        <v>4029122</v>
      </c>
      <c r="G1140" s="40">
        <v>4086650</v>
      </c>
    </row>
    <row r="1141" spans="2:7" x14ac:dyDescent="0.2">
      <c r="B1141" t="s">
        <v>2316</v>
      </c>
      <c r="C1141" s="40">
        <v>361360430</v>
      </c>
      <c r="D1141" s="40">
        <v>9206483</v>
      </c>
      <c r="E1141" s="40">
        <v>45509401</v>
      </c>
      <c r="F1141" s="40">
        <v>18627967</v>
      </c>
      <c r="G1141" s="40">
        <v>19449773</v>
      </c>
    </row>
    <row r="1142" spans="2:7" x14ac:dyDescent="0.2">
      <c r="B1142" t="s">
        <v>2317</v>
      </c>
      <c r="C1142" s="40">
        <v>20936832506</v>
      </c>
      <c r="D1142" s="40">
        <v>21767197355</v>
      </c>
      <c r="E1142" s="40">
        <v>21669336094</v>
      </c>
      <c r="F1142" s="40">
        <v>22036849035</v>
      </c>
      <c r="G1142" s="40">
        <v>22570909668</v>
      </c>
    </row>
    <row r="1143" spans="2:7" x14ac:dyDescent="0.2">
      <c r="B1143" t="s">
        <v>2318</v>
      </c>
      <c r="C1143" s="40">
        <v>689799729</v>
      </c>
      <c r="D1143" s="40">
        <v>676987665</v>
      </c>
      <c r="E1143" s="40">
        <v>690498509</v>
      </c>
      <c r="F1143" s="40">
        <v>634525956</v>
      </c>
      <c r="G1143" s="40">
        <v>652467020</v>
      </c>
    </row>
    <row r="1144" spans="2:7" x14ac:dyDescent="0.2">
      <c r="B1144" t="s">
        <v>2319</v>
      </c>
      <c r="C1144" s="40">
        <v>220167458</v>
      </c>
      <c r="D1144" s="40">
        <v>224946106</v>
      </c>
      <c r="E1144" s="40">
        <v>207913215</v>
      </c>
      <c r="F1144" s="40">
        <v>188760743</v>
      </c>
      <c r="G1144" s="40">
        <v>196602417</v>
      </c>
    </row>
    <row r="1145" spans="2:7" x14ac:dyDescent="0.2">
      <c r="B1145" t="s">
        <v>2320</v>
      </c>
      <c r="C1145" s="40">
        <v>92554018</v>
      </c>
      <c r="D1145" s="40">
        <v>87884388</v>
      </c>
      <c r="E1145" s="40">
        <v>91815933</v>
      </c>
      <c r="F1145" s="40">
        <v>132464081</v>
      </c>
      <c r="G1145" s="40">
        <v>170558144</v>
      </c>
    </row>
    <row r="1146" spans="2:7" x14ac:dyDescent="0.2">
      <c r="B1146" t="s">
        <v>2321</v>
      </c>
      <c r="C1146" s="40">
        <v>2053825367</v>
      </c>
      <c r="D1146" s="40">
        <v>2061488067</v>
      </c>
      <c r="E1146" s="40">
        <v>2003562251</v>
      </c>
      <c r="F1146" s="40">
        <v>2340070598</v>
      </c>
      <c r="G1146" s="40">
        <v>2432325174</v>
      </c>
    </row>
    <row r="1147" spans="2:7" x14ac:dyDescent="0.2">
      <c r="B1147" t="s">
        <v>2322</v>
      </c>
      <c r="C1147" s="40">
        <v>1506577973</v>
      </c>
      <c r="D1147" s="40">
        <v>1565686278</v>
      </c>
      <c r="E1147" s="40">
        <v>1533070610</v>
      </c>
      <c r="F1147" s="40">
        <v>1623347280</v>
      </c>
      <c r="G1147" s="40">
        <v>1716895573</v>
      </c>
    </row>
    <row r="1148" spans="2:7" x14ac:dyDescent="0.2">
      <c r="B1148" t="s">
        <v>2323</v>
      </c>
      <c r="C1148" s="40">
        <v>4562924549</v>
      </c>
      <c r="D1148" s="40">
        <v>4616992510</v>
      </c>
      <c r="E1148" s="40">
        <v>4526860523</v>
      </c>
      <c r="F1148" s="40">
        <v>4919168679</v>
      </c>
      <c r="G1148" s="40">
        <v>5168848331</v>
      </c>
    </row>
    <row r="1149" spans="2:7" x14ac:dyDescent="0.2">
      <c r="B1149" t="s">
        <v>2324</v>
      </c>
      <c r="C1149" s="40">
        <v>92557318</v>
      </c>
      <c r="D1149" s="40">
        <v>96882867</v>
      </c>
      <c r="E1149" s="40">
        <v>99836448</v>
      </c>
      <c r="F1149" s="40">
        <v>91110156</v>
      </c>
      <c r="G1149" s="40">
        <v>105875064</v>
      </c>
    </row>
    <row r="1150" spans="2:7" x14ac:dyDescent="0.2">
      <c r="B1150" t="s">
        <v>2325</v>
      </c>
      <c r="C1150" s="40">
        <v>142162773</v>
      </c>
      <c r="D1150" s="40">
        <v>138708282</v>
      </c>
      <c r="E1150" s="40">
        <v>138008965</v>
      </c>
      <c r="F1150" s="40">
        <v>153364153</v>
      </c>
      <c r="G1150" s="40">
        <v>173879646</v>
      </c>
    </row>
    <row r="1151" spans="2:7" x14ac:dyDescent="0.2">
      <c r="B1151" t="s">
        <v>2326</v>
      </c>
      <c r="C1151" s="40">
        <v>119381490</v>
      </c>
      <c r="D1151" s="40">
        <v>130197123</v>
      </c>
      <c r="E1151" s="40">
        <v>151772867</v>
      </c>
      <c r="F1151" s="40">
        <v>170214438</v>
      </c>
      <c r="G1151" s="40">
        <v>220913321</v>
      </c>
    </row>
    <row r="1152" spans="2:7" x14ac:dyDescent="0.2">
      <c r="B1152" t="s">
        <v>2327</v>
      </c>
      <c r="C1152" s="40">
        <v>124727179</v>
      </c>
      <c r="D1152" s="40">
        <v>128783476</v>
      </c>
      <c r="E1152" s="40">
        <v>133423085</v>
      </c>
      <c r="F1152" s="40">
        <v>131280544</v>
      </c>
      <c r="G1152" s="40">
        <v>153251704</v>
      </c>
    </row>
    <row r="1153" spans="2:7" x14ac:dyDescent="0.2">
      <c r="B1153" t="s">
        <v>2328</v>
      </c>
      <c r="C1153" s="40">
        <v>33396453</v>
      </c>
      <c r="D1153" s="40">
        <v>33501955</v>
      </c>
      <c r="E1153" s="40">
        <v>28366714</v>
      </c>
      <c r="F1153" s="40">
        <v>33605802</v>
      </c>
      <c r="G1153" s="40">
        <v>46856196</v>
      </c>
    </row>
    <row r="1154" spans="2:7" x14ac:dyDescent="0.2">
      <c r="B1154" t="s">
        <v>2329</v>
      </c>
      <c r="C1154" s="40">
        <v>512225213</v>
      </c>
      <c r="D1154" s="40">
        <v>528073701</v>
      </c>
      <c r="E1154" s="40">
        <v>551408079</v>
      </c>
      <c r="F1154" s="40">
        <v>579575092</v>
      </c>
      <c r="G1154" s="40">
        <v>700775930</v>
      </c>
    </row>
    <row r="1155" spans="2:7" x14ac:dyDescent="0.2">
      <c r="B1155" t="s">
        <v>2330</v>
      </c>
      <c r="C1155" s="40">
        <v>70650158399</v>
      </c>
      <c r="D1155" s="40">
        <v>68374207500</v>
      </c>
      <c r="E1155" s="40">
        <v>67677039543</v>
      </c>
      <c r="F1155" s="40">
        <v>68404150091</v>
      </c>
      <c r="G1155" s="40">
        <v>69101821862</v>
      </c>
    </row>
    <row r="1156" spans="2:7" x14ac:dyDescent="0.2">
      <c r="B1156" t="s">
        <v>2331</v>
      </c>
      <c r="C1156" s="40">
        <v>71606235830</v>
      </c>
      <c r="D1156" s="40">
        <v>66318748226</v>
      </c>
      <c r="E1156" s="40">
        <v>70131754127</v>
      </c>
      <c r="F1156" s="40">
        <v>70305170487</v>
      </c>
      <c r="G1156" s="40">
        <v>71648286124</v>
      </c>
    </row>
    <row r="1157" spans="2:7" x14ac:dyDescent="0.2">
      <c r="B1157" t="s">
        <v>2332</v>
      </c>
      <c r="C1157" s="40">
        <v>63061388844</v>
      </c>
      <c r="D1157" s="40">
        <v>63183501328</v>
      </c>
      <c r="E1157" s="40">
        <v>66499173637</v>
      </c>
      <c r="F1157" s="40">
        <v>70550634102</v>
      </c>
      <c r="G1157" s="40">
        <v>73529362571</v>
      </c>
    </row>
    <row r="1158" spans="2:7" x14ac:dyDescent="0.2">
      <c r="B1158" t="s">
        <v>2333</v>
      </c>
      <c r="C1158" s="40">
        <v>70814092041</v>
      </c>
      <c r="D1158" s="40">
        <v>74324090083</v>
      </c>
      <c r="E1158" s="40">
        <v>75056063024</v>
      </c>
      <c r="F1158" s="40">
        <v>75551059130</v>
      </c>
      <c r="G1158" s="40">
        <v>75206493858</v>
      </c>
    </row>
    <row r="1159" spans="2:7" x14ac:dyDescent="0.2">
      <c r="B1159" t="s">
        <v>2334</v>
      </c>
      <c r="C1159" s="40">
        <v>13896852688</v>
      </c>
      <c r="D1159" s="40">
        <v>12360540924</v>
      </c>
      <c r="E1159" s="40">
        <v>13943666652</v>
      </c>
      <c r="F1159" s="40">
        <v>13133947178</v>
      </c>
      <c r="G1159" s="40">
        <v>12546799686</v>
      </c>
    </row>
    <row r="1160" spans="2:7" x14ac:dyDescent="0.2">
      <c r="B1160" t="s">
        <v>2335</v>
      </c>
      <c r="C1160" s="40">
        <v>290215466372</v>
      </c>
      <c r="D1160" s="40">
        <v>284748905069</v>
      </c>
      <c r="E1160" s="40">
        <v>293518796052</v>
      </c>
      <c r="F1160" s="40">
        <v>298147418211</v>
      </c>
      <c r="G1160" s="40">
        <v>302196001290</v>
      </c>
    </row>
    <row r="1161" spans="2:7" x14ac:dyDescent="0.2">
      <c r="B1161" t="s">
        <v>2336</v>
      </c>
      <c r="C1161" s="40">
        <v>12930061196</v>
      </c>
      <c r="D1161" s="40">
        <v>12364581316</v>
      </c>
      <c r="E1161" s="40">
        <v>12555667267</v>
      </c>
      <c r="F1161" s="40">
        <v>12388859459</v>
      </c>
      <c r="G1161" s="40">
        <v>12019236111</v>
      </c>
    </row>
    <row r="1162" spans="2:7" x14ac:dyDescent="0.2">
      <c r="B1162" t="s">
        <v>2337</v>
      </c>
      <c r="C1162" s="40">
        <v>18585341648</v>
      </c>
      <c r="D1162" s="40">
        <v>17817259802</v>
      </c>
      <c r="E1162" s="40">
        <v>16797489961</v>
      </c>
      <c r="F1162" s="40">
        <v>16242741600</v>
      </c>
      <c r="G1162" s="40">
        <v>15748468553</v>
      </c>
    </row>
    <row r="1163" spans="2:7" x14ac:dyDescent="0.2">
      <c r="B1163" t="s">
        <v>2338</v>
      </c>
      <c r="C1163" s="40">
        <v>10849918246</v>
      </c>
      <c r="D1163" s="40">
        <v>10476011436</v>
      </c>
      <c r="E1163" s="40">
        <v>10690567438</v>
      </c>
      <c r="F1163" s="40">
        <v>12069150316</v>
      </c>
      <c r="G1163" s="40">
        <v>12396104118</v>
      </c>
    </row>
    <row r="1164" spans="2:7" x14ac:dyDescent="0.2">
      <c r="B1164" t="s">
        <v>2339</v>
      </c>
      <c r="C1164" s="40">
        <v>9110442991</v>
      </c>
      <c r="D1164" s="40">
        <v>7175044217</v>
      </c>
      <c r="E1164" s="40">
        <v>7096718058</v>
      </c>
      <c r="F1164" s="40">
        <v>6689781701</v>
      </c>
      <c r="G1164" s="40">
        <v>6428904957</v>
      </c>
    </row>
    <row r="1165" spans="2:7" x14ac:dyDescent="0.2">
      <c r="B1165" t="s">
        <v>2340</v>
      </c>
      <c r="C1165" s="40">
        <v>1239559700</v>
      </c>
      <c r="D1165" s="40">
        <v>1122587450</v>
      </c>
      <c r="E1165" s="40">
        <v>1334829996</v>
      </c>
      <c r="F1165" s="40">
        <v>1160780307</v>
      </c>
      <c r="G1165" s="40">
        <v>1187943626</v>
      </c>
    </row>
    <row r="1166" spans="2:7" x14ac:dyDescent="0.2">
      <c r="B1166" t="s">
        <v>2341</v>
      </c>
      <c r="C1166" s="40">
        <v>52528585212</v>
      </c>
      <c r="D1166" s="40">
        <v>48767667238</v>
      </c>
      <c r="E1166" s="40">
        <v>48264173609</v>
      </c>
      <c r="F1166" s="40">
        <v>48348856137</v>
      </c>
      <c r="G1166" s="40">
        <v>47617420207</v>
      </c>
    </row>
    <row r="1167" spans="2:7" x14ac:dyDescent="0.2">
      <c r="B1167" t="s">
        <v>2342</v>
      </c>
      <c r="C1167" s="40">
        <v>3084208835</v>
      </c>
      <c r="D1167" s="40">
        <v>4119874081</v>
      </c>
      <c r="E1167" s="40">
        <v>976747800</v>
      </c>
      <c r="F1167" s="40">
        <v>1887424731</v>
      </c>
      <c r="G1167" s="40">
        <v>2792883444</v>
      </c>
    </row>
    <row r="1168" spans="2:7" x14ac:dyDescent="0.2">
      <c r="B1168" t="s">
        <v>2343</v>
      </c>
      <c r="C1168" s="40">
        <v>452744663</v>
      </c>
      <c r="D1168" s="40">
        <v>604441668</v>
      </c>
      <c r="E1168" s="40">
        <v>162460730</v>
      </c>
      <c r="F1168" s="40">
        <v>323934367</v>
      </c>
      <c r="G1168" s="40">
        <v>494003328</v>
      </c>
    </row>
    <row r="1169" spans="2:7" x14ac:dyDescent="0.2">
      <c r="B1169" t="s">
        <v>2344</v>
      </c>
      <c r="C1169" s="40">
        <v>602347458</v>
      </c>
      <c r="D1169" s="40">
        <v>801997156</v>
      </c>
      <c r="E1169" s="40">
        <v>255167148</v>
      </c>
      <c r="F1169" s="40">
        <v>489807251</v>
      </c>
      <c r="G1169" s="40">
        <v>708632771</v>
      </c>
    </row>
    <row r="1170" spans="2:7" x14ac:dyDescent="0.2">
      <c r="B1170" t="s">
        <v>2345</v>
      </c>
      <c r="C1170" s="40">
        <v>99290892</v>
      </c>
      <c r="D1170" s="40">
        <v>134161063</v>
      </c>
      <c r="E1170" s="40">
        <v>42250955</v>
      </c>
      <c r="F1170" s="40">
        <v>87387589</v>
      </c>
      <c r="G1170" s="40">
        <v>132761715</v>
      </c>
    </row>
    <row r="1171" spans="2:7" x14ac:dyDescent="0.2">
      <c r="B1171" t="s">
        <v>2346</v>
      </c>
      <c r="C1171" s="40">
        <v>26693728</v>
      </c>
      <c r="D1171" s="40">
        <v>33976501</v>
      </c>
      <c r="E1171" s="40">
        <v>9096207</v>
      </c>
      <c r="F1171" s="40">
        <v>20789553</v>
      </c>
      <c r="G1171" s="40">
        <v>31890298</v>
      </c>
    </row>
    <row r="1172" spans="2:7" x14ac:dyDescent="0.2">
      <c r="B1172" t="s">
        <v>2347</v>
      </c>
      <c r="C1172" s="40">
        <v>9277499</v>
      </c>
      <c r="D1172" s="40">
        <v>15509891</v>
      </c>
      <c r="E1172" s="40">
        <v>4346951</v>
      </c>
      <c r="F1172" s="40">
        <v>8400748</v>
      </c>
      <c r="G1172" s="40">
        <v>11695172</v>
      </c>
    </row>
    <row r="1173" spans="2:7" x14ac:dyDescent="0.2">
      <c r="B1173" t="s">
        <v>2348</v>
      </c>
      <c r="C1173" s="40">
        <v>41408550</v>
      </c>
      <c r="D1173" s="40">
        <v>61176138</v>
      </c>
      <c r="E1173" s="40">
        <v>17710608</v>
      </c>
      <c r="F1173" s="40">
        <v>34833949</v>
      </c>
      <c r="G1173" s="40">
        <v>56577733</v>
      </c>
    </row>
    <row r="1174" spans="2:7" x14ac:dyDescent="0.2">
      <c r="B1174" t="s">
        <v>2349</v>
      </c>
      <c r="C1174" s="40">
        <v>30484373</v>
      </c>
      <c r="D1174" s="40">
        <v>38678023</v>
      </c>
      <c r="E1174" s="40">
        <v>8797133</v>
      </c>
      <c r="F1174" s="40">
        <v>18344936</v>
      </c>
      <c r="G1174" s="40">
        <v>27666332</v>
      </c>
    </row>
    <row r="1175" spans="2:7" x14ac:dyDescent="0.2">
      <c r="B1175" t="s">
        <v>2350</v>
      </c>
      <c r="C1175" s="40">
        <v>8570912</v>
      </c>
      <c r="D1175" s="40">
        <v>13207351</v>
      </c>
      <c r="E1175" s="40">
        <v>2866246</v>
      </c>
      <c r="F1175" s="40">
        <v>5874720</v>
      </c>
      <c r="G1175" s="40">
        <v>26141093</v>
      </c>
    </row>
    <row r="1176" spans="2:7" x14ac:dyDescent="0.2">
      <c r="B1176" t="s">
        <v>2351</v>
      </c>
      <c r="C1176" s="40">
        <v>3697903</v>
      </c>
      <c r="D1176" s="40">
        <v>5188479</v>
      </c>
      <c r="E1176" s="40">
        <v>1736707</v>
      </c>
      <c r="F1176" s="40">
        <v>3604097</v>
      </c>
      <c r="G1176" s="40">
        <v>4659695</v>
      </c>
    </row>
    <row r="1177" spans="2:7" x14ac:dyDescent="0.2">
      <c r="B1177" t="s">
        <v>2352</v>
      </c>
      <c r="C1177" s="40">
        <v>2723932</v>
      </c>
      <c r="D1177" s="40">
        <v>33795232</v>
      </c>
      <c r="E1177" s="40">
        <v>5852073</v>
      </c>
      <c r="F1177" s="40">
        <v>6420947</v>
      </c>
      <c r="G1177" s="40">
        <v>7504413</v>
      </c>
    </row>
    <row r="1178" spans="2:7" x14ac:dyDescent="0.2">
      <c r="B1178" t="s">
        <v>2353</v>
      </c>
      <c r="C1178" s="40">
        <v>187747</v>
      </c>
      <c r="D1178" s="40">
        <v>330536</v>
      </c>
      <c r="E1178" s="40">
        <v>29944</v>
      </c>
      <c r="F1178" s="40">
        <v>73842</v>
      </c>
      <c r="G1178" s="40">
        <v>50464</v>
      </c>
    </row>
    <row r="1179" spans="2:7" x14ac:dyDescent="0.2">
      <c r="B1179" t="s">
        <v>2354</v>
      </c>
      <c r="C1179" s="40">
        <v>721250</v>
      </c>
      <c r="D1179" s="40">
        <v>1038730</v>
      </c>
      <c r="E1179" s="40">
        <v>138196</v>
      </c>
      <c r="F1179" s="40">
        <v>310578</v>
      </c>
      <c r="G1179" s="40">
        <v>560493</v>
      </c>
    </row>
    <row r="1180" spans="2:7" x14ac:dyDescent="0.2">
      <c r="B1180" t="s">
        <v>2355</v>
      </c>
      <c r="C1180" s="40">
        <v>7737</v>
      </c>
      <c r="D1180" s="40">
        <v>289253</v>
      </c>
      <c r="E1180" s="40">
        <v>1917</v>
      </c>
      <c r="F1180" s="40">
        <v>4070</v>
      </c>
      <c r="G1180" s="40">
        <v>6084</v>
      </c>
    </row>
    <row r="1181" spans="2:7" x14ac:dyDescent="0.2">
      <c r="B1181" t="s">
        <v>2356</v>
      </c>
      <c r="C1181" s="40">
        <v>773802</v>
      </c>
      <c r="D1181" s="40">
        <v>2689450</v>
      </c>
      <c r="E1181" s="40">
        <v>373403</v>
      </c>
      <c r="F1181" s="40">
        <v>16696603</v>
      </c>
      <c r="G1181" s="40">
        <v>22907083</v>
      </c>
    </row>
    <row r="1182" spans="2:7" x14ac:dyDescent="0.2">
      <c r="B1182" t="s">
        <v>2357</v>
      </c>
      <c r="C1182" s="40">
        <v>90181</v>
      </c>
      <c r="D1182" s="40">
        <v>201970</v>
      </c>
      <c r="E1182" s="40">
        <v>1239627</v>
      </c>
      <c r="F1182" s="40">
        <v>1782408</v>
      </c>
      <c r="G1182" s="40">
        <v>2351206</v>
      </c>
    </row>
    <row r="1183" spans="2:7" x14ac:dyDescent="0.2">
      <c r="B1183" t="s">
        <v>2358</v>
      </c>
      <c r="C1183" s="40">
        <v>7978573</v>
      </c>
      <c r="D1183" s="40">
        <v>14166143</v>
      </c>
      <c r="E1183" s="40">
        <v>10897622</v>
      </c>
      <c r="F1183" s="40">
        <v>15284808</v>
      </c>
      <c r="G1183" s="40">
        <v>8418400</v>
      </c>
    </row>
    <row r="1184" spans="2:7" x14ac:dyDescent="0.2">
      <c r="B1184" t="s">
        <v>2359</v>
      </c>
      <c r="C1184" s="40">
        <v>1394828</v>
      </c>
      <c r="D1184" s="40">
        <v>1656416</v>
      </c>
      <c r="E1184" s="40">
        <v>690644</v>
      </c>
      <c r="F1184" s="40">
        <v>1022288</v>
      </c>
      <c r="G1184" s="40">
        <v>970690</v>
      </c>
    </row>
    <row r="1185" spans="2:7" x14ac:dyDescent="0.2">
      <c r="B1185" t="s">
        <v>2360</v>
      </c>
      <c r="C1185" s="40">
        <v>54792861</v>
      </c>
      <c r="D1185" s="40">
        <v>159099023</v>
      </c>
      <c r="E1185" s="40">
        <v>21976211</v>
      </c>
      <c r="F1185" s="40">
        <v>68086317</v>
      </c>
      <c r="G1185" s="40">
        <v>90762699</v>
      </c>
    </row>
    <row r="1186" spans="2:7" x14ac:dyDescent="0.2">
      <c r="B1186" t="s">
        <v>2361</v>
      </c>
      <c r="C1186" s="40">
        <v>2959301</v>
      </c>
      <c r="D1186" s="40">
        <v>6734277</v>
      </c>
      <c r="E1186" s="40">
        <v>601744</v>
      </c>
      <c r="F1186" s="40">
        <v>1783749</v>
      </c>
      <c r="G1186" s="40">
        <v>4289132</v>
      </c>
    </row>
    <row r="1187" spans="2:7" x14ac:dyDescent="0.2">
      <c r="B1187" t="s">
        <v>2362</v>
      </c>
      <c r="C1187" s="40">
        <v>1297495</v>
      </c>
      <c r="D1187" s="40">
        <v>4371433</v>
      </c>
      <c r="E1187" s="40">
        <v>89663</v>
      </c>
      <c r="F1187" s="40">
        <v>567703</v>
      </c>
      <c r="G1187" s="40">
        <v>523090</v>
      </c>
    </row>
    <row r="1188" spans="2:7" x14ac:dyDescent="0.2">
      <c r="B1188" t="s">
        <v>2363</v>
      </c>
      <c r="C1188" s="40">
        <v>20752</v>
      </c>
      <c r="D1188" s="40">
        <v>45334</v>
      </c>
      <c r="E1188" s="40">
        <v>4502</v>
      </c>
      <c r="F1188" s="40">
        <v>153139</v>
      </c>
      <c r="G1188" s="40">
        <v>158974</v>
      </c>
    </row>
    <row r="1189" spans="2:7" x14ac:dyDescent="0.2">
      <c r="B1189" t="s">
        <v>2364</v>
      </c>
      <c r="C1189" s="40">
        <v>63438644</v>
      </c>
      <c r="D1189" s="40">
        <v>82031075</v>
      </c>
      <c r="E1189" s="40">
        <v>18318882</v>
      </c>
      <c r="F1189" s="40">
        <v>54689367</v>
      </c>
      <c r="G1189" s="40">
        <v>83750281</v>
      </c>
    </row>
    <row r="1190" spans="2:7" x14ac:dyDescent="0.2">
      <c r="B1190" t="s">
        <v>2365</v>
      </c>
      <c r="C1190" s="40">
        <v>7306796</v>
      </c>
      <c r="D1190" s="40">
        <v>10721363</v>
      </c>
      <c r="E1190" s="40">
        <v>2252687</v>
      </c>
      <c r="F1190" s="40">
        <v>5411532</v>
      </c>
      <c r="G1190" s="40">
        <v>7905788</v>
      </c>
    </row>
    <row r="1191" spans="2:7" x14ac:dyDescent="0.2">
      <c r="B1191" t="s">
        <v>2366</v>
      </c>
      <c r="C1191" s="40">
        <v>19728667</v>
      </c>
      <c r="D1191" s="40">
        <v>31919563</v>
      </c>
      <c r="E1191" s="40">
        <v>6947244</v>
      </c>
      <c r="F1191" s="40">
        <v>13944917</v>
      </c>
      <c r="G1191" s="40">
        <v>18877440</v>
      </c>
    </row>
    <row r="1192" spans="2:7" x14ac:dyDescent="0.2">
      <c r="B1192" t="s">
        <v>2367</v>
      </c>
      <c r="C1192" s="40">
        <v>2194012</v>
      </c>
      <c r="D1192" s="40">
        <v>3235357</v>
      </c>
      <c r="E1192" s="40">
        <v>1490880</v>
      </c>
      <c r="F1192" s="40">
        <v>2153255</v>
      </c>
      <c r="G1192" s="40">
        <v>2837354</v>
      </c>
    </row>
    <row r="1193" spans="2:7" x14ac:dyDescent="0.2">
      <c r="B1193" t="s">
        <v>2368</v>
      </c>
      <c r="C1193" s="40">
        <v>9483603</v>
      </c>
      <c r="D1193" s="40">
        <v>12042279</v>
      </c>
      <c r="E1193" s="40">
        <v>4286304</v>
      </c>
      <c r="F1193" s="40">
        <v>9895259</v>
      </c>
      <c r="G1193" s="40">
        <v>13225608</v>
      </c>
    </row>
    <row r="1194" spans="2:7" x14ac:dyDescent="0.2">
      <c r="B1194" t="s">
        <v>2369</v>
      </c>
      <c r="C1194" s="40">
        <v>568066</v>
      </c>
      <c r="D1194" s="40">
        <v>875473</v>
      </c>
      <c r="E1194" s="40">
        <v>279493</v>
      </c>
      <c r="F1194" s="40">
        <v>519103</v>
      </c>
      <c r="G1194" s="40">
        <v>897748</v>
      </c>
    </row>
    <row r="1195" spans="2:7" x14ac:dyDescent="0.2">
      <c r="B1195" t="s">
        <v>2370</v>
      </c>
      <c r="C1195" s="40">
        <v>237666475</v>
      </c>
      <c r="D1195" s="40">
        <v>302158523</v>
      </c>
      <c r="E1195" s="40">
        <v>61459747</v>
      </c>
      <c r="F1195" s="40">
        <v>112092909</v>
      </c>
      <c r="G1195" s="40">
        <v>166105631</v>
      </c>
    </row>
    <row r="1196" spans="2:7" x14ac:dyDescent="0.2">
      <c r="B1196" t="s">
        <v>2371</v>
      </c>
      <c r="C1196" s="40">
        <v>29827794</v>
      </c>
      <c r="D1196" s="40">
        <v>38683922</v>
      </c>
      <c r="E1196" s="40">
        <v>9486199</v>
      </c>
      <c r="F1196" s="40">
        <v>20507385</v>
      </c>
      <c r="G1196" s="40">
        <v>31362167</v>
      </c>
    </row>
    <row r="1197" spans="2:7" x14ac:dyDescent="0.2">
      <c r="B1197" t="s">
        <v>2372</v>
      </c>
      <c r="C1197" s="40">
        <v>98915665986</v>
      </c>
      <c r="D1197" s="40">
        <v>105676792420</v>
      </c>
      <c r="E1197" s="40">
        <v>111501170766</v>
      </c>
      <c r="F1197" s="40">
        <v>116328880083</v>
      </c>
      <c r="G1197" s="40">
        <v>120539328495</v>
      </c>
    </row>
    <row r="1198" spans="2:7" x14ac:dyDescent="0.2">
      <c r="B1198" t="s">
        <v>2373</v>
      </c>
      <c r="C1198" s="40">
        <v>581568104</v>
      </c>
      <c r="D1198" s="40">
        <v>596581597</v>
      </c>
      <c r="E1198" s="40">
        <v>514526837</v>
      </c>
      <c r="F1198" s="40">
        <v>543229550</v>
      </c>
      <c r="G1198" s="40">
        <v>580729270</v>
      </c>
    </row>
    <row r="1199" spans="2:7" x14ac:dyDescent="0.2">
      <c r="B1199" t="s">
        <v>2374</v>
      </c>
      <c r="C1199" s="40">
        <v>2464990</v>
      </c>
      <c r="D1199" s="40">
        <v>2523772</v>
      </c>
      <c r="E1199" s="40">
        <v>1736980</v>
      </c>
      <c r="F1199" s="40">
        <v>2071615</v>
      </c>
      <c r="G1199" s="40">
        <v>2367314</v>
      </c>
    </row>
    <row r="1200" spans="2:7" x14ac:dyDescent="0.2">
      <c r="B1200" t="s">
        <v>2375</v>
      </c>
      <c r="C1200" s="40">
        <v>28870292</v>
      </c>
      <c r="D1200" s="40">
        <v>26346962</v>
      </c>
      <c r="E1200" s="40">
        <v>25209196</v>
      </c>
      <c r="F1200" s="40">
        <v>26071951</v>
      </c>
      <c r="G1200" s="40">
        <v>25138412</v>
      </c>
    </row>
    <row r="1201" spans="2:7" x14ac:dyDescent="0.2">
      <c r="B1201" t="s">
        <v>2376</v>
      </c>
      <c r="C1201" s="40">
        <v>837630350</v>
      </c>
      <c r="D1201" s="40">
        <v>910550446</v>
      </c>
      <c r="E1201" s="40">
        <v>806405021</v>
      </c>
      <c r="F1201" s="40">
        <v>782924727</v>
      </c>
      <c r="G1201" s="40">
        <v>792847181</v>
      </c>
    </row>
    <row r="1202" spans="2:7" x14ac:dyDescent="0.2">
      <c r="B1202" t="s">
        <v>2377</v>
      </c>
      <c r="C1202" s="40">
        <v>457734346</v>
      </c>
      <c r="D1202" s="40">
        <v>466716694</v>
      </c>
      <c r="E1202" s="40">
        <v>377723335</v>
      </c>
      <c r="F1202" s="40">
        <v>423273811</v>
      </c>
      <c r="G1202" s="40">
        <v>437348617</v>
      </c>
    </row>
    <row r="1203" spans="2:7" x14ac:dyDescent="0.2">
      <c r="B1203" t="s">
        <v>2378</v>
      </c>
      <c r="C1203" s="40">
        <v>735681747</v>
      </c>
      <c r="D1203" s="40">
        <v>747939720</v>
      </c>
      <c r="E1203" s="40">
        <v>680885722</v>
      </c>
      <c r="F1203" s="40">
        <v>653064490</v>
      </c>
      <c r="G1203" s="40">
        <v>684390086</v>
      </c>
    </row>
    <row r="1204" spans="2:7" x14ac:dyDescent="0.2">
      <c r="B1204" t="s">
        <v>2379</v>
      </c>
      <c r="C1204" s="40">
        <v>69821317</v>
      </c>
      <c r="D1204" s="40">
        <v>64205207</v>
      </c>
      <c r="E1204" s="40">
        <v>65719132</v>
      </c>
      <c r="F1204" s="40">
        <v>67391072</v>
      </c>
      <c r="G1204" s="40">
        <v>61920798</v>
      </c>
    </row>
    <row r="1205" spans="2:7" x14ac:dyDescent="0.2">
      <c r="B1205" t="s">
        <v>2380</v>
      </c>
      <c r="C1205" s="40">
        <v>12340347</v>
      </c>
      <c r="D1205" s="40">
        <v>10958837</v>
      </c>
      <c r="E1205" s="40">
        <v>10964792</v>
      </c>
      <c r="F1205" s="40">
        <v>11298361</v>
      </c>
      <c r="G1205" s="40">
        <v>11372801</v>
      </c>
    </row>
    <row r="1206" spans="2:7" x14ac:dyDescent="0.2">
      <c r="B1206" t="s">
        <v>2381</v>
      </c>
      <c r="C1206" s="40">
        <v>1275577757</v>
      </c>
      <c r="D1206" s="40">
        <v>1289820458</v>
      </c>
      <c r="E1206" s="40">
        <v>1135292981</v>
      </c>
      <c r="F1206" s="40">
        <v>1155027734</v>
      </c>
      <c r="G1206" s="40">
        <v>1195032302</v>
      </c>
    </row>
    <row r="1207" spans="2:7" x14ac:dyDescent="0.2">
      <c r="B1207" t="s">
        <v>2382</v>
      </c>
      <c r="C1207" s="40">
        <v>424386159</v>
      </c>
      <c r="D1207" s="40">
        <v>471243442</v>
      </c>
      <c r="E1207" s="40">
        <v>349334073</v>
      </c>
      <c r="F1207" s="40">
        <v>412015724</v>
      </c>
      <c r="G1207" s="40">
        <v>422495551</v>
      </c>
    </row>
    <row r="1208" spans="2:7" x14ac:dyDescent="0.2">
      <c r="B1208" t="s">
        <v>2383</v>
      </c>
      <c r="C1208" s="40">
        <v>1509876257</v>
      </c>
      <c r="D1208" s="40">
        <v>1614283848</v>
      </c>
      <c r="E1208" s="40">
        <v>1191219994</v>
      </c>
      <c r="F1208" s="40">
        <v>1438962342</v>
      </c>
      <c r="G1208" s="40">
        <v>1448442700</v>
      </c>
    </row>
    <row r="1209" spans="2:7" x14ac:dyDescent="0.2">
      <c r="B1209" t="s">
        <v>2384</v>
      </c>
      <c r="C1209" s="40">
        <v>10458385</v>
      </c>
      <c r="D1209" s="40">
        <v>10200667</v>
      </c>
      <c r="E1209" s="40">
        <v>9490824</v>
      </c>
      <c r="F1209" s="40">
        <v>10689340</v>
      </c>
      <c r="G1209" s="40">
        <v>9799763</v>
      </c>
    </row>
    <row r="1210" spans="2:7" x14ac:dyDescent="0.2">
      <c r="B1210" t="s">
        <v>2385</v>
      </c>
      <c r="C1210" s="40">
        <v>742417934</v>
      </c>
      <c r="D1210" s="40">
        <v>850692578</v>
      </c>
      <c r="E1210" s="40">
        <v>808371863</v>
      </c>
      <c r="F1210" s="40">
        <v>716189852</v>
      </c>
      <c r="G1210" s="40">
        <v>748232761</v>
      </c>
    </row>
    <row r="1211" spans="2:7" x14ac:dyDescent="0.2">
      <c r="B1211" t="s">
        <v>2386</v>
      </c>
      <c r="C1211" s="40">
        <v>260710265</v>
      </c>
      <c r="D1211" s="40">
        <v>298556995</v>
      </c>
      <c r="E1211" s="40">
        <v>244335400</v>
      </c>
      <c r="F1211" s="40">
        <v>260829122</v>
      </c>
      <c r="G1211" s="40">
        <v>276357824</v>
      </c>
    </row>
    <row r="1212" spans="2:7" x14ac:dyDescent="0.2">
      <c r="B1212" t="s">
        <v>2387</v>
      </c>
      <c r="C1212" s="40">
        <v>315768036</v>
      </c>
      <c r="D1212" s="40">
        <v>366851367</v>
      </c>
      <c r="E1212" s="40">
        <v>332437252</v>
      </c>
      <c r="F1212" s="40">
        <v>310613303</v>
      </c>
      <c r="G1212" s="40">
        <v>323287405</v>
      </c>
    </row>
    <row r="1213" spans="2:7" x14ac:dyDescent="0.2">
      <c r="B1213" t="s">
        <v>2388</v>
      </c>
      <c r="C1213" s="40">
        <v>102736858</v>
      </c>
      <c r="D1213" s="40">
        <v>111406563</v>
      </c>
      <c r="E1213" s="40">
        <v>115029002</v>
      </c>
      <c r="F1213" s="40">
        <v>107426356</v>
      </c>
      <c r="G1213" s="40">
        <v>97993606</v>
      </c>
    </row>
    <row r="1214" spans="2:7" x14ac:dyDescent="0.2">
      <c r="B1214" t="s">
        <v>2389</v>
      </c>
      <c r="C1214" s="40">
        <v>30985949</v>
      </c>
      <c r="D1214" s="40">
        <v>35943056</v>
      </c>
      <c r="E1214" s="40">
        <v>26501060</v>
      </c>
      <c r="F1214" s="40">
        <v>22610535</v>
      </c>
      <c r="G1214" s="40">
        <v>26166383</v>
      </c>
    </row>
    <row r="1215" spans="2:7" x14ac:dyDescent="0.2">
      <c r="B1215" t="s">
        <v>2390</v>
      </c>
      <c r="C1215" s="40">
        <v>710201108</v>
      </c>
      <c r="D1215" s="40">
        <v>812757981</v>
      </c>
      <c r="E1215" s="40">
        <v>718302714</v>
      </c>
      <c r="F1215" s="40">
        <v>701479316</v>
      </c>
      <c r="G1215" s="40">
        <v>723805218</v>
      </c>
    </row>
    <row r="1216" spans="2:7" x14ac:dyDescent="0.2">
      <c r="B1216" t="s">
        <v>2391</v>
      </c>
      <c r="C1216" s="40">
        <v>2677225199</v>
      </c>
      <c r="D1216" s="40">
        <v>5659746430</v>
      </c>
      <c r="E1216" s="40">
        <v>6443614470</v>
      </c>
      <c r="F1216" s="40">
        <v>3019477627</v>
      </c>
      <c r="G1216" s="40">
        <v>3074937019</v>
      </c>
    </row>
    <row r="1217" spans="2:7" x14ac:dyDescent="0.2">
      <c r="B1217" t="s">
        <v>2392</v>
      </c>
      <c r="C1217" s="40">
        <v>1612184240</v>
      </c>
      <c r="D1217" s="40">
        <v>1875054985</v>
      </c>
      <c r="E1217" s="40">
        <v>543966179</v>
      </c>
      <c r="F1217" s="40">
        <v>1667023608</v>
      </c>
      <c r="G1217" s="40">
        <v>1809706241</v>
      </c>
    </row>
    <row r="1218" spans="2:7" x14ac:dyDescent="0.2">
      <c r="B1218" t="s">
        <v>2393</v>
      </c>
      <c r="C1218" s="40">
        <v>1313680847</v>
      </c>
      <c r="D1218" s="40">
        <v>1592140389</v>
      </c>
      <c r="E1218" s="40">
        <v>1081323590</v>
      </c>
      <c r="F1218" s="40">
        <v>1419400992</v>
      </c>
      <c r="G1218" s="40">
        <v>1489958242</v>
      </c>
    </row>
    <row r="1219" spans="2:7" x14ac:dyDescent="0.2">
      <c r="B1219" t="s">
        <v>2394</v>
      </c>
      <c r="C1219" s="40">
        <v>649630138</v>
      </c>
      <c r="D1219" s="40">
        <v>755806077</v>
      </c>
      <c r="E1219" s="40">
        <v>861795553</v>
      </c>
      <c r="F1219" s="40">
        <v>828169796</v>
      </c>
      <c r="G1219" s="40">
        <v>838526025</v>
      </c>
    </row>
    <row r="1220" spans="2:7" x14ac:dyDescent="0.2">
      <c r="B1220" t="s">
        <v>2395</v>
      </c>
      <c r="C1220" s="40">
        <v>459070495</v>
      </c>
      <c r="D1220" s="40">
        <v>485129179</v>
      </c>
      <c r="E1220" s="40">
        <v>522422502</v>
      </c>
      <c r="F1220" s="40">
        <v>578482943</v>
      </c>
      <c r="G1220" s="40">
        <v>641277252</v>
      </c>
    </row>
    <row r="1221" spans="2:7" x14ac:dyDescent="0.2">
      <c r="B1221" t="s">
        <v>2396</v>
      </c>
      <c r="C1221" s="40">
        <v>4034565720</v>
      </c>
      <c r="D1221" s="40">
        <v>4708130630</v>
      </c>
      <c r="E1221" s="40">
        <v>3009507824</v>
      </c>
      <c r="F1221" s="40">
        <v>4493077339</v>
      </c>
      <c r="G1221" s="40">
        <v>4779467760</v>
      </c>
    </row>
    <row r="1222" spans="2:7" x14ac:dyDescent="0.2">
      <c r="B1222" t="s">
        <v>2397</v>
      </c>
      <c r="C1222" s="40">
        <v>997158266</v>
      </c>
      <c r="D1222" s="40">
        <v>1349349182</v>
      </c>
      <c r="E1222" s="40">
        <v>1389694394</v>
      </c>
      <c r="F1222" s="40">
        <v>1088908853</v>
      </c>
      <c r="G1222" s="40">
        <v>1189958195</v>
      </c>
    </row>
    <row r="1223" spans="2:7" x14ac:dyDescent="0.2">
      <c r="B1223" t="s">
        <v>2398</v>
      </c>
      <c r="C1223" s="40">
        <v>353276969</v>
      </c>
      <c r="D1223" s="40">
        <v>393777265</v>
      </c>
      <c r="E1223" s="40">
        <v>286884097</v>
      </c>
      <c r="F1223" s="40">
        <v>403008413</v>
      </c>
      <c r="G1223" s="40">
        <v>419342790</v>
      </c>
    </row>
    <row r="1224" spans="2:7" x14ac:dyDescent="0.2">
      <c r="B1224" t="s">
        <v>2399</v>
      </c>
      <c r="C1224" s="40">
        <v>345326046</v>
      </c>
      <c r="D1224" s="40">
        <v>402392800</v>
      </c>
      <c r="E1224" s="40">
        <v>355808181</v>
      </c>
      <c r="F1224" s="40">
        <v>385101875</v>
      </c>
      <c r="G1224" s="40">
        <v>452470805</v>
      </c>
    </row>
    <row r="1225" spans="2:7" x14ac:dyDescent="0.2">
      <c r="B1225" t="s">
        <v>2400</v>
      </c>
      <c r="C1225" s="40">
        <v>183130853</v>
      </c>
      <c r="D1225" s="40">
        <v>221190307</v>
      </c>
      <c r="E1225" s="40">
        <v>226711249</v>
      </c>
      <c r="F1225" s="40">
        <v>235470509</v>
      </c>
      <c r="G1225" s="40">
        <v>245708875</v>
      </c>
    </row>
    <row r="1226" spans="2:7" x14ac:dyDescent="0.2">
      <c r="B1226" t="s">
        <v>2401</v>
      </c>
      <c r="C1226" s="40">
        <v>139187168</v>
      </c>
      <c r="D1226" s="40">
        <v>157736306</v>
      </c>
      <c r="E1226" s="40">
        <v>176575346</v>
      </c>
      <c r="F1226" s="40">
        <v>200566346</v>
      </c>
      <c r="G1226" s="40">
        <v>215631118</v>
      </c>
    </row>
    <row r="1227" spans="2:7" x14ac:dyDescent="0.2">
      <c r="B1227" t="s">
        <v>2402</v>
      </c>
      <c r="C1227" s="40">
        <v>1020921036</v>
      </c>
      <c r="D1227" s="40">
        <v>1175096678</v>
      </c>
      <c r="E1227" s="40">
        <v>1045978873</v>
      </c>
      <c r="F1227" s="40">
        <v>1224147143</v>
      </c>
      <c r="G1227" s="40">
        <v>1333153588</v>
      </c>
    </row>
    <row r="1228" spans="2:7" x14ac:dyDescent="0.2">
      <c r="B1228" t="s">
        <v>2403</v>
      </c>
      <c r="C1228" s="40">
        <v>8782854</v>
      </c>
      <c r="D1228" s="40">
        <v>22575469</v>
      </c>
      <c r="E1228" s="40">
        <v>21071396</v>
      </c>
      <c r="F1228" s="40">
        <v>9266272</v>
      </c>
      <c r="G1228" s="40">
        <v>20236510</v>
      </c>
    </row>
    <row r="1229" spans="2:7" x14ac:dyDescent="0.2">
      <c r="B1229" t="s">
        <v>2404</v>
      </c>
      <c r="C1229" s="40">
        <v>4049829</v>
      </c>
      <c r="D1229" s="40">
        <v>4824534</v>
      </c>
      <c r="E1229" s="40">
        <v>3800500</v>
      </c>
      <c r="F1229" s="40">
        <v>4430920</v>
      </c>
      <c r="G1229" s="40">
        <v>10092744</v>
      </c>
    </row>
    <row r="1230" spans="2:7" x14ac:dyDescent="0.2">
      <c r="B1230" t="s">
        <v>2405</v>
      </c>
      <c r="C1230" s="40">
        <v>4692689</v>
      </c>
      <c r="D1230" s="40">
        <v>3359351</v>
      </c>
      <c r="E1230" s="40">
        <v>4571026</v>
      </c>
      <c r="F1230" s="40">
        <v>6356923</v>
      </c>
      <c r="G1230" s="40">
        <v>13870885</v>
      </c>
    </row>
    <row r="1231" spans="2:7" x14ac:dyDescent="0.2">
      <c r="B1231" t="s">
        <v>2406</v>
      </c>
      <c r="C1231" s="40">
        <v>3013707</v>
      </c>
      <c r="D1231" s="40">
        <v>2102710</v>
      </c>
      <c r="E1231" s="40">
        <v>2443400</v>
      </c>
      <c r="F1231" s="40">
        <v>1642136</v>
      </c>
      <c r="G1231" s="40">
        <v>3419620</v>
      </c>
    </row>
    <row r="1232" spans="2:7" x14ac:dyDescent="0.2">
      <c r="B1232" t="s">
        <v>2407</v>
      </c>
      <c r="C1232" s="40">
        <v>1968004</v>
      </c>
      <c r="D1232" s="40">
        <v>2134303</v>
      </c>
      <c r="E1232" s="40">
        <v>3149903</v>
      </c>
      <c r="F1232" s="40">
        <v>1927958</v>
      </c>
      <c r="G1232" s="40">
        <v>1600918</v>
      </c>
    </row>
    <row r="1233" spans="2:7" x14ac:dyDescent="0.2">
      <c r="B1233" t="s">
        <v>2408</v>
      </c>
      <c r="C1233" s="40">
        <v>13724229</v>
      </c>
      <c r="D1233" s="40">
        <v>12420898</v>
      </c>
      <c r="E1233" s="40">
        <v>13964829</v>
      </c>
      <c r="F1233" s="40">
        <v>14357937</v>
      </c>
      <c r="G1233" s="40">
        <v>28984167</v>
      </c>
    </row>
    <row r="1234" spans="2:7" x14ac:dyDescent="0.2">
      <c r="B1234" t="s">
        <v>2409</v>
      </c>
      <c r="C1234" s="40">
        <v>59649074</v>
      </c>
      <c r="D1234" s="40">
        <v>57748380</v>
      </c>
      <c r="E1234" s="40">
        <v>135755356</v>
      </c>
      <c r="F1234" s="40">
        <v>105480462</v>
      </c>
      <c r="G1234" s="40">
        <v>46880461</v>
      </c>
    </row>
    <row r="1235" spans="2:7" x14ac:dyDescent="0.2">
      <c r="B1235" t="s">
        <v>2410</v>
      </c>
      <c r="C1235" s="40">
        <v>22678020</v>
      </c>
      <c r="D1235" s="40">
        <v>9009668</v>
      </c>
      <c r="E1235" s="40">
        <v>18302724</v>
      </c>
      <c r="F1235" s="40">
        <v>60868733</v>
      </c>
      <c r="G1235" s="40">
        <v>10532899</v>
      </c>
    </row>
    <row r="1236" spans="2:7" x14ac:dyDescent="0.2">
      <c r="B1236" t="s">
        <v>2411</v>
      </c>
      <c r="C1236" s="40">
        <v>32165107</v>
      </c>
      <c r="D1236" s="40">
        <v>30571548</v>
      </c>
      <c r="E1236" s="40">
        <v>12792870</v>
      </c>
      <c r="F1236" s="40">
        <v>36498254</v>
      </c>
      <c r="G1236" s="40">
        <v>31384493</v>
      </c>
    </row>
    <row r="1237" spans="2:7" x14ac:dyDescent="0.2">
      <c r="B1237" t="s">
        <v>2412</v>
      </c>
      <c r="C1237" s="40">
        <v>44439841</v>
      </c>
      <c r="D1237" s="40">
        <v>56919624</v>
      </c>
      <c r="E1237" s="40">
        <v>45107610</v>
      </c>
      <c r="F1237" s="40">
        <v>16000616</v>
      </c>
      <c r="G1237" s="40">
        <v>10071522</v>
      </c>
    </row>
    <row r="1238" spans="2:7" x14ac:dyDescent="0.2">
      <c r="B1238" t="s">
        <v>2413</v>
      </c>
      <c r="C1238" s="40">
        <v>17455285</v>
      </c>
      <c r="D1238" s="40">
        <v>19455816</v>
      </c>
      <c r="E1238" s="40">
        <v>38064184</v>
      </c>
      <c r="F1238" s="40">
        <v>51117098</v>
      </c>
      <c r="G1238" s="40">
        <v>56650380</v>
      </c>
    </row>
    <row r="1239" spans="2:7" x14ac:dyDescent="0.2">
      <c r="B1239" t="s">
        <v>2414</v>
      </c>
      <c r="C1239" s="40">
        <v>116738253</v>
      </c>
      <c r="D1239" s="40">
        <v>115956656</v>
      </c>
      <c r="E1239" s="40">
        <v>114267388</v>
      </c>
      <c r="F1239" s="40">
        <v>164484701</v>
      </c>
      <c r="G1239" s="40">
        <v>108639294</v>
      </c>
    </row>
    <row r="1240" spans="2:7" x14ac:dyDescent="0.2">
      <c r="B1240" t="s">
        <v>2415</v>
      </c>
      <c r="C1240" s="40">
        <v>6965351</v>
      </c>
      <c r="D1240" s="40">
        <v>15824877</v>
      </c>
      <c r="E1240" s="40">
        <v>17030475</v>
      </c>
      <c r="F1240" s="40">
        <v>8911694</v>
      </c>
      <c r="G1240" s="40">
        <v>5000364</v>
      </c>
    </row>
    <row r="1241" spans="2:7" x14ac:dyDescent="0.2">
      <c r="B1241" t="s">
        <v>2416</v>
      </c>
      <c r="C1241" s="40">
        <v>2346805</v>
      </c>
      <c r="D1241" s="40">
        <v>3617783</v>
      </c>
      <c r="E1241" s="40">
        <v>4007703</v>
      </c>
      <c r="F1241" s="40">
        <v>12162564</v>
      </c>
      <c r="G1241" s="40">
        <v>3977526</v>
      </c>
    </row>
    <row r="1242" spans="2:7" x14ac:dyDescent="0.2">
      <c r="B1242" t="s">
        <v>2417</v>
      </c>
      <c r="C1242" s="40">
        <v>4867303</v>
      </c>
      <c r="D1242" s="40">
        <v>2726193</v>
      </c>
      <c r="E1242" s="40">
        <v>7681835</v>
      </c>
      <c r="F1242" s="40">
        <v>2137512</v>
      </c>
      <c r="G1242" s="40">
        <v>8694840</v>
      </c>
    </row>
    <row r="1243" spans="2:7" x14ac:dyDescent="0.2">
      <c r="B1243" t="s">
        <v>2418</v>
      </c>
      <c r="C1243" s="40">
        <v>2827311</v>
      </c>
      <c r="D1243" s="40">
        <v>1362298</v>
      </c>
      <c r="E1243" s="40">
        <v>2561059</v>
      </c>
      <c r="F1243" s="40">
        <v>4571746</v>
      </c>
      <c r="G1243" s="40">
        <v>10356674</v>
      </c>
    </row>
    <row r="1244" spans="2:7" x14ac:dyDescent="0.2">
      <c r="B1244" t="s">
        <v>2419</v>
      </c>
      <c r="C1244" s="40">
        <v>12781649</v>
      </c>
      <c r="D1244" s="40">
        <v>12469780</v>
      </c>
      <c r="E1244" s="40">
        <v>10248935</v>
      </c>
      <c r="F1244" s="40">
        <v>7884309</v>
      </c>
      <c r="G1244" s="40">
        <v>7529580</v>
      </c>
    </row>
    <row r="1245" spans="2:7" x14ac:dyDescent="0.2">
      <c r="B1245" t="s">
        <v>2420</v>
      </c>
      <c r="C1245" s="40">
        <v>22823068</v>
      </c>
      <c r="D1245" s="40">
        <v>20176054</v>
      </c>
      <c r="E1245" s="40">
        <v>24499532</v>
      </c>
      <c r="F1245" s="40">
        <v>26756131</v>
      </c>
      <c r="G1245" s="40">
        <v>30558620</v>
      </c>
    </row>
    <row r="1246" spans="2:7" x14ac:dyDescent="0.2">
      <c r="B1246" t="s">
        <v>2421</v>
      </c>
      <c r="C1246" s="40">
        <v>57817054</v>
      </c>
      <c r="D1246" s="40">
        <v>195437091</v>
      </c>
      <c r="E1246" s="40">
        <v>161349908</v>
      </c>
      <c r="F1246" s="40">
        <v>125610541</v>
      </c>
      <c r="G1246" s="40">
        <v>106465443</v>
      </c>
    </row>
    <row r="1247" spans="2:7" x14ac:dyDescent="0.2">
      <c r="B1247" t="s">
        <v>2422</v>
      </c>
      <c r="C1247" s="40">
        <v>63437803</v>
      </c>
      <c r="D1247" s="40">
        <v>59997478</v>
      </c>
      <c r="E1247" s="40">
        <v>32969092</v>
      </c>
      <c r="F1247" s="40">
        <v>35199510</v>
      </c>
      <c r="G1247" s="40">
        <v>96744264</v>
      </c>
    </row>
    <row r="1248" spans="2:7" x14ac:dyDescent="0.2">
      <c r="B1248" t="s">
        <v>2423</v>
      </c>
      <c r="C1248" s="40">
        <v>39031374</v>
      </c>
      <c r="D1248" s="40">
        <v>59000481</v>
      </c>
      <c r="E1248" s="40">
        <v>114955106</v>
      </c>
      <c r="F1248" s="40">
        <v>42468100</v>
      </c>
      <c r="G1248" s="40">
        <v>53899030</v>
      </c>
    </row>
    <row r="1249" spans="2:7" x14ac:dyDescent="0.2">
      <c r="B1249" t="s">
        <v>2424</v>
      </c>
      <c r="C1249" s="40">
        <v>33872482</v>
      </c>
      <c r="D1249" s="40">
        <v>48323215</v>
      </c>
      <c r="E1249" s="40">
        <v>68726297</v>
      </c>
      <c r="F1249" s="40">
        <v>124175094</v>
      </c>
      <c r="G1249" s="40">
        <v>100317177</v>
      </c>
    </row>
    <row r="1250" spans="2:7" x14ac:dyDescent="0.2">
      <c r="B1250" t="s">
        <v>2425</v>
      </c>
      <c r="C1250" s="40">
        <v>10686979</v>
      </c>
      <c r="D1250" s="40">
        <v>18721610</v>
      </c>
      <c r="E1250" s="40">
        <v>37608623</v>
      </c>
      <c r="F1250" s="40">
        <v>50089731</v>
      </c>
      <c r="G1250" s="40">
        <v>58393322</v>
      </c>
    </row>
    <row r="1251" spans="2:7" x14ac:dyDescent="0.2">
      <c r="B1251" t="s">
        <v>2426</v>
      </c>
      <c r="C1251" s="40">
        <v>147028638</v>
      </c>
      <c r="D1251" s="40">
        <v>186042784</v>
      </c>
      <c r="E1251" s="40">
        <v>254259118</v>
      </c>
      <c r="F1251" s="40">
        <v>251932435</v>
      </c>
      <c r="G1251" s="40">
        <v>309353793</v>
      </c>
    </row>
    <row r="1252" spans="2:7" x14ac:dyDescent="0.2">
      <c r="B1252" t="s">
        <v>2427</v>
      </c>
      <c r="C1252" s="40">
        <v>133826674</v>
      </c>
      <c r="D1252" s="40">
        <v>154136459</v>
      </c>
      <c r="E1252" s="40">
        <v>230605804</v>
      </c>
      <c r="F1252" s="40">
        <v>114357489</v>
      </c>
      <c r="G1252" s="40">
        <v>135785455</v>
      </c>
    </row>
    <row r="1253" spans="2:7" x14ac:dyDescent="0.2">
      <c r="B1253" t="s">
        <v>2428</v>
      </c>
      <c r="C1253" s="40">
        <v>64032042</v>
      </c>
      <c r="D1253" s="40">
        <v>58198965</v>
      </c>
      <c r="E1253" s="40">
        <v>46930055</v>
      </c>
      <c r="F1253" s="40">
        <v>57439312</v>
      </c>
      <c r="G1253" s="40">
        <v>75691239</v>
      </c>
    </row>
    <row r="1254" spans="2:7" x14ac:dyDescent="0.2">
      <c r="B1254" t="s">
        <v>2429</v>
      </c>
      <c r="C1254" s="40">
        <v>55126246</v>
      </c>
      <c r="D1254" s="40">
        <v>102561124</v>
      </c>
      <c r="E1254" s="40">
        <v>60883060</v>
      </c>
      <c r="F1254" s="40">
        <v>88017094</v>
      </c>
      <c r="G1254" s="40">
        <v>68438764</v>
      </c>
    </row>
    <row r="1255" spans="2:7" x14ac:dyDescent="0.2">
      <c r="B1255" t="s">
        <v>2430</v>
      </c>
      <c r="C1255" s="40">
        <v>67139086</v>
      </c>
      <c r="D1255" s="40">
        <v>59004641</v>
      </c>
      <c r="E1255" s="40">
        <v>113920014</v>
      </c>
      <c r="F1255" s="40">
        <v>83886398</v>
      </c>
      <c r="G1255" s="40">
        <v>53087917</v>
      </c>
    </row>
    <row r="1256" spans="2:7" x14ac:dyDescent="0.2">
      <c r="B1256" t="s">
        <v>2431</v>
      </c>
      <c r="C1256" s="40">
        <v>61239619</v>
      </c>
      <c r="D1256" s="40">
        <v>58856676</v>
      </c>
      <c r="E1256" s="40">
        <v>68530443</v>
      </c>
      <c r="F1256" s="40">
        <v>70519117</v>
      </c>
      <c r="G1256" s="40">
        <v>93662284</v>
      </c>
    </row>
    <row r="1257" spans="2:7" x14ac:dyDescent="0.2">
      <c r="B1257" t="s">
        <v>2432</v>
      </c>
      <c r="C1257" s="40">
        <v>247536993</v>
      </c>
      <c r="D1257" s="40">
        <v>278621406</v>
      </c>
      <c r="E1257" s="40">
        <v>290263572</v>
      </c>
      <c r="F1257" s="40">
        <v>299861921</v>
      </c>
      <c r="G1257" s="40">
        <v>290880204</v>
      </c>
    </row>
    <row r="1258" spans="2:7" x14ac:dyDescent="0.2">
      <c r="B1258" t="s">
        <v>2433</v>
      </c>
      <c r="C1258" s="40">
        <v>218270481</v>
      </c>
      <c r="D1258" s="40">
        <v>426766714</v>
      </c>
      <c r="E1258" s="40">
        <v>469017892</v>
      </c>
      <c r="F1258" s="40">
        <v>261806546</v>
      </c>
      <c r="G1258" s="40">
        <v>194466156</v>
      </c>
    </row>
    <row r="1259" spans="2:7" x14ac:dyDescent="0.2">
      <c r="B1259" t="s">
        <v>2434</v>
      </c>
      <c r="C1259" s="40">
        <v>74195970</v>
      </c>
      <c r="D1259" s="40">
        <v>66051513</v>
      </c>
      <c r="E1259" s="40">
        <v>59464416</v>
      </c>
      <c r="F1259" s="40">
        <v>225055762</v>
      </c>
      <c r="G1259" s="40">
        <v>194590048</v>
      </c>
    </row>
    <row r="1260" spans="2:7" x14ac:dyDescent="0.2">
      <c r="B1260" t="s">
        <v>2435</v>
      </c>
      <c r="C1260" s="40">
        <v>111000488</v>
      </c>
      <c r="D1260" s="40">
        <v>162249021</v>
      </c>
      <c r="E1260" s="40">
        <v>151904082</v>
      </c>
      <c r="F1260" s="40">
        <v>143882016</v>
      </c>
      <c r="G1260" s="40">
        <v>246939875</v>
      </c>
    </row>
    <row r="1261" spans="2:7" x14ac:dyDescent="0.2">
      <c r="B1261" t="s">
        <v>2436</v>
      </c>
      <c r="C1261" s="40">
        <v>480027878</v>
      </c>
      <c r="D1261" s="40">
        <v>164000338</v>
      </c>
      <c r="E1261" s="40">
        <v>177613606</v>
      </c>
      <c r="F1261" s="40">
        <v>189736845</v>
      </c>
      <c r="G1261" s="40">
        <v>228816062</v>
      </c>
    </row>
    <row r="1262" spans="2:7" x14ac:dyDescent="0.2">
      <c r="B1262" t="s">
        <v>2437</v>
      </c>
      <c r="C1262" s="40">
        <v>103967809</v>
      </c>
      <c r="D1262" s="40">
        <v>261995797</v>
      </c>
      <c r="E1262" s="40">
        <v>324678367</v>
      </c>
      <c r="F1262" s="40">
        <v>340646738</v>
      </c>
      <c r="G1262" s="40">
        <v>378063933</v>
      </c>
    </row>
    <row r="1263" spans="2:7" x14ac:dyDescent="0.2">
      <c r="B1263" t="s">
        <v>2438</v>
      </c>
      <c r="C1263" s="40">
        <v>769192145</v>
      </c>
      <c r="D1263" s="40">
        <v>654296669</v>
      </c>
      <c r="E1263" s="40">
        <v>713660471</v>
      </c>
      <c r="F1263" s="40">
        <v>899321361</v>
      </c>
      <c r="G1263" s="40">
        <v>1048409918</v>
      </c>
    </row>
    <row r="1264" spans="2:7" x14ac:dyDescent="0.2">
      <c r="B1264" t="s">
        <v>2439</v>
      </c>
      <c r="C1264" s="40">
        <v>5154758</v>
      </c>
      <c r="D1264" s="40">
        <v>13810192</v>
      </c>
      <c r="E1264" s="40">
        <v>21314670</v>
      </c>
      <c r="F1264" s="40">
        <v>13525266</v>
      </c>
      <c r="G1264" s="40">
        <v>8055072</v>
      </c>
    </row>
    <row r="1265" spans="2:7" x14ac:dyDescent="0.2">
      <c r="B1265" t="s">
        <v>2440</v>
      </c>
      <c r="C1265" s="40">
        <v>3637757</v>
      </c>
      <c r="D1265" s="40">
        <v>876435</v>
      </c>
      <c r="E1265" s="40">
        <v>3160858</v>
      </c>
      <c r="F1265" s="40">
        <v>5451510</v>
      </c>
      <c r="G1265" s="40">
        <v>5392185</v>
      </c>
    </row>
    <row r="1266" spans="2:7" x14ac:dyDescent="0.2">
      <c r="B1266" t="s">
        <v>2441</v>
      </c>
      <c r="C1266" s="40">
        <v>6464371</v>
      </c>
      <c r="D1266" s="40">
        <v>5618583</v>
      </c>
      <c r="E1266" s="40">
        <v>8149610</v>
      </c>
      <c r="F1266" s="40">
        <v>12672637</v>
      </c>
      <c r="G1266" s="40">
        <v>3379383</v>
      </c>
    </row>
    <row r="1267" spans="2:7" x14ac:dyDescent="0.2">
      <c r="B1267" t="s">
        <v>2442</v>
      </c>
      <c r="C1267" s="40">
        <v>5927930</v>
      </c>
      <c r="D1267" s="40">
        <v>4619690</v>
      </c>
      <c r="E1267" s="40">
        <v>5654579</v>
      </c>
      <c r="F1267" s="40">
        <v>7549977</v>
      </c>
      <c r="G1267" s="40">
        <v>9260608</v>
      </c>
    </row>
    <row r="1268" spans="2:7" x14ac:dyDescent="0.2">
      <c r="B1268" t="s">
        <v>2443</v>
      </c>
      <c r="C1268" s="40">
        <v>967561</v>
      </c>
      <c r="D1268" s="40">
        <v>1252347</v>
      </c>
      <c r="E1268" s="40">
        <v>2124127</v>
      </c>
      <c r="F1268" s="40">
        <v>3843627</v>
      </c>
      <c r="G1268" s="40">
        <v>3293399</v>
      </c>
    </row>
    <row r="1269" spans="2:7" x14ac:dyDescent="0.2">
      <c r="B1269" t="s">
        <v>2444</v>
      </c>
      <c r="C1269" s="40">
        <v>16997619</v>
      </c>
      <c r="D1269" s="40">
        <v>12367055</v>
      </c>
      <c r="E1269" s="40">
        <v>19089174</v>
      </c>
      <c r="F1269" s="40">
        <v>29517751</v>
      </c>
      <c r="G1269" s="40">
        <v>21325575</v>
      </c>
    </row>
    <row r="1270" spans="2:7" x14ac:dyDescent="0.2">
      <c r="B1270" t="s">
        <v>2445</v>
      </c>
      <c r="C1270" s="40">
        <v>70138447</v>
      </c>
      <c r="D1270" s="40">
        <v>129150885</v>
      </c>
      <c r="E1270" s="40">
        <v>163135540</v>
      </c>
      <c r="F1270" s="40">
        <v>100053391</v>
      </c>
      <c r="G1270" s="40">
        <v>109279363</v>
      </c>
    </row>
    <row r="1271" spans="2:7" x14ac:dyDescent="0.2">
      <c r="B1271" t="s">
        <v>2446</v>
      </c>
      <c r="C1271" s="40">
        <v>0</v>
      </c>
      <c r="D1271" s="40">
        <v>0</v>
      </c>
      <c r="E1271" s="40">
        <v>0</v>
      </c>
      <c r="F1271" s="40">
        <v>0</v>
      </c>
      <c r="G1271" s="40">
        <v>0</v>
      </c>
    </row>
    <row r="1272" spans="2:7" x14ac:dyDescent="0.2">
      <c r="B1272" t="s">
        <v>2447</v>
      </c>
      <c r="C1272" s="40">
        <v>44912455</v>
      </c>
      <c r="D1272" s="40">
        <v>47644502</v>
      </c>
      <c r="E1272" s="40">
        <v>56501926</v>
      </c>
      <c r="F1272" s="40">
        <v>81774590</v>
      </c>
      <c r="G1272" s="40">
        <v>45939787</v>
      </c>
    </row>
    <row r="1273" spans="2:7" x14ac:dyDescent="0.2">
      <c r="B1273" t="s">
        <v>2448</v>
      </c>
      <c r="C1273" s="40">
        <v>37228495</v>
      </c>
      <c r="D1273" s="40">
        <v>42914137</v>
      </c>
      <c r="E1273" s="40">
        <v>36761464</v>
      </c>
      <c r="F1273" s="40">
        <v>34634316</v>
      </c>
      <c r="G1273" s="40">
        <v>53199377</v>
      </c>
    </row>
    <row r="1274" spans="2:7" x14ac:dyDescent="0.2">
      <c r="B1274" t="s">
        <v>2449</v>
      </c>
      <c r="C1274" s="40">
        <v>65409659</v>
      </c>
      <c r="D1274" s="40">
        <v>69648780</v>
      </c>
      <c r="E1274" s="40">
        <v>78135848</v>
      </c>
      <c r="F1274" s="40">
        <v>81154613</v>
      </c>
      <c r="G1274" s="40">
        <v>87472315</v>
      </c>
    </row>
    <row r="1275" spans="2:7" x14ac:dyDescent="0.2">
      <c r="B1275" t="s">
        <v>2450</v>
      </c>
      <c r="C1275" s="40">
        <v>177158902</v>
      </c>
      <c r="D1275" s="40">
        <v>196721245</v>
      </c>
      <c r="E1275" s="40">
        <v>213397841</v>
      </c>
      <c r="F1275" s="40">
        <v>235426514</v>
      </c>
      <c r="G1275" s="40">
        <v>223861072</v>
      </c>
    </row>
    <row r="1276" spans="2:7" x14ac:dyDescent="0.2">
      <c r="B1276" t="s">
        <v>2451</v>
      </c>
      <c r="C1276" s="40">
        <v>5100195</v>
      </c>
      <c r="D1276" s="40">
        <v>6329555</v>
      </c>
      <c r="E1276" s="40">
        <v>7107267</v>
      </c>
      <c r="F1276" s="40">
        <v>4909940</v>
      </c>
      <c r="G1276" s="40">
        <v>3977253</v>
      </c>
    </row>
    <row r="1277" spans="2:7" x14ac:dyDescent="0.2">
      <c r="B1277" t="s">
        <v>2452</v>
      </c>
      <c r="C1277" s="40">
        <v>2539037</v>
      </c>
      <c r="D1277" s="40">
        <v>3892331</v>
      </c>
      <c r="E1277" s="40">
        <v>2473823</v>
      </c>
      <c r="F1277" s="40">
        <v>1928407</v>
      </c>
      <c r="G1277" s="40">
        <v>2743332</v>
      </c>
    </row>
    <row r="1278" spans="2:7" x14ac:dyDescent="0.2">
      <c r="B1278" t="s">
        <v>2453</v>
      </c>
      <c r="C1278" s="40">
        <v>3791596</v>
      </c>
      <c r="D1278" s="40">
        <v>2716755</v>
      </c>
      <c r="E1278" s="40">
        <v>4104285</v>
      </c>
      <c r="F1278" s="40">
        <v>3491998</v>
      </c>
      <c r="G1278" s="40">
        <v>3661773</v>
      </c>
    </row>
    <row r="1279" spans="2:7" x14ac:dyDescent="0.2">
      <c r="B1279" t="s">
        <v>2454</v>
      </c>
      <c r="C1279" s="40">
        <v>817021</v>
      </c>
      <c r="D1279" s="40">
        <v>691373</v>
      </c>
      <c r="E1279" s="40">
        <v>839696</v>
      </c>
      <c r="F1279" s="40">
        <v>1327316</v>
      </c>
      <c r="G1279" s="40">
        <v>1562431</v>
      </c>
    </row>
    <row r="1280" spans="2:7" x14ac:dyDescent="0.2">
      <c r="B1280" t="s">
        <v>2455</v>
      </c>
      <c r="C1280" s="40">
        <v>2012220</v>
      </c>
      <c r="D1280" s="40">
        <v>1770431</v>
      </c>
      <c r="E1280" s="40">
        <v>1717525</v>
      </c>
      <c r="F1280" s="40">
        <v>1785171</v>
      </c>
      <c r="G1280" s="40">
        <v>1510327</v>
      </c>
    </row>
    <row r="1281" spans="2:7" x14ac:dyDescent="0.2">
      <c r="B1281" t="s">
        <v>2456</v>
      </c>
      <c r="C1281" s="40">
        <v>9159874</v>
      </c>
      <c r="D1281" s="40">
        <v>9070890</v>
      </c>
      <c r="E1281" s="40">
        <v>9135329</v>
      </c>
      <c r="F1281" s="40">
        <v>8532892</v>
      </c>
      <c r="G1281" s="40">
        <v>9477863</v>
      </c>
    </row>
    <row r="1282" spans="2:7" x14ac:dyDescent="0.2">
      <c r="B1282" t="s">
        <v>2457</v>
      </c>
      <c r="C1282" s="40">
        <v>3814754</v>
      </c>
      <c r="D1282" s="40">
        <v>5344513</v>
      </c>
      <c r="E1282" s="40">
        <v>5546228</v>
      </c>
      <c r="F1282" s="40">
        <v>8847901</v>
      </c>
      <c r="G1282" s="40">
        <v>7293264</v>
      </c>
    </row>
    <row r="1283" spans="2:7" x14ac:dyDescent="0.2">
      <c r="B1283" t="s">
        <v>2458</v>
      </c>
      <c r="C1283" s="40">
        <v>4561293</v>
      </c>
      <c r="D1283" s="40">
        <v>4479209</v>
      </c>
      <c r="E1283" s="40">
        <v>3980124</v>
      </c>
      <c r="F1283" s="40">
        <v>1836194</v>
      </c>
      <c r="G1283" s="40">
        <v>4554097</v>
      </c>
    </row>
    <row r="1284" spans="2:7" x14ac:dyDescent="0.2">
      <c r="B1284" t="s">
        <v>2459</v>
      </c>
      <c r="C1284" s="40">
        <v>4168578</v>
      </c>
      <c r="D1284" s="40">
        <v>4932461</v>
      </c>
      <c r="E1284" s="40">
        <v>4513296</v>
      </c>
      <c r="F1284" s="40">
        <v>3892685</v>
      </c>
      <c r="G1284" s="40">
        <v>6137662</v>
      </c>
    </row>
    <row r="1285" spans="2:7" x14ac:dyDescent="0.2">
      <c r="B1285" t="s">
        <v>2460</v>
      </c>
      <c r="C1285" s="40">
        <v>1148315</v>
      </c>
      <c r="D1285" s="40">
        <v>661070</v>
      </c>
      <c r="E1285" s="40">
        <v>1111577</v>
      </c>
      <c r="F1285" s="40">
        <v>2183056</v>
      </c>
      <c r="G1285" s="40">
        <v>1884268</v>
      </c>
    </row>
    <row r="1286" spans="2:7" x14ac:dyDescent="0.2">
      <c r="B1286" t="s">
        <v>2461</v>
      </c>
      <c r="C1286" s="40">
        <v>533058</v>
      </c>
      <c r="D1286" s="40">
        <v>389577</v>
      </c>
      <c r="E1286" s="40">
        <v>1630049</v>
      </c>
      <c r="F1286" s="40">
        <v>768241</v>
      </c>
      <c r="G1286" s="40">
        <v>570488</v>
      </c>
    </row>
    <row r="1287" spans="2:7" x14ac:dyDescent="0.2">
      <c r="B1287" t="s">
        <v>2462</v>
      </c>
      <c r="C1287" s="40">
        <v>10411244</v>
      </c>
      <c r="D1287" s="40">
        <v>10462317</v>
      </c>
      <c r="E1287" s="40">
        <v>11235046</v>
      </c>
      <c r="F1287" s="40">
        <v>8680176</v>
      </c>
      <c r="G1287" s="40">
        <v>13146515</v>
      </c>
    </row>
    <row r="1288" spans="2:7" x14ac:dyDescent="0.2">
      <c r="B1288" t="s">
        <v>2463</v>
      </c>
      <c r="C1288" s="40">
        <v>5512616856</v>
      </c>
      <c r="D1288" s="40">
        <v>6002747969</v>
      </c>
      <c r="E1288" s="40">
        <v>3761514813</v>
      </c>
      <c r="F1288" s="40">
        <v>5629411383</v>
      </c>
      <c r="G1288" s="40">
        <v>5873296409</v>
      </c>
    </row>
    <row r="1289" spans="2:7" x14ac:dyDescent="0.2">
      <c r="B1289" t="s">
        <v>2464</v>
      </c>
      <c r="C1289" s="40">
        <v>558764045</v>
      </c>
      <c r="D1289" s="40">
        <v>582923990</v>
      </c>
      <c r="E1289" s="40">
        <v>616273012</v>
      </c>
      <c r="F1289" s="40">
        <v>663864251</v>
      </c>
      <c r="G1289" s="40">
        <v>736492081</v>
      </c>
    </row>
    <row r="1290" spans="2:7" x14ac:dyDescent="0.2">
      <c r="B1290" t="s">
        <v>2465</v>
      </c>
      <c r="C1290" s="40">
        <v>234655728</v>
      </c>
      <c r="D1290" s="40">
        <v>229806612</v>
      </c>
      <c r="E1290" s="40">
        <v>196615361</v>
      </c>
      <c r="F1290" s="40">
        <v>184875341</v>
      </c>
      <c r="G1290" s="40">
        <v>201871769</v>
      </c>
    </row>
    <row r="1291" spans="2:7" x14ac:dyDescent="0.2">
      <c r="B1291" t="s">
        <v>2466</v>
      </c>
      <c r="C1291" s="40">
        <v>8486277542</v>
      </c>
      <c r="D1291" s="40">
        <v>9245957273</v>
      </c>
      <c r="E1291" s="40">
        <v>8338917110</v>
      </c>
      <c r="F1291" s="40">
        <v>8586290780</v>
      </c>
      <c r="G1291" s="40">
        <v>9215758211</v>
      </c>
    </row>
    <row r="1292" spans="2:7" x14ac:dyDescent="0.2">
      <c r="B1292" t="s">
        <v>2467</v>
      </c>
      <c r="C1292" s="40">
        <v>1661783009</v>
      </c>
      <c r="D1292" s="40">
        <v>1654376790</v>
      </c>
      <c r="E1292" s="40">
        <v>1818742531</v>
      </c>
      <c r="F1292" s="40">
        <v>1862892756</v>
      </c>
      <c r="G1292" s="40">
        <v>2091672261</v>
      </c>
    </row>
    <row r="1293" spans="2:7" x14ac:dyDescent="0.2">
      <c r="B1293" t="s">
        <v>2468</v>
      </c>
      <c r="C1293" s="40">
        <v>29608293</v>
      </c>
      <c r="D1293" s="40">
        <v>36513826</v>
      </c>
      <c r="E1293" s="40">
        <v>41998603</v>
      </c>
      <c r="F1293" s="40">
        <v>37862995</v>
      </c>
      <c r="G1293" s="40">
        <v>37249593</v>
      </c>
    </row>
    <row r="1294" spans="2:7" x14ac:dyDescent="0.2">
      <c r="B1294" t="s">
        <v>2469</v>
      </c>
      <c r="C1294" s="40">
        <v>51215</v>
      </c>
      <c r="D1294" s="40">
        <v>58456</v>
      </c>
      <c r="E1294" s="40">
        <v>55633</v>
      </c>
      <c r="F1294" s="40">
        <v>62132</v>
      </c>
      <c r="G1294" s="40">
        <v>64709</v>
      </c>
    </row>
    <row r="1295" spans="2:7" x14ac:dyDescent="0.2">
      <c r="B1295" t="s">
        <v>2470</v>
      </c>
      <c r="C1295" s="40">
        <v>3847000000</v>
      </c>
      <c r="D1295" s="40">
        <v>3917000000</v>
      </c>
      <c r="E1295" s="40">
        <v>4317000000</v>
      </c>
      <c r="F1295" s="40">
        <v>4814500000</v>
      </c>
      <c r="G1295" s="40">
        <v>4954500000</v>
      </c>
    </row>
    <row r="1296" spans="2:7" x14ac:dyDescent="0.2">
      <c r="B1296" t="s">
        <v>2471</v>
      </c>
      <c r="C1296" s="40">
        <v>34343043</v>
      </c>
      <c r="D1296" s="40">
        <v>22540971</v>
      </c>
      <c r="E1296" s="40">
        <v>25765336</v>
      </c>
      <c r="F1296" s="40">
        <v>29101496</v>
      </c>
      <c r="G1296" s="40">
        <v>19591202</v>
      </c>
    </row>
    <row r="1297" spans="2:7" x14ac:dyDescent="0.2">
      <c r="B1297" t="s">
        <v>2472</v>
      </c>
      <c r="C1297" s="40">
        <v>0</v>
      </c>
      <c r="D1297" s="40">
        <v>0</v>
      </c>
      <c r="E1297" s="40">
        <v>0</v>
      </c>
      <c r="F1297" s="40">
        <v>0</v>
      </c>
      <c r="G1297" s="40">
        <v>0</v>
      </c>
    </row>
    <row r="1298" spans="2:7" x14ac:dyDescent="0.2">
      <c r="B1298" t="s">
        <v>2473</v>
      </c>
      <c r="C1298" s="40">
        <v>0</v>
      </c>
      <c r="D1298" s="40">
        <v>0</v>
      </c>
      <c r="E1298" s="40">
        <v>0</v>
      </c>
      <c r="F1298" s="40">
        <v>0</v>
      </c>
      <c r="G1298" s="40">
        <v>0</v>
      </c>
    </row>
    <row r="1299" spans="2:7" x14ac:dyDescent="0.2">
      <c r="B1299" t="s">
        <v>2474</v>
      </c>
      <c r="C1299" s="40">
        <v>45608936475</v>
      </c>
      <c r="D1299" s="40">
        <v>47424629687</v>
      </c>
      <c r="E1299" s="40">
        <v>44721762864</v>
      </c>
      <c r="F1299" s="40">
        <v>43614729291</v>
      </c>
      <c r="G1299" s="40">
        <v>43052749562</v>
      </c>
    </row>
    <row r="1300" spans="2:7" x14ac:dyDescent="0.2">
      <c r="B1300" t="s">
        <v>2475</v>
      </c>
      <c r="C1300" s="40">
        <v>3849569</v>
      </c>
      <c r="D1300" s="40">
        <v>748814082</v>
      </c>
      <c r="E1300" s="40">
        <v>303315003</v>
      </c>
      <c r="F1300" s="40">
        <v>58134184</v>
      </c>
      <c r="G1300" s="40">
        <v>-4430540</v>
      </c>
    </row>
    <row r="1301" spans="2:7" x14ac:dyDescent="0.2">
      <c r="B1301" t="s">
        <v>2476</v>
      </c>
      <c r="C1301" s="40">
        <v>48600000</v>
      </c>
      <c r="D1301" s="40">
        <v>36900000</v>
      </c>
      <c r="E1301" s="40">
        <v>40800000</v>
      </c>
      <c r="F1301" s="40">
        <v>52200000</v>
      </c>
      <c r="G1301" s="40">
        <v>75600000</v>
      </c>
    </row>
    <row r="1302" spans="2:7" x14ac:dyDescent="0.2">
      <c r="B1302" t="s">
        <v>2477</v>
      </c>
      <c r="C1302" s="40">
        <v>45406</v>
      </c>
      <c r="D1302" s="40">
        <v>-432774</v>
      </c>
      <c r="E1302" s="40">
        <v>503274</v>
      </c>
      <c r="F1302" s="40">
        <v>868219</v>
      </c>
      <c r="G1302" s="40">
        <v>145527</v>
      </c>
    </row>
    <row r="1303" spans="2:7" x14ac:dyDescent="0.2">
      <c r="B1303" t="s">
        <v>2478</v>
      </c>
      <c r="C1303" s="40">
        <v>135008460</v>
      </c>
      <c r="D1303" s="40">
        <v>130005699</v>
      </c>
      <c r="E1303" s="40">
        <v>161268233</v>
      </c>
      <c r="F1303" s="40">
        <v>162386308</v>
      </c>
      <c r="G1303" s="40">
        <v>155227506</v>
      </c>
    </row>
    <row r="1304" spans="2:7" x14ac:dyDescent="0.2">
      <c r="B1304" t="s">
        <v>2479</v>
      </c>
      <c r="C1304" s="40">
        <v>909351</v>
      </c>
      <c r="D1304" s="40">
        <v>645272</v>
      </c>
      <c r="E1304" s="40">
        <v>909551</v>
      </c>
      <c r="F1304" s="40">
        <v>1021250</v>
      </c>
      <c r="G1304" s="40">
        <v>903267</v>
      </c>
    </row>
    <row r="1305" spans="2:7" x14ac:dyDescent="0.2">
      <c r="B1305" t="s">
        <v>2480</v>
      </c>
      <c r="C1305" s="40">
        <v>6289321454</v>
      </c>
      <c r="D1305" s="40">
        <v>5113339142</v>
      </c>
      <c r="E1305" s="40">
        <v>5331434231</v>
      </c>
      <c r="F1305" s="40">
        <v>5427398609</v>
      </c>
      <c r="G1305" s="40">
        <v>5741544385</v>
      </c>
    </row>
    <row r="1306" spans="2:7" x14ac:dyDescent="0.2">
      <c r="B1306" t="s">
        <v>2481</v>
      </c>
      <c r="C1306" s="40">
        <v>39489221</v>
      </c>
      <c r="D1306" s="40">
        <v>28587531</v>
      </c>
      <c r="E1306" s="40">
        <v>33950738</v>
      </c>
      <c r="F1306" s="40">
        <v>27652764</v>
      </c>
      <c r="G1306" s="40">
        <v>37287068</v>
      </c>
    </row>
    <row r="1307" spans="2:7" x14ac:dyDescent="0.2">
      <c r="B1307" t="s">
        <v>2482</v>
      </c>
      <c r="C1307" s="40">
        <v>0</v>
      </c>
      <c r="D1307" s="40">
        <v>0</v>
      </c>
      <c r="E1307" s="40">
        <v>0</v>
      </c>
      <c r="F1307" s="40">
        <v>0</v>
      </c>
      <c r="G1307" s="40">
        <v>0</v>
      </c>
    </row>
    <row r="1308" spans="2:7" x14ac:dyDescent="0.2">
      <c r="B1308" t="s">
        <v>2483</v>
      </c>
      <c r="C1308" s="40">
        <v>0</v>
      </c>
      <c r="D1308" s="40">
        <v>0</v>
      </c>
      <c r="E1308" s="40">
        <v>0</v>
      </c>
      <c r="F1308" s="40">
        <v>0</v>
      </c>
      <c r="G1308" s="40">
        <v>0</v>
      </c>
    </row>
    <row r="1309" spans="2:7" x14ac:dyDescent="0.2">
      <c r="B1309" t="s">
        <v>2484</v>
      </c>
      <c r="C1309" s="40">
        <v>393814198</v>
      </c>
      <c r="D1309" s="40">
        <v>147719738</v>
      </c>
      <c r="E1309" s="40">
        <v>226025148</v>
      </c>
      <c r="F1309" s="40">
        <v>166610379</v>
      </c>
      <c r="G1309" s="40">
        <v>269175594</v>
      </c>
    </row>
    <row r="1310" spans="2:7" x14ac:dyDescent="0.2">
      <c r="B1310" t="s">
        <v>2485</v>
      </c>
      <c r="C1310" s="40">
        <v>2133535</v>
      </c>
      <c r="D1310" s="40">
        <v>3152</v>
      </c>
      <c r="E1310" s="40">
        <v>1396296</v>
      </c>
      <c r="F1310" s="40">
        <v>1632093</v>
      </c>
      <c r="G1310" s="40">
        <v>2464057</v>
      </c>
    </row>
    <row r="1311" spans="2:7" x14ac:dyDescent="0.2">
      <c r="B1311" t="s">
        <v>2486</v>
      </c>
      <c r="C1311" s="40">
        <v>-22234468524</v>
      </c>
      <c r="D1311" s="40">
        <v>-27974293435</v>
      </c>
      <c r="E1311" s="40">
        <v>-23740573048</v>
      </c>
      <c r="F1311" s="40">
        <v>-21986797759</v>
      </c>
      <c r="G1311" s="40">
        <v>-18943252171</v>
      </c>
    </row>
    <row r="1312" spans="2:7" x14ac:dyDescent="0.2">
      <c r="B1312" t="s">
        <v>2487</v>
      </c>
      <c r="C1312" s="40">
        <v>17336703</v>
      </c>
      <c r="D1312" s="40">
        <v>17490992</v>
      </c>
      <c r="E1312" s="40">
        <v>17237640</v>
      </c>
      <c r="F1312" s="40">
        <v>17305523</v>
      </c>
      <c r="G1312" s="40">
        <v>17277567</v>
      </c>
    </row>
    <row r="1313" spans="2:7" x14ac:dyDescent="0.2">
      <c r="B1313" t="s">
        <v>2488</v>
      </c>
      <c r="C1313" s="40">
        <v>268256049574</v>
      </c>
      <c r="D1313" s="40">
        <v>265492516119</v>
      </c>
      <c r="E1313" s="40">
        <v>264985514231</v>
      </c>
      <c r="F1313" s="40">
        <v>267056113639</v>
      </c>
      <c r="G1313" s="40">
        <v>266657698231</v>
      </c>
    </row>
    <row r="1314" spans="2:7" x14ac:dyDescent="0.2">
      <c r="B1314" t="s">
        <v>2489</v>
      </c>
      <c r="C1314" s="40">
        <v>142893</v>
      </c>
      <c r="D1314" s="40">
        <v>145899</v>
      </c>
      <c r="E1314" s="40">
        <v>147139</v>
      </c>
      <c r="F1314" s="40">
        <v>151630</v>
      </c>
      <c r="G1314" s="40">
        <v>153292</v>
      </c>
    </row>
    <row r="1315" spans="2:7" x14ac:dyDescent="0.2">
      <c r="B1315" t="s">
        <v>2490</v>
      </c>
      <c r="C1315" s="40">
        <v>29705807877</v>
      </c>
      <c r="D1315" s="40">
        <v>29489449262</v>
      </c>
      <c r="E1315" s="40">
        <v>29575526732</v>
      </c>
      <c r="F1315" s="40">
        <v>30026922334</v>
      </c>
      <c r="G1315" s="40">
        <v>30234804225</v>
      </c>
    </row>
    <row r="1316" spans="2:7" x14ac:dyDescent="0.2">
      <c r="B1316" t="s">
        <v>2491</v>
      </c>
      <c r="C1316" s="40">
        <v>7114</v>
      </c>
      <c r="D1316" s="40">
        <v>7374</v>
      </c>
      <c r="E1316" s="40">
        <v>7293</v>
      </c>
      <c r="F1316" s="40">
        <v>7409</v>
      </c>
      <c r="G1316" s="40">
        <v>7319</v>
      </c>
    </row>
    <row r="1317" spans="2:7" x14ac:dyDescent="0.2">
      <c r="B1317" t="s">
        <v>2492</v>
      </c>
      <c r="C1317" s="40">
        <v>2206077599</v>
      </c>
      <c r="D1317" s="40">
        <v>2289026028</v>
      </c>
      <c r="E1317" s="40">
        <v>2285739392</v>
      </c>
      <c r="F1317" s="40">
        <v>2771343249</v>
      </c>
      <c r="G1317" s="40">
        <v>2771959028</v>
      </c>
    </row>
    <row r="1318" spans="2:7" x14ac:dyDescent="0.2">
      <c r="B1318" t="s">
        <v>2493</v>
      </c>
      <c r="C1318" s="40">
        <v>2529598</v>
      </c>
      <c r="D1318" s="40">
        <v>2506224</v>
      </c>
      <c r="E1318" s="40">
        <v>2487844</v>
      </c>
      <c r="F1318" s="40">
        <v>2466058</v>
      </c>
      <c r="G1318" s="40">
        <v>2439055</v>
      </c>
    </row>
    <row r="1319" spans="2:7" x14ac:dyDescent="0.2">
      <c r="B1319" t="s">
        <v>2494</v>
      </c>
      <c r="C1319" s="40">
        <v>41093693967</v>
      </c>
      <c r="D1319" s="40">
        <v>41071490139</v>
      </c>
      <c r="E1319" s="40">
        <v>41511271452</v>
      </c>
      <c r="F1319" s="40">
        <v>41347719985</v>
      </c>
      <c r="G1319" s="40">
        <v>41449255845</v>
      </c>
    </row>
    <row r="1320" spans="2:7" x14ac:dyDescent="0.2">
      <c r="B1320" t="s">
        <v>2495</v>
      </c>
      <c r="C1320" s="40">
        <v>0</v>
      </c>
      <c r="D1320" s="40">
        <v>0</v>
      </c>
      <c r="E1320" s="40">
        <v>0</v>
      </c>
      <c r="F1320" s="40">
        <v>0</v>
      </c>
      <c r="G1320" s="40">
        <v>0</v>
      </c>
    </row>
    <row r="1321" spans="2:7" x14ac:dyDescent="0.2">
      <c r="B1321" t="s">
        <v>2496</v>
      </c>
      <c r="C1321" s="40">
        <v>36594868</v>
      </c>
      <c r="D1321" s="40">
        <v>63052679</v>
      </c>
      <c r="E1321" s="40">
        <v>17948723</v>
      </c>
      <c r="F1321" s="40">
        <v>41591903</v>
      </c>
      <c r="G1321" s="40">
        <v>57408340</v>
      </c>
    </row>
    <row r="1322" spans="2:7" x14ac:dyDescent="0.2">
      <c r="B1322" t="s">
        <v>2497</v>
      </c>
      <c r="C1322" s="40">
        <v>9916050459</v>
      </c>
      <c r="D1322" s="40">
        <v>14256905705</v>
      </c>
      <c r="E1322" s="40">
        <v>3274683242</v>
      </c>
      <c r="F1322" s="40">
        <v>6794066648</v>
      </c>
      <c r="G1322" s="40">
        <v>10422063671</v>
      </c>
    </row>
    <row r="1323" spans="2:7" x14ac:dyDescent="0.2">
      <c r="B1323" t="s">
        <v>2498</v>
      </c>
      <c r="C1323" s="40">
        <v>9920647886</v>
      </c>
      <c r="D1323" s="40">
        <v>14269876791</v>
      </c>
      <c r="E1323" s="40">
        <v>3282654716</v>
      </c>
      <c r="F1323" s="40">
        <v>6811686272</v>
      </c>
      <c r="G1323" s="40">
        <v>10441372671</v>
      </c>
    </row>
    <row r="1324" spans="2:7" x14ac:dyDescent="0.2">
      <c r="B1324" t="s">
        <v>2499</v>
      </c>
      <c r="C1324" s="40">
        <v>10500354713</v>
      </c>
      <c r="D1324" s="40">
        <v>13992263099</v>
      </c>
      <c r="E1324" s="40">
        <v>3520636131</v>
      </c>
      <c r="F1324" s="40">
        <v>7250357274</v>
      </c>
      <c r="G1324" s="40">
        <v>10998524273</v>
      </c>
    </row>
    <row r="1325" spans="2:7" x14ac:dyDescent="0.2">
      <c r="B1325" t="s">
        <v>2500</v>
      </c>
      <c r="C1325" s="40">
        <v>0</v>
      </c>
      <c r="D1325" s="40">
        <v>0</v>
      </c>
      <c r="E1325" s="40">
        <v>0</v>
      </c>
      <c r="F1325" s="40">
        <v>0</v>
      </c>
      <c r="G1325" s="40">
        <v>0</v>
      </c>
    </row>
    <row r="1326" spans="2:7" x14ac:dyDescent="0.2">
      <c r="B1326" t="s">
        <v>2501</v>
      </c>
      <c r="C1326" s="40">
        <v>0</v>
      </c>
      <c r="D1326" s="40">
        <v>0</v>
      </c>
      <c r="E1326" s="40">
        <v>0</v>
      </c>
      <c r="F1326" s="40">
        <v>0</v>
      </c>
      <c r="G1326" s="40">
        <v>0</v>
      </c>
    </row>
    <row r="1327" spans="2:7" x14ac:dyDescent="0.2">
      <c r="B1327" t="s">
        <v>2502</v>
      </c>
      <c r="C1327" s="40">
        <v>0</v>
      </c>
      <c r="D1327" s="40">
        <v>0</v>
      </c>
      <c r="E1327" s="40">
        <v>0</v>
      </c>
      <c r="F1327" s="40">
        <v>0</v>
      </c>
      <c r="G1327" s="40">
        <v>0</v>
      </c>
    </row>
    <row r="1328" spans="2:7" x14ac:dyDescent="0.2">
      <c r="B1328" t="s">
        <v>2503</v>
      </c>
      <c r="C1328" s="40">
        <v>429758694</v>
      </c>
      <c r="D1328" s="40">
        <v>526890949</v>
      </c>
      <c r="E1328" s="40">
        <v>93166693</v>
      </c>
      <c r="F1328" s="40">
        <v>250523607</v>
      </c>
      <c r="G1328" s="40">
        <v>452137792</v>
      </c>
    </row>
    <row r="1329" spans="2:7" x14ac:dyDescent="0.2">
      <c r="B1329" t="s">
        <v>2504</v>
      </c>
      <c r="C1329" s="40">
        <v>-1567617</v>
      </c>
      <c r="D1329" s="40">
        <v>-5766895</v>
      </c>
      <c r="E1329" s="40">
        <v>-4716211</v>
      </c>
      <c r="F1329" s="40">
        <v>-2408551</v>
      </c>
      <c r="G1329" s="40">
        <v>1030747</v>
      </c>
    </row>
    <row r="1330" spans="2:7" x14ac:dyDescent="0.2">
      <c r="B1330" t="s">
        <v>2505</v>
      </c>
      <c r="C1330" s="40">
        <v>1022553665</v>
      </c>
      <c r="D1330" s="40">
        <v>1000973471</v>
      </c>
      <c r="E1330" s="40">
        <v>-28919576</v>
      </c>
      <c r="F1330" s="40">
        <v>253162854</v>
      </c>
      <c r="G1330" s="40">
        <v>471596758</v>
      </c>
    </row>
    <row r="1331" spans="2:7" x14ac:dyDescent="0.2">
      <c r="B1331" t="s">
        <v>2506</v>
      </c>
      <c r="C1331" s="40">
        <v>228247759</v>
      </c>
      <c r="D1331" s="40">
        <v>-33987785</v>
      </c>
      <c r="E1331" s="40">
        <v>46839572</v>
      </c>
      <c r="F1331" s="40">
        <v>92105961</v>
      </c>
      <c r="G1331" s="40">
        <v>116439879</v>
      </c>
    </row>
    <row r="1332" spans="2:7" x14ac:dyDescent="0.2">
      <c r="B1332" t="s">
        <v>2507</v>
      </c>
      <c r="C1332" s="40">
        <v>1942011842</v>
      </c>
      <c r="D1332" s="40">
        <v>2623364208</v>
      </c>
      <c r="E1332" s="40">
        <v>0</v>
      </c>
      <c r="F1332" s="40">
        <v>0</v>
      </c>
      <c r="G1332" s="40">
        <v>0</v>
      </c>
    </row>
    <row r="1333" spans="2:7" x14ac:dyDescent="0.2">
      <c r="B1333" t="s">
        <v>2508</v>
      </c>
      <c r="C1333" s="40">
        <v>912946302</v>
      </c>
      <c r="D1333" s="40">
        <v>1231649453</v>
      </c>
      <c r="E1333" s="40">
        <v>0</v>
      </c>
      <c r="F1333" s="40">
        <v>0</v>
      </c>
      <c r="G1333" s="40">
        <v>0</v>
      </c>
    </row>
    <row r="1334" spans="2:7" x14ac:dyDescent="0.2">
      <c r="B1334" t="s">
        <v>2509</v>
      </c>
      <c r="C1334" s="40">
        <v>0</v>
      </c>
      <c r="D1334" s="40">
        <v>0</v>
      </c>
      <c r="E1334" s="40">
        <v>0</v>
      </c>
      <c r="F1334" s="40">
        <v>0</v>
      </c>
      <c r="G1334" s="40">
        <v>0</v>
      </c>
    </row>
    <row r="1335" spans="2:7" x14ac:dyDescent="0.2">
      <c r="B1335" t="s">
        <v>2510</v>
      </c>
      <c r="C1335" s="40">
        <v>0</v>
      </c>
      <c r="D1335" s="40">
        <v>0</v>
      </c>
      <c r="E1335" s="40">
        <v>0</v>
      </c>
      <c r="F1335" s="40">
        <v>0</v>
      </c>
      <c r="G1335" s="40">
        <v>0</v>
      </c>
    </row>
    <row r="1336" spans="2:7" x14ac:dyDescent="0.2">
      <c r="B1336" t="s">
        <v>2511</v>
      </c>
      <c r="C1336" s="40">
        <v>0</v>
      </c>
      <c r="D1336" s="40">
        <v>0</v>
      </c>
      <c r="E1336" s="40">
        <v>0</v>
      </c>
      <c r="F1336" s="40">
        <v>0</v>
      </c>
      <c r="G1336" s="40">
        <v>0</v>
      </c>
    </row>
    <row r="1337" spans="2:7" x14ac:dyDescent="0.2">
      <c r="B1337" t="s">
        <v>2512</v>
      </c>
      <c r="C1337" s="40">
        <v>147237592</v>
      </c>
      <c r="D1337" s="40">
        <v>154963715</v>
      </c>
      <c r="E1337" s="40">
        <v>153239076</v>
      </c>
      <c r="F1337" s="40">
        <v>162588147</v>
      </c>
      <c r="G1337" s="40">
        <v>170839813</v>
      </c>
    </row>
    <row r="1338" spans="2:7" x14ac:dyDescent="0.2">
      <c r="B1338" t="s">
        <v>2513</v>
      </c>
      <c r="C1338" s="40">
        <v>2086078716777</v>
      </c>
      <c r="D1338" s="40">
        <v>2084557567621</v>
      </c>
      <c r="E1338" s="40">
        <v>2136471289415</v>
      </c>
      <c r="F1338" s="40">
        <v>2141734484829</v>
      </c>
      <c r="G1338" s="40">
        <v>2151969685232</v>
      </c>
    </row>
    <row r="1339" spans="2:7" x14ac:dyDescent="0.2">
      <c r="B1339" t="s">
        <v>2514</v>
      </c>
      <c r="C1339" s="40">
        <v>160627478</v>
      </c>
      <c r="D1339" s="40">
        <v>204489272</v>
      </c>
      <c r="E1339" s="40">
        <v>201926750</v>
      </c>
      <c r="F1339" s="40">
        <v>212892123</v>
      </c>
      <c r="G1339" s="40">
        <v>214519708</v>
      </c>
    </row>
    <row r="1340" spans="2:7" x14ac:dyDescent="0.2">
      <c r="B1340" t="s">
        <v>2515</v>
      </c>
      <c r="C1340" s="40">
        <v>125044952</v>
      </c>
      <c r="D1340" s="40">
        <v>158558272</v>
      </c>
      <c r="E1340" s="40">
        <v>154369631</v>
      </c>
      <c r="F1340" s="40">
        <v>162780543</v>
      </c>
      <c r="G1340" s="40">
        <v>164496551</v>
      </c>
    </row>
    <row r="1341" spans="2:7" x14ac:dyDescent="0.2">
      <c r="B1341" t="s">
        <v>2516</v>
      </c>
      <c r="C1341" s="40">
        <v>15722645815</v>
      </c>
      <c r="D1341" s="40">
        <v>15850880037</v>
      </c>
      <c r="E1341" s="40">
        <v>15742100135</v>
      </c>
      <c r="F1341" s="40">
        <v>16308826714</v>
      </c>
      <c r="G1341" s="40">
        <v>16908997218</v>
      </c>
    </row>
    <row r="1342" spans="2:7" x14ac:dyDescent="0.2">
      <c r="B1342" t="s">
        <v>2517</v>
      </c>
      <c r="C1342" s="40">
        <v>4793070304</v>
      </c>
      <c r="D1342" s="40">
        <v>4818779826</v>
      </c>
      <c r="E1342" s="40">
        <v>4663218831</v>
      </c>
      <c r="F1342" s="40">
        <v>4945622892</v>
      </c>
      <c r="G1342" s="40">
        <v>5098339719</v>
      </c>
    </row>
    <row r="1343" spans="2:7" x14ac:dyDescent="0.2">
      <c r="B1343" t="s">
        <v>2518</v>
      </c>
      <c r="C1343" s="40">
        <v>22439535</v>
      </c>
      <c r="D1343" s="40">
        <v>16859784</v>
      </c>
      <c r="E1343" s="40">
        <v>12916753</v>
      </c>
      <c r="F1343" s="40">
        <v>9309174</v>
      </c>
      <c r="G1343" s="40">
        <v>8180602</v>
      </c>
    </row>
    <row r="1344" spans="2:7" x14ac:dyDescent="0.2">
      <c r="B1344" t="s">
        <v>2519</v>
      </c>
      <c r="C1344" s="40">
        <v>199761652050</v>
      </c>
      <c r="D1344" s="40">
        <v>202964329145</v>
      </c>
      <c r="E1344" s="40">
        <v>209893521981</v>
      </c>
      <c r="F1344" s="40">
        <v>213853841482</v>
      </c>
      <c r="G1344" s="40">
        <v>216249345703</v>
      </c>
    </row>
    <row r="1345" spans="2:7" x14ac:dyDescent="0.2">
      <c r="B1345" t="s">
        <v>2520</v>
      </c>
      <c r="C1345" s="40">
        <v>164745701876</v>
      </c>
      <c r="D1345" s="40">
        <v>165675333472</v>
      </c>
      <c r="E1345" s="40">
        <v>169825849871</v>
      </c>
      <c r="F1345" s="40">
        <v>172853658060</v>
      </c>
      <c r="G1345" s="40">
        <v>176108030403</v>
      </c>
    </row>
    <row r="1346" spans="2:7" x14ac:dyDescent="0.2">
      <c r="B1346" t="s">
        <v>2521</v>
      </c>
      <c r="C1346" s="40">
        <v>623028136</v>
      </c>
      <c r="D1346" s="40">
        <v>583724500</v>
      </c>
      <c r="E1346" s="40">
        <v>538654382</v>
      </c>
      <c r="F1346" s="40">
        <v>523423846</v>
      </c>
      <c r="G1346" s="40">
        <v>829394058</v>
      </c>
    </row>
    <row r="1347" spans="2:7" x14ac:dyDescent="0.2">
      <c r="B1347" t="s">
        <v>2522</v>
      </c>
      <c r="C1347" s="40">
        <v>9784560294</v>
      </c>
      <c r="D1347" s="40">
        <v>10277920426</v>
      </c>
      <c r="E1347" s="40">
        <v>10389651758</v>
      </c>
      <c r="F1347" s="40">
        <v>10605314401</v>
      </c>
      <c r="G1347" s="40">
        <v>10537663669</v>
      </c>
    </row>
    <row r="1348" spans="2:7" x14ac:dyDescent="0.2">
      <c r="B1348" t="s">
        <v>2523</v>
      </c>
      <c r="C1348" s="40">
        <v>2359766049</v>
      </c>
      <c r="D1348" s="40">
        <v>2486576571</v>
      </c>
      <c r="E1348" s="40">
        <v>2058193827</v>
      </c>
      <c r="F1348" s="40">
        <v>1962757111</v>
      </c>
      <c r="G1348" s="40">
        <v>2187449743</v>
      </c>
    </row>
    <row r="1349" spans="2:7" x14ac:dyDescent="0.2">
      <c r="B1349" t="s">
        <v>2524</v>
      </c>
      <c r="C1349" s="40">
        <v>419200000</v>
      </c>
      <c r="D1349" s="40">
        <v>295000000</v>
      </c>
      <c r="E1349" s="40">
        <v>329000000</v>
      </c>
      <c r="F1349" s="40">
        <v>286000000</v>
      </c>
      <c r="G1349" s="40">
        <v>306000000</v>
      </c>
    </row>
    <row r="1350" spans="2:7" x14ac:dyDescent="0.2">
      <c r="B1350" t="s">
        <v>2525</v>
      </c>
      <c r="C1350" s="40">
        <v>14719370</v>
      </c>
      <c r="D1350" s="40">
        <v>14628413</v>
      </c>
      <c r="E1350" s="40">
        <v>15631725</v>
      </c>
      <c r="F1350" s="40">
        <v>15683877</v>
      </c>
      <c r="G1350" s="40">
        <v>15683337</v>
      </c>
    </row>
    <row r="1351" spans="2:7" x14ac:dyDescent="0.2">
      <c r="B1351" t="s">
        <v>2526</v>
      </c>
      <c r="C1351" s="40">
        <v>25261797</v>
      </c>
      <c r="D1351" s="40">
        <v>24852157</v>
      </c>
      <c r="E1351" s="40">
        <v>5946338</v>
      </c>
      <c r="F1351" s="40">
        <v>25557504</v>
      </c>
      <c r="G1351" s="40">
        <v>25262068</v>
      </c>
    </row>
    <row r="1352" spans="2:7" x14ac:dyDescent="0.2">
      <c r="B1352" t="s">
        <v>2527</v>
      </c>
      <c r="C1352" s="40">
        <v>262998</v>
      </c>
      <c r="D1352" s="40">
        <v>484471</v>
      </c>
      <c r="E1352" s="40">
        <v>12944741</v>
      </c>
      <c r="F1352" s="40">
        <v>179316</v>
      </c>
      <c r="G1352" s="40">
        <v>590185</v>
      </c>
    </row>
    <row r="1353" spans="2:7" x14ac:dyDescent="0.2">
      <c r="B1353" t="s">
        <v>2528</v>
      </c>
      <c r="C1353" s="40">
        <v>126000000</v>
      </c>
      <c r="D1353" s="40">
        <v>147500</v>
      </c>
      <c r="E1353" s="40">
        <v>162517654</v>
      </c>
      <c r="F1353" s="40">
        <v>274572900</v>
      </c>
      <c r="G1353" s="40">
        <v>216255312</v>
      </c>
    </row>
    <row r="1354" spans="2:7" x14ac:dyDescent="0.2">
      <c r="B1354" t="s">
        <v>2529</v>
      </c>
      <c r="C1354" s="40">
        <v>448747095</v>
      </c>
      <c r="D1354" s="40">
        <v>356846710</v>
      </c>
      <c r="E1354" s="40">
        <v>239364524</v>
      </c>
      <c r="F1354" s="40">
        <v>228021743</v>
      </c>
      <c r="G1354" s="40">
        <v>326768340</v>
      </c>
    </row>
    <row r="1355" spans="2:7" x14ac:dyDescent="0.2">
      <c r="B1355" t="s">
        <v>2530</v>
      </c>
      <c r="C1355" s="40">
        <v>0</v>
      </c>
      <c r="D1355" s="40">
        <v>0</v>
      </c>
      <c r="E1355" s="40">
        <v>0</v>
      </c>
      <c r="F1355" s="40">
        <v>0</v>
      </c>
      <c r="G1355" s="40">
        <v>0</v>
      </c>
    </row>
    <row r="1356" spans="2:7" x14ac:dyDescent="0.2">
      <c r="B1356" t="s">
        <v>2531</v>
      </c>
      <c r="C1356" s="40">
        <v>74448146437</v>
      </c>
      <c r="D1356" s="40">
        <v>75040821974</v>
      </c>
      <c r="E1356" s="40">
        <v>81704687183</v>
      </c>
      <c r="F1356" s="40">
        <v>85235425007</v>
      </c>
      <c r="G1356" s="40">
        <v>84148108200</v>
      </c>
    </row>
    <row r="1357" spans="2:7" x14ac:dyDescent="0.2">
      <c r="B1357" t="s">
        <v>2532</v>
      </c>
      <c r="C1357" s="40">
        <v>0</v>
      </c>
      <c r="D1357" s="40">
        <v>0</v>
      </c>
      <c r="E1357" s="40">
        <v>0</v>
      </c>
      <c r="F1357" s="40">
        <v>0</v>
      </c>
      <c r="G1357" s="40">
        <v>0</v>
      </c>
    </row>
    <row r="1358" spans="2:7" x14ac:dyDescent="0.2">
      <c r="B1358" t="s">
        <v>2533</v>
      </c>
      <c r="C1358" s="40">
        <v>531408020</v>
      </c>
      <c r="D1358" s="40">
        <v>307465917</v>
      </c>
      <c r="E1358" s="40">
        <v>51415821</v>
      </c>
      <c r="F1358" s="40">
        <v>573495193</v>
      </c>
      <c r="G1358" s="40">
        <v>25836617</v>
      </c>
    </row>
    <row r="1359" spans="2:7" x14ac:dyDescent="0.2">
      <c r="B1359" t="s">
        <v>2534</v>
      </c>
      <c r="C1359" s="40">
        <v>401753597516</v>
      </c>
      <c r="D1359" s="40">
        <v>407117835130</v>
      </c>
      <c r="E1359" s="40">
        <v>412075003023</v>
      </c>
      <c r="F1359" s="40">
        <v>420413064260</v>
      </c>
      <c r="G1359" s="40">
        <v>426211780838</v>
      </c>
    </row>
    <row r="1360" spans="2:7" x14ac:dyDescent="0.2">
      <c r="B1360" t="s">
        <v>2535</v>
      </c>
      <c r="C1360" s="40">
        <v>0</v>
      </c>
      <c r="D1360" s="40">
        <v>0</v>
      </c>
      <c r="E1360" s="40">
        <v>0</v>
      </c>
      <c r="F1360" s="40">
        <v>0</v>
      </c>
      <c r="G1360" s="40">
        <v>0</v>
      </c>
    </row>
    <row r="1361" spans="2:7" x14ac:dyDescent="0.2">
      <c r="B1361" t="s">
        <v>2536</v>
      </c>
      <c r="C1361" s="40">
        <v>506641599450</v>
      </c>
      <c r="D1361" s="40">
        <v>520447534449</v>
      </c>
      <c r="E1361" s="40">
        <v>531770706869</v>
      </c>
      <c r="F1361" s="40">
        <v>542051962502</v>
      </c>
      <c r="G1361" s="40">
        <v>547454367127</v>
      </c>
    </row>
    <row r="1362" spans="2:7" x14ac:dyDescent="0.2">
      <c r="B1362" t="s">
        <v>2537</v>
      </c>
      <c r="C1362" s="40">
        <v>500000</v>
      </c>
      <c r="D1362" s="40">
        <v>500000</v>
      </c>
      <c r="E1362" s="40">
        <v>0</v>
      </c>
      <c r="F1362" s="40">
        <v>0</v>
      </c>
      <c r="G1362" s="40">
        <v>19000000</v>
      </c>
    </row>
    <row r="1363" spans="2:7" x14ac:dyDescent="0.2">
      <c r="B1363" t="s">
        <v>2538</v>
      </c>
      <c r="C1363" s="40">
        <v>5565955270</v>
      </c>
      <c r="D1363" s="40">
        <v>5242206342</v>
      </c>
      <c r="E1363" s="40">
        <v>5298858112</v>
      </c>
      <c r="F1363" s="40">
        <v>4986506390</v>
      </c>
      <c r="G1363" s="40">
        <v>5127713434</v>
      </c>
    </row>
    <row r="1364" spans="2:7" x14ac:dyDescent="0.2">
      <c r="B1364" t="s">
        <v>2539</v>
      </c>
      <c r="C1364" s="40">
        <v>28712535860</v>
      </c>
      <c r="D1364" s="40">
        <v>2980281316</v>
      </c>
      <c r="E1364" s="40">
        <v>362400000</v>
      </c>
      <c r="F1364" s="40">
        <v>223161000</v>
      </c>
      <c r="G1364" s="40">
        <v>1756251000</v>
      </c>
    </row>
    <row r="1365" spans="2:7" x14ac:dyDescent="0.2">
      <c r="B1365" t="s">
        <v>2540</v>
      </c>
      <c r="C1365" s="40">
        <v>220281763638</v>
      </c>
      <c r="D1365" s="40">
        <v>190678066689</v>
      </c>
      <c r="E1365" s="40">
        <v>192161679700</v>
      </c>
      <c r="F1365" s="40">
        <v>189077516104</v>
      </c>
      <c r="G1365" s="40">
        <v>189854338870</v>
      </c>
    </row>
    <row r="1366" spans="2:7" x14ac:dyDescent="0.2">
      <c r="B1366" t="s">
        <v>2541</v>
      </c>
      <c r="C1366" s="40">
        <v>0</v>
      </c>
      <c r="D1366" s="40">
        <v>0</v>
      </c>
      <c r="E1366" s="40">
        <v>0</v>
      </c>
      <c r="F1366" s="40">
        <v>0</v>
      </c>
      <c r="G1366" s="40">
        <v>0</v>
      </c>
    </row>
    <row r="1367" spans="2:7" x14ac:dyDescent="0.2">
      <c r="B1367" t="s">
        <v>2542</v>
      </c>
      <c r="C1367" s="40">
        <v>7659585795</v>
      </c>
      <c r="D1367" s="40">
        <v>5380752914</v>
      </c>
      <c r="E1367" s="40">
        <v>4149559945</v>
      </c>
      <c r="F1367" s="40">
        <v>4583527313</v>
      </c>
      <c r="G1367" s="40">
        <v>4213553511</v>
      </c>
    </row>
    <row r="1368" spans="2:7" x14ac:dyDescent="0.2">
      <c r="B1368" t="s">
        <v>2543</v>
      </c>
      <c r="C1368" s="40">
        <v>0</v>
      </c>
      <c r="D1368" s="40">
        <v>0</v>
      </c>
      <c r="E1368" s="40">
        <v>0</v>
      </c>
      <c r="F1368" s="40">
        <v>0</v>
      </c>
      <c r="G1368" s="40">
        <v>0</v>
      </c>
    </row>
    <row r="1369" spans="2:7" x14ac:dyDescent="0.2">
      <c r="B1369" t="s">
        <v>2544</v>
      </c>
      <c r="C1369" s="40">
        <v>0</v>
      </c>
      <c r="D1369" s="40">
        <v>0</v>
      </c>
      <c r="E1369" s="40">
        <v>0</v>
      </c>
      <c r="F1369" s="40">
        <v>0</v>
      </c>
      <c r="G1369" s="40">
        <v>0</v>
      </c>
    </row>
    <row r="1370" spans="2:7" x14ac:dyDescent="0.2">
      <c r="B1370" t="s">
        <v>2545</v>
      </c>
      <c r="C1370" s="40">
        <v>7288964097</v>
      </c>
      <c r="D1370" s="40">
        <v>7790269669</v>
      </c>
      <c r="E1370" s="40">
        <v>8057582681</v>
      </c>
      <c r="F1370" s="40">
        <v>6974763783</v>
      </c>
      <c r="G1370" s="40">
        <v>7175459289</v>
      </c>
    </row>
    <row r="1371" spans="2:7" x14ac:dyDescent="0.2">
      <c r="B1371" t="s">
        <v>2546</v>
      </c>
      <c r="C1371" s="40">
        <v>181765180610</v>
      </c>
      <c r="D1371" s="40">
        <v>164412978370</v>
      </c>
      <c r="E1371" s="40">
        <v>164182250328</v>
      </c>
      <c r="F1371" s="40">
        <v>162105325303</v>
      </c>
      <c r="G1371" s="40">
        <v>162706324997</v>
      </c>
    </row>
    <row r="1372" spans="2:7" x14ac:dyDescent="0.2">
      <c r="B1372" t="s">
        <v>2547</v>
      </c>
      <c r="C1372" s="40">
        <v>848000</v>
      </c>
      <c r="D1372" s="40">
        <v>0</v>
      </c>
      <c r="E1372" s="40">
        <v>10000000</v>
      </c>
      <c r="F1372" s="40">
        <v>28585312</v>
      </c>
      <c r="G1372" s="40">
        <v>43857279</v>
      </c>
    </row>
    <row r="1373" spans="2:7" x14ac:dyDescent="0.2">
      <c r="B1373" t="s">
        <v>2548</v>
      </c>
      <c r="C1373" s="40">
        <v>121860496517</v>
      </c>
      <c r="D1373" s="40">
        <v>96453698378</v>
      </c>
      <c r="E1373" s="40">
        <v>87429331538</v>
      </c>
      <c r="F1373" s="40">
        <v>90112873482</v>
      </c>
      <c r="G1373" s="40">
        <v>87900804549</v>
      </c>
    </row>
    <row r="1374" spans="2:7" x14ac:dyDescent="0.2">
      <c r="B1374" t="s">
        <v>2549</v>
      </c>
      <c r="C1374" s="40">
        <v>8065351782</v>
      </c>
      <c r="D1374" s="40">
        <v>8086778293</v>
      </c>
      <c r="E1374" s="40">
        <v>8016487500</v>
      </c>
      <c r="F1374" s="40">
        <v>8495757880</v>
      </c>
      <c r="G1374" s="40">
        <v>8694910719</v>
      </c>
    </row>
    <row r="1375" spans="2:7" x14ac:dyDescent="0.2">
      <c r="B1375" t="s">
        <v>2550</v>
      </c>
      <c r="C1375" s="40">
        <v>7956593514</v>
      </c>
      <c r="D1375" s="40">
        <v>7926220168</v>
      </c>
      <c r="E1375" s="40">
        <v>7923488926</v>
      </c>
      <c r="F1375" s="40">
        <v>8444098317</v>
      </c>
      <c r="G1375" s="40">
        <v>8681008249</v>
      </c>
    </row>
    <row r="1376" spans="2:7" x14ac:dyDescent="0.2">
      <c r="B1376" t="s">
        <v>2551</v>
      </c>
      <c r="C1376" s="40">
        <v>40343311743</v>
      </c>
      <c r="D1376" s="40">
        <v>37857545615</v>
      </c>
      <c r="E1376" s="40">
        <v>38006962108</v>
      </c>
      <c r="F1376" s="40">
        <v>38695770563</v>
      </c>
      <c r="G1376" s="40">
        <v>39964239229</v>
      </c>
    </row>
    <row r="1377" spans="2:7" x14ac:dyDescent="0.2">
      <c r="B1377" t="s">
        <v>2552</v>
      </c>
      <c r="C1377" s="40">
        <v>39003127315</v>
      </c>
      <c r="D1377" s="40">
        <v>36305376752</v>
      </c>
      <c r="E1377" s="40">
        <v>36837756419</v>
      </c>
      <c r="F1377" s="40">
        <v>37717645498</v>
      </c>
      <c r="G1377" s="40">
        <v>39207855285</v>
      </c>
    </row>
    <row r="1378" spans="2:7" x14ac:dyDescent="0.2">
      <c r="B1378" t="s">
        <v>2553</v>
      </c>
      <c r="C1378" s="40">
        <v>14326842899</v>
      </c>
      <c r="D1378" s="40">
        <v>13846157219</v>
      </c>
      <c r="E1378" s="40">
        <v>13536421480</v>
      </c>
      <c r="F1378" s="40">
        <v>13424068356</v>
      </c>
      <c r="G1378" s="40">
        <v>12762127685</v>
      </c>
    </row>
    <row r="1379" spans="2:7" x14ac:dyDescent="0.2">
      <c r="B1379" t="s">
        <v>2554</v>
      </c>
      <c r="C1379" s="40">
        <v>13729095318</v>
      </c>
      <c r="D1379" s="40">
        <v>13154889470</v>
      </c>
      <c r="E1379" s="40">
        <v>12992149502</v>
      </c>
      <c r="F1379" s="40">
        <v>12955132153</v>
      </c>
      <c r="G1379" s="40">
        <v>12391140505</v>
      </c>
    </row>
    <row r="1380" spans="2:7" x14ac:dyDescent="0.2">
      <c r="B1380" t="s">
        <v>2555</v>
      </c>
      <c r="C1380" s="40">
        <v>51934851740</v>
      </c>
      <c r="D1380" s="40">
        <v>50463690745</v>
      </c>
      <c r="E1380" s="40">
        <v>49151340445</v>
      </c>
      <c r="F1380" s="40">
        <v>47370407191</v>
      </c>
      <c r="G1380" s="40">
        <v>45001244336</v>
      </c>
    </row>
    <row r="1381" spans="2:7" x14ac:dyDescent="0.2">
      <c r="B1381" t="s">
        <v>2556</v>
      </c>
      <c r="C1381" s="40">
        <v>48616431454</v>
      </c>
      <c r="D1381" s="40">
        <v>46665504504</v>
      </c>
      <c r="E1381" s="40">
        <v>45957557099</v>
      </c>
      <c r="F1381" s="40">
        <v>44480968445</v>
      </c>
      <c r="G1381" s="40">
        <v>42512324726</v>
      </c>
    </row>
    <row r="1382" spans="2:7" x14ac:dyDescent="0.2">
      <c r="B1382" t="s">
        <v>2557</v>
      </c>
      <c r="C1382" s="40">
        <v>16740981749</v>
      </c>
      <c r="D1382" s="40">
        <v>13582104969</v>
      </c>
      <c r="E1382" s="40">
        <v>13751374657</v>
      </c>
      <c r="F1382" s="40">
        <v>13608078038</v>
      </c>
      <c r="G1382" s="40">
        <v>13713916138</v>
      </c>
    </row>
    <row r="1383" spans="2:7" x14ac:dyDescent="0.2">
      <c r="B1383" t="s">
        <v>2558</v>
      </c>
      <c r="C1383" s="40">
        <v>15134781492</v>
      </c>
      <c r="D1383" s="40">
        <v>12151872956</v>
      </c>
      <c r="E1383" s="40">
        <v>12543098416</v>
      </c>
      <c r="F1383" s="40">
        <v>12503787858</v>
      </c>
      <c r="G1383" s="40">
        <v>12750278928</v>
      </c>
    </row>
    <row r="1384" spans="2:7" x14ac:dyDescent="0.2">
      <c r="B1384" t="s">
        <v>2559</v>
      </c>
      <c r="C1384" s="40">
        <v>176890196258</v>
      </c>
      <c r="D1384" s="40">
        <v>182142830999</v>
      </c>
      <c r="E1384" s="40">
        <v>187437582466</v>
      </c>
      <c r="F1384" s="40">
        <v>190864345288</v>
      </c>
      <c r="G1384" s="40">
        <v>193466705074</v>
      </c>
    </row>
    <row r="1385" spans="2:7" x14ac:dyDescent="0.2">
      <c r="B1385" t="s">
        <v>2560</v>
      </c>
      <c r="C1385" s="40">
        <v>161663066481</v>
      </c>
      <c r="D1385" s="40">
        <v>162355154474</v>
      </c>
      <c r="E1385" s="40">
        <v>170482366145</v>
      </c>
      <c r="F1385" s="40">
        <v>174951504144</v>
      </c>
      <c r="G1385" s="40">
        <v>179605205583</v>
      </c>
    </row>
    <row r="1386" spans="2:7" x14ac:dyDescent="0.2">
      <c r="B1386" t="s">
        <v>2561</v>
      </c>
      <c r="C1386" s="40">
        <v>3795570918</v>
      </c>
      <c r="D1386" s="40">
        <v>3713029558</v>
      </c>
      <c r="E1386" s="40">
        <v>3477979601</v>
      </c>
      <c r="F1386" s="40">
        <v>3329018943</v>
      </c>
      <c r="G1386" s="40">
        <v>3016016821</v>
      </c>
    </row>
    <row r="1387" spans="2:7" x14ac:dyDescent="0.2">
      <c r="B1387" t="s">
        <v>2562</v>
      </c>
      <c r="C1387" s="40">
        <v>3624339285</v>
      </c>
      <c r="D1387" s="40">
        <v>3528653485</v>
      </c>
      <c r="E1387" s="40">
        <v>3334746774</v>
      </c>
      <c r="F1387" s="40">
        <v>3212518269</v>
      </c>
      <c r="G1387" s="40">
        <v>2940011993</v>
      </c>
    </row>
    <row r="1388" spans="2:7" x14ac:dyDescent="0.2">
      <c r="B1388" t="s">
        <v>2563</v>
      </c>
      <c r="C1388" s="40">
        <v>2100592895</v>
      </c>
      <c r="D1388" s="40">
        <v>1919473756</v>
      </c>
      <c r="E1388" s="40">
        <v>1938766024</v>
      </c>
      <c r="F1388" s="40">
        <v>1930956688</v>
      </c>
      <c r="G1388" s="40">
        <v>1865929800</v>
      </c>
    </row>
    <row r="1389" spans="2:7" x14ac:dyDescent="0.2">
      <c r="B1389" t="s">
        <v>2564</v>
      </c>
      <c r="C1389" s="40">
        <v>1981781654</v>
      </c>
      <c r="D1389" s="40">
        <v>1784792211</v>
      </c>
      <c r="E1389" s="40">
        <v>1830090406</v>
      </c>
      <c r="F1389" s="40">
        <v>1834025999</v>
      </c>
      <c r="G1389" s="40">
        <v>1797627576</v>
      </c>
    </row>
    <row r="1390" spans="2:7" x14ac:dyDescent="0.2">
      <c r="B1390" t="s">
        <v>2565</v>
      </c>
      <c r="C1390" s="40">
        <v>367907435</v>
      </c>
      <c r="D1390" s="40">
        <v>426191662</v>
      </c>
      <c r="E1390" s="40">
        <v>462639414</v>
      </c>
      <c r="F1390" s="40">
        <v>441527880</v>
      </c>
      <c r="G1390" s="40">
        <v>424506837</v>
      </c>
    </row>
    <row r="1391" spans="2:7" x14ac:dyDescent="0.2">
      <c r="B1391" t="s">
        <v>2566</v>
      </c>
      <c r="C1391" s="40">
        <v>332295132</v>
      </c>
      <c r="D1391" s="40">
        <v>385314858</v>
      </c>
      <c r="E1391" s="40">
        <v>426493066</v>
      </c>
      <c r="F1391" s="40">
        <v>405219863</v>
      </c>
      <c r="G1391" s="40">
        <v>394318159</v>
      </c>
    </row>
    <row r="1392" spans="2:7" x14ac:dyDescent="0.2">
      <c r="B1392" t="s">
        <v>2567</v>
      </c>
      <c r="C1392" s="40">
        <v>10548798467</v>
      </c>
      <c r="D1392" s="40">
        <v>10483305877</v>
      </c>
      <c r="E1392" s="40">
        <v>10673829410</v>
      </c>
      <c r="F1392" s="40">
        <v>10876675741</v>
      </c>
      <c r="G1392" s="40">
        <v>10578998039</v>
      </c>
    </row>
    <row r="1393" spans="2:7" x14ac:dyDescent="0.2">
      <c r="B1393" t="s">
        <v>2568</v>
      </c>
      <c r="C1393" s="40">
        <v>10030238382</v>
      </c>
      <c r="D1393" s="40">
        <v>9880843661</v>
      </c>
      <c r="E1393" s="40">
        <v>10176630757</v>
      </c>
      <c r="F1393" s="40">
        <v>10425842826</v>
      </c>
      <c r="G1393" s="40">
        <v>10206042867</v>
      </c>
    </row>
    <row r="1394" spans="2:7" x14ac:dyDescent="0.2">
      <c r="B1394" t="s">
        <v>2569</v>
      </c>
      <c r="C1394" s="40">
        <v>33961666</v>
      </c>
      <c r="D1394" s="40">
        <v>15206467</v>
      </c>
      <c r="E1394" s="40">
        <v>15177886</v>
      </c>
      <c r="F1394" s="40">
        <v>14285373</v>
      </c>
      <c r="G1394" s="40">
        <v>16297745</v>
      </c>
    </row>
    <row r="1395" spans="2:7" x14ac:dyDescent="0.2">
      <c r="B1395" t="s">
        <v>2570</v>
      </c>
      <c r="C1395" s="40">
        <v>33450035</v>
      </c>
      <c r="D1395" s="40">
        <v>14578852</v>
      </c>
      <c r="E1395" s="40">
        <v>14637864</v>
      </c>
      <c r="F1395" s="40">
        <v>13886108</v>
      </c>
      <c r="G1395" s="40">
        <v>15789051</v>
      </c>
    </row>
    <row r="1396" spans="2:7" x14ac:dyDescent="0.2">
      <c r="B1396" t="s">
        <v>2571</v>
      </c>
      <c r="C1396" s="40">
        <v>655840549</v>
      </c>
      <c r="D1396" s="40">
        <v>719640292</v>
      </c>
      <c r="E1396" s="40">
        <v>692450026</v>
      </c>
      <c r="F1396" s="40">
        <v>708927550</v>
      </c>
      <c r="G1396" s="40">
        <v>1044967288</v>
      </c>
    </row>
    <row r="1397" spans="2:7" x14ac:dyDescent="0.2">
      <c r="B1397" t="s">
        <v>2572</v>
      </c>
      <c r="C1397" s="40">
        <v>642098978</v>
      </c>
      <c r="D1397" s="40">
        <v>703277984</v>
      </c>
      <c r="E1397" s="40">
        <v>678231983</v>
      </c>
      <c r="F1397" s="40">
        <v>702666398</v>
      </c>
      <c r="G1397" s="40">
        <v>1041910034</v>
      </c>
    </row>
    <row r="1398" spans="2:7" x14ac:dyDescent="0.2">
      <c r="B1398" t="s">
        <v>2573</v>
      </c>
      <c r="C1398" s="40">
        <v>1098507970</v>
      </c>
      <c r="D1398" s="40">
        <v>1086915968</v>
      </c>
      <c r="E1398" s="40">
        <v>1090938628</v>
      </c>
      <c r="F1398" s="40">
        <v>1078963685</v>
      </c>
      <c r="G1398" s="40">
        <v>1105042540</v>
      </c>
    </row>
    <row r="1399" spans="2:7" x14ac:dyDescent="0.2">
      <c r="B1399" t="s">
        <v>2574</v>
      </c>
      <c r="C1399" s="40">
        <v>1050926634</v>
      </c>
      <c r="D1399" s="40">
        <v>1018380768</v>
      </c>
      <c r="E1399" s="40">
        <v>1033802346</v>
      </c>
      <c r="F1399" s="40">
        <v>1023865254</v>
      </c>
      <c r="G1399" s="40">
        <v>1061947829</v>
      </c>
    </row>
    <row r="1400" spans="2:7" x14ac:dyDescent="0.2">
      <c r="B1400" t="s">
        <v>2575</v>
      </c>
      <c r="C1400" s="40">
        <v>10645490296</v>
      </c>
      <c r="D1400" s="40">
        <v>10192855331</v>
      </c>
      <c r="E1400" s="40">
        <v>10004585967</v>
      </c>
      <c r="F1400" s="40">
        <v>9857420936</v>
      </c>
      <c r="G1400" s="40">
        <v>9631778503</v>
      </c>
    </row>
    <row r="1401" spans="2:7" x14ac:dyDescent="0.2">
      <c r="B1401" t="s">
        <v>2576</v>
      </c>
      <c r="C1401" s="40">
        <v>9623935810</v>
      </c>
      <c r="D1401" s="40">
        <v>8939879943</v>
      </c>
      <c r="E1401" s="40">
        <v>8930153825</v>
      </c>
      <c r="F1401" s="40">
        <v>8836655766</v>
      </c>
      <c r="G1401" s="40">
        <v>8751576536</v>
      </c>
    </row>
    <row r="1402" spans="2:7" x14ac:dyDescent="0.2">
      <c r="B1402" t="s">
        <v>2577</v>
      </c>
      <c r="C1402" s="40">
        <v>5014211730</v>
      </c>
      <c r="D1402" s="40">
        <v>5072519881</v>
      </c>
      <c r="E1402" s="40">
        <v>4960498397</v>
      </c>
      <c r="F1402" s="40">
        <v>4980870372</v>
      </c>
      <c r="G1402" s="40">
        <v>4889262575</v>
      </c>
    </row>
    <row r="1403" spans="2:7" x14ac:dyDescent="0.2">
      <c r="B1403" t="s">
        <v>2578</v>
      </c>
      <c r="C1403" s="40">
        <v>4970154079</v>
      </c>
      <c r="D1403" s="40">
        <v>5032934228</v>
      </c>
      <c r="E1403" s="40">
        <v>4928042649</v>
      </c>
      <c r="F1403" s="40">
        <v>4951694408</v>
      </c>
      <c r="G1403" s="40">
        <v>4884769530</v>
      </c>
    </row>
    <row r="1404" spans="2:7" x14ac:dyDescent="0.2">
      <c r="B1404" t="s">
        <v>2579</v>
      </c>
      <c r="C1404" s="40">
        <v>6463205450</v>
      </c>
      <c r="D1404" s="40">
        <v>6390318163</v>
      </c>
      <c r="E1404" s="40">
        <v>6411841949</v>
      </c>
      <c r="F1404" s="40">
        <v>6698324686</v>
      </c>
      <c r="G1404" s="40">
        <v>6637599674</v>
      </c>
    </row>
    <row r="1405" spans="2:7" x14ac:dyDescent="0.2">
      <c r="B1405" t="s">
        <v>2580</v>
      </c>
      <c r="C1405" s="40">
        <v>6399094690</v>
      </c>
      <c r="D1405" s="40">
        <v>6320414951</v>
      </c>
      <c r="E1405" s="40">
        <v>6362219688</v>
      </c>
      <c r="F1405" s="40">
        <v>6668963376</v>
      </c>
      <c r="G1405" s="40">
        <v>6633174345</v>
      </c>
    </row>
    <row r="1406" spans="2:7" x14ac:dyDescent="0.2">
      <c r="B1406" t="s">
        <v>2581</v>
      </c>
      <c r="C1406" s="40">
        <v>3085249063</v>
      </c>
      <c r="D1406" s="40">
        <v>2938763221</v>
      </c>
      <c r="E1406" s="40">
        <v>2952656046</v>
      </c>
      <c r="F1406" s="40">
        <v>2976285610</v>
      </c>
      <c r="G1406" s="40">
        <v>2995339147</v>
      </c>
    </row>
    <row r="1407" spans="2:7" x14ac:dyDescent="0.2">
      <c r="B1407" t="s">
        <v>2582</v>
      </c>
      <c r="C1407" s="40">
        <v>3055030975</v>
      </c>
      <c r="D1407" s="40">
        <v>2911151466</v>
      </c>
      <c r="E1407" s="40">
        <v>2922523167</v>
      </c>
      <c r="F1407" s="40">
        <v>2953951484</v>
      </c>
      <c r="G1407" s="40">
        <v>2987099666</v>
      </c>
    </row>
    <row r="1408" spans="2:7" x14ac:dyDescent="0.2">
      <c r="B1408" t="s">
        <v>2583</v>
      </c>
      <c r="C1408" s="40">
        <v>12809004559</v>
      </c>
      <c r="D1408" s="40">
        <v>12526283335</v>
      </c>
      <c r="E1408" s="40">
        <v>12892268834</v>
      </c>
      <c r="F1408" s="40">
        <v>13070887684</v>
      </c>
      <c r="G1408" s="40">
        <v>12868865801</v>
      </c>
    </row>
    <row r="1409" spans="2:7" x14ac:dyDescent="0.2">
      <c r="B1409" t="s">
        <v>2584</v>
      </c>
      <c r="C1409" s="40">
        <v>12255691608</v>
      </c>
      <c r="D1409" s="40">
        <v>11793660589</v>
      </c>
      <c r="E1409" s="40">
        <v>12263789730</v>
      </c>
      <c r="F1409" s="40">
        <v>12529145759</v>
      </c>
      <c r="G1409" s="40">
        <v>12440284338</v>
      </c>
    </row>
    <row r="1410" spans="2:7" x14ac:dyDescent="0.2">
      <c r="B1410" t="s">
        <v>2585</v>
      </c>
      <c r="C1410" s="40">
        <v>52528585212</v>
      </c>
      <c r="D1410" s="40">
        <v>48767667238</v>
      </c>
      <c r="E1410" s="40">
        <v>48264173609</v>
      </c>
      <c r="F1410" s="40">
        <v>48348856137</v>
      </c>
      <c r="G1410" s="40">
        <v>47617420207</v>
      </c>
    </row>
    <row r="1411" spans="2:7" x14ac:dyDescent="0.2">
      <c r="B1411" t="s">
        <v>2586</v>
      </c>
      <c r="C1411" s="40">
        <v>312391291957</v>
      </c>
      <c r="D1411" s="40">
        <v>312695944113</v>
      </c>
      <c r="E1411" s="40">
        <v>317209627229</v>
      </c>
      <c r="F1411" s="40">
        <v>320073716327</v>
      </c>
      <c r="G1411" s="40">
        <v>321060327744</v>
      </c>
    </row>
    <row r="1412" spans="2:7" x14ac:dyDescent="0.2">
      <c r="B1412" t="s">
        <v>2587</v>
      </c>
      <c r="C1412" s="40">
        <v>290215466372</v>
      </c>
      <c r="D1412" s="40">
        <v>284748905069</v>
      </c>
      <c r="E1412" s="40">
        <v>293518796052</v>
      </c>
      <c r="F1412" s="40">
        <v>298147418211</v>
      </c>
      <c r="G1412" s="40">
        <v>302196001290</v>
      </c>
    </row>
    <row r="1413" spans="2:7" x14ac:dyDescent="0.2">
      <c r="B1413" t="s">
        <v>2588</v>
      </c>
      <c r="C1413" s="40">
        <v>83946863</v>
      </c>
      <c r="D1413" s="40">
        <v>94366529</v>
      </c>
      <c r="E1413" s="40">
        <v>104708817</v>
      </c>
      <c r="F1413" s="40">
        <v>112100662</v>
      </c>
      <c r="G1413" s="40">
        <v>125936257</v>
      </c>
    </row>
    <row r="1414" spans="2:7" x14ac:dyDescent="0.2">
      <c r="B1414" t="s">
        <v>2589</v>
      </c>
      <c r="C1414" s="40">
        <v>5500000</v>
      </c>
      <c r="D1414" s="40">
        <v>0</v>
      </c>
      <c r="E1414" s="40">
        <v>0</v>
      </c>
      <c r="F1414" s="40">
        <v>0</v>
      </c>
      <c r="G1414" s="40">
        <v>5635258</v>
      </c>
    </row>
    <row r="1415" spans="2:7" x14ac:dyDescent="0.2">
      <c r="B1415" t="s">
        <v>2590</v>
      </c>
      <c r="C1415" s="40">
        <v>0</v>
      </c>
      <c r="D1415" s="40">
        <v>0</v>
      </c>
      <c r="E1415" s="40">
        <v>0</v>
      </c>
      <c r="F1415" s="40">
        <v>0</v>
      </c>
      <c r="G1415" s="40">
        <v>31851881</v>
      </c>
    </row>
    <row r="1416" spans="2:7" x14ac:dyDescent="0.2">
      <c r="B1416" t="s">
        <v>2591</v>
      </c>
      <c r="C1416" s="40">
        <v>9011685</v>
      </c>
      <c r="D1416" s="40">
        <v>10438864</v>
      </c>
      <c r="E1416" s="40">
        <v>11171554</v>
      </c>
      <c r="F1416" s="40">
        <v>10974328</v>
      </c>
      <c r="G1416" s="40">
        <v>16024636</v>
      </c>
    </row>
    <row r="1417" spans="2:7" x14ac:dyDescent="0.2">
      <c r="B1417" t="s">
        <v>2592</v>
      </c>
      <c r="C1417" s="40">
        <v>0</v>
      </c>
      <c r="D1417" s="40">
        <v>0</v>
      </c>
      <c r="E1417" s="40">
        <v>0</v>
      </c>
      <c r="F1417" s="40">
        <v>0</v>
      </c>
      <c r="G1417" s="40">
        <v>2071021</v>
      </c>
    </row>
    <row r="1418" spans="2:7" x14ac:dyDescent="0.2">
      <c r="B1418" t="s">
        <v>2593</v>
      </c>
      <c r="C1418" s="40">
        <v>20338440</v>
      </c>
      <c r="D1418" s="40">
        <v>19842548</v>
      </c>
      <c r="E1418" s="40">
        <v>19375225</v>
      </c>
      <c r="F1418" s="40">
        <v>18570317</v>
      </c>
      <c r="G1418" s="40">
        <v>19033101</v>
      </c>
    </row>
    <row r="1419" spans="2:7" x14ac:dyDescent="0.2">
      <c r="B1419" t="s">
        <v>2594</v>
      </c>
      <c r="C1419" s="40">
        <v>1137114</v>
      </c>
      <c r="D1419" s="40">
        <v>1122736</v>
      </c>
      <c r="E1419" s="40">
        <v>1142665</v>
      </c>
      <c r="F1419" s="40">
        <v>1161248</v>
      </c>
      <c r="G1419" s="40">
        <v>1198189</v>
      </c>
    </row>
    <row r="1420" spans="2:7" x14ac:dyDescent="0.2">
      <c r="B1420" t="s">
        <v>2595</v>
      </c>
      <c r="C1420" s="40">
        <v>34134450</v>
      </c>
      <c r="D1420" s="40">
        <v>32773684</v>
      </c>
      <c r="E1420" s="40">
        <v>35289068</v>
      </c>
      <c r="F1420" s="40">
        <v>33860343</v>
      </c>
      <c r="G1420" s="40">
        <v>36815709</v>
      </c>
    </row>
    <row r="1421" spans="2:7" x14ac:dyDescent="0.2">
      <c r="B1421" t="s">
        <v>2596</v>
      </c>
      <c r="C1421" s="40">
        <v>358156660</v>
      </c>
      <c r="D1421" s="40">
        <v>369529339</v>
      </c>
      <c r="E1421" s="40">
        <v>379720750</v>
      </c>
      <c r="F1421" s="40">
        <v>402908192</v>
      </c>
      <c r="G1421" s="40">
        <v>462209880</v>
      </c>
    </row>
    <row r="1422" spans="2:7" x14ac:dyDescent="0.2">
      <c r="B1422" t="s">
        <v>2597</v>
      </c>
      <c r="C1422" s="40">
        <v>512225212</v>
      </c>
      <c r="D1422" s="40">
        <v>528073700</v>
      </c>
      <c r="E1422" s="40">
        <v>551408079</v>
      </c>
      <c r="F1422" s="40">
        <v>579575090</v>
      </c>
      <c r="G1422" s="40">
        <v>700775932</v>
      </c>
    </row>
    <row r="1423" spans="2:7" x14ac:dyDescent="0.2">
      <c r="B1423" t="s">
        <v>2598</v>
      </c>
      <c r="C1423" s="40">
        <v>1153976252</v>
      </c>
      <c r="D1423" s="40">
        <v>1168506783</v>
      </c>
      <c r="E1423" s="40">
        <v>1175069968</v>
      </c>
      <c r="F1423" s="40">
        <v>1318892486</v>
      </c>
      <c r="G1423" s="40">
        <v>1391141538</v>
      </c>
    </row>
    <row r="1424" spans="2:7" x14ac:dyDescent="0.2">
      <c r="B1424" t="s">
        <v>2599</v>
      </c>
      <c r="C1424" s="40">
        <v>2277737191</v>
      </c>
      <c r="D1424" s="40">
        <v>2321070030</v>
      </c>
      <c r="E1424" s="40">
        <v>2144892216</v>
      </c>
      <c r="F1424" s="40">
        <v>2304658722</v>
      </c>
      <c r="G1424" s="40">
        <v>2390126411</v>
      </c>
    </row>
    <row r="1425" spans="2:7" x14ac:dyDescent="0.2">
      <c r="B1425" t="s">
        <v>2600</v>
      </c>
      <c r="C1425" s="40">
        <v>1131211106</v>
      </c>
      <c r="D1425" s="40">
        <v>1127415697</v>
      </c>
      <c r="E1425" s="40">
        <v>1206898339</v>
      </c>
      <c r="F1425" s="40">
        <v>1295617471</v>
      </c>
      <c r="G1425" s="40">
        <v>1387580382</v>
      </c>
    </row>
    <row r="1426" spans="2:7" x14ac:dyDescent="0.2">
      <c r="B1426" t="s">
        <v>2601</v>
      </c>
      <c r="C1426" s="40">
        <v>16833567523</v>
      </c>
      <c r="D1426" s="40">
        <v>16603478679</v>
      </c>
      <c r="E1426" s="40">
        <v>17019001911</v>
      </c>
      <c r="F1426" s="40">
        <v>16812837634</v>
      </c>
      <c r="G1426" s="40">
        <v>16949496149</v>
      </c>
    </row>
    <row r="1427" spans="2:7" x14ac:dyDescent="0.2">
      <c r="B1427" t="s">
        <v>2602</v>
      </c>
      <c r="C1427" s="40">
        <v>11545991658</v>
      </c>
      <c r="D1427" s="40">
        <v>11357109886</v>
      </c>
      <c r="E1427" s="40">
        <v>11278490086</v>
      </c>
      <c r="F1427" s="40">
        <v>11460184464</v>
      </c>
      <c r="G1427" s="40">
        <v>11259165079</v>
      </c>
    </row>
    <row r="1428" spans="2:7" x14ac:dyDescent="0.2">
      <c r="B1428" t="s">
        <v>2603</v>
      </c>
      <c r="C1428" s="40">
        <v>2407616500</v>
      </c>
      <c r="D1428" s="40">
        <v>2468408992</v>
      </c>
      <c r="E1428" s="40">
        <v>2870814004</v>
      </c>
      <c r="F1428" s="40">
        <v>3116521590</v>
      </c>
      <c r="G1428" s="40">
        <v>3247773283</v>
      </c>
    </row>
    <row r="1429" spans="2:7" x14ac:dyDescent="0.2">
      <c r="B1429" t="s">
        <v>2604</v>
      </c>
      <c r="C1429" s="40">
        <v>149128724</v>
      </c>
      <c r="D1429" s="40">
        <v>134477566</v>
      </c>
      <c r="E1429" s="40">
        <v>138652366</v>
      </c>
      <c r="F1429" s="40">
        <v>128261105</v>
      </c>
      <c r="G1429" s="40">
        <v>140102017</v>
      </c>
    </row>
    <row r="1430" spans="2:7" x14ac:dyDescent="0.2">
      <c r="B1430" t="s">
        <v>2605</v>
      </c>
      <c r="C1430" s="40">
        <v>8935563</v>
      </c>
      <c r="D1430" s="40">
        <v>6196760</v>
      </c>
      <c r="E1430" s="40">
        <v>8350159</v>
      </c>
      <c r="F1430" s="40">
        <v>12315405</v>
      </c>
      <c r="G1430" s="40">
        <v>6280211</v>
      </c>
    </row>
    <row r="1431" spans="2:7" x14ac:dyDescent="0.2">
      <c r="B1431" t="s">
        <v>2606</v>
      </c>
      <c r="C1431" s="40">
        <v>30945239968</v>
      </c>
      <c r="D1431" s="40">
        <v>30569671883</v>
      </c>
      <c r="E1431" s="40">
        <v>31315308526</v>
      </c>
      <c r="F1431" s="40">
        <v>31530120198</v>
      </c>
      <c r="G1431" s="40">
        <v>31602816739</v>
      </c>
    </row>
    <row r="1432" spans="2:7" x14ac:dyDescent="0.2">
      <c r="B1432" t="s">
        <v>2607</v>
      </c>
      <c r="C1432" s="40">
        <v>4562924545</v>
      </c>
      <c r="D1432" s="40">
        <v>4616992504</v>
      </c>
      <c r="E1432" s="40">
        <v>4526860518</v>
      </c>
      <c r="F1432" s="40">
        <v>4919168658</v>
      </c>
      <c r="G1432" s="40">
        <v>5168848328</v>
      </c>
    </row>
    <row r="1433" spans="2:7" x14ac:dyDescent="0.2">
      <c r="B1433" t="s">
        <v>2608</v>
      </c>
      <c r="C1433" s="40">
        <v>512225213</v>
      </c>
      <c r="D1433" s="40">
        <v>528073703</v>
      </c>
      <c r="E1433" s="40">
        <v>551408079</v>
      </c>
      <c r="F1433" s="40">
        <v>579575093</v>
      </c>
      <c r="G1433" s="40">
        <v>700775931</v>
      </c>
    </row>
    <row r="1434" spans="2:7" x14ac:dyDescent="0.2">
      <c r="B1434" t="s">
        <v>2609</v>
      </c>
      <c r="C1434" s="40">
        <v>290028727802</v>
      </c>
      <c r="D1434" s="40">
        <v>284561088061</v>
      </c>
      <c r="E1434" s="40">
        <v>293307696983</v>
      </c>
      <c r="F1434" s="40">
        <v>297944960988</v>
      </c>
      <c r="G1434" s="40">
        <v>302032764101</v>
      </c>
    </row>
    <row r="1435" spans="2:7" x14ac:dyDescent="0.2">
      <c r="B1435" t="s">
        <v>2610</v>
      </c>
      <c r="C1435" s="40">
        <v>52715323781</v>
      </c>
      <c r="D1435" s="40">
        <v>48955484221</v>
      </c>
      <c r="E1435" s="40">
        <v>48475272720</v>
      </c>
      <c r="F1435" s="40">
        <v>48551313383</v>
      </c>
      <c r="G1435" s="40">
        <v>47780657365</v>
      </c>
    </row>
    <row r="1436" spans="2:7" x14ac:dyDescent="0.2">
      <c r="B1436" t="s">
        <v>2611</v>
      </c>
      <c r="C1436" s="40">
        <v>3558516715</v>
      </c>
      <c r="D1436" s="40">
        <v>2671577241</v>
      </c>
      <c r="E1436" s="40">
        <v>3049215868</v>
      </c>
      <c r="F1436" s="40">
        <v>3099209409</v>
      </c>
      <c r="G1436" s="40">
        <v>3085707671</v>
      </c>
    </row>
    <row r="1437" spans="2:7" x14ac:dyDescent="0.2">
      <c r="B1437" t="s">
        <v>2612</v>
      </c>
      <c r="C1437" s="40">
        <v>7160741679</v>
      </c>
      <c r="D1437" s="40">
        <v>7323646524</v>
      </c>
      <c r="E1437" s="40">
        <v>7129534983</v>
      </c>
      <c r="F1437" s="40">
        <v>7285015057</v>
      </c>
      <c r="G1437" s="40">
        <v>7190411725</v>
      </c>
    </row>
    <row r="1438" spans="2:7" x14ac:dyDescent="0.2">
      <c r="B1438" t="s">
        <v>2613</v>
      </c>
      <c r="C1438" s="40">
        <v>253801000</v>
      </c>
      <c r="D1438" s="40">
        <v>236124434</v>
      </c>
      <c r="E1438" s="40">
        <v>253036498</v>
      </c>
      <c r="F1438" s="40">
        <v>361959481</v>
      </c>
      <c r="G1438" s="40">
        <v>399059183</v>
      </c>
    </row>
    <row r="1439" spans="2:7" x14ac:dyDescent="0.2">
      <c r="B1439" t="s">
        <v>2614</v>
      </c>
      <c r="C1439" s="40">
        <v>947960646</v>
      </c>
      <c r="D1439" s="40">
        <v>942989783</v>
      </c>
      <c r="E1439" s="40">
        <v>1060245318</v>
      </c>
      <c r="F1439" s="40">
        <v>1114138939</v>
      </c>
      <c r="G1439" s="40">
        <v>1192766230</v>
      </c>
    </row>
    <row r="1440" spans="2:7" x14ac:dyDescent="0.2">
      <c r="B1440" t="s">
        <v>2615</v>
      </c>
      <c r="C1440" s="40">
        <v>1461666897</v>
      </c>
      <c r="D1440" s="40">
        <v>1425416414</v>
      </c>
      <c r="E1440" s="40">
        <v>1434413923</v>
      </c>
      <c r="F1440" s="40">
        <v>1484010837</v>
      </c>
      <c r="G1440" s="40">
        <v>1528029573</v>
      </c>
    </row>
    <row r="1441" spans="2:7" x14ac:dyDescent="0.2">
      <c r="B1441" t="s">
        <v>2616</v>
      </c>
      <c r="C1441" s="40">
        <v>13382686937</v>
      </c>
      <c r="D1441" s="40">
        <v>12599754396</v>
      </c>
      <c r="E1441" s="40">
        <v>12926446590</v>
      </c>
      <c r="F1441" s="40">
        <v>13344333723</v>
      </c>
      <c r="G1441" s="40">
        <v>13395974382</v>
      </c>
    </row>
    <row r="1442" spans="2:7" x14ac:dyDescent="0.2">
      <c r="B1442" t="s">
        <v>2617</v>
      </c>
      <c r="C1442" s="40">
        <v>104754660880</v>
      </c>
      <c r="D1442" s="40">
        <v>100787715268</v>
      </c>
      <c r="E1442" s="40">
        <v>101091259546</v>
      </c>
      <c r="F1442" s="40">
        <v>101430692705</v>
      </c>
      <c r="G1442" s="40">
        <v>101914603877</v>
      </c>
    </row>
    <row r="1443" spans="2:7" x14ac:dyDescent="0.2">
      <c r="B1443" t="s">
        <v>2618</v>
      </c>
      <c r="C1443" s="40">
        <v>109260641046</v>
      </c>
      <c r="D1443" s="40">
        <v>103180418826</v>
      </c>
      <c r="E1443" s="40">
        <v>105683191337</v>
      </c>
      <c r="F1443" s="40">
        <v>105635236504</v>
      </c>
      <c r="G1443" s="40">
        <v>106216813544</v>
      </c>
    </row>
    <row r="1444" spans="2:7" x14ac:dyDescent="0.2">
      <c r="B1444" t="s">
        <v>2619</v>
      </c>
      <c r="C1444" s="40">
        <v>76784660098</v>
      </c>
      <c r="D1444" s="40">
        <v>76582127701</v>
      </c>
      <c r="E1444" s="40">
        <v>80557180377</v>
      </c>
      <c r="F1444" s="40">
        <v>86400944008</v>
      </c>
      <c r="G1444" s="40">
        <v>89963770620</v>
      </c>
    </row>
    <row r="1445" spans="2:7" x14ac:dyDescent="0.2">
      <c r="B1445" t="s">
        <v>2620</v>
      </c>
      <c r="C1445" s="40">
        <v>83200176948</v>
      </c>
      <c r="D1445" s="40">
        <v>84766873192</v>
      </c>
      <c r="E1445" s="40">
        <v>85488664102</v>
      </c>
      <c r="F1445" s="40">
        <v>85954592017</v>
      </c>
      <c r="G1445" s="40">
        <v>85553843940</v>
      </c>
    </row>
    <row r="1446" spans="2:7" x14ac:dyDescent="0.2">
      <c r="B1446" t="s">
        <v>2621</v>
      </c>
      <c r="C1446" s="40">
        <v>18146989274</v>
      </c>
      <c r="D1446" s="40">
        <v>16513929781</v>
      </c>
      <c r="E1446" s="40">
        <v>18282698054</v>
      </c>
      <c r="F1446" s="40">
        <v>17448006809</v>
      </c>
      <c r="G1446" s="40">
        <v>17032804865</v>
      </c>
    </row>
    <row r="1447" spans="2:7" x14ac:dyDescent="0.2">
      <c r="B1447" t="s">
        <v>2622</v>
      </c>
      <c r="C1447" s="40">
        <v>392147128246</v>
      </c>
      <c r="D1447" s="40">
        <v>381831064768</v>
      </c>
      <c r="E1447" s="40">
        <v>391102993416</v>
      </c>
      <c r="F1447" s="40">
        <v>396869472043</v>
      </c>
      <c r="G1447" s="40">
        <v>400681836846</v>
      </c>
    </row>
    <row r="1448" spans="2:7" x14ac:dyDescent="0.2">
      <c r="B1448" t="s">
        <v>2623</v>
      </c>
      <c r="C1448" s="40">
        <v>-995540</v>
      </c>
      <c r="D1448" s="40">
        <v>-478862</v>
      </c>
      <c r="E1448" s="40">
        <v>-1296265</v>
      </c>
      <c r="F1448" s="40">
        <v>-279486</v>
      </c>
      <c r="G1448" s="40">
        <v>-887630</v>
      </c>
    </row>
    <row r="1449" spans="2:7" x14ac:dyDescent="0.2">
      <c r="B1449" t="s">
        <v>2624</v>
      </c>
      <c r="C1449" s="40">
        <v>-84567488</v>
      </c>
      <c r="D1449" s="40">
        <v>-225005769</v>
      </c>
      <c r="E1449" s="40">
        <v>-34653772</v>
      </c>
      <c r="F1449" s="40">
        <v>-55421963</v>
      </c>
      <c r="G1449" s="40">
        <v>-73635782</v>
      </c>
    </row>
    <row r="1450" spans="2:7" x14ac:dyDescent="0.2">
      <c r="B1450" t="s">
        <v>2625</v>
      </c>
      <c r="C1450" s="40">
        <v>313810787</v>
      </c>
      <c r="D1450" s="40">
        <v>191496846</v>
      </c>
      <c r="E1450" s="40">
        <v>82789609</v>
      </c>
      <c r="F1450" s="40">
        <v>147807410</v>
      </c>
      <c r="G1450" s="40">
        <v>190963291</v>
      </c>
    </row>
    <row r="1451" spans="2:7" x14ac:dyDescent="0.2">
      <c r="B1451" t="s">
        <v>2626</v>
      </c>
      <c r="C1451" s="40">
        <v>228247759</v>
      </c>
      <c r="D1451" s="40">
        <v>-33987785</v>
      </c>
      <c r="E1451" s="40">
        <v>46839572</v>
      </c>
      <c r="F1451" s="40">
        <v>92105961</v>
      </c>
      <c r="G1451" s="40">
        <v>116439879</v>
      </c>
    </row>
    <row r="1452" spans="2:7" x14ac:dyDescent="0.2">
      <c r="B1452" t="s">
        <v>2627</v>
      </c>
      <c r="C1452" s="40">
        <v>682971590</v>
      </c>
      <c r="D1452" s="40">
        <v>669994014</v>
      </c>
      <c r="E1452" s="40">
        <v>641288200</v>
      </c>
      <c r="F1452" s="40">
        <v>661238908</v>
      </c>
      <c r="G1452" s="40">
        <v>669040442</v>
      </c>
    </row>
    <row r="1453" spans="2:7" x14ac:dyDescent="0.2">
      <c r="B1453" t="s">
        <v>2628</v>
      </c>
      <c r="C1453" s="40">
        <v>6287669247</v>
      </c>
      <c r="D1453" s="40">
        <v>6907881927</v>
      </c>
      <c r="E1453" s="40">
        <v>7178218251</v>
      </c>
      <c r="F1453" s="40">
        <v>7510842607</v>
      </c>
      <c r="G1453" s="40">
        <v>7737795129</v>
      </c>
    </row>
    <row r="1454" spans="2:7" x14ac:dyDescent="0.2">
      <c r="B1454" t="s">
        <v>2629</v>
      </c>
      <c r="C1454" s="40">
        <v>82336613</v>
      </c>
      <c r="D1454" s="40">
        <v>88261669</v>
      </c>
      <c r="E1454" s="40">
        <v>100798336</v>
      </c>
      <c r="F1454" s="40">
        <v>112302240</v>
      </c>
      <c r="G1454" s="40">
        <v>107582147</v>
      </c>
    </row>
    <row r="1455" spans="2:7" x14ac:dyDescent="0.2">
      <c r="B1455" t="s">
        <v>2630</v>
      </c>
      <c r="C1455" s="40">
        <v>638812990</v>
      </c>
      <c r="D1455" s="40">
        <v>773730901</v>
      </c>
      <c r="E1455" s="40">
        <v>692809720</v>
      </c>
      <c r="F1455" s="40">
        <v>692353126</v>
      </c>
      <c r="G1455" s="40">
        <v>730953691</v>
      </c>
    </row>
    <row r="1456" spans="2:7" x14ac:dyDescent="0.2">
      <c r="B1456" t="s">
        <v>2631</v>
      </c>
      <c r="C1456" s="40">
        <v>7438199</v>
      </c>
      <c r="D1456" s="40">
        <v>7409892</v>
      </c>
      <c r="E1456" s="40">
        <v>7363378</v>
      </c>
      <c r="F1456" s="40">
        <v>7318885</v>
      </c>
      <c r="G1456" s="40">
        <v>7272358</v>
      </c>
    </row>
    <row r="1457" spans="2:7" x14ac:dyDescent="0.2">
      <c r="B1457" t="s">
        <v>2632</v>
      </c>
      <c r="C1457" s="40">
        <v>7182042179</v>
      </c>
      <c r="D1457" s="40">
        <v>7186397869</v>
      </c>
      <c r="E1457" s="40">
        <v>7184712899</v>
      </c>
      <c r="F1457" s="40">
        <v>7175751138</v>
      </c>
      <c r="G1457" s="40">
        <v>7167750307</v>
      </c>
    </row>
    <row r="1458" spans="2:7" x14ac:dyDescent="0.2">
      <c r="B1458" t="s">
        <v>2633</v>
      </c>
      <c r="C1458" s="40">
        <v>4786929375</v>
      </c>
      <c r="D1458" s="40">
        <v>2770012541</v>
      </c>
      <c r="E1458" s="40">
        <v>2676652343</v>
      </c>
      <c r="F1458" s="40">
        <v>2454106624</v>
      </c>
      <c r="G1458" s="40">
        <v>2352876484</v>
      </c>
    </row>
    <row r="1459" spans="2:7" x14ac:dyDescent="0.2">
      <c r="B1459" t="s">
        <v>2634</v>
      </c>
      <c r="C1459" s="40">
        <v>548100063</v>
      </c>
      <c r="D1459" s="40">
        <v>257070299</v>
      </c>
      <c r="E1459" s="40">
        <v>330141356</v>
      </c>
      <c r="F1459" s="40">
        <v>292622794</v>
      </c>
      <c r="G1459" s="40">
        <v>264848741</v>
      </c>
    </row>
    <row r="1460" spans="2:7" x14ac:dyDescent="0.2">
      <c r="B1460" t="s">
        <v>2635</v>
      </c>
      <c r="C1460" s="40">
        <v>2316252719504</v>
      </c>
      <c r="D1460" s="40">
        <v>2310179869906</v>
      </c>
      <c r="E1460" s="40">
        <v>2369887048166</v>
      </c>
      <c r="F1460" s="40">
        <v>2381425318207</v>
      </c>
      <c r="G1460" s="40">
        <v>2400112419966</v>
      </c>
    </row>
    <row r="1461" spans="2:7" x14ac:dyDescent="0.2">
      <c r="B1461" t="s">
        <v>2636</v>
      </c>
      <c r="C1461" s="40">
        <v>3766</v>
      </c>
      <c r="D1461" s="40">
        <v>3759</v>
      </c>
      <c r="E1461" s="40">
        <v>3730</v>
      </c>
      <c r="F1461" s="40">
        <v>3704</v>
      </c>
      <c r="G1461" s="40">
        <v>3694</v>
      </c>
    </row>
    <row r="1462" spans="2:7" x14ac:dyDescent="0.2">
      <c r="B1462" t="s">
        <v>2637</v>
      </c>
      <c r="C1462" s="40">
        <v>3360</v>
      </c>
      <c r="D1462" s="40">
        <v>3363</v>
      </c>
      <c r="E1462" s="40">
        <v>3351</v>
      </c>
      <c r="F1462" s="40">
        <v>3335</v>
      </c>
      <c r="G1462" s="40">
        <v>3283</v>
      </c>
    </row>
    <row r="1463" spans="2:7" x14ac:dyDescent="0.2">
      <c r="B1463" t="s">
        <v>2638</v>
      </c>
      <c r="C1463" s="40">
        <v>3782</v>
      </c>
      <c r="D1463" s="40">
        <v>3758</v>
      </c>
      <c r="E1463" s="40">
        <v>3726</v>
      </c>
      <c r="F1463" s="40">
        <v>3697</v>
      </c>
      <c r="G1463" s="40">
        <v>3654</v>
      </c>
    </row>
    <row r="1464" spans="2:7" x14ac:dyDescent="0.2">
      <c r="B1464" t="s">
        <v>2639</v>
      </c>
      <c r="C1464" s="40">
        <v>84283221912</v>
      </c>
      <c r="D1464" s="40">
        <v>83465639288</v>
      </c>
      <c r="E1464" s="40">
        <v>84511456979</v>
      </c>
      <c r="F1464" s="40">
        <v>87015744413</v>
      </c>
      <c r="G1464" s="40">
        <v>88695449753</v>
      </c>
    </row>
    <row r="1465" spans="2:7" x14ac:dyDescent="0.2">
      <c r="B1465" t="s">
        <v>2640</v>
      </c>
      <c r="C1465" s="40">
        <v>536888357297.90997</v>
      </c>
      <c r="D1465" s="40">
        <v>532787550265.06</v>
      </c>
      <c r="E1465" s="40">
        <v>535022202240.85999</v>
      </c>
      <c r="F1465" s="40">
        <v>550000950712.52002</v>
      </c>
      <c r="G1465" s="40">
        <v>559074206518.01001</v>
      </c>
    </row>
    <row r="1466" spans="2:7" x14ac:dyDescent="0.2">
      <c r="B1466" t="s">
        <v>2641</v>
      </c>
      <c r="C1466" s="40">
        <v>4514.4399999999996</v>
      </c>
      <c r="D1466" s="40">
        <v>4409.3500000000004</v>
      </c>
      <c r="E1466" s="40">
        <v>4465.38</v>
      </c>
      <c r="F1466" s="40">
        <v>4462.53</v>
      </c>
      <c r="G1466" s="40">
        <v>4424.01</v>
      </c>
    </row>
    <row r="1467" spans="2:7" x14ac:dyDescent="0.2">
      <c r="B1467" t="s">
        <v>2642</v>
      </c>
      <c r="C1467" s="40">
        <v>301447690537</v>
      </c>
      <c r="D1467" s="40">
        <v>303911765851</v>
      </c>
      <c r="E1467" s="40">
        <v>304553747314</v>
      </c>
      <c r="F1467" s="40">
        <v>308071524232</v>
      </c>
      <c r="G1467" s="40">
        <v>311047459685</v>
      </c>
    </row>
    <row r="1468" spans="2:7" x14ac:dyDescent="0.2">
      <c r="B1468" t="s">
        <v>2643</v>
      </c>
      <c r="C1468" s="40">
        <v>39265912167</v>
      </c>
      <c r="D1468" s="40">
        <v>55293935319</v>
      </c>
      <c r="E1468" s="40">
        <v>11432386830</v>
      </c>
      <c r="F1468" s="40">
        <v>28574202513</v>
      </c>
      <c r="G1468" s="40">
        <v>46005748338</v>
      </c>
    </row>
    <row r="1469" spans="2:7" x14ac:dyDescent="0.2">
      <c r="B1469" t="s">
        <v>2644</v>
      </c>
      <c r="C1469" s="40">
        <v>86714008138</v>
      </c>
      <c r="D1469" s="40">
        <v>84846983252</v>
      </c>
      <c r="E1469" s="40">
        <v>83249726004</v>
      </c>
      <c r="F1469" s="40">
        <v>81323344964</v>
      </c>
      <c r="G1469" s="40">
        <v>79780093396</v>
      </c>
    </row>
    <row r="1470" spans="2:7" x14ac:dyDescent="0.2">
      <c r="B1470" t="s">
        <v>2645</v>
      </c>
      <c r="C1470" s="40">
        <v>7225448183</v>
      </c>
      <c r="D1470" s="40">
        <v>10217970457</v>
      </c>
      <c r="E1470" s="40">
        <v>2499920307</v>
      </c>
      <c r="F1470" s="40">
        <v>5790609497</v>
      </c>
      <c r="G1470" s="40">
        <v>9332090376</v>
      </c>
    </row>
    <row r="1471" spans="2:7" x14ac:dyDescent="0.2">
      <c r="B1471" t="s">
        <v>2646</v>
      </c>
      <c r="C1471" s="40">
        <v>87255240433</v>
      </c>
      <c r="D1471" s="40">
        <v>89735187294</v>
      </c>
      <c r="E1471" s="40">
        <v>91169858364</v>
      </c>
      <c r="F1471" s="40">
        <v>94137666786</v>
      </c>
      <c r="G1471" s="40">
        <v>98339899550</v>
      </c>
    </row>
    <row r="1472" spans="2:7" x14ac:dyDescent="0.2">
      <c r="B1472" t="s">
        <v>2647</v>
      </c>
      <c r="C1472" s="40">
        <v>9307229538</v>
      </c>
      <c r="D1472" s="40">
        <v>13419658144</v>
      </c>
      <c r="E1472" s="40">
        <v>3312810257</v>
      </c>
      <c r="F1472" s="40">
        <v>8768628949</v>
      </c>
      <c r="G1472" s="40">
        <v>14401763267</v>
      </c>
    </row>
    <row r="1473" spans="2:7" x14ac:dyDescent="0.2">
      <c r="B1473" t="s">
        <v>2648</v>
      </c>
      <c r="C1473" s="40">
        <v>47755829562</v>
      </c>
      <c r="D1473" s="40">
        <v>50965962468</v>
      </c>
      <c r="E1473" s="40">
        <v>52611496632</v>
      </c>
      <c r="F1473" s="40">
        <v>55436308203</v>
      </c>
      <c r="G1473" s="40">
        <v>58394157802</v>
      </c>
    </row>
    <row r="1474" spans="2:7" x14ac:dyDescent="0.2">
      <c r="B1474" t="s">
        <v>2649</v>
      </c>
      <c r="C1474" s="40">
        <v>10092750698</v>
      </c>
      <c r="D1474" s="40">
        <v>14880914874</v>
      </c>
      <c r="E1474" s="40">
        <v>3527261100</v>
      </c>
      <c r="F1474" s="40">
        <v>8485535063</v>
      </c>
      <c r="G1474" s="40">
        <v>13572960989</v>
      </c>
    </row>
    <row r="1475" spans="2:7" x14ac:dyDescent="0.2">
      <c r="B1475" t="s">
        <v>2650</v>
      </c>
      <c r="C1475" s="40">
        <v>64722160156</v>
      </c>
      <c r="D1475" s="40">
        <v>64769981317</v>
      </c>
      <c r="E1475" s="40">
        <v>66352749291</v>
      </c>
      <c r="F1475" s="40">
        <v>68820943261</v>
      </c>
      <c r="G1475" s="40">
        <v>69536483990</v>
      </c>
    </row>
    <row r="1476" spans="2:7" x14ac:dyDescent="0.2">
      <c r="B1476" t="s">
        <v>2651</v>
      </c>
      <c r="C1476" s="40">
        <v>12850111733</v>
      </c>
      <c r="D1476" s="40">
        <v>17220138446</v>
      </c>
      <c r="E1476" s="40">
        <v>4330828847</v>
      </c>
      <c r="F1476" s="40">
        <v>9879919309</v>
      </c>
      <c r="G1476" s="40">
        <v>15509863543</v>
      </c>
    </row>
    <row r="1477" spans="2:7" x14ac:dyDescent="0.2">
      <c r="B1477" t="s">
        <v>2652</v>
      </c>
      <c r="C1477" s="40">
        <v>587894928826</v>
      </c>
      <c r="D1477" s="40">
        <v>594229880182</v>
      </c>
      <c r="E1477" s="40">
        <v>597937577605</v>
      </c>
      <c r="F1477" s="40">
        <v>607789787446</v>
      </c>
      <c r="G1477" s="40">
        <v>617098094423</v>
      </c>
    </row>
    <row r="1478" spans="2:7" x14ac:dyDescent="0.2">
      <c r="B1478" t="s">
        <v>2653</v>
      </c>
      <c r="C1478" s="40">
        <v>78741452319</v>
      </c>
      <c r="D1478" s="40">
        <v>111032617240</v>
      </c>
      <c r="E1478" s="40">
        <v>25103207341</v>
      </c>
      <c r="F1478" s="40">
        <v>61498895331</v>
      </c>
      <c r="G1478" s="40">
        <v>98822426513</v>
      </c>
    </row>
    <row r="1479" spans="2:7" x14ac:dyDescent="0.2">
      <c r="B1479" t="s">
        <v>2654</v>
      </c>
      <c r="C1479" s="40">
        <v>42972990302</v>
      </c>
      <c r="D1479" s="40">
        <v>44377578054</v>
      </c>
      <c r="E1479" s="40">
        <v>45404466661</v>
      </c>
      <c r="F1479" s="40">
        <v>46442700379</v>
      </c>
      <c r="G1479" s="40">
        <v>47688959209</v>
      </c>
    </row>
    <row r="1480" spans="2:7" x14ac:dyDescent="0.2">
      <c r="B1480" t="s">
        <v>2655</v>
      </c>
      <c r="C1480" s="40">
        <v>11873228785</v>
      </c>
      <c r="D1480" s="40">
        <v>15615975424</v>
      </c>
      <c r="E1480" s="40">
        <v>3397055705</v>
      </c>
      <c r="F1480" s="40">
        <v>7409519972</v>
      </c>
      <c r="G1480" s="40">
        <v>11675796023</v>
      </c>
    </row>
    <row r="1481" spans="2:7" x14ac:dyDescent="0.2">
      <c r="B1481" t="s">
        <v>2656</v>
      </c>
      <c r="C1481" s="40">
        <v>2789732006</v>
      </c>
      <c r="D1481" s="40">
        <v>2811571731</v>
      </c>
      <c r="E1481" s="40">
        <v>2887657058</v>
      </c>
      <c r="F1481" s="40">
        <v>3052818274</v>
      </c>
      <c r="G1481" s="40">
        <v>3176799859</v>
      </c>
    </row>
    <row r="1482" spans="2:7" x14ac:dyDescent="0.2">
      <c r="B1482" t="s">
        <v>2657</v>
      </c>
      <c r="C1482" s="40">
        <v>777619814</v>
      </c>
      <c r="D1482" s="40">
        <v>670036548</v>
      </c>
      <c r="E1482" s="40">
        <v>169141967</v>
      </c>
      <c r="F1482" s="40">
        <v>499703993</v>
      </c>
      <c r="G1482" s="40">
        <v>764621770</v>
      </c>
    </row>
    <row r="1483" spans="2:7" x14ac:dyDescent="0.2">
      <c r="B1483" t="s">
        <v>2658</v>
      </c>
      <c r="C1483" s="40">
        <v>7511848940</v>
      </c>
      <c r="D1483" s="40">
        <v>7599974272</v>
      </c>
      <c r="E1483" s="40">
        <v>7517573615</v>
      </c>
      <c r="F1483" s="40">
        <v>8047408360</v>
      </c>
      <c r="G1483" s="40">
        <v>8181146878</v>
      </c>
    </row>
    <row r="1484" spans="2:7" x14ac:dyDescent="0.2">
      <c r="B1484" t="s">
        <v>2659</v>
      </c>
      <c r="C1484" s="40">
        <v>2280375550</v>
      </c>
      <c r="D1484" s="40">
        <v>2915880918</v>
      </c>
      <c r="E1484" s="40">
        <v>839192272</v>
      </c>
      <c r="F1484" s="40">
        <v>1692549762</v>
      </c>
      <c r="G1484" s="40">
        <v>2630129904</v>
      </c>
    </row>
    <row r="1485" spans="2:7" x14ac:dyDescent="0.2">
      <c r="B1485" t="s">
        <v>2660</v>
      </c>
      <c r="C1485" s="40">
        <v>95247543279</v>
      </c>
      <c r="D1485" s="40">
        <v>99625845956</v>
      </c>
      <c r="E1485" s="40">
        <v>103071741854</v>
      </c>
      <c r="F1485" s="40">
        <v>108104332159</v>
      </c>
      <c r="G1485" s="40">
        <v>113403285977</v>
      </c>
    </row>
    <row r="1486" spans="2:7" x14ac:dyDescent="0.2">
      <c r="B1486" t="s">
        <v>2661</v>
      </c>
      <c r="C1486" s="40">
        <v>32151150462</v>
      </c>
      <c r="D1486" s="40">
        <v>43307120913</v>
      </c>
      <c r="E1486" s="40">
        <v>11065111910</v>
      </c>
      <c r="F1486" s="40">
        <v>24404148237</v>
      </c>
      <c r="G1486" s="40">
        <v>38722952555</v>
      </c>
    </row>
    <row r="1487" spans="2:7" x14ac:dyDescent="0.2">
      <c r="B1487" t="s">
        <v>2662</v>
      </c>
      <c r="C1487" s="40">
        <v>148522114527</v>
      </c>
      <c r="D1487" s="40">
        <v>154414970013</v>
      </c>
      <c r="E1487" s="40">
        <v>158881439188</v>
      </c>
      <c r="F1487" s="40">
        <v>165647259172</v>
      </c>
      <c r="G1487" s="40">
        <v>172450191923</v>
      </c>
    </row>
    <row r="1488" spans="2:7" x14ac:dyDescent="0.2">
      <c r="B1488" t="s">
        <v>2663</v>
      </c>
      <c r="C1488" s="40">
        <v>47082374611</v>
      </c>
      <c r="D1488" s="40">
        <v>62509013803</v>
      </c>
      <c r="E1488" s="40">
        <v>15470501854</v>
      </c>
      <c r="F1488" s="40">
        <v>34005921964</v>
      </c>
      <c r="G1488" s="40">
        <v>53793500252</v>
      </c>
    </row>
    <row r="1489" spans="2:7" x14ac:dyDescent="0.2">
      <c r="B1489" t="s">
        <v>2664</v>
      </c>
      <c r="C1489" s="40">
        <v>1182241941</v>
      </c>
      <c r="D1489" s="40">
        <v>1200762552</v>
      </c>
      <c r="E1489" s="40">
        <v>1220624155</v>
      </c>
      <c r="F1489" s="40">
        <v>1239338239</v>
      </c>
      <c r="G1489" s="40">
        <v>1529997521</v>
      </c>
    </row>
    <row r="1490" spans="2:7" x14ac:dyDescent="0.2">
      <c r="B1490" t="s">
        <v>2665</v>
      </c>
      <c r="C1490" s="40">
        <v>313786944</v>
      </c>
      <c r="D1490" s="40">
        <v>445730673</v>
      </c>
      <c r="E1490" s="40">
        <v>96313687</v>
      </c>
      <c r="F1490" s="40">
        <v>237857214</v>
      </c>
      <c r="G1490" s="40">
        <v>467179236</v>
      </c>
    </row>
    <row r="1491" spans="2:7" x14ac:dyDescent="0.2">
      <c r="B1491" t="s">
        <v>2666</v>
      </c>
      <c r="C1491" s="40">
        <v>284381847</v>
      </c>
      <c r="D1491" s="40">
        <v>277170503</v>
      </c>
      <c r="E1491" s="40">
        <v>284539054</v>
      </c>
      <c r="F1491" s="40">
        <v>260359306</v>
      </c>
      <c r="G1491" s="40">
        <v>275459645</v>
      </c>
    </row>
    <row r="1492" spans="2:7" x14ac:dyDescent="0.2">
      <c r="B1492" t="s">
        <v>2667</v>
      </c>
      <c r="C1492" s="40">
        <v>54124989</v>
      </c>
      <c r="D1492" s="40">
        <v>79241289</v>
      </c>
      <c r="E1492" s="40">
        <v>19612286</v>
      </c>
      <c r="F1492" s="40">
        <v>49883495</v>
      </c>
      <c r="G1492" s="40">
        <v>81563509</v>
      </c>
    </row>
    <row r="1493" spans="2:7" x14ac:dyDescent="0.2">
      <c r="B1493" t="s">
        <v>2668</v>
      </c>
      <c r="C1493" s="40">
        <v>105954682</v>
      </c>
      <c r="D1493" s="40">
        <v>108033183</v>
      </c>
      <c r="E1493" s="40">
        <v>105938175</v>
      </c>
      <c r="F1493" s="40">
        <v>99602509</v>
      </c>
      <c r="G1493" s="40">
        <v>99025370</v>
      </c>
    </row>
    <row r="1494" spans="2:7" x14ac:dyDescent="0.2">
      <c r="B1494" t="s">
        <v>2669</v>
      </c>
      <c r="C1494" s="40">
        <v>72442485</v>
      </c>
      <c r="D1494" s="40">
        <v>105977379</v>
      </c>
      <c r="E1494" s="40">
        <v>18493619</v>
      </c>
      <c r="F1494" s="40">
        <v>46324472</v>
      </c>
      <c r="G1494" s="40">
        <v>75695009</v>
      </c>
    </row>
    <row r="1495" spans="2:7" x14ac:dyDescent="0.2">
      <c r="B1495" t="s">
        <v>2670</v>
      </c>
      <c r="C1495" s="40">
        <v>413214649</v>
      </c>
      <c r="D1495" s="40">
        <v>430268604</v>
      </c>
      <c r="E1495" s="40">
        <v>432488086</v>
      </c>
      <c r="F1495" s="40">
        <v>460768562</v>
      </c>
      <c r="G1495" s="40">
        <v>487676350</v>
      </c>
    </row>
    <row r="1496" spans="2:7" x14ac:dyDescent="0.2">
      <c r="B1496" t="s">
        <v>2671</v>
      </c>
      <c r="C1496" s="40">
        <v>157715967</v>
      </c>
      <c r="D1496" s="40">
        <v>223157403</v>
      </c>
      <c r="E1496" s="40">
        <v>53942819</v>
      </c>
      <c r="F1496" s="40">
        <v>125797105</v>
      </c>
      <c r="G1496" s="40">
        <v>197048018</v>
      </c>
    </row>
    <row r="1497" spans="2:7" x14ac:dyDescent="0.2">
      <c r="B1497" t="s">
        <v>2672</v>
      </c>
      <c r="C1497" s="40">
        <v>1985793119</v>
      </c>
      <c r="D1497" s="40">
        <v>2016234842</v>
      </c>
      <c r="E1497" s="40">
        <v>2043589470</v>
      </c>
      <c r="F1497" s="40">
        <v>2060068616</v>
      </c>
      <c r="G1497" s="40">
        <v>2392158886</v>
      </c>
    </row>
    <row r="1498" spans="2:7" x14ac:dyDescent="0.2">
      <c r="B1498" t="s">
        <v>2673</v>
      </c>
      <c r="C1498" s="40">
        <v>598070385</v>
      </c>
      <c r="D1498" s="40">
        <v>854106744</v>
      </c>
      <c r="E1498" s="40">
        <v>188362411</v>
      </c>
      <c r="F1498" s="40">
        <v>459862286</v>
      </c>
      <c r="G1498" s="40">
        <v>821485772</v>
      </c>
    </row>
    <row r="1499" spans="2:7" x14ac:dyDescent="0.2">
      <c r="B1499" t="s">
        <v>2674</v>
      </c>
      <c r="C1499" s="40">
        <v>6468171</v>
      </c>
      <c r="D1499" s="40">
        <v>6540705</v>
      </c>
      <c r="E1499" s="40">
        <v>6577799</v>
      </c>
      <c r="F1499" s="40">
        <v>6672444</v>
      </c>
      <c r="G1499" s="40">
        <v>6754719</v>
      </c>
    </row>
    <row r="1500" spans="2:7" x14ac:dyDescent="0.2">
      <c r="B1500" t="s">
        <v>2675</v>
      </c>
      <c r="C1500" s="40">
        <v>738402836472</v>
      </c>
      <c r="D1500" s="40">
        <v>750661085037</v>
      </c>
      <c r="E1500" s="40">
        <v>758862606263</v>
      </c>
      <c r="F1500" s="40">
        <v>775497115234</v>
      </c>
      <c r="G1500" s="40">
        <v>791940445232</v>
      </c>
    </row>
    <row r="1501" spans="2:7" x14ac:dyDescent="0.2">
      <c r="B1501" t="s">
        <v>2676</v>
      </c>
      <c r="C1501" s="40">
        <v>126421897315</v>
      </c>
      <c r="D1501" s="40">
        <v>174395737787</v>
      </c>
      <c r="E1501" s="40">
        <v>40762071606</v>
      </c>
      <c r="F1501" s="40">
        <v>95964679581</v>
      </c>
      <c r="G1501" s="40">
        <v>153437412537</v>
      </c>
    </row>
    <row r="1502" spans="2:7" x14ac:dyDescent="0.2">
      <c r="B1502" t="s">
        <v>2677</v>
      </c>
      <c r="C1502" s="40">
        <v>221644469302</v>
      </c>
      <c r="D1502" s="40">
        <v>232258317413</v>
      </c>
      <c r="E1502" s="40">
        <v>240657171747</v>
      </c>
      <c r="F1502" s="40">
        <v>252379239980</v>
      </c>
      <c r="G1502" s="40">
        <v>261514283549</v>
      </c>
    </row>
    <row r="1503" spans="2:7" x14ac:dyDescent="0.2">
      <c r="B1503" t="s">
        <v>2678</v>
      </c>
      <c r="C1503" s="40">
        <v>1908407263424</v>
      </c>
      <c r="D1503" s="40">
        <v>1932933933872</v>
      </c>
      <c r="E1503" s="40">
        <v>1995644013270</v>
      </c>
      <c r="F1503" s="40">
        <v>1997306612004</v>
      </c>
      <c r="G1503" s="40">
        <v>2008636771220</v>
      </c>
    </row>
    <row r="1504" spans="2:7" x14ac:dyDescent="0.2">
      <c r="B1504" t="s">
        <v>2679</v>
      </c>
      <c r="C1504" s="40">
        <v>1934741202821</v>
      </c>
      <c r="D1504" s="40">
        <v>1959246733790</v>
      </c>
      <c r="E1504" s="40">
        <v>2020469553436</v>
      </c>
      <c r="F1504" s="40">
        <v>2022039878565</v>
      </c>
      <c r="G1504" s="40">
        <v>2033695308017</v>
      </c>
    </row>
    <row r="1505" spans="2:7" x14ac:dyDescent="0.2">
      <c r="B1505" t="s">
        <v>2680</v>
      </c>
      <c r="C1505" s="40">
        <v>26333939397</v>
      </c>
      <c r="D1505" s="40">
        <v>26312799918</v>
      </c>
      <c r="E1505" s="40">
        <v>24825540166</v>
      </c>
      <c r="F1505" s="40">
        <v>24733266561</v>
      </c>
      <c r="G1505" s="40">
        <v>25058536797</v>
      </c>
    </row>
    <row r="1506" spans="2:7" x14ac:dyDescent="0.2">
      <c r="B1506" t="s">
        <v>2681</v>
      </c>
      <c r="C1506" s="40">
        <v>0</v>
      </c>
      <c r="D1506" s="40">
        <v>0</v>
      </c>
      <c r="E1506" s="40">
        <v>0</v>
      </c>
      <c r="F1506" s="40">
        <v>0</v>
      </c>
      <c r="G1506" s="40">
        <v>0</v>
      </c>
    </row>
    <row r="1507" spans="2:7" x14ac:dyDescent="0.2">
      <c r="B1507" t="s">
        <v>2682</v>
      </c>
      <c r="C1507" s="40">
        <v>422375</v>
      </c>
      <c r="D1507" s="40">
        <v>529852</v>
      </c>
      <c r="E1507" s="40">
        <v>281670</v>
      </c>
      <c r="F1507" s="40">
        <v>463191</v>
      </c>
      <c r="G1507" s="40">
        <v>653845</v>
      </c>
    </row>
    <row r="1508" spans="2:7" x14ac:dyDescent="0.2">
      <c r="B1508" t="s">
        <v>2683</v>
      </c>
      <c r="C1508" s="40">
        <v>3528992645</v>
      </c>
      <c r="D1508" s="40">
        <v>5391091529</v>
      </c>
      <c r="E1508" s="40">
        <v>1719612525</v>
      </c>
      <c r="F1508" s="40">
        <v>3641972824</v>
      </c>
      <c r="G1508" s="40">
        <v>5711154328</v>
      </c>
    </row>
    <row r="1509" spans="2:7" x14ac:dyDescent="0.2">
      <c r="B1509" t="s">
        <v>2684</v>
      </c>
      <c r="C1509" s="40">
        <v>118773</v>
      </c>
      <c r="D1509" s="40">
        <v>237006</v>
      </c>
      <c r="E1509" s="40">
        <v>94127</v>
      </c>
      <c r="F1509" s="40">
        <v>138764</v>
      </c>
      <c r="G1509" s="40">
        <v>177422</v>
      </c>
    </row>
    <row r="1510" spans="2:7" x14ac:dyDescent="0.2">
      <c r="B1510" t="s">
        <v>2685</v>
      </c>
      <c r="C1510" s="40">
        <v>1493977036</v>
      </c>
      <c r="D1510" s="40">
        <v>2416435335</v>
      </c>
      <c r="E1510" s="40">
        <v>715979426</v>
      </c>
      <c r="F1510" s="40">
        <v>1662079327</v>
      </c>
      <c r="G1510" s="40">
        <v>2438609015</v>
      </c>
    </row>
    <row r="1511" spans="2:7" x14ac:dyDescent="0.2">
      <c r="B1511" t="s">
        <v>2686</v>
      </c>
      <c r="C1511" s="40">
        <v>0</v>
      </c>
      <c r="D1511" s="40">
        <v>0</v>
      </c>
      <c r="E1511" s="40">
        <v>0</v>
      </c>
      <c r="F1511" s="40">
        <v>0</v>
      </c>
      <c r="G1511" s="40">
        <v>0</v>
      </c>
    </row>
    <row r="1512" spans="2:7" x14ac:dyDescent="0.2">
      <c r="B1512" t="s">
        <v>2687</v>
      </c>
      <c r="C1512" s="40">
        <v>814141</v>
      </c>
      <c r="D1512" s="40">
        <v>893727</v>
      </c>
      <c r="E1512" s="40">
        <v>751786</v>
      </c>
      <c r="F1512" s="40">
        <v>747088</v>
      </c>
      <c r="G1512" s="40">
        <v>621356</v>
      </c>
    </row>
    <row r="1513" spans="2:7" x14ac:dyDescent="0.2">
      <c r="B1513" t="s">
        <v>2688</v>
      </c>
      <c r="C1513" s="40">
        <v>10477176519</v>
      </c>
      <c r="D1513" s="40">
        <v>11130762672</v>
      </c>
      <c r="E1513" s="40">
        <v>10801470506</v>
      </c>
      <c r="F1513" s="40">
        <v>11018976512</v>
      </c>
      <c r="G1513" s="40">
        <v>11357257191</v>
      </c>
    </row>
    <row r="1514" spans="2:7" x14ac:dyDescent="0.2">
      <c r="B1514" t="s">
        <v>2689</v>
      </c>
      <c r="C1514" s="40">
        <v>2588206</v>
      </c>
      <c r="D1514" s="40">
        <v>2538621</v>
      </c>
      <c r="E1514" s="40">
        <v>2981731</v>
      </c>
      <c r="F1514" s="40">
        <v>2815556</v>
      </c>
      <c r="G1514" s="40">
        <v>2794753</v>
      </c>
    </row>
    <row r="1515" spans="2:7" x14ac:dyDescent="0.2">
      <c r="B1515" t="s">
        <v>2690</v>
      </c>
      <c r="C1515" s="40">
        <v>20137562673</v>
      </c>
      <c r="D1515" s="40">
        <v>20600017646</v>
      </c>
      <c r="E1515" s="40">
        <v>21242886280</v>
      </c>
      <c r="F1515" s="40">
        <v>21799479237</v>
      </c>
      <c r="G1515" s="40">
        <v>22025504313</v>
      </c>
    </row>
    <row r="1516" spans="2:7" x14ac:dyDescent="0.2">
      <c r="B1516" t="s">
        <v>2691</v>
      </c>
      <c r="C1516" s="40">
        <v>269014</v>
      </c>
      <c r="D1516" s="40">
        <v>362428</v>
      </c>
      <c r="E1516" s="40">
        <v>37313</v>
      </c>
      <c r="F1516" s="40">
        <v>90255</v>
      </c>
      <c r="G1516" s="40">
        <v>225650</v>
      </c>
    </row>
    <row r="1517" spans="2:7" x14ac:dyDescent="0.2">
      <c r="B1517" t="s">
        <v>2692</v>
      </c>
      <c r="C1517" s="40">
        <v>31456003655</v>
      </c>
      <c r="D1517" s="40">
        <v>42251065065</v>
      </c>
      <c r="E1517" s="40">
        <v>7728897668</v>
      </c>
      <c r="F1517" s="40">
        <v>17307429704</v>
      </c>
      <c r="G1517" s="40">
        <v>29964869952</v>
      </c>
    </row>
    <row r="1518" spans="2:7" x14ac:dyDescent="0.2">
      <c r="B1518" t="s">
        <v>2693</v>
      </c>
      <c r="C1518" s="40">
        <v>85035</v>
      </c>
      <c r="D1518" s="40">
        <v>116082</v>
      </c>
      <c r="E1518" s="40">
        <v>22642</v>
      </c>
      <c r="F1518" s="40">
        <v>51232</v>
      </c>
      <c r="G1518" s="40">
        <v>83961</v>
      </c>
    </row>
    <row r="1519" spans="2:7" x14ac:dyDescent="0.2">
      <c r="B1519" t="s">
        <v>2694</v>
      </c>
      <c r="C1519" s="40">
        <v>1948</v>
      </c>
      <c r="D1519" s="40">
        <v>3496</v>
      </c>
      <c r="E1519" s="40">
        <v>376</v>
      </c>
      <c r="F1519" s="40">
        <v>7969</v>
      </c>
      <c r="G1519" s="40">
        <v>9323</v>
      </c>
    </row>
    <row r="1520" spans="2:7" x14ac:dyDescent="0.2">
      <c r="B1520" t="s">
        <v>2695</v>
      </c>
      <c r="C1520" s="40">
        <v>68488</v>
      </c>
      <c r="D1520" s="40">
        <v>92137</v>
      </c>
      <c r="E1520" s="40">
        <v>18476</v>
      </c>
      <c r="F1520" s="40">
        <v>39677</v>
      </c>
      <c r="G1520" s="40">
        <v>65107</v>
      </c>
    </row>
    <row r="1521" spans="2:7" x14ac:dyDescent="0.2">
      <c r="B1521" t="s">
        <v>2696</v>
      </c>
      <c r="C1521" s="40">
        <v>20897980979</v>
      </c>
      <c r="D1521" s="40">
        <v>28116940645</v>
      </c>
      <c r="E1521" s="40">
        <v>5495660573</v>
      </c>
      <c r="F1521" s="40">
        <v>12004409102</v>
      </c>
      <c r="G1521" s="40">
        <v>19473598950</v>
      </c>
    </row>
    <row r="1522" spans="2:7" x14ac:dyDescent="0.2">
      <c r="B1522" t="s">
        <v>2697</v>
      </c>
      <c r="C1522" s="40">
        <v>1450325</v>
      </c>
      <c r="D1522" s="40">
        <v>1447122</v>
      </c>
      <c r="E1522" s="40">
        <v>1450618</v>
      </c>
      <c r="F1522" s="40">
        <v>1441899</v>
      </c>
      <c r="G1522" s="40">
        <v>1444366</v>
      </c>
    </row>
    <row r="1523" spans="2:7" x14ac:dyDescent="0.2">
      <c r="B1523" t="s">
        <v>2698</v>
      </c>
      <c r="C1523" s="40">
        <v>89767</v>
      </c>
      <c r="D1523" s="40">
        <v>114100</v>
      </c>
      <c r="E1523" s="40">
        <v>8168</v>
      </c>
      <c r="F1523" s="40">
        <v>12425</v>
      </c>
      <c r="G1523" s="40">
        <v>84348</v>
      </c>
    </row>
    <row r="1524" spans="2:7" x14ac:dyDescent="0.2">
      <c r="B1524" t="s">
        <v>2699</v>
      </c>
      <c r="C1524" s="40">
        <v>2326963538</v>
      </c>
      <c r="D1524" s="40">
        <v>2639472340</v>
      </c>
      <c r="E1524" s="40">
        <v>306296193</v>
      </c>
      <c r="F1524" s="40">
        <v>460954636</v>
      </c>
      <c r="G1524" s="40">
        <v>2382224119</v>
      </c>
    </row>
    <row r="1525" spans="2:7" x14ac:dyDescent="0.2">
      <c r="B1525" t="s">
        <v>2700</v>
      </c>
      <c r="C1525" s="40">
        <v>204086</v>
      </c>
      <c r="D1525" s="40">
        <v>212404</v>
      </c>
      <c r="E1525" s="40">
        <v>201198</v>
      </c>
      <c r="F1525" s="40">
        <v>178935</v>
      </c>
      <c r="G1525" s="40">
        <v>234308</v>
      </c>
    </row>
    <row r="1526" spans="2:7" x14ac:dyDescent="0.2">
      <c r="B1526" t="s">
        <v>2701</v>
      </c>
      <c r="C1526" s="40">
        <v>4525117590</v>
      </c>
      <c r="D1526" s="40">
        <v>4712771585</v>
      </c>
      <c r="E1526" s="40">
        <v>4371846583</v>
      </c>
      <c r="F1526" s="40">
        <v>4169771251</v>
      </c>
      <c r="G1526" s="40">
        <v>5463842053</v>
      </c>
    </row>
    <row r="1527" spans="2:7" x14ac:dyDescent="0.2">
      <c r="B1527" t="s">
        <v>2702</v>
      </c>
      <c r="C1527" s="40">
        <v>12271319004</v>
      </c>
      <c r="D1527" s="40">
        <v>12492243484</v>
      </c>
      <c r="E1527" s="40">
        <v>12509702960</v>
      </c>
      <c r="F1527" s="40">
        <v>12730111867</v>
      </c>
      <c r="G1527" s="40">
        <v>13031823998</v>
      </c>
    </row>
    <row r="1528" spans="2:7" x14ac:dyDescent="0.2">
      <c r="B1528" t="s">
        <v>2703</v>
      </c>
      <c r="C1528" s="40">
        <v>4094470574</v>
      </c>
      <c r="D1528" s="40">
        <v>5742198709</v>
      </c>
      <c r="E1528" s="40">
        <v>1410231815</v>
      </c>
      <c r="F1528" s="40">
        <v>3189797928</v>
      </c>
      <c r="G1528" s="40">
        <v>5053827810</v>
      </c>
    </row>
    <row r="1529" spans="2:7" x14ac:dyDescent="0.2">
      <c r="B1529" t="s">
        <v>2704</v>
      </c>
      <c r="C1529" s="40">
        <v>1310109866</v>
      </c>
      <c r="D1529" s="40">
        <v>1218161199</v>
      </c>
      <c r="E1529" s="40">
        <v>2027310508</v>
      </c>
      <c r="F1529" s="40">
        <v>1199211343</v>
      </c>
      <c r="G1529" s="40">
        <v>1266706637</v>
      </c>
    </row>
    <row r="1530" spans="2:7" x14ac:dyDescent="0.2">
      <c r="B1530" t="s">
        <v>2705</v>
      </c>
      <c r="C1530" s="40">
        <v>3299311480</v>
      </c>
      <c r="D1530" s="40">
        <v>4625690895</v>
      </c>
      <c r="E1530" s="40">
        <v>1080654660</v>
      </c>
      <c r="F1530" s="40">
        <v>2526945993</v>
      </c>
      <c r="G1530" s="40">
        <v>4141238396</v>
      </c>
    </row>
    <row r="1531" spans="2:7" ht="12" customHeight="1" x14ac:dyDescent="0.2">
      <c r="B1531" t="s">
        <v>2706</v>
      </c>
      <c r="C1531" s="40">
        <v>85767069</v>
      </c>
      <c r="D1531" s="40">
        <v>105973994</v>
      </c>
      <c r="E1531" s="40">
        <v>22793076</v>
      </c>
      <c r="F1531" s="40">
        <v>40099841</v>
      </c>
      <c r="G1531" s="40">
        <v>74420569</v>
      </c>
    </row>
    <row r="1532" spans="2:7" ht="12" customHeight="1" x14ac:dyDescent="0.2">
      <c r="B1532" t="s">
        <v>2707</v>
      </c>
      <c r="C1532" s="40">
        <v>80692540</v>
      </c>
      <c r="D1532" s="40">
        <v>99851180</v>
      </c>
      <c r="E1532" s="40">
        <v>27588699</v>
      </c>
      <c r="F1532" s="40">
        <v>44592510</v>
      </c>
      <c r="G1532" s="40">
        <v>72711088</v>
      </c>
    </row>
    <row r="1533" spans="2:7" ht="12" customHeight="1" x14ac:dyDescent="0.2">
      <c r="B1533" t="s">
        <v>2708</v>
      </c>
      <c r="C1533" s="40">
        <v>2585733418</v>
      </c>
      <c r="D1533" s="40">
        <v>3704095528</v>
      </c>
      <c r="E1533" s="40">
        <v>917500854</v>
      </c>
      <c r="F1533" s="40">
        <v>2313677698</v>
      </c>
      <c r="G1533" s="40">
        <v>4065277230</v>
      </c>
    </row>
    <row r="1534" spans="2:7" ht="12" customHeight="1" x14ac:dyDescent="0.2">
      <c r="B1534" t="s">
        <v>2709</v>
      </c>
      <c r="C1534" s="40">
        <v>2649851619</v>
      </c>
      <c r="D1534" s="40">
        <v>3888825618</v>
      </c>
      <c r="E1534" s="40">
        <v>835224313</v>
      </c>
      <c r="F1534" s="40">
        <v>2287485936</v>
      </c>
      <c r="G1534" s="40">
        <v>3857537193</v>
      </c>
    </row>
    <row r="1535" spans="2:7" ht="12" customHeight="1" x14ac:dyDescent="0.2">
      <c r="B1535" t="s">
        <v>2710</v>
      </c>
      <c r="C1535" s="40">
        <v>1648849961</v>
      </c>
      <c r="D1535" s="40">
        <v>2600260233</v>
      </c>
      <c r="E1535" s="40">
        <v>896239902</v>
      </c>
      <c r="F1535" s="40">
        <v>1921405797</v>
      </c>
      <c r="G1535" s="40">
        <v>2778447978</v>
      </c>
    </row>
    <row r="1536" spans="2:7" ht="12" customHeight="1" x14ac:dyDescent="0.2">
      <c r="B1536" t="s">
        <v>2711</v>
      </c>
      <c r="C1536" s="40">
        <v>1380129403</v>
      </c>
      <c r="D1536" s="40">
        <v>1953881387</v>
      </c>
      <c r="E1536" s="40">
        <v>645939872</v>
      </c>
      <c r="F1536" s="40">
        <v>1402992893</v>
      </c>
      <c r="G1536" s="40">
        <v>2180566684</v>
      </c>
    </row>
    <row r="1537" spans="2:7" ht="12" customHeight="1" x14ac:dyDescent="0.2">
      <c r="B1537" t="s">
        <v>2712</v>
      </c>
      <c r="C1537" s="40">
        <v>504619694</v>
      </c>
      <c r="D1537" s="40">
        <v>750696815</v>
      </c>
      <c r="E1537" s="40">
        <v>158744670</v>
      </c>
      <c r="F1537" s="40">
        <v>313837140</v>
      </c>
      <c r="G1537" s="40">
        <v>472885200</v>
      </c>
    </row>
    <row r="1538" spans="2:7" ht="12" customHeight="1" x14ac:dyDescent="0.2">
      <c r="B1538" t="s">
        <v>2713</v>
      </c>
      <c r="C1538" s="40">
        <v>306740617</v>
      </c>
      <c r="D1538" s="40">
        <v>489053642</v>
      </c>
      <c r="E1538" s="40">
        <v>97554900</v>
      </c>
      <c r="F1538" s="40">
        <v>178600831</v>
      </c>
      <c r="G1538" s="40">
        <v>380478788</v>
      </c>
    </row>
    <row r="1539" spans="2:7" x14ac:dyDescent="0.2">
      <c r="B1539" t="s">
        <v>2714</v>
      </c>
      <c r="C1539" s="40">
        <v>7709829057</v>
      </c>
      <c r="D1539" s="40">
        <v>7548016056</v>
      </c>
      <c r="E1539" s="40">
        <v>7578863530</v>
      </c>
      <c r="F1539" s="40">
        <v>7898684091</v>
      </c>
      <c r="G1539" s="40">
        <v>7907667385</v>
      </c>
    </row>
    <row r="1540" spans="2:7" x14ac:dyDescent="0.2">
      <c r="B1540" t="s">
        <v>2715</v>
      </c>
      <c r="C1540" s="40">
        <v>1457376045</v>
      </c>
      <c r="D1540" s="40">
        <v>1840733038</v>
      </c>
      <c r="E1540" s="40">
        <v>336877566</v>
      </c>
      <c r="F1540" s="40">
        <v>972299960</v>
      </c>
      <c r="G1540" s="40">
        <v>1459247556</v>
      </c>
    </row>
    <row r="1541" spans="2:7" x14ac:dyDescent="0.2">
      <c r="B1541" t="s">
        <v>2716</v>
      </c>
      <c r="C1541" s="40">
        <v>921805375</v>
      </c>
      <c r="D1541" s="40">
        <v>918094449</v>
      </c>
      <c r="E1541" s="40">
        <v>879790238</v>
      </c>
      <c r="F1541" s="40">
        <v>943791170</v>
      </c>
      <c r="G1541" s="40">
        <v>971114414</v>
      </c>
    </row>
    <row r="1542" spans="2:7" x14ac:dyDescent="0.2">
      <c r="B1542" t="s">
        <v>2717</v>
      </c>
      <c r="C1542" s="40">
        <v>1495277823</v>
      </c>
      <c r="D1542" s="40">
        <v>1844838051</v>
      </c>
      <c r="E1542" s="40">
        <v>389321759</v>
      </c>
      <c r="F1542" s="40">
        <v>862363847</v>
      </c>
      <c r="G1542" s="40">
        <v>1310328712</v>
      </c>
    </row>
    <row r="1543" spans="2:7" x14ac:dyDescent="0.2">
      <c r="B1543" t="s">
        <v>2718</v>
      </c>
      <c r="C1543" s="40">
        <v>4499</v>
      </c>
      <c r="D1543" s="40">
        <v>4455</v>
      </c>
      <c r="E1543" s="40">
        <v>4411</v>
      </c>
      <c r="F1543" s="40">
        <v>4370</v>
      </c>
      <c r="G1543" s="40">
        <v>4331</v>
      </c>
    </row>
    <row r="1544" spans="2:7" x14ac:dyDescent="0.2">
      <c r="B1544" t="s">
        <v>2719</v>
      </c>
      <c r="C1544" s="40">
        <v>20240930</v>
      </c>
      <c r="D1544" s="40">
        <v>20241231</v>
      </c>
      <c r="E1544" s="40">
        <v>20250331</v>
      </c>
      <c r="F1544" s="40">
        <v>20250630</v>
      </c>
      <c r="G1544" s="40">
        <v>20250930</v>
      </c>
    </row>
    <row r="1545" spans="2:7" x14ac:dyDescent="0.2">
      <c r="B1545" t="s">
        <v>2720</v>
      </c>
      <c r="C1545" s="40">
        <v>6823413792</v>
      </c>
      <c r="D1545" s="40">
        <v>6823413792</v>
      </c>
      <c r="E1545" s="40">
        <v>6417423508</v>
      </c>
      <c r="F1545" s="40">
        <v>6417423508</v>
      </c>
      <c r="G1545" s="40">
        <v>6417423508</v>
      </c>
    </row>
    <row r="1546" spans="2:7" x14ac:dyDescent="0.2">
      <c r="B1546" t="s">
        <v>2721</v>
      </c>
      <c r="C1546" s="40">
        <v>5247177714</v>
      </c>
      <c r="D1546" s="40">
        <v>5247177714</v>
      </c>
      <c r="E1546" s="40">
        <v>3332520624</v>
      </c>
      <c r="F1546" s="40">
        <v>3332520624</v>
      </c>
      <c r="G1546" s="40">
        <v>3332520624</v>
      </c>
    </row>
    <row r="1547" spans="2:7" x14ac:dyDescent="0.2">
      <c r="B1547" t="s">
        <v>2722</v>
      </c>
      <c r="C1547" s="40">
        <v>2255685836587</v>
      </c>
      <c r="D1547" s="40">
        <v>2255685836587</v>
      </c>
      <c r="E1547" s="40">
        <v>2307409857365</v>
      </c>
      <c r="F1547" s="40">
        <v>2307409857365</v>
      </c>
      <c r="G1547" s="40">
        <v>2307409857365</v>
      </c>
    </row>
    <row r="1548" spans="2:7" x14ac:dyDescent="0.2">
      <c r="B1548" t="s">
        <v>2723</v>
      </c>
      <c r="C1548" s="40">
        <v>1881095797553</v>
      </c>
      <c r="D1548" s="40">
        <v>1881095797553</v>
      </c>
      <c r="E1548" s="40">
        <v>1959246734224</v>
      </c>
      <c r="F1548" s="40">
        <v>1959246734224</v>
      </c>
      <c r="G1548" s="40">
        <v>1959246734224</v>
      </c>
    </row>
    <row r="1549" spans="2:7" x14ac:dyDescent="0.2">
      <c r="B1549" t="s">
        <v>2724</v>
      </c>
      <c r="C1549" s="40">
        <v>89436723</v>
      </c>
      <c r="D1549" s="40">
        <v>89436723</v>
      </c>
      <c r="E1549" s="40">
        <v>89350923</v>
      </c>
      <c r="F1549" s="40">
        <v>89350923</v>
      </c>
      <c r="G1549" s="40">
        <v>89350923</v>
      </c>
    </row>
    <row r="1550" spans="2:7" x14ac:dyDescent="0.2">
      <c r="B1550" t="s">
        <v>2725</v>
      </c>
      <c r="C1550" s="40">
        <v>1602822841072</v>
      </c>
      <c r="D1550" s="40">
        <v>1602822841072</v>
      </c>
      <c r="E1550" s="40">
        <v>1645193102116</v>
      </c>
      <c r="F1550" s="40">
        <v>1645193102116</v>
      </c>
      <c r="G1550" s="40">
        <v>1645193102116</v>
      </c>
    </row>
    <row r="1551" spans="2:7" x14ac:dyDescent="0.2">
      <c r="B1551" t="s">
        <v>2726</v>
      </c>
      <c r="C1551" s="40">
        <v>1877327644</v>
      </c>
      <c r="D1551" s="40">
        <v>1877327644</v>
      </c>
      <c r="E1551" s="40">
        <v>1962857061</v>
      </c>
      <c r="F1551" s="40">
        <v>1962857061</v>
      </c>
      <c r="G1551" s="40">
        <v>1962857061</v>
      </c>
    </row>
    <row r="1552" spans="2:7" x14ac:dyDescent="0.2">
      <c r="B1552" t="s">
        <v>2727</v>
      </c>
      <c r="C1552" s="40">
        <v>920338342</v>
      </c>
      <c r="D1552" s="40">
        <v>920338342</v>
      </c>
      <c r="E1552" s="40">
        <v>1031609042</v>
      </c>
      <c r="F1552" s="40">
        <v>1031609042</v>
      </c>
      <c r="G1552" s="40">
        <v>1031609042</v>
      </c>
    </row>
    <row r="1553" spans="2:7" x14ac:dyDescent="0.2">
      <c r="B1553" t="s">
        <v>2728</v>
      </c>
      <c r="C1553" s="40">
        <v>415170366</v>
      </c>
      <c r="D1553" s="40">
        <v>415170366</v>
      </c>
      <c r="E1553" s="40">
        <v>401943459</v>
      </c>
      <c r="F1553" s="40">
        <v>401943459</v>
      </c>
      <c r="G1553" s="40">
        <v>401943459</v>
      </c>
    </row>
    <row r="1554" spans="2:7" x14ac:dyDescent="0.2">
      <c r="B1554" t="s">
        <v>2729</v>
      </c>
      <c r="C1554" s="40">
        <v>491879423</v>
      </c>
      <c r="D1554" s="40">
        <v>491879423</v>
      </c>
      <c r="E1554" s="40">
        <v>499661304</v>
      </c>
      <c r="F1554" s="40">
        <v>499661304</v>
      </c>
      <c r="G1554" s="40">
        <v>499661304</v>
      </c>
    </row>
    <row r="1555" spans="2:7" x14ac:dyDescent="0.2">
      <c r="B1555" t="s">
        <v>2730</v>
      </c>
      <c r="C1555" s="40">
        <v>139252426</v>
      </c>
      <c r="D1555" s="40">
        <v>139252426</v>
      </c>
      <c r="E1555" s="40">
        <v>142333530</v>
      </c>
      <c r="F1555" s="40">
        <v>142333530</v>
      </c>
      <c r="G1555" s="40">
        <v>142333530</v>
      </c>
    </row>
    <row r="1556" spans="2:7" x14ac:dyDescent="0.2">
      <c r="B1556" t="s">
        <v>2731</v>
      </c>
      <c r="C1556">
        <v>0</v>
      </c>
      <c r="D1556">
        <v>0</v>
      </c>
      <c r="E1556">
        <v>0</v>
      </c>
      <c r="F1556">
        <v>0</v>
      </c>
      <c r="G1556">
        <v>0</v>
      </c>
    </row>
    <row r="1557" spans="2:7" x14ac:dyDescent="0.2">
      <c r="B1557" t="s">
        <v>2732</v>
      </c>
      <c r="C1557">
        <v>0</v>
      </c>
      <c r="D1557">
        <v>0</v>
      </c>
      <c r="E1557">
        <v>0</v>
      </c>
      <c r="F1557">
        <v>0</v>
      </c>
      <c r="G1557">
        <v>0</v>
      </c>
    </row>
    <row r="1558" spans="2:7" x14ac:dyDescent="0.2">
      <c r="B1558" t="s">
        <v>2733</v>
      </c>
      <c r="C1558">
        <v>0</v>
      </c>
      <c r="D1558">
        <v>0</v>
      </c>
      <c r="E1558">
        <v>0</v>
      </c>
      <c r="F1558">
        <v>0</v>
      </c>
      <c r="G1558">
        <v>0</v>
      </c>
    </row>
    <row r="1559" spans="2:7" x14ac:dyDescent="0.2">
      <c r="B1559" t="s">
        <v>2734</v>
      </c>
      <c r="C1559">
        <v>0</v>
      </c>
      <c r="D1559">
        <v>0</v>
      </c>
      <c r="E1559">
        <v>0</v>
      </c>
      <c r="F1559">
        <v>0</v>
      </c>
      <c r="G1559">
        <v>0</v>
      </c>
    </row>
    <row r="1560" spans="2:7" x14ac:dyDescent="0.2">
      <c r="B1560" t="s">
        <v>2735</v>
      </c>
      <c r="C1560" s="40">
        <v>7860255345</v>
      </c>
      <c r="D1560" s="40">
        <v>7860255345</v>
      </c>
      <c r="E1560" s="40">
        <v>8835368605</v>
      </c>
      <c r="F1560" s="40">
        <v>8835368605</v>
      </c>
      <c r="G1560" s="40">
        <v>8835368605</v>
      </c>
    </row>
    <row r="1561" spans="2:7" x14ac:dyDescent="0.2">
      <c r="B1561" t="s">
        <v>2736</v>
      </c>
      <c r="C1561" s="40">
        <v>1291660066</v>
      </c>
      <c r="D1561" s="40">
        <v>1291660066</v>
      </c>
      <c r="E1561" s="40">
        <v>1263973376</v>
      </c>
      <c r="F1561" s="40">
        <v>1263973376</v>
      </c>
      <c r="G1561" s="40">
        <v>1263973376</v>
      </c>
    </row>
    <row r="1562" spans="2:7" x14ac:dyDescent="0.2">
      <c r="B1562" t="s">
        <v>2737</v>
      </c>
      <c r="C1562">
        <v>322595271457</v>
      </c>
      <c r="D1562">
        <v>322595271457</v>
      </c>
      <c r="E1562">
        <v>317105512079</v>
      </c>
      <c r="F1562">
        <v>317105512079</v>
      </c>
      <c r="G1562">
        <v>317105512079</v>
      </c>
    </row>
    <row r="1563" spans="2:7" x14ac:dyDescent="0.2">
      <c r="B1563" t="s">
        <v>2738</v>
      </c>
      <c r="C1563">
        <v>175438842249</v>
      </c>
      <c r="D1563">
        <v>175438842249</v>
      </c>
      <c r="E1563">
        <v>164251393008</v>
      </c>
      <c r="F1563">
        <v>164251393008</v>
      </c>
      <c r="G1563">
        <v>164251393008</v>
      </c>
    </row>
    <row r="1564" spans="2:7" x14ac:dyDescent="0.2">
      <c r="B1564" t="s">
        <v>2739</v>
      </c>
      <c r="C1564">
        <v>0</v>
      </c>
      <c r="D1564">
        <v>0</v>
      </c>
      <c r="E1564">
        <v>0</v>
      </c>
      <c r="F1564">
        <v>0</v>
      </c>
      <c r="G1564">
        <v>0</v>
      </c>
    </row>
    <row r="1565" spans="2:7" x14ac:dyDescent="0.2">
      <c r="B1565" t="s">
        <v>2740</v>
      </c>
      <c r="C1565">
        <v>131053169954</v>
      </c>
      <c r="D1565">
        <v>131053169954</v>
      </c>
      <c r="E1565">
        <v>154414970053</v>
      </c>
      <c r="F1565">
        <v>154414970053</v>
      </c>
      <c r="G1565">
        <v>154414970053</v>
      </c>
    </row>
    <row r="1566" spans="2:7" x14ac:dyDescent="0.2">
      <c r="B1566" t="s">
        <v>2741</v>
      </c>
      <c r="C1566">
        <v>1917689577</v>
      </c>
      <c r="D1566">
        <v>1917689577</v>
      </c>
      <c r="E1566">
        <v>2016234860</v>
      </c>
      <c r="F1566">
        <v>2016234860</v>
      </c>
      <c r="G1566">
        <v>2016234860</v>
      </c>
    </row>
    <row r="1567" spans="2:7" x14ac:dyDescent="0.2">
      <c r="B1567" t="s">
        <v>2742</v>
      </c>
      <c r="C1567">
        <v>82011419361</v>
      </c>
      <c r="D1567">
        <v>82011419361</v>
      </c>
      <c r="E1567">
        <v>85191345594</v>
      </c>
      <c r="F1567">
        <v>85191345594</v>
      </c>
      <c r="G1567">
        <v>85191345594</v>
      </c>
    </row>
    <row r="1568" spans="2:7" x14ac:dyDescent="0.2">
      <c r="B1568" t="s">
        <v>2743</v>
      </c>
      <c r="C1568">
        <v>69235882683</v>
      </c>
      <c r="D1568">
        <v>69235882683</v>
      </c>
      <c r="E1568">
        <v>70831069302</v>
      </c>
      <c r="F1568">
        <v>70831069302</v>
      </c>
      <c r="G1568">
        <v>70831069302</v>
      </c>
    </row>
    <row r="1569" spans="2:7" x14ac:dyDescent="0.2">
      <c r="B1569" t="s">
        <v>2744</v>
      </c>
      <c r="C1569">
        <v>121595303</v>
      </c>
      <c r="D1569">
        <v>121595303</v>
      </c>
      <c r="E1569">
        <v>140815503</v>
      </c>
      <c r="F1569">
        <v>140815503</v>
      </c>
      <c r="G1569">
        <v>140815503</v>
      </c>
    </row>
    <row r="1570" spans="2:7" x14ac:dyDescent="0.2">
      <c r="B1570" t="s">
        <v>2745</v>
      </c>
      <c r="C1570">
        <v>150706488318</v>
      </c>
      <c r="D1570">
        <v>150706488318</v>
      </c>
      <c r="E1570">
        <v>164731146755</v>
      </c>
      <c r="F1570">
        <v>164731146755</v>
      </c>
      <c r="G1570">
        <v>164731146755</v>
      </c>
    </row>
    <row r="1571" spans="2:7" x14ac:dyDescent="0.2">
      <c r="B1571" t="s">
        <v>2746</v>
      </c>
      <c r="C1571">
        <v>0</v>
      </c>
      <c r="D1571">
        <v>0</v>
      </c>
      <c r="E1571">
        <v>0</v>
      </c>
      <c r="F1571">
        <v>0</v>
      </c>
      <c r="G1571">
        <v>0</v>
      </c>
    </row>
    <row r="1572" spans="2:7" x14ac:dyDescent="0.2">
      <c r="B1572" t="s">
        <v>2747</v>
      </c>
      <c r="C1572">
        <v>477206635</v>
      </c>
      <c r="D1572">
        <v>477206635</v>
      </c>
      <c r="E1572">
        <v>482241293</v>
      </c>
      <c r="F1572">
        <v>482241293</v>
      </c>
      <c r="G1572">
        <v>482241293</v>
      </c>
    </row>
    <row r="1573" spans="2:7" x14ac:dyDescent="0.2">
      <c r="B1573" t="s">
        <v>2748</v>
      </c>
      <c r="C1573">
        <v>446174639</v>
      </c>
      <c r="D1573">
        <v>446174639</v>
      </c>
      <c r="E1573">
        <v>549096113</v>
      </c>
      <c r="F1573">
        <v>549096113</v>
      </c>
      <c r="G1573">
        <v>549096113</v>
      </c>
    </row>
    <row r="1574" spans="2:7" x14ac:dyDescent="0.2">
      <c r="B1574" t="s">
        <v>2749</v>
      </c>
      <c r="C1574">
        <v>97461823</v>
      </c>
      <c r="D1574">
        <v>97461823</v>
      </c>
      <c r="E1574">
        <v>35190530</v>
      </c>
      <c r="F1574">
        <v>35190530</v>
      </c>
      <c r="G1574">
        <v>35190530</v>
      </c>
    </row>
    <row r="1575" spans="2:7" x14ac:dyDescent="0.2">
      <c r="B1575" t="s">
        <v>2750</v>
      </c>
      <c r="C1575">
        <v>11952959</v>
      </c>
      <c r="D1575">
        <v>11952959</v>
      </c>
      <c r="E1575">
        <v>13327794</v>
      </c>
      <c r="F1575">
        <v>13327794</v>
      </c>
      <c r="G1575">
        <v>13327794</v>
      </c>
    </row>
    <row r="1576" spans="2:7" x14ac:dyDescent="0.2">
      <c r="B1576" t="s">
        <v>2751</v>
      </c>
      <c r="C1576">
        <v>26079488980</v>
      </c>
      <c r="D1576">
        <v>26079488980</v>
      </c>
      <c r="E1576">
        <v>28903539739</v>
      </c>
      <c r="F1576">
        <v>28903539739</v>
      </c>
      <c r="G1576">
        <v>28903539739</v>
      </c>
    </row>
    <row r="1577" spans="2:7" x14ac:dyDescent="0.2">
      <c r="B1577" t="s">
        <v>2752</v>
      </c>
      <c r="C1577">
        <v>2394680666</v>
      </c>
      <c r="D1577">
        <v>2394680666</v>
      </c>
      <c r="E1577">
        <v>2614909645</v>
      </c>
      <c r="F1577">
        <v>2614909645</v>
      </c>
      <c r="G1577">
        <v>2614909645</v>
      </c>
    </row>
    <row r="1578" spans="2:7" x14ac:dyDescent="0.2">
      <c r="B1578" t="s">
        <v>2753</v>
      </c>
      <c r="C1578">
        <v>59689980094</v>
      </c>
      <c r="D1578">
        <v>59689980094</v>
      </c>
      <c r="E1578">
        <v>65807660550</v>
      </c>
      <c r="F1578">
        <v>65807660550</v>
      </c>
      <c r="G1578">
        <v>65807660550</v>
      </c>
    </row>
    <row r="1579" spans="2:7" x14ac:dyDescent="0.2">
      <c r="B1579" t="s">
        <v>2754</v>
      </c>
      <c r="C1579">
        <v>9897503545</v>
      </c>
      <c r="D1579">
        <v>9897503545</v>
      </c>
      <c r="E1579">
        <v>10422007163</v>
      </c>
      <c r="F1579">
        <v>10422007163</v>
      </c>
      <c r="G1579">
        <v>10422007163</v>
      </c>
    </row>
    <row r="1580" spans="2:7" x14ac:dyDescent="0.2">
      <c r="B1580" t="s">
        <v>2755</v>
      </c>
      <c r="C1580">
        <v>7775925670</v>
      </c>
      <c r="D1580">
        <v>7775925670</v>
      </c>
      <c r="E1580">
        <v>8735181828</v>
      </c>
      <c r="F1580">
        <v>8735181828</v>
      </c>
      <c r="G1580">
        <v>8735181828</v>
      </c>
    </row>
    <row r="1581" spans="2:7" x14ac:dyDescent="0.2">
      <c r="B1581" t="s">
        <v>2756</v>
      </c>
      <c r="C1581">
        <v>1436338365</v>
      </c>
      <c r="D1581">
        <v>1436338365</v>
      </c>
      <c r="E1581">
        <v>1460673231</v>
      </c>
      <c r="F1581">
        <v>1460673231</v>
      </c>
      <c r="G1581">
        <v>1460673231</v>
      </c>
    </row>
    <row r="1582" spans="2:7" x14ac:dyDescent="0.2">
      <c r="B1582" t="s">
        <v>2757</v>
      </c>
      <c r="C1582">
        <v>33039495858</v>
      </c>
      <c r="D1582">
        <v>33039495858</v>
      </c>
      <c r="E1582">
        <v>37290148622</v>
      </c>
      <c r="F1582">
        <v>37290148622</v>
      </c>
      <c r="G1582">
        <v>37290148622</v>
      </c>
    </row>
    <row r="1583" spans="2:7" x14ac:dyDescent="0.2">
      <c r="B1583" t="s">
        <v>2758</v>
      </c>
      <c r="C1583">
        <v>3004106531</v>
      </c>
      <c r="D1583">
        <v>3004106531</v>
      </c>
      <c r="E1583">
        <v>3670044822</v>
      </c>
      <c r="F1583">
        <v>3670044822</v>
      </c>
      <c r="G1583">
        <v>3670044822</v>
      </c>
    </row>
    <row r="1584" spans="2:7" x14ac:dyDescent="0.2">
      <c r="B1584" t="s">
        <v>2759</v>
      </c>
      <c r="C1584">
        <v>11657277909</v>
      </c>
      <c r="D1584">
        <v>11657277909</v>
      </c>
      <c r="E1584">
        <v>12806981148</v>
      </c>
      <c r="F1584">
        <v>12806981148</v>
      </c>
      <c r="G1584">
        <v>12806981148</v>
      </c>
    </row>
    <row r="1585" spans="2:7" x14ac:dyDescent="0.2">
      <c r="B1585" t="s">
        <v>2760</v>
      </c>
      <c r="C1585">
        <v>0</v>
      </c>
      <c r="D1585">
        <v>0</v>
      </c>
      <c r="E1585">
        <v>0</v>
      </c>
      <c r="F1585">
        <v>0</v>
      </c>
      <c r="G1585">
        <v>0</v>
      </c>
    </row>
    <row r="1586" spans="2:7" x14ac:dyDescent="0.2">
      <c r="B1586" t="s">
        <v>2761</v>
      </c>
      <c r="C1586">
        <v>157206946951</v>
      </c>
      <c r="D1586">
        <v>157206946951</v>
      </c>
      <c r="E1586">
        <v>173979434177</v>
      </c>
      <c r="F1586">
        <v>173979434177</v>
      </c>
      <c r="G1586">
        <v>173979434177</v>
      </c>
    </row>
    <row r="1587" spans="2:7" x14ac:dyDescent="0.2">
      <c r="B1587" t="s">
        <v>2762</v>
      </c>
      <c r="C1587">
        <v>11511387447</v>
      </c>
      <c r="D1587">
        <v>11511387447</v>
      </c>
      <c r="E1587">
        <v>15494498126</v>
      </c>
      <c r="F1587">
        <v>15494498126</v>
      </c>
      <c r="G1587">
        <v>15494498126</v>
      </c>
    </row>
    <row r="1588" spans="2:7" x14ac:dyDescent="0.2">
      <c r="B1588" t="s">
        <v>2763</v>
      </c>
      <c r="C1588">
        <v>1968723518</v>
      </c>
      <c r="D1588">
        <v>1968723518</v>
      </c>
      <c r="E1588">
        <v>2491216606</v>
      </c>
      <c r="F1588">
        <v>2491216606</v>
      </c>
      <c r="G1588">
        <v>2491216606</v>
      </c>
    </row>
    <row r="1589" spans="2:7" x14ac:dyDescent="0.2">
      <c r="B1589" t="s">
        <v>2764</v>
      </c>
      <c r="C1589">
        <v>351656833628</v>
      </c>
      <c r="D1589">
        <v>351656833628</v>
      </c>
      <c r="E1589">
        <v>338342481548</v>
      </c>
      <c r="F1589">
        <v>338342481548</v>
      </c>
      <c r="G1589">
        <v>338342481548</v>
      </c>
    </row>
    <row r="1590" spans="2:7" x14ac:dyDescent="0.2">
      <c r="B1590" t="s">
        <v>2765</v>
      </c>
      <c r="C1590">
        <v>0</v>
      </c>
      <c r="D1590">
        <v>0</v>
      </c>
      <c r="E1590">
        <v>0</v>
      </c>
      <c r="F1590">
        <v>0</v>
      </c>
      <c r="G1590">
        <v>0</v>
      </c>
    </row>
    <row r="1591" spans="2:7" x14ac:dyDescent="0.2">
      <c r="B1591" t="s">
        <v>2766</v>
      </c>
      <c r="C1591">
        <v>0</v>
      </c>
      <c r="D1591">
        <v>0</v>
      </c>
      <c r="E1591">
        <v>0</v>
      </c>
      <c r="F1591">
        <v>0</v>
      </c>
      <c r="G1591">
        <v>0</v>
      </c>
    </row>
    <row r="1592" spans="2:7" x14ac:dyDescent="0.2">
      <c r="B1592" t="s">
        <v>2767</v>
      </c>
      <c r="C1592">
        <v>34056927126</v>
      </c>
      <c r="D1592">
        <v>34056927126</v>
      </c>
      <c r="E1592">
        <v>35898116450</v>
      </c>
      <c r="F1592">
        <v>35898116450</v>
      </c>
      <c r="G1592">
        <v>35898116450</v>
      </c>
    </row>
    <row r="1593" spans="2:7" x14ac:dyDescent="0.2">
      <c r="B1593" t="s">
        <v>2768</v>
      </c>
      <c r="C1593">
        <v>27874808</v>
      </c>
      <c r="D1593">
        <v>27874808</v>
      </c>
      <c r="E1593">
        <v>21705733</v>
      </c>
      <c r="F1593">
        <v>21705733</v>
      </c>
      <c r="G1593">
        <v>21705733</v>
      </c>
    </row>
    <row r="1594" spans="2:7" x14ac:dyDescent="0.2">
      <c r="B1594" t="s">
        <v>2769</v>
      </c>
      <c r="C1594">
        <v>0</v>
      </c>
      <c r="D1594">
        <v>0</v>
      </c>
      <c r="E1594">
        <v>0</v>
      </c>
      <c r="F1594">
        <v>0</v>
      </c>
      <c r="G1594">
        <v>0</v>
      </c>
    </row>
    <row r="1595" spans="2:7" x14ac:dyDescent="0.2">
      <c r="B1595" t="s">
        <v>2770</v>
      </c>
      <c r="C1595">
        <v>57935767889</v>
      </c>
      <c r="D1595">
        <v>57935767889</v>
      </c>
      <c r="E1595">
        <v>61490681276</v>
      </c>
      <c r="F1595">
        <v>61490681276</v>
      </c>
      <c r="G1595">
        <v>61490681276</v>
      </c>
    </row>
    <row r="1596" spans="2:7" x14ac:dyDescent="0.2">
      <c r="B1596" t="s">
        <v>2771</v>
      </c>
      <c r="C1596">
        <v>14655681223</v>
      </c>
      <c r="D1596">
        <v>14655681223</v>
      </c>
      <c r="E1596">
        <v>15424255224</v>
      </c>
      <c r="F1596">
        <v>15424255224</v>
      </c>
      <c r="G1596">
        <v>15424255224</v>
      </c>
    </row>
    <row r="1597" spans="2:7" x14ac:dyDescent="0.2">
      <c r="B1597" t="s">
        <v>2772</v>
      </c>
      <c r="C1597">
        <v>0</v>
      </c>
      <c r="D1597">
        <v>0</v>
      </c>
      <c r="E1597">
        <v>0</v>
      </c>
      <c r="F1597">
        <v>0</v>
      </c>
      <c r="G1597">
        <v>0</v>
      </c>
    </row>
    <row r="1598" spans="2:7" x14ac:dyDescent="0.2">
      <c r="B1598" t="s">
        <v>2773</v>
      </c>
      <c r="C1598">
        <v>7308655744</v>
      </c>
      <c r="D1598">
        <v>7308655744</v>
      </c>
      <c r="E1598">
        <v>6954669814</v>
      </c>
      <c r="F1598">
        <v>6954669814</v>
      </c>
      <c r="G1598">
        <v>6954669814</v>
      </c>
    </row>
    <row r="1599" spans="2:7" x14ac:dyDescent="0.2">
      <c r="B1599" t="s">
        <v>2774</v>
      </c>
      <c r="C1599">
        <v>71990228967</v>
      </c>
      <c r="D1599">
        <v>71990228967</v>
      </c>
      <c r="E1599">
        <v>69660353444</v>
      </c>
      <c r="F1599">
        <v>69660353444</v>
      </c>
      <c r="G1599">
        <v>69660353444</v>
      </c>
    </row>
    <row r="1600" spans="2:7" x14ac:dyDescent="0.2">
      <c r="B1600" t="s">
        <v>2775</v>
      </c>
      <c r="C1600">
        <v>0</v>
      </c>
      <c r="D1600">
        <v>0</v>
      </c>
      <c r="E1600">
        <v>0</v>
      </c>
      <c r="F1600">
        <v>0</v>
      </c>
      <c r="G1600">
        <v>0</v>
      </c>
    </row>
    <row r="1601" spans="2:7" x14ac:dyDescent="0.2">
      <c r="B1601" t="s">
        <v>2776</v>
      </c>
      <c r="C1601">
        <v>577119724591</v>
      </c>
      <c r="D1601">
        <v>577119724591</v>
      </c>
      <c r="E1601">
        <v>594229880329</v>
      </c>
      <c r="F1601">
        <v>594229880329</v>
      </c>
      <c r="G1601">
        <v>594229880329</v>
      </c>
    </row>
    <row r="1602" spans="2:7" x14ac:dyDescent="0.2">
      <c r="B1602" t="s">
        <v>2777</v>
      </c>
      <c r="C1602">
        <v>15261432763</v>
      </c>
      <c r="D1602">
        <v>15261432763</v>
      </c>
      <c r="E1602">
        <v>16000611113</v>
      </c>
      <c r="F1602">
        <v>16000611113</v>
      </c>
      <c r="G1602">
        <v>16000611113</v>
      </c>
    </row>
    <row r="1603" spans="2:7" x14ac:dyDescent="0.2">
      <c r="B1603" t="s">
        <v>2778</v>
      </c>
      <c r="C1603">
        <v>0</v>
      </c>
      <c r="D1603">
        <v>0</v>
      </c>
      <c r="E1603">
        <v>0</v>
      </c>
      <c r="F1603">
        <v>0</v>
      </c>
      <c r="G1603">
        <v>0</v>
      </c>
    </row>
    <row r="1604" spans="2:7" x14ac:dyDescent="0.2">
      <c r="B1604" t="s">
        <v>2779</v>
      </c>
      <c r="C1604">
        <v>0</v>
      </c>
      <c r="D1604">
        <v>0</v>
      </c>
      <c r="E1604">
        <v>0</v>
      </c>
      <c r="F1604">
        <v>0</v>
      </c>
      <c r="G1604">
        <v>0</v>
      </c>
    </row>
    <row r="1605" spans="2:7" x14ac:dyDescent="0.2">
      <c r="B1605" t="s">
        <v>2780</v>
      </c>
      <c r="C1605">
        <v>145549669129</v>
      </c>
      <c r="D1605">
        <v>145549669129</v>
      </c>
      <c r="E1605">
        <v>161172453135</v>
      </c>
      <c r="F1605">
        <v>161172453135</v>
      </c>
      <c r="G1605">
        <v>161172453135</v>
      </c>
    </row>
    <row r="1606" spans="2:7" x14ac:dyDescent="0.2">
      <c r="B1606" t="s">
        <v>2781</v>
      </c>
      <c r="C1606">
        <v>133461654395</v>
      </c>
      <c r="D1606">
        <v>133461654395</v>
      </c>
      <c r="E1606">
        <v>153698988133</v>
      </c>
      <c r="F1606">
        <v>153698988133</v>
      </c>
      <c r="G1606">
        <v>153698988133</v>
      </c>
    </row>
    <row r="1607" spans="2:7" x14ac:dyDescent="0.2">
      <c r="B1607" t="s">
        <v>2782</v>
      </c>
      <c r="C1607">
        <v>0</v>
      </c>
      <c r="D1607">
        <v>0</v>
      </c>
      <c r="E1607">
        <v>0</v>
      </c>
      <c r="F1607">
        <v>0</v>
      </c>
      <c r="G1607">
        <v>0</v>
      </c>
    </row>
    <row r="1608" spans="2:7" x14ac:dyDescent="0.2">
      <c r="B1608" t="s">
        <v>2783</v>
      </c>
      <c r="C1608">
        <v>0</v>
      </c>
      <c r="D1608">
        <v>0</v>
      </c>
      <c r="E1608">
        <v>0</v>
      </c>
      <c r="F1608">
        <v>0</v>
      </c>
      <c r="G1608">
        <v>0</v>
      </c>
    </row>
    <row r="1609" spans="2:7" x14ac:dyDescent="0.2">
      <c r="B1609" t="s">
        <v>2784</v>
      </c>
      <c r="C1609">
        <v>0</v>
      </c>
      <c r="D1609">
        <v>0</v>
      </c>
      <c r="E1609">
        <v>0</v>
      </c>
      <c r="F1609">
        <v>0</v>
      </c>
      <c r="G1609">
        <v>0</v>
      </c>
    </row>
    <row r="1610" spans="2:7" x14ac:dyDescent="0.2">
      <c r="B1610" t="s">
        <v>2785</v>
      </c>
      <c r="C1610">
        <v>0</v>
      </c>
      <c r="D1610">
        <v>0</v>
      </c>
      <c r="E1610">
        <v>0</v>
      </c>
      <c r="F1610">
        <v>0</v>
      </c>
      <c r="G1610">
        <v>0</v>
      </c>
    </row>
    <row r="1611" spans="2:7" x14ac:dyDescent="0.2">
      <c r="B1611" t="s">
        <v>2786</v>
      </c>
      <c r="C1611">
        <v>0</v>
      </c>
      <c r="D1611">
        <v>0</v>
      </c>
      <c r="E1611">
        <v>0</v>
      </c>
      <c r="F1611">
        <v>0</v>
      </c>
      <c r="G1611">
        <v>0</v>
      </c>
    </row>
    <row r="1612" spans="2:7" x14ac:dyDescent="0.2">
      <c r="B1612" t="s">
        <v>2787</v>
      </c>
      <c r="C1612">
        <v>0</v>
      </c>
      <c r="D1612">
        <v>0</v>
      </c>
      <c r="E1612">
        <v>0</v>
      </c>
      <c r="F1612">
        <v>0</v>
      </c>
      <c r="G1612">
        <v>0</v>
      </c>
    </row>
    <row r="1613" spans="2:7" x14ac:dyDescent="0.2">
      <c r="B1613" t="s">
        <v>2788</v>
      </c>
      <c r="C1613">
        <v>0</v>
      </c>
      <c r="D1613">
        <v>0</v>
      </c>
      <c r="E1613">
        <v>0</v>
      </c>
      <c r="F1613">
        <v>0</v>
      </c>
      <c r="G1613">
        <v>0</v>
      </c>
    </row>
    <row r="1614" spans="2:7" x14ac:dyDescent="0.2">
      <c r="B1614" t="s">
        <v>2789</v>
      </c>
      <c r="C1614">
        <v>0</v>
      </c>
      <c r="D1614">
        <v>0</v>
      </c>
      <c r="E1614">
        <v>0</v>
      </c>
      <c r="F1614">
        <v>0</v>
      </c>
      <c r="G1614">
        <v>0</v>
      </c>
    </row>
    <row r="1615" spans="2:7" x14ac:dyDescent="0.2">
      <c r="B1615" t="s">
        <v>2790</v>
      </c>
      <c r="C1615">
        <v>0</v>
      </c>
      <c r="D1615">
        <v>0</v>
      </c>
      <c r="E1615">
        <v>0</v>
      </c>
      <c r="F1615">
        <v>0</v>
      </c>
      <c r="G1615">
        <v>0</v>
      </c>
    </row>
    <row r="1616" spans="2:7" x14ac:dyDescent="0.2">
      <c r="B1616" t="s">
        <v>2791</v>
      </c>
      <c r="C1616">
        <v>0</v>
      </c>
      <c r="D1616">
        <v>0</v>
      </c>
      <c r="E1616">
        <v>0</v>
      </c>
      <c r="F1616">
        <v>0</v>
      </c>
      <c r="G1616">
        <v>0</v>
      </c>
    </row>
    <row r="1617" spans="2:7" x14ac:dyDescent="0.2">
      <c r="B1617" t="s">
        <v>2792</v>
      </c>
      <c r="C1617">
        <v>195917115534</v>
      </c>
      <c r="D1617">
        <v>195917115534</v>
      </c>
      <c r="E1617">
        <v>207274819310</v>
      </c>
      <c r="F1617">
        <v>207274819310</v>
      </c>
      <c r="G1617">
        <v>207274819310</v>
      </c>
    </row>
    <row r="1618" spans="2:7" x14ac:dyDescent="0.2">
      <c r="B1618" t="s">
        <v>2793</v>
      </c>
      <c r="C1618">
        <v>246253359647</v>
      </c>
      <c r="D1618">
        <v>246253359647</v>
      </c>
      <c r="E1618">
        <v>258098693167</v>
      </c>
      <c r="F1618">
        <v>258098693167</v>
      </c>
      <c r="G1618">
        <v>258098693167</v>
      </c>
    </row>
    <row r="1619" spans="2:7" x14ac:dyDescent="0.2">
      <c r="B1619" t="s">
        <v>2794</v>
      </c>
      <c r="C1619">
        <v>31149532339</v>
      </c>
      <c r="D1619">
        <v>31149532339</v>
      </c>
      <c r="E1619">
        <v>30569671892</v>
      </c>
      <c r="F1619">
        <v>30569671892</v>
      </c>
      <c r="G1619">
        <v>30569671892</v>
      </c>
    </row>
    <row r="1620" spans="2:7" x14ac:dyDescent="0.2">
      <c r="B1620" t="s">
        <v>2795</v>
      </c>
      <c r="C1620">
        <v>318421469</v>
      </c>
      <c r="D1620">
        <v>318421469</v>
      </c>
      <c r="E1620">
        <v>253065924</v>
      </c>
      <c r="F1620">
        <v>253065924</v>
      </c>
      <c r="G1620">
        <v>253065924</v>
      </c>
    </row>
    <row r="1621" spans="2:7" x14ac:dyDescent="0.2">
      <c r="B1621" t="s">
        <v>2796</v>
      </c>
      <c r="C1621">
        <v>353563168919</v>
      </c>
      <c r="D1621">
        <v>353563168919</v>
      </c>
      <c r="E1621">
        <v>338657665013</v>
      </c>
      <c r="F1621">
        <v>338657665013</v>
      </c>
      <c r="G1621">
        <v>338657665013</v>
      </c>
    </row>
    <row r="1622" spans="2:7" x14ac:dyDescent="0.2">
      <c r="B1622" t="s">
        <v>2797</v>
      </c>
      <c r="C1622">
        <v>12515809447</v>
      </c>
      <c r="D1622">
        <v>12515809447</v>
      </c>
      <c r="E1622">
        <v>12599754396</v>
      </c>
      <c r="F1622">
        <v>12599754396</v>
      </c>
      <c r="G1622">
        <v>12599754396</v>
      </c>
    </row>
    <row r="1623" spans="2:7" x14ac:dyDescent="0.2">
      <c r="B1623" t="s">
        <v>2798</v>
      </c>
      <c r="C1623">
        <v>397232685201</v>
      </c>
      <c r="D1623">
        <v>397232685201</v>
      </c>
      <c r="E1623">
        <v>381831064768</v>
      </c>
      <c r="F1623">
        <v>381831064768</v>
      </c>
      <c r="G1623">
        <v>381831064768</v>
      </c>
    </row>
    <row r="1624" spans="2:7" x14ac:dyDescent="0.2">
      <c r="B1624" t="s">
        <v>2799</v>
      </c>
      <c r="C1624">
        <v>710090583978</v>
      </c>
      <c r="D1624">
        <v>710090583978</v>
      </c>
      <c r="E1624">
        <v>750661085037</v>
      </c>
      <c r="F1624">
        <v>750661085037</v>
      </c>
      <c r="G1624">
        <v>750661085037</v>
      </c>
    </row>
    <row r="1625" spans="2:7" x14ac:dyDescent="0.2">
      <c r="B1625" t="s">
        <v>2800</v>
      </c>
      <c r="C1625">
        <v>10853432520</v>
      </c>
      <c r="D1625">
        <v>10853432520</v>
      </c>
      <c r="E1625">
        <v>11130762672</v>
      </c>
      <c r="F1625">
        <v>11130762672</v>
      </c>
      <c r="G1625">
        <v>11130762672</v>
      </c>
    </row>
    <row r="1626" spans="2:7" x14ac:dyDescent="0.2">
      <c r="B1626" t="s">
        <v>2801</v>
      </c>
      <c r="C1626">
        <v>20293128109</v>
      </c>
      <c r="D1626">
        <v>20293128109</v>
      </c>
      <c r="E1626">
        <v>20600017646</v>
      </c>
      <c r="F1626">
        <v>20600017646</v>
      </c>
      <c r="G1626">
        <v>20600017646</v>
      </c>
    </row>
    <row r="1627" spans="2:7" x14ac:dyDescent="0.2">
      <c r="B1627" t="s">
        <v>2802</v>
      </c>
      <c r="C1627">
        <v>0</v>
      </c>
      <c r="D1627">
        <v>0</v>
      </c>
      <c r="E1627">
        <v>0</v>
      </c>
      <c r="F1627">
        <v>0</v>
      </c>
      <c r="G1627">
        <v>0</v>
      </c>
    </row>
    <row r="1628" spans="2:7" x14ac:dyDescent="0.2">
      <c r="B1628" t="s">
        <v>2803</v>
      </c>
      <c r="C1628">
        <v>0</v>
      </c>
      <c r="D1628">
        <v>0</v>
      </c>
      <c r="E1628">
        <v>0</v>
      </c>
      <c r="F1628">
        <v>0</v>
      </c>
      <c r="G1628">
        <v>0</v>
      </c>
    </row>
    <row r="1629" spans="2:7" x14ac:dyDescent="0.2">
      <c r="B1629" t="s">
        <v>2804</v>
      </c>
      <c r="C1629">
        <v>0</v>
      </c>
      <c r="D1629">
        <v>0</v>
      </c>
      <c r="E1629">
        <v>0</v>
      </c>
      <c r="F1629">
        <v>0</v>
      </c>
      <c r="G1629">
        <v>0</v>
      </c>
    </row>
    <row r="1630" spans="2:7" x14ac:dyDescent="0.2">
      <c r="B1630" t="s">
        <v>2805</v>
      </c>
      <c r="C1630">
        <v>0</v>
      </c>
      <c r="D1630">
        <v>0</v>
      </c>
      <c r="E1630">
        <v>0</v>
      </c>
      <c r="F1630">
        <v>0</v>
      </c>
      <c r="G1630">
        <v>0</v>
      </c>
    </row>
    <row r="1631" spans="2:7" x14ac:dyDescent="0.2">
      <c r="B1631" t="s">
        <v>2806</v>
      </c>
      <c r="C1631">
        <v>0</v>
      </c>
      <c r="D1631">
        <v>0</v>
      </c>
      <c r="E1631">
        <v>0</v>
      </c>
      <c r="F1631">
        <v>0</v>
      </c>
      <c r="G1631">
        <v>0</v>
      </c>
    </row>
    <row r="1632" spans="2:7" x14ac:dyDescent="0.2">
      <c r="B1632" t="s">
        <v>2807</v>
      </c>
      <c r="C1632">
        <v>0</v>
      </c>
      <c r="D1632">
        <v>0</v>
      </c>
      <c r="E1632">
        <v>0</v>
      </c>
      <c r="F1632">
        <v>0</v>
      </c>
      <c r="G1632">
        <v>0</v>
      </c>
    </row>
    <row r="1633" spans="2:7" x14ac:dyDescent="0.2">
      <c r="B1633" t="s">
        <v>2808</v>
      </c>
      <c r="C1633">
        <v>0</v>
      </c>
      <c r="D1633">
        <v>0</v>
      </c>
      <c r="E1633">
        <v>0</v>
      </c>
      <c r="F1633">
        <v>0</v>
      </c>
      <c r="G1633">
        <v>0</v>
      </c>
    </row>
    <row r="1634" spans="2:7" x14ac:dyDescent="0.2">
      <c r="B1634" t="s">
        <v>2809</v>
      </c>
      <c r="C1634">
        <v>0</v>
      </c>
      <c r="D1634">
        <v>0</v>
      </c>
      <c r="E1634">
        <v>0</v>
      </c>
      <c r="F1634">
        <v>0</v>
      </c>
      <c r="G1634">
        <v>0</v>
      </c>
    </row>
    <row r="1635" spans="2:7" x14ac:dyDescent="0.2">
      <c r="B1635" t="s">
        <v>2810</v>
      </c>
      <c r="C1635">
        <v>0</v>
      </c>
      <c r="D1635">
        <v>0</v>
      </c>
      <c r="E1635">
        <v>0</v>
      </c>
      <c r="F1635">
        <v>0</v>
      </c>
      <c r="G1635">
        <v>0</v>
      </c>
    </row>
    <row r="1636" spans="2:7" x14ac:dyDescent="0.2">
      <c r="B1636" t="s">
        <v>2811</v>
      </c>
      <c r="C1636">
        <v>0</v>
      </c>
      <c r="D1636">
        <v>0</v>
      </c>
      <c r="E1636">
        <v>0</v>
      </c>
      <c r="F1636">
        <v>0</v>
      </c>
      <c r="G1636">
        <v>0</v>
      </c>
    </row>
    <row r="1637" spans="2:7" x14ac:dyDescent="0.2">
      <c r="B1637" t="s">
        <v>2812</v>
      </c>
      <c r="C1637">
        <v>0</v>
      </c>
      <c r="D1637">
        <v>0</v>
      </c>
      <c r="E1637">
        <v>0</v>
      </c>
      <c r="F1637">
        <v>0</v>
      </c>
      <c r="G1637">
        <v>0</v>
      </c>
    </row>
    <row r="1638" spans="2:7" x14ac:dyDescent="0.2">
      <c r="B1638" t="s">
        <v>2813</v>
      </c>
      <c r="C1638">
        <v>0</v>
      </c>
      <c r="D1638">
        <v>0</v>
      </c>
      <c r="E1638">
        <v>0</v>
      </c>
      <c r="F1638">
        <v>0</v>
      </c>
      <c r="G1638">
        <v>0</v>
      </c>
    </row>
    <row r="1639" spans="2:7" x14ac:dyDescent="0.2">
      <c r="B1639" t="s">
        <v>2814</v>
      </c>
      <c r="C1639">
        <v>0</v>
      </c>
      <c r="D1639">
        <v>0</v>
      </c>
      <c r="E1639">
        <v>0</v>
      </c>
      <c r="F1639">
        <v>0</v>
      </c>
      <c r="G1639">
        <v>0</v>
      </c>
    </row>
    <row r="1640" spans="2:7" x14ac:dyDescent="0.2">
      <c r="B1640" t="s">
        <v>2815</v>
      </c>
      <c r="C1640">
        <v>0</v>
      </c>
      <c r="D1640">
        <v>0</v>
      </c>
      <c r="E1640">
        <v>0</v>
      </c>
      <c r="F1640">
        <v>0</v>
      </c>
      <c r="G1640">
        <v>0</v>
      </c>
    </row>
    <row r="1641" spans="2:7" x14ac:dyDescent="0.2">
      <c r="B1641" t="s">
        <v>2816</v>
      </c>
      <c r="C1641">
        <v>0</v>
      </c>
      <c r="D1641">
        <v>0</v>
      </c>
      <c r="E1641">
        <v>0</v>
      </c>
      <c r="F1641">
        <v>0</v>
      </c>
      <c r="G1641">
        <v>0</v>
      </c>
    </row>
    <row r="1642" spans="2:7" x14ac:dyDescent="0.2">
      <c r="B1642" t="s">
        <v>2817</v>
      </c>
      <c r="C1642">
        <v>0</v>
      </c>
      <c r="D1642">
        <v>0</v>
      </c>
      <c r="E1642">
        <v>0</v>
      </c>
      <c r="F1642">
        <v>0</v>
      </c>
      <c r="G1642">
        <v>0</v>
      </c>
    </row>
    <row r="1643" spans="2:7" x14ac:dyDescent="0.2">
      <c r="B1643" t="s">
        <v>2818</v>
      </c>
      <c r="C1643">
        <v>0</v>
      </c>
      <c r="D1643">
        <v>0</v>
      </c>
      <c r="E1643">
        <v>0</v>
      </c>
      <c r="F1643">
        <v>0</v>
      </c>
      <c r="G1643">
        <v>0</v>
      </c>
    </row>
    <row r="1644" spans="2:7" x14ac:dyDescent="0.2">
      <c r="B1644" t="s">
        <v>2819</v>
      </c>
      <c r="C1644">
        <v>0</v>
      </c>
      <c r="D1644">
        <v>0</v>
      </c>
      <c r="E1644">
        <v>0</v>
      </c>
      <c r="F1644">
        <v>0</v>
      </c>
      <c r="G1644">
        <v>0</v>
      </c>
    </row>
    <row r="1645" spans="2:7" x14ac:dyDescent="0.2">
      <c r="B1645" t="s">
        <v>2820</v>
      </c>
      <c r="C1645">
        <v>0</v>
      </c>
      <c r="D1645">
        <v>0</v>
      </c>
      <c r="E1645">
        <v>0</v>
      </c>
      <c r="F1645">
        <v>0</v>
      </c>
      <c r="G1645">
        <v>0</v>
      </c>
    </row>
    <row r="1646" spans="2:7" x14ac:dyDescent="0.2">
      <c r="B1646" t="s">
        <v>2821</v>
      </c>
      <c r="C1646">
        <v>0</v>
      </c>
      <c r="D1646">
        <v>0</v>
      </c>
      <c r="E1646">
        <v>0</v>
      </c>
      <c r="F1646">
        <v>0</v>
      </c>
      <c r="G1646">
        <v>0</v>
      </c>
    </row>
    <row r="1647" spans="2:7" x14ac:dyDescent="0.2">
      <c r="B1647" t="s">
        <v>2822</v>
      </c>
      <c r="C1647">
        <v>0</v>
      </c>
      <c r="D1647">
        <v>0</v>
      </c>
      <c r="E1647">
        <v>0</v>
      </c>
      <c r="F1647">
        <v>0</v>
      </c>
      <c r="G1647">
        <v>0</v>
      </c>
    </row>
    <row r="1648" spans="2:7" x14ac:dyDescent="0.2">
      <c r="B1648" t="s">
        <v>2823</v>
      </c>
      <c r="C1648">
        <v>0</v>
      </c>
      <c r="D1648">
        <v>0</v>
      </c>
      <c r="E1648">
        <v>0</v>
      </c>
      <c r="F1648">
        <v>0</v>
      </c>
      <c r="G1648">
        <v>0</v>
      </c>
    </row>
    <row r="1649" spans="2:7" x14ac:dyDescent="0.2">
      <c r="B1649" t="s">
        <v>2824</v>
      </c>
      <c r="C1649">
        <v>0</v>
      </c>
      <c r="D1649">
        <v>0</v>
      </c>
      <c r="E1649">
        <v>0</v>
      </c>
      <c r="F1649">
        <v>0</v>
      </c>
      <c r="G1649">
        <v>0</v>
      </c>
    </row>
    <row r="1650" spans="2:7" x14ac:dyDescent="0.2">
      <c r="B1650" t="s">
        <v>2825</v>
      </c>
      <c r="C1650">
        <v>0</v>
      </c>
      <c r="D1650">
        <v>0</v>
      </c>
      <c r="E1650">
        <v>0</v>
      </c>
      <c r="F1650">
        <v>0</v>
      </c>
      <c r="G1650">
        <v>0</v>
      </c>
    </row>
    <row r="1651" spans="2:7" x14ac:dyDescent="0.2">
      <c r="B1651" t="s">
        <v>2826</v>
      </c>
      <c r="C1651">
        <v>0</v>
      </c>
      <c r="D1651">
        <v>0</v>
      </c>
      <c r="E1651">
        <v>0</v>
      </c>
      <c r="F1651">
        <v>0</v>
      </c>
      <c r="G1651">
        <v>0</v>
      </c>
    </row>
    <row r="1652" spans="2:7" x14ac:dyDescent="0.2">
      <c r="B1652" t="s">
        <v>2827</v>
      </c>
      <c r="C1652">
        <v>0</v>
      </c>
      <c r="D1652">
        <v>0</v>
      </c>
      <c r="E1652">
        <v>0</v>
      </c>
      <c r="F1652">
        <v>0</v>
      </c>
      <c r="G1652">
        <v>0</v>
      </c>
    </row>
    <row r="1653" spans="2:7" x14ac:dyDescent="0.2">
      <c r="B1653" t="s">
        <v>2828</v>
      </c>
      <c r="C1653">
        <v>0</v>
      </c>
      <c r="D1653">
        <v>0</v>
      </c>
      <c r="E1653">
        <v>0</v>
      </c>
      <c r="F1653">
        <v>0</v>
      </c>
      <c r="G1653">
        <v>0</v>
      </c>
    </row>
    <row r="1654" spans="2:7" x14ac:dyDescent="0.2">
      <c r="B1654" t="s">
        <v>2829</v>
      </c>
      <c r="C1654">
        <v>0</v>
      </c>
      <c r="D1654">
        <v>0</v>
      </c>
      <c r="E1654">
        <v>0</v>
      </c>
      <c r="F1654">
        <v>0</v>
      </c>
      <c r="G1654">
        <v>0</v>
      </c>
    </row>
    <row r="1655" spans="2:7" x14ac:dyDescent="0.2">
      <c r="B1655" t="s">
        <v>2830</v>
      </c>
      <c r="C1655">
        <v>0</v>
      </c>
      <c r="D1655">
        <v>0</v>
      </c>
      <c r="E1655">
        <v>0</v>
      </c>
      <c r="F1655">
        <v>0</v>
      </c>
      <c r="G1655">
        <v>0</v>
      </c>
    </row>
    <row r="1656" spans="2:7" x14ac:dyDescent="0.2">
      <c r="B1656" t="s">
        <v>2831</v>
      </c>
      <c r="C1656">
        <v>0</v>
      </c>
      <c r="D1656">
        <v>0</v>
      </c>
      <c r="E1656">
        <v>0</v>
      </c>
      <c r="F1656">
        <v>0</v>
      </c>
      <c r="G1656">
        <v>0</v>
      </c>
    </row>
    <row r="1657" spans="2:7" x14ac:dyDescent="0.2">
      <c r="B1657" t="s">
        <v>2832</v>
      </c>
      <c r="C1657">
        <v>0</v>
      </c>
      <c r="D1657">
        <v>0</v>
      </c>
      <c r="E1657">
        <v>0</v>
      </c>
      <c r="F1657">
        <v>0</v>
      </c>
      <c r="G1657">
        <v>0</v>
      </c>
    </row>
    <row r="1658" spans="2:7" x14ac:dyDescent="0.2">
      <c r="B1658" t="s">
        <v>2833</v>
      </c>
      <c r="C1658">
        <v>0</v>
      </c>
      <c r="D1658">
        <v>0</v>
      </c>
      <c r="E1658">
        <v>0</v>
      </c>
      <c r="F1658">
        <v>0</v>
      </c>
      <c r="G1658">
        <v>0</v>
      </c>
    </row>
    <row r="1659" spans="2:7" x14ac:dyDescent="0.2">
      <c r="B1659" t="s">
        <v>2834</v>
      </c>
      <c r="C1659">
        <v>0</v>
      </c>
      <c r="D1659">
        <v>0</v>
      </c>
      <c r="E1659">
        <v>0</v>
      </c>
      <c r="F1659">
        <v>0</v>
      </c>
      <c r="G1659">
        <v>0</v>
      </c>
    </row>
    <row r="1660" spans="2:7" x14ac:dyDescent="0.2">
      <c r="B1660" t="s">
        <v>2835</v>
      </c>
      <c r="C1660">
        <v>0</v>
      </c>
      <c r="D1660">
        <v>0</v>
      </c>
      <c r="E1660">
        <v>0</v>
      </c>
      <c r="F1660">
        <v>0</v>
      </c>
      <c r="G1660">
        <v>0</v>
      </c>
    </row>
    <row r="1661" spans="2:7" x14ac:dyDescent="0.2">
      <c r="B1661" t="s">
        <v>2836</v>
      </c>
      <c r="C1661">
        <v>0</v>
      </c>
      <c r="D1661">
        <v>0</v>
      </c>
      <c r="E1661">
        <v>0</v>
      </c>
      <c r="F1661">
        <v>0</v>
      </c>
      <c r="G1661">
        <v>0</v>
      </c>
    </row>
    <row r="1662" spans="2:7" x14ac:dyDescent="0.2">
      <c r="B1662" t="s">
        <v>2837</v>
      </c>
      <c r="C1662">
        <v>0</v>
      </c>
      <c r="D1662">
        <v>0</v>
      </c>
      <c r="E1662">
        <v>0</v>
      </c>
      <c r="F1662">
        <v>0</v>
      </c>
      <c r="G1662">
        <v>0</v>
      </c>
    </row>
    <row r="1663" spans="2:7" x14ac:dyDescent="0.2">
      <c r="B1663" t="s">
        <v>2838</v>
      </c>
      <c r="C1663">
        <v>0</v>
      </c>
      <c r="D1663">
        <v>0</v>
      </c>
      <c r="E1663">
        <v>0</v>
      </c>
      <c r="F1663">
        <v>0</v>
      </c>
      <c r="G1663">
        <v>0</v>
      </c>
    </row>
    <row r="1664" spans="2:7" x14ac:dyDescent="0.2">
      <c r="B1664" t="s">
        <v>2839</v>
      </c>
      <c r="C1664">
        <v>0</v>
      </c>
      <c r="D1664">
        <v>0</v>
      </c>
      <c r="E1664">
        <v>0</v>
      </c>
      <c r="F1664">
        <v>0</v>
      </c>
      <c r="G1664">
        <v>0</v>
      </c>
    </row>
    <row r="1665" spans="2:7" x14ac:dyDescent="0.2">
      <c r="B1665" t="s">
        <v>2840</v>
      </c>
      <c r="C1665">
        <v>0</v>
      </c>
      <c r="D1665">
        <v>0</v>
      </c>
      <c r="E1665">
        <v>0</v>
      </c>
      <c r="F1665">
        <v>0</v>
      </c>
      <c r="G1665">
        <v>0</v>
      </c>
    </row>
    <row r="1666" spans="2:7" x14ac:dyDescent="0.2">
      <c r="B1666" t="s">
        <v>2841</v>
      </c>
      <c r="C1666">
        <v>0</v>
      </c>
      <c r="D1666">
        <v>0</v>
      </c>
      <c r="E1666">
        <v>0</v>
      </c>
      <c r="F1666">
        <v>0</v>
      </c>
      <c r="G1666">
        <v>0</v>
      </c>
    </row>
    <row r="1667" spans="2:7" x14ac:dyDescent="0.2">
      <c r="B1667" t="s">
        <v>2842</v>
      </c>
      <c r="C1667">
        <v>0</v>
      </c>
      <c r="D1667">
        <v>0</v>
      </c>
      <c r="E1667">
        <v>0</v>
      </c>
      <c r="F1667">
        <v>0</v>
      </c>
      <c r="G1667">
        <v>0</v>
      </c>
    </row>
    <row r="1668" spans="2:7" x14ac:dyDescent="0.2">
      <c r="B1668" t="s">
        <v>2843</v>
      </c>
      <c r="C1668">
        <v>0</v>
      </c>
      <c r="D1668">
        <v>0</v>
      </c>
      <c r="E1668">
        <v>0</v>
      </c>
      <c r="F1668">
        <v>0</v>
      </c>
      <c r="G1668">
        <v>0</v>
      </c>
    </row>
    <row r="1669" spans="2:7" x14ac:dyDescent="0.2">
      <c r="B1669" t="s">
        <v>2844</v>
      </c>
      <c r="C1669">
        <v>0</v>
      </c>
      <c r="D1669">
        <v>0</v>
      </c>
      <c r="E1669">
        <v>0</v>
      </c>
      <c r="F1669">
        <v>0</v>
      </c>
      <c r="G1669">
        <v>0</v>
      </c>
    </row>
    <row r="1670" spans="2:7" x14ac:dyDescent="0.2">
      <c r="B1670" t="s">
        <v>2845</v>
      </c>
      <c r="C1670">
        <v>0</v>
      </c>
      <c r="D1670">
        <v>0</v>
      </c>
      <c r="E1670">
        <v>0</v>
      </c>
      <c r="F1670">
        <v>0</v>
      </c>
      <c r="G1670">
        <v>0</v>
      </c>
    </row>
    <row r="1671" spans="2:7" x14ac:dyDescent="0.2">
      <c r="B1671" t="s">
        <v>2846</v>
      </c>
      <c r="C1671">
        <v>0</v>
      </c>
      <c r="D1671">
        <v>0</v>
      </c>
      <c r="E1671">
        <v>0</v>
      </c>
      <c r="F1671">
        <v>0</v>
      </c>
      <c r="G1671">
        <v>0</v>
      </c>
    </row>
    <row r="1672" spans="2:7" x14ac:dyDescent="0.2">
      <c r="B1672" t="s">
        <v>2847</v>
      </c>
      <c r="C1672">
        <v>0</v>
      </c>
      <c r="D1672">
        <v>0</v>
      </c>
      <c r="E1672">
        <v>0</v>
      </c>
      <c r="F1672">
        <v>0</v>
      </c>
      <c r="G1672">
        <v>0</v>
      </c>
    </row>
    <row r="1673" spans="2:7" x14ac:dyDescent="0.2">
      <c r="B1673" t="s">
        <v>2848</v>
      </c>
      <c r="C1673">
        <v>0</v>
      </c>
      <c r="D1673">
        <v>0</v>
      </c>
      <c r="E1673">
        <v>0</v>
      </c>
      <c r="F1673">
        <v>0</v>
      </c>
      <c r="G1673">
        <v>0</v>
      </c>
    </row>
    <row r="1674" spans="2:7" x14ac:dyDescent="0.2">
      <c r="B1674" t="s">
        <v>2849</v>
      </c>
      <c r="C1674">
        <v>0</v>
      </c>
      <c r="D1674">
        <v>0</v>
      </c>
      <c r="E1674">
        <v>0</v>
      </c>
      <c r="F1674">
        <v>0</v>
      </c>
      <c r="G1674">
        <v>0</v>
      </c>
    </row>
    <row r="1675" spans="2:7" x14ac:dyDescent="0.2">
      <c r="B1675" t="s">
        <v>2850</v>
      </c>
      <c r="C1675">
        <v>0</v>
      </c>
      <c r="D1675">
        <v>0</v>
      </c>
      <c r="E1675">
        <v>0</v>
      </c>
      <c r="F1675">
        <v>0</v>
      </c>
      <c r="G1675">
        <v>0</v>
      </c>
    </row>
    <row r="1676" spans="2:7" x14ac:dyDescent="0.2">
      <c r="B1676" t="s">
        <v>2851</v>
      </c>
      <c r="C1676">
        <v>0</v>
      </c>
      <c r="D1676">
        <v>0</v>
      </c>
      <c r="E1676">
        <v>0</v>
      </c>
      <c r="F1676">
        <v>0</v>
      </c>
      <c r="G1676">
        <v>0</v>
      </c>
    </row>
    <row r="1677" spans="2:7" x14ac:dyDescent="0.2">
      <c r="B1677" t="s">
        <v>2852</v>
      </c>
      <c r="C1677" s="79">
        <v>0</v>
      </c>
      <c r="D1677" s="79">
        <v>0</v>
      </c>
      <c r="E1677" s="79">
        <v>0</v>
      </c>
      <c r="F1677" s="79">
        <v>0</v>
      </c>
      <c r="G1677" s="79">
        <v>0</v>
      </c>
    </row>
    <row r="1678" spans="2:7" x14ac:dyDescent="0.2">
      <c r="B1678" t="s">
        <v>2853</v>
      </c>
      <c r="C1678" s="79">
        <v>0</v>
      </c>
      <c r="D1678" s="79">
        <v>0</v>
      </c>
      <c r="E1678" s="79">
        <v>0</v>
      </c>
      <c r="F1678" s="79">
        <v>0</v>
      </c>
      <c r="G1678" s="79">
        <v>0</v>
      </c>
    </row>
    <row r="1679" spans="2:7" x14ac:dyDescent="0.2">
      <c r="B1679" t="s">
        <v>2854</v>
      </c>
      <c r="C1679" s="79">
        <v>0</v>
      </c>
      <c r="D1679" s="79">
        <v>0</v>
      </c>
      <c r="E1679" s="79">
        <v>0</v>
      </c>
      <c r="F1679" s="79">
        <v>0</v>
      </c>
      <c r="G1679" s="79">
        <v>0</v>
      </c>
    </row>
    <row r="1680" spans="2:7" x14ac:dyDescent="0.2">
      <c r="B1680" t="s">
        <v>2855</v>
      </c>
      <c r="C1680" s="79">
        <v>0</v>
      </c>
      <c r="D1680" s="79">
        <v>0</v>
      </c>
      <c r="E1680" s="79">
        <v>0</v>
      </c>
      <c r="F1680" s="79">
        <v>0</v>
      </c>
      <c r="G1680" s="79">
        <v>0</v>
      </c>
    </row>
    <row r="1681" spans="2:7" x14ac:dyDescent="0.2">
      <c r="B1681" t="s">
        <v>2856</v>
      </c>
      <c r="C1681">
        <v>0</v>
      </c>
      <c r="D1681">
        <v>0</v>
      </c>
      <c r="E1681">
        <v>0</v>
      </c>
      <c r="F1681">
        <v>0</v>
      </c>
      <c r="G1681">
        <v>0</v>
      </c>
    </row>
    <row r="1682" spans="2:7" x14ac:dyDescent="0.2">
      <c r="B1682" t="s">
        <v>2857</v>
      </c>
      <c r="C1682">
        <v>0</v>
      </c>
      <c r="D1682">
        <v>0</v>
      </c>
      <c r="E1682">
        <v>0</v>
      </c>
      <c r="F1682">
        <v>0</v>
      </c>
      <c r="G1682">
        <v>0</v>
      </c>
    </row>
    <row r="1683" spans="2:7" x14ac:dyDescent="0.2">
      <c r="B1683" t="s">
        <v>2858</v>
      </c>
      <c r="C1683">
        <v>0</v>
      </c>
      <c r="D1683">
        <v>0</v>
      </c>
      <c r="E1683">
        <v>0</v>
      </c>
      <c r="F1683">
        <v>0</v>
      </c>
      <c r="G1683">
        <v>0</v>
      </c>
    </row>
    <row r="1684" spans="2:7" x14ac:dyDescent="0.2">
      <c r="B1684" t="s">
        <v>2859</v>
      </c>
      <c r="C1684">
        <v>0</v>
      </c>
      <c r="D1684">
        <v>0</v>
      </c>
      <c r="E1684">
        <v>0</v>
      </c>
      <c r="F1684">
        <v>0</v>
      </c>
      <c r="G1684">
        <v>0</v>
      </c>
    </row>
    <row r="1685" spans="2:7" x14ac:dyDescent="0.2">
      <c r="B1685" t="s">
        <v>2860</v>
      </c>
      <c r="C1685">
        <v>0</v>
      </c>
      <c r="D1685">
        <v>0</v>
      </c>
      <c r="E1685">
        <v>0</v>
      </c>
      <c r="F1685">
        <v>0</v>
      </c>
      <c r="G1685">
        <v>0</v>
      </c>
    </row>
    <row r="1686" spans="2:7" x14ac:dyDescent="0.2">
      <c r="B1686" t="s">
        <v>2861</v>
      </c>
      <c r="C1686">
        <v>0</v>
      </c>
      <c r="D1686">
        <v>0</v>
      </c>
      <c r="E1686">
        <v>0</v>
      </c>
      <c r="F1686">
        <v>0</v>
      </c>
      <c r="G1686">
        <v>0</v>
      </c>
    </row>
    <row r="1687" spans="2:7" x14ac:dyDescent="0.2">
      <c r="B1687" t="s">
        <v>2862</v>
      </c>
      <c r="C1687">
        <v>0</v>
      </c>
      <c r="D1687">
        <v>0</v>
      </c>
      <c r="E1687">
        <v>0</v>
      </c>
      <c r="F1687">
        <v>0</v>
      </c>
      <c r="G1687">
        <v>0</v>
      </c>
    </row>
    <row r="1688" spans="2:7" x14ac:dyDescent="0.2">
      <c r="B1688" t="s">
        <v>2863</v>
      </c>
      <c r="C1688">
        <v>0</v>
      </c>
      <c r="D1688">
        <v>0</v>
      </c>
      <c r="E1688">
        <v>0</v>
      </c>
      <c r="F1688">
        <v>0</v>
      </c>
      <c r="G1688">
        <v>0</v>
      </c>
    </row>
    <row r="1689" spans="2:7" x14ac:dyDescent="0.2">
      <c r="B1689" t="s">
        <v>2864</v>
      </c>
      <c r="C1689">
        <v>0</v>
      </c>
      <c r="D1689">
        <v>0</v>
      </c>
      <c r="E1689">
        <v>0</v>
      </c>
      <c r="F1689">
        <v>0</v>
      </c>
      <c r="G1689">
        <v>0</v>
      </c>
    </row>
    <row r="1690" spans="2:7" x14ac:dyDescent="0.2">
      <c r="B1690" t="s">
        <v>2865</v>
      </c>
      <c r="C1690">
        <v>0</v>
      </c>
      <c r="D1690">
        <v>0</v>
      </c>
      <c r="E1690">
        <v>0</v>
      </c>
      <c r="F1690">
        <v>0</v>
      </c>
      <c r="G1690">
        <v>0</v>
      </c>
    </row>
    <row r="1691" spans="2:7" x14ac:dyDescent="0.2">
      <c r="B1691" t="s">
        <v>2866</v>
      </c>
      <c r="C1691">
        <v>0</v>
      </c>
      <c r="D1691">
        <v>0</v>
      </c>
      <c r="E1691">
        <v>0</v>
      </c>
      <c r="F1691">
        <v>0</v>
      </c>
      <c r="G1691">
        <v>0</v>
      </c>
    </row>
    <row r="1692" spans="2:7" x14ac:dyDescent="0.2">
      <c r="B1692" t="s">
        <v>2867</v>
      </c>
      <c r="C1692">
        <v>0</v>
      </c>
      <c r="D1692">
        <v>0</v>
      </c>
      <c r="E1692">
        <v>0</v>
      </c>
      <c r="F1692">
        <v>0</v>
      </c>
      <c r="G1692">
        <v>0</v>
      </c>
    </row>
    <row r="1693" spans="2:7" x14ac:dyDescent="0.2">
      <c r="B1693" t="s">
        <v>2868</v>
      </c>
      <c r="C1693">
        <v>0</v>
      </c>
      <c r="D1693">
        <v>0</v>
      </c>
      <c r="E1693">
        <v>0</v>
      </c>
      <c r="F1693">
        <v>0</v>
      </c>
      <c r="G1693">
        <v>0</v>
      </c>
    </row>
    <row r="1694" spans="2:7" x14ac:dyDescent="0.2">
      <c r="B1694" t="s">
        <v>2869</v>
      </c>
      <c r="C1694">
        <v>0</v>
      </c>
      <c r="D1694">
        <v>0</v>
      </c>
      <c r="E1694">
        <v>0</v>
      </c>
      <c r="F1694">
        <v>0</v>
      </c>
      <c r="G1694">
        <v>0</v>
      </c>
    </row>
    <row r="1695" spans="2:7" x14ac:dyDescent="0.2">
      <c r="B1695" t="s">
        <v>2870</v>
      </c>
      <c r="C1695">
        <v>0</v>
      </c>
      <c r="D1695">
        <v>0</v>
      </c>
      <c r="E1695">
        <v>0</v>
      </c>
      <c r="F1695">
        <v>0</v>
      </c>
      <c r="G1695">
        <v>0</v>
      </c>
    </row>
    <row r="1696" spans="2:7" x14ac:dyDescent="0.2">
      <c r="B1696" t="s">
        <v>2871</v>
      </c>
      <c r="C1696">
        <v>0</v>
      </c>
      <c r="D1696">
        <v>0</v>
      </c>
      <c r="E1696">
        <v>0</v>
      </c>
      <c r="F1696">
        <v>0</v>
      </c>
      <c r="G1696">
        <v>0</v>
      </c>
    </row>
    <row r="1697" spans="2:7" x14ac:dyDescent="0.2">
      <c r="B1697" t="s">
        <v>2872</v>
      </c>
      <c r="C1697">
        <v>0</v>
      </c>
      <c r="D1697">
        <v>0</v>
      </c>
      <c r="E1697">
        <v>0</v>
      </c>
      <c r="F1697">
        <v>0</v>
      </c>
      <c r="G1697">
        <v>0</v>
      </c>
    </row>
    <row r="1698" spans="2:7" x14ac:dyDescent="0.2">
      <c r="B1698" t="s">
        <v>2873</v>
      </c>
      <c r="C1698">
        <v>0</v>
      </c>
      <c r="D1698">
        <v>0</v>
      </c>
      <c r="E1698">
        <v>0</v>
      </c>
      <c r="F1698">
        <v>0</v>
      </c>
      <c r="G1698">
        <v>0</v>
      </c>
    </row>
    <row r="1699" spans="2:7" x14ac:dyDescent="0.2">
      <c r="B1699" t="s">
        <v>2874</v>
      </c>
      <c r="C1699">
        <v>0</v>
      </c>
      <c r="D1699">
        <v>0</v>
      </c>
      <c r="E1699">
        <v>0</v>
      </c>
      <c r="F1699">
        <v>0</v>
      </c>
      <c r="G1699">
        <v>0</v>
      </c>
    </row>
    <row r="1700" spans="2:7" x14ac:dyDescent="0.2">
      <c r="B1700" t="s">
        <v>2875</v>
      </c>
      <c r="C1700">
        <v>0</v>
      </c>
      <c r="D1700">
        <v>0</v>
      </c>
      <c r="E1700">
        <v>0</v>
      </c>
      <c r="F1700">
        <v>0</v>
      </c>
      <c r="G1700">
        <v>0</v>
      </c>
    </row>
    <row r="1701" spans="2:7" x14ac:dyDescent="0.2">
      <c r="B1701" t="s">
        <v>2876</v>
      </c>
      <c r="C1701">
        <v>0</v>
      </c>
      <c r="D1701">
        <v>0</v>
      </c>
      <c r="E1701">
        <v>0</v>
      </c>
      <c r="F1701">
        <v>0</v>
      </c>
      <c r="G1701">
        <v>0</v>
      </c>
    </row>
    <row r="1702" spans="2:7" x14ac:dyDescent="0.2">
      <c r="B1702" t="s">
        <v>2877</v>
      </c>
      <c r="C1702">
        <v>0</v>
      </c>
      <c r="D1702">
        <v>0</v>
      </c>
      <c r="E1702">
        <v>0</v>
      </c>
      <c r="F1702">
        <v>0</v>
      </c>
      <c r="G1702">
        <v>0</v>
      </c>
    </row>
    <row r="1703" spans="2:7" x14ac:dyDescent="0.2">
      <c r="B1703" t="s">
        <v>2878</v>
      </c>
      <c r="C1703">
        <v>0</v>
      </c>
      <c r="D1703">
        <v>0</v>
      </c>
      <c r="E1703">
        <v>0</v>
      </c>
      <c r="F1703">
        <v>0</v>
      </c>
      <c r="G1703">
        <v>0</v>
      </c>
    </row>
    <row r="1704" spans="2:7" x14ac:dyDescent="0.2">
      <c r="B1704" t="s">
        <v>2879</v>
      </c>
      <c r="C1704">
        <v>0</v>
      </c>
      <c r="D1704">
        <v>0</v>
      </c>
      <c r="E1704">
        <v>0</v>
      </c>
      <c r="F1704">
        <v>0</v>
      </c>
      <c r="G1704">
        <v>0</v>
      </c>
    </row>
    <row r="1705" spans="2:7" x14ac:dyDescent="0.2">
      <c r="B1705" t="s">
        <v>2880</v>
      </c>
      <c r="C1705">
        <v>0</v>
      </c>
      <c r="D1705">
        <v>0</v>
      </c>
      <c r="E1705">
        <v>0</v>
      </c>
      <c r="F1705">
        <v>0</v>
      </c>
      <c r="G1705">
        <v>0</v>
      </c>
    </row>
    <row r="1706" spans="2:7" x14ac:dyDescent="0.2">
      <c r="B1706" t="s">
        <v>2881</v>
      </c>
      <c r="C1706">
        <v>0</v>
      </c>
      <c r="D1706">
        <v>0</v>
      </c>
      <c r="E1706">
        <v>0</v>
      </c>
      <c r="F1706">
        <v>0</v>
      </c>
      <c r="G1706">
        <v>0</v>
      </c>
    </row>
    <row r="1707" spans="2:7" x14ac:dyDescent="0.2">
      <c r="B1707" t="s">
        <v>2882</v>
      </c>
      <c r="C1707">
        <v>0</v>
      </c>
      <c r="D1707">
        <v>0</v>
      </c>
      <c r="E1707">
        <v>0</v>
      </c>
      <c r="F1707">
        <v>0</v>
      </c>
      <c r="G1707">
        <v>0</v>
      </c>
    </row>
    <row r="1708" spans="2:7" x14ac:dyDescent="0.2">
      <c r="B1708" t="s">
        <v>2883</v>
      </c>
      <c r="C1708">
        <v>0</v>
      </c>
      <c r="D1708">
        <v>0</v>
      </c>
      <c r="E1708">
        <v>0</v>
      </c>
      <c r="F1708">
        <v>0</v>
      </c>
      <c r="G1708">
        <v>0</v>
      </c>
    </row>
    <row r="1709" spans="2:7" x14ac:dyDescent="0.2">
      <c r="B1709" t="s">
        <v>2884</v>
      </c>
      <c r="C1709">
        <v>0</v>
      </c>
      <c r="D1709">
        <v>0</v>
      </c>
      <c r="E1709">
        <v>0</v>
      </c>
      <c r="F1709">
        <v>0</v>
      </c>
      <c r="G1709">
        <v>0</v>
      </c>
    </row>
    <row r="1710" spans="2:7" x14ac:dyDescent="0.2">
      <c r="B1710" t="s">
        <v>2885</v>
      </c>
      <c r="C1710">
        <v>0</v>
      </c>
      <c r="D1710">
        <v>0</v>
      </c>
      <c r="E1710">
        <v>0</v>
      </c>
      <c r="F1710">
        <v>0</v>
      </c>
      <c r="G1710">
        <v>0</v>
      </c>
    </row>
    <row r="1711" spans="2:7" x14ac:dyDescent="0.2">
      <c r="B1711" t="s">
        <v>2886</v>
      </c>
      <c r="C1711">
        <v>0</v>
      </c>
      <c r="D1711">
        <v>0</v>
      </c>
      <c r="E1711">
        <v>0</v>
      </c>
      <c r="F1711">
        <v>0</v>
      </c>
      <c r="G1711">
        <v>0</v>
      </c>
    </row>
    <row r="1712" spans="2:7" x14ac:dyDescent="0.2">
      <c r="B1712" t="s">
        <v>2887</v>
      </c>
      <c r="C1712">
        <v>1589741711571</v>
      </c>
      <c r="D1712">
        <v>1602822841072</v>
      </c>
      <c r="E1712">
        <v>1600978408446</v>
      </c>
      <c r="F1712">
        <v>1617705665838</v>
      </c>
      <c r="G1712">
        <v>1630400480217</v>
      </c>
    </row>
    <row r="1713" spans="2:7" x14ac:dyDescent="0.2">
      <c r="B1713" t="s">
        <v>2888</v>
      </c>
      <c r="C1713">
        <v>7887335920</v>
      </c>
      <c r="D1713">
        <v>11511387447</v>
      </c>
      <c r="E1713">
        <v>3805660414</v>
      </c>
      <c r="F1713">
        <v>7575528967</v>
      </c>
      <c r="G1713">
        <v>11328938532</v>
      </c>
    </row>
    <row r="1714" spans="2:7" x14ac:dyDescent="0.2">
      <c r="B1714" t="s">
        <v>2889</v>
      </c>
      <c r="C1714">
        <v>1438027398</v>
      </c>
      <c r="D1714">
        <v>1968723518</v>
      </c>
      <c r="E1714">
        <v>582269938</v>
      </c>
      <c r="F1714">
        <v>1204271181</v>
      </c>
      <c r="G1714">
        <v>1864420726</v>
      </c>
    </row>
    <row r="1715" spans="2:7" x14ac:dyDescent="0.2">
      <c r="B1715" t="s">
        <v>2890</v>
      </c>
      <c r="C1715">
        <v>0</v>
      </c>
      <c r="D1715">
        <v>0</v>
      </c>
      <c r="E1715">
        <v>0</v>
      </c>
      <c r="F1715">
        <v>0</v>
      </c>
      <c r="G1715">
        <v>0</v>
      </c>
    </row>
    <row r="1716" spans="2:7" x14ac:dyDescent="0.2">
      <c r="B1716" t="s">
        <v>2891</v>
      </c>
      <c r="C1716">
        <v>0</v>
      </c>
      <c r="D1716">
        <v>0</v>
      </c>
      <c r="E1716">
        <v>0</v>
      </c>
      <c r="F1716">
        <v>0</v>
      </c>
      <c r="G1716">
        <v>0</v>
      </c>
    </row>
    <row r="1717" spans="2:7" x14ac:dyDescent="0.2">
      <c r="B1717" t="s">
        <v>2892</v>
      </c>
      <c r="C1717">
        <v>0</v>
      </c>
      <c r="D1717">
        <v>0</v>
      </c>
      <c r="E1717">
        <v>0</v>
      </c>
      <c r="F1717">
        <v>0</v>
      </c>
      <c r="G1717">
        <v>0</v>
      </c>
    </row>
    <row r="1718" spans="2:7" x14ac:dyDescent="0.2">
      <c r="B1718" t="s">
        <v>2893</v>
      </c>
      <c r="C1718">
        <v>0</v>
      </c>
      <c r="D1718">
        <v>0</v>
      </c>
      <c r="E1718">
        <v>0</v>
      </c>
      <c r="F1718">
        <v>0</v>
      </c>
      <c r="G1718">
        <v>0</v>
      </c>
    </row>
    <row r="1719" spans="2:7" x14ac:dyDescent="0.2">
      <c r="B1719" t="s">
        <v>2894</v>
      </c>
      <c r="C1719">
        <v>0</v>
      </c>
      <c r="D1719">
        <v>0</v>
      </c>
      <c r="E1719">
        <v>0</v>
      </c>
      <c r="F1719">
        <v>0</v>
      </c>
      <c r="G1719">
        <v>0</v>
      </c>
    </row>
    <row r="1720" spans="2:7" x14ac:dyDescent="0.2">
      <c r="B1720" t="s">
        <v>2895</v>
      </c>
      <c r="C1720">
        <v>0</v>
      </c>
      <c r="D1720">
        <v>0</v>
      </c>
      <c r="E1720">
        <v>0</v>
      </c>
      <c r="F1720">
        <v>0</v>
      </c>
      <c r="G1720">
        <v>0</v>
      </c>
    </row>
    <row r="1721" spans="2:7" x14ac:dyDescent="0.2">
      <c r="B1721" t="s">
        <v>2896</v>
      </c>
      <c r="C1721">
        <v>0</v>
      </c>
      <c r="D1721">
        <v>0</v>
      </c>
      <c r="E1721">
        <v>0</v>
      </c>
      <c r="F1721">
        <v>0</v>
      </c>
      <c r="G1721">
        <v>0</v>
      </c>
    </row>
    <row r="1722" spans="2:7" x14ac:dyDescent="0.2">
      <c r="B1722" t="s">
        <v>2897</v>
      </c>
      <c r="C1722">
        <v>0</v>
      </c>
      <c r="D1722">
        <v>0</v>
      </c>
      <c r="E1722">
        <v>0</v>
      </c>
      <c r="F1722">
        <v>0</v>
      </c>
      <c r="G1722">
        <v>0</v>
      </c>
    </row>
    <row r="1723" spans="2:7" x14ac:dyDescent="0.2">
      <c r="B1723" t="s">
        <v>2898</v>
      </c>
      <c r="C1723">
        <v>0</v>
      </c>
      <c r="D1723">
        <v>0</v>
      </c>
      <c r="E1723">
        <v>0</v>
      </c>
      <c r="F1723">
        <v>0</v>
      </c>
      <c r="G1723">
        <v>0</v>
      </c>
    </row>
    <row r="1724" spans="2:7" x14ac:dyDescent="0.2">
      <c r="B1724" t="s">
        <v>2899</v>
      </c>
      <c r="C1724">
        <v>0</v>
      </c>
      <c r="D1724">
        <v>0</v>
      </c>
      <c r="E1724">
        <v>0</v>
      </c>
      <c r="F1724">
        <v>0</v>
      </c>
      <c r="G1724">
        <v>0</v>
      </c>
    </row>
    <row r="1725" spans="2:7" x14ac:dyDescent="0.2">
      <c r="B1725" t="s">
        <v>2900</v>
      </c>
      <c r="C1725">
        <v>0</v>
      </c>
      <c r="D1725">
        <v>0</v>
      </c>
      <c r="E1725">
        <v>0</v>
      </c>
      <c r="F1725">
        <v>0</v>
      </c>
      <c r="G1725">
        <v>0</v>
      </c>
    </row>
    <row r="1726" spans="2:7" x14ac:dyDescent="0.2">
      <c r="B1726" t="s">
        <v>2901</v>
      </c>
      <c r="C1726">
        <v>0</v>
      </c>
      <c r="D1726">
        <v>0</v>
      </c>
      <c r="E1726">
        <v>0</v>
      </c>
      <c r="F1726">
        <v>0</v>
      </c>
      <c r="G1726">
        <v>0</v>
      </c>
    </row>
    <row r="1727" spans="2:7" x14ac:dyDescent="0.2">
      <c r="B1727" t="s">
        <v>2902</v>
      </c>
      <c r="C1727">
        <v>0</v>
      </c>
      <c r="D1727">
        <v>0</v>
      </c>
      <c r="E1727">
        <v>0</v>
      </c>
      <c r="F1727">
        <v>0</v>
      </c>
      <c r="G1727">
        <v>0</v>
      </c>
    </row>
    <row r="1728" spans="2:7" x14ac:dyDescent="0.2">
      <c r="B1728" t="s">
        <v>2903</v>
      </c>
      <c r="C1728">
        <v>0</v>
      </c>
      <c r="D1728">
        <v>0</v>
      </c>
      <c r="E1728">
        <v>0</v>
      </c>
      <c r="F1728">
        <v>0</v>
      </c>
      <c r="G1728">
        <v>0</v>
      </c>
    </row>
    <row r="1729" spans="2:7" x14ac:dyDescent="0.2">
      <c r="B1729" t="s">
        <v>2904</v>
      </c>
      <c r="C1729">
        <v>0</v>
      </c>
      <c r="D1729">
        <v>0</v>
      </c>
      <c r="E1729">
        <v>0</v>
      </c>
      <c r="F1729">
        <v>0</v>
      </c>
      <c r="G1729">
        <v>0</v>
      </c>
    </row>
    <row r="1730" spans="2:7" x14ac:dyDescent="0.2">
      <c r="B1730" t="s">
        <v>2905</v>
      </c>
      <c r="C1730">
        <v>0</v>
      </c>
      <c r="D1730">
        <v>0</v>
      </c>
      <c r="E1730">
        <v>0</v>
      </c>
      <c r="F1730">
        <v>0</v>
      </c>
      <c r="G1730">
        <v>0</v>
      </c>
    </row>
    <row r="1731" spans="2:7" x14ac:dyDescent="0.2">
      <c r="B1731" t="s">
        <v>2906</v>
      </c>
      <c r="C1731">
        <v>0</v>
      </c>
      <c r="D1731">
        <v>0</v>
      </c>
      <c r="E1731">
        <v>0</v>
      </c>
      <c r="F1731">
        <v>0</v>
      </c>
      <c r="G1731">
        <v>0</v>
      </c>
    </row>
    <row r="1732" spans="2:7" x14ac:dyDescent="0.2">
      <c r="B1732" t="s">
        <v>2907</v>
      </c>
      <c r="C1732">
        <v>0</v>
      </c>
      <c r="D1732">
        <v>0</v>
      </c>
      <c r="E1732">
        <v>0</v>
      </c>
      <c r="F1732">
        <v>0</v>
      </c>
      <c r="G1732">
        <v>0</v>
      </c>
    </row>
    <row r="1733" spans="2:7" x14ac:dyDescent="0.2">
      <c r="B1733" t="s">
        <v>2908</v>
      </c>
      <c r="C1733">
        <v>0</v>
      </c>
      <c r="D1733">
        <v>0</v>
      </c>
      <c r="E1733">
        <v>0</v>
      </c>
      <c r="F1733">
        <v>0</v>
      </c>
      <c r="G1733">
        <v>0</v>
      </c>
    </row>
    <row r="1734" spans="2:7" x14ac:dyDescent="0.2">
      <c r="B1734" t="s">
        <v>2909</v>
      </c>
      <c r="C1734">
        <v>0</v>
      </c>
      <c r="D1734">
        <v>0</v>
      </c>
      <c r="E1734">
        <v>0</v>
      </c>
      <c r="F1734">
        <v>0</v>
      </c>
      <c r="G1734">
        <v>0</v>
      </c>
    </row>
    <row r="1735" spans="2:7" x14ac:dyDescent="0.2">
      <c r="B1735" t="s">
        <v>2910</v>
      </c>
      <c r="C1735">
        <v>0</v>
      </c>
      <c r="D1735">
        <v>0</v>
      </c>
      <c r="E1735">
        <v>0</v>
      </c>
      <c r="F1735">
        <v>0</v>
      </c>
      <c r="G1735">
        <v>0</v>
      </c>
    </row>
    <row r="1736" spans="2:7" x14ac:dyDescent="0.2">
      <c r="B1736" t="s">
        <v>2911</v>
      </c>
      <c r="C1736">
        <v>0</v>
      </c>
      <c r="D1736">
        <v>0</v>
      </c>
      <c r="E1736">
        <v>0</v>
      </c>
      <c r="F1736">
        <v>0</v>
      </c>
      <c r="G1736">
        <v>0</v>
      </c>
    </row>
    <row r="1737" spans="2:7" x14ac:dyDescent="0.2">
      <c r="B1737" t="s">
        <v>2912</v>
      </c>
      <c r="C1737">
        <v>0</v>
      </c>
      <c r="D1737">
        <v>0</v>
      </c>
      <c r="E1737">
        <v>0</v>
      </c>
      <c r="F1737">
        <v>0</v>
      </c>
      <c r="G1737">
        <v>0</v>
      </c>
    </row>
    <row r="1738" spans="2:7" x14ac:dyDescent="0.2">
      <c r="B1738" t="s">
        <v>2913</v>
      </c>
      <c r="C1738">
        <v>0</v>
      </c>
      <c r="D1738">
        <v>0</v>
      </c>
      <c r="E1738">
        <v>0</v>
      </c>
      <c r="F1738">
        <v>0</v>
      </c>
      <c r="G1738">
        <v>0</v>
      </c>
    </row>
    <row r="1739" spans="2:7" x14ac:dyDescent="0.2">
      <c r="B1739" t="s">
        <v>2914</v>
      </c>
      <c r="C1739">
        <v>0</v>
      </c>
      <c r="D1739">
        <v>0</v>
      </c>
      <c r="E1739">
        <v>0</v>
      </c>
      <c r="F1739">
        <v>0</v>
      </c>
      <c r="G1739">
        <v>0</v>
      </c>
    </row>
    <row r="1740" spans="2:7" x14ac:dyDescent="0.2">
      <c r="B1740" t="s">
        <v>2915</v>
      </c>
      <c r="C1740">
        <v>0</v>
      </c>
      <c r="D1740">
        <v>0</v>
      </c>
      <c r="E1740">
        <v>0</v>
      </c>
      <c r="F1740">
        <v>0</v>
      </c>
      <c r="G1740">
        <v>0</v>
      </c>
    </row>
    <row r="1741" spans="2:7" x14ac:dyDescent="0.2">
      <c r="B1741" t="s">
        <v>2916</v>
      </c>
      <c r="C1741">
        <v>0</v>
      </c>
      <c r="D1741">
        <v>0</v>
      </c>
      <c r="E1741">
        <v>0</v>
      </c>
      <c r="F1741">
        <v>0</v>
      </c>
      <c r="G1741">
        <v>0</v>
      </c>
    </row>
    <row r="1742" spans="2:7" x14ac:dyDescent="0.2">
      <c r="B1742" t="s">
        <v>2917</v>
      </c>
      <c r="C1742">
        <v>0</v>
      </c>
      <c r="D1742">
        <v>0</v>
      </c>
      <c r="E1742">
        <v>0</v>
      </c>
      <c r="F1742">
        <v>0</v>
      </c>
      <c r="G1742">
        <v>0</v>
      </c>
    </row>
    <row r="1743" spans="2:7" x14ac:dyDescent="0.2">
      <c r="B1743" t="s">
        <v>2918</v>
      </c>
      <c r="C1743">
        <v>0</v>
      </c>
      <c r="D1743">
        <v>0</v>
      </c>
      <c r="E1743">
        <v>0</v>
      </c>
      <c r="F1743">
        <v>0</v>
      </c>
      <c r="G1743">
        <v>0</v>
      </c>
    </row>
    <row r="1744" spans="2:7" x14ac:dyDescent="0.2">
      <c r="B1744" t="s">
        <v>2919</v>
      </c>
      <c r="C1744">
        <v>0</v>
      </c>
      <c r="D1744">
        <v>0</v>
      </c>
      <c r="E1744">
        <v>0</v>
      </c>
      <c r="F1744">
        <v>0</v>
      </c>
      <c r="G1744">
        <v>0</v>
      </c>
    </row>
    <row r="1745" spans="2:7" x14ac:dyDescent="0.2">
      <c r="B1745" t="s">
        <v>2920</v>
      </c>
      <c r="C1745">
        <v>0</v>
      </c>
      <c r="D1745">
        <v>0</v>
      </c>
      <c r="E1745">
        <v>0</v>
      </c>
      <c r="F1745">
        <v>0</v>
      </c>
      <c r="G1745">
        <v>0</v>
      </c>
    </row>
    <row r="1746" spans="2:7" x14ac:dyDescent="0.2">
      <c r="B1746" t="s">
        <v>2921</v>
      </c>
      <c r="C1746">
        <v>0</v>
      </c>
      <c r="D1746">
        <v>0</v>
      </c>
      <c r="E1746">
        <v>0</v>
      </c>
      <c r="F1746">
        <v>0</v>
      </c>
      <c r="G1746">
        <v>0</v>
      </c>
    </row>
    <row r="1747" spans="2:7" x14ac:dyDescent="0.2">
      <c r="B1747" t="s">
        <v>2922</v>
      </c>
      <c r="C1747">
        <v>0</v>
      </c>
      <c r="D1747">
        <v>0</v>
      </c>
      <c r="E1747">
        <v>0</v>
      </c>
      <c r="F1747">
        <v>0</v>
      </c>
      <c r="G1747">
        <v>0</v>
      </c>
    </row>
    <row r="1748" spans="2:7" x14ac:dyDescent="0.2">
      <c r="B1748" t="s">
        <v>2923</v>
      </c>
      <c r="C1748">
        <v>0</v>
      </c>
      <c r="D1748">
        <v>0</v>
      </c>
      <c r="E1748">
        <v>0</v>
      </c>
      <c r="F1748">
        <v>0</v>
      </c>
      <c r="G1748">
        <v>0</v>
      </c>
    </row>
    <row r="1749" spans="2:7" x14ac:dyDescent="0.2">
      <c r="B1749" t="s">
        <v>2924</v>
      </c>
      <c r="C1749">
        <v>0</v>
      </c>
      <c r="D1749">
        <v>0</v>
      </c>
      <c r="E1749">
        <v>0</v>
      </c>
      <c r="F1749">
        <v>0</v>
      </c>
      <c r="G1749">
        <v>0</v>
      </c>
    </row>
    <row r="1750" spans="2:7" x14ac:dyDescent="0.2">
      <c r="B1750" t="s">
        <v>2925</v>
      </c>
      <c r="C1750">
        <v>0</v>
      </c>
      <c r="D1750">
        <v>0</v>
      </c>
      <c r="E1750">
        <v>0</v>
      </c>
      <c r="F1750">
        <v>0</v>
      </c>
      <c r="G1750">
        <v>0</v>
      </c>
    </row>
    <row r="1751" spans="2:7" x14ac:dyDescent="0.2">
      <c r="B1751" t="s">
        <v>2926</v>
      </c>
      <c r="C1751">
        <v>0</v>
      </c>
      <c r="D1751">
        <v>0</v>
      </c>
      <c r="E1751">
        <v>0</v>
      </c>
      <c r="F1751">
        <v>0</v>
      </c>
      <c r="G1751">
        <v>0</v>
      </c>
    </row>
    <row r="1752" spans="2:7" x14ac:dyDescent="0.2">
      <c r="B1752" t="s">
        <v>2927</v>
      </c>
      <c r="C1752">
        <v>0</v>
      </c>
      <c r="D1752">
        <v>0</v>
      </c>
      <c r="E1752">
        <v>0</v>
      </c>
      <c r="F1752">
        <v>0</v>
      </c>
      <c r="G1752">
        <v>0</v>
      </c>
    </row>
    <row r="1753" spans="2:7" x14ac:dyDescent="0.2">
      <c r="B1753" t="s">
        <v>2928</v>
      </c>
      <c r="C1753">
        <v>0</v>
      </c>
      <c r="D1753">
        <v>0</v>
      </c>
      <c r="E1753">
        <v>0</v>
      </c>
      <c r="F1753">
        <v>0</v>
      </c>
      <c r="G1753">
        <v>0</v>
      </c>
    </row>
    <row r="1754" spans="2:7" x14ac:dyDescent="0.2">
      <c r="B1754" t="s">
        <v>2929</v>
      </c>
      <c r="C1754">
        <v>0</v>
      </c>
      <c r="D1754">
        <v>0</v>
      </c>
      <c r="E1754">
        <v>0</v>
      </c>
      <c r="F1754">
        <v>0</v>
      </c>
      <c r="G1754">
        <v>0</v>
      </c>
    </row>
    <row r="1755" spans="2:7" x14ac:dyDescent="0.2">
      <c r="B1755" t="s">
        <v>2930</v>
      </c>
      <c r="C1755">
        <v>0</v>
      </c>
      <c r="D1755">
        <v>0</v>
      </c>
      <c r="E1755">
        <v>0</v>
      </c>
      <c r="F1755">
        <v>0</v>
      </c>
      <c r="G1755">
        <v>0</v>
      </c>
    </row>
    <row r="1756" spans="2:7" x14ac:dyDescent="0.2">
      <c r="B1756" t="s">
        <v>2931</v>
      </c>
      <c r="C1756">
        <v>0</v>
      </c>
      <c r="D1756">
        <v>0</v>
      </c>
      <c r="E1756">
        <v>0</v>
      </c>
      <c r="F1756">
        <v>0</v>
      </c>
      <c r="G1756">
        <v>0</v>
      </c>
    </row>
    <row r="1757" spans="2:7" x14ac:dyDescent="0.2">
      <c r="B1757" t="s">
        <v>2932</v>
      </c>
      <c r="C1757">
        <v>0</v>
      </c>
      <c r="D1757">
        <v>0</v>
      </c>
      <c r="E1757">
        <v>0</v>
      </c>
      <c r="F1757">
        <v>0</v>
      </c>
      <c r="G1757">
        <v>0</v>
      </c>
    </row>
    <row r="1758" spans="2:7" x14ac:dyDescent="0.2">
      <c r="B1758" t="s">
        <v>2933</v>
      </c>
      <c r="C1758">
        <v>0</v>
      </c>
      <c r="D1758">
        <v>0</v>
      </c>
      <c r="E1758">
        <v>0</v>
      </c>
      <c r="F1758">
        <v>0</v>
      </c>
      <c r="G1758">
        <v>0</v>
      </c>
    </row>
    <row r="1759" spans="2:7" x14ac:dyDescent="0.2">
      <c r="B1759" t="s">
        <v>2934</v>
      </c>
      <c r="C1759">
        <v>0</v>
      </c>
      <c r="D1759">
        <v>0</v>
      </c>
      <c r="E1759">
        <v>0</v>
      </c>
      <c r="F1759">
        <v>0</v>
      </c>
      <c r="G1759">
        <v>0</v>
      </c>
    </row>
    <row r="1760" spans="2:7" x14ac:dyDescent="0.2">
      <c r="B1760" t="s">
        <v>2935</v>
      </c>
      <c r="C1760">
        <v>0</v>
      </c>
      <c r="D1760">
        <v>0</v>
      </c>
      <c r="E1760">
        <v>0</v>
      </c>
      <c r="F1760">
        <v>0</v>
      </c>
      <c r="G1760">
        <v>0</v>
      </c>
    </row>
    <row r="1761" spans="2:7" x14ac:dyDescent="0.2">
      <c r="B1761" t="s">
        <v>2936</v>
      </c>
      <c r="C1761">
        <v>0</v>
      </c>
      <c r="D1761">
        <v>0</v>
      </c>
      <c r="E1761">
        <v>0</v>
      </c>
      <c r="F1761">
        <v>0</v>
      </c>
      <c r="G1761">
        <v>0</v>
      </c>
    </row>
    <row r="1762" spans="2:7" x14ac:dyDescent="0.2">
      <c r="B1762" t="s">
        <v>2937</v>
      </c>
      <c r="C1762">
        <v>0</v>
      </c>
      <c r="D1762">
        <v>0</v>
      </c>
      <c r="E1762">
        <v>0</v>
      </c>
      <c r="F1762">
        <v>0</v>
      </c>
      <c r="G1762">
        <v>0</v>
      </c>
    </row>
    <row r="1763" spans="2:7" x14ac:dyDescent="0.2">
      <c r="B1763" t="s">
        <v>2938</v>
      </c>
      <c r="C1763">
        <v>0</v>
      </c>
      <c r="D1763">
        <v>0</v>
      </c>
      <c r="E1763">
        <v>0</v>
      </c>
      <c r="F1763">
        <v>0</v>
      </c>
      <c r="G1763">
        <v>0</v>
      </c>
    </row>
    <row r="1764" spans="2:7" x14ac:dyDescent="0.2">
      <c r="B1764" t="s">
        <v>2939</v>
      </c>
      <c r="C1764">
        <v>0</v>
      </c>
      <c r="D1764">
        <v>0</v>
      </c>
      <c r="E1764">
        <v>0</v>
      </c>
      <c r="F1764">
        <v>0</v>
      </c>
      <c r="G1764">
        <v>0</v>
      </c>
    </row>
    <row r="1765" spans="2:7" x14ac:dyDescent="0.2">
      <c r="B1765" t="s">
        <v>2940</v>
      </c>
      <c r="C1765">
        <v>0</v>
      </c>
      <c r="D1765">
        <v>0</v>
      </c>
      <c r="E1765">
        <v>0</v>
      </c>
      <c r="F1765">
        <v>0</v>
      </c>
      <c r="G1765">
        <v>0</v>
      </c>
    </row>
    <row r="1766" spans="2:7" x14ac:dyDescent="0.2">
      <c r="B1766" t="s">
        <v>2941</v>
      </c>
      <c r="C1766">
        <v>0</v>
      </c>
      <c r="D1766">
        <v>0</v>
      </c>
      <c r="E1766">
        <v>0</v>
      </c>
      <c r="F1766">
        <v>0</v>
      </c>
      <c r="G1766">
        <v>0</v>
      </c>
    </row>
    <row r="1767" spans="2:7" x14ac:dyDescent="0.2">
      <c r="B1767" t="s">
        <v>2942</v>
      </c>
      <c r="C1767">
        <v>0</v>
      </c>
      <c r="D1767">
        <v>0</v>
      </c>
      <c r="E1767">
        <v>0</v>
      </c>
      <c r="F1767">
        <v>0</v>
      </c>
      <c r="G1767">
        <v>0</v>
      </c>
    </row>
    <row r="1768" spans="2:7" x14ac:dyDescent="0.2">
      <c r="B1768" t="s">
        <v>2943</v>
      </c>
      <c r="C1768">
        <v>0</v>
      </c>
      <c r="D1768">
        <v>0</v>
      </c>
      <c r="E1768">
        <v>0</v>
      </c>
      <c r="F1768">
        <v>0</v>
      </c>
      <c r="G1768">
        <v>0</v>
      </c>
    </row>
    <row r="1769" spans="2:7" x14ac:dyDescent="0.2">
      <c r="B1769" t="s">
        <v>2944</v>
      </c>
      <c r="C1769">
        <v>0</v>
      </c>
      <c r="D1769">
        <v>0</v>
      </c>
      <c r="E1769">
        <v>0</v>
      </c>
      <c r="F1769">
        <v>0</v>
      </c>
      <c r="G1769">
        <v>0</v>
      </c>
    </row>
    <row r="1770" spans="2:7" x14ac:dyDescent="0.2">
      <c r="B1770" t="s">
        <v>2945</v>
      </c>
      <c r="C1770">
        <v>0</v>
      </c>
      <c r="D1770">
        <v>0</v>
      </c>
      <c r="E1770">
        <v>0</v>
      </c>
      <c r="F1770">
        <v>0</v>
      </c>
      <c r="G1770">
        <v>0</v>
      </c>
    </row>
    <row r="1771" spans="2:7" x14ac:dyDescent="0.2">
      <c r="B1771" t="s">
        <v>2946</v>
      </c>
      <c r="C1771">
        <v>0</v>
      </c>
      <c r="D1771">
        <v>0</v>
      </c>
      <c r="E1771">
        <v>0</v>
      </c>
      <c r="F1771">
        <v>0</v>
      </c>
      <c r="G1771">
        <v>0</v>
      </c>
    </row>
    <row r="1772" spans="2:7" x14ac:dyDescent="0.2">
      <c r="B1772" t="s">
        <v>2947</v>
      </c>
      <c r="C1772">
        <v>0</v>
      </c>
      <c r="D1772">
        <v>0</v>
      </c>
      <c r="E1772">
        <v>0</v>
      </c>
      <c r="F1772">
        <v>0</v>
      </c>
      <c r="G1772">
        <v>0</v>
      </c>
    </row>
    <row r="1773" spans="2:7" x14ac:dyDescent="0.2">
      <c r="B1773" t="s">
        <v>2948</v>
      </c>
      <c r="C1773">
        <v>0</v>
      </c>
      <c r="D1773">
        <v>0</v>
      </c>
      <c r="E1773">
        <v>0</v>
      </c>
      <c r="F1773">
        <v>0</v>
      </c>
      <c r="G1773">
        <v>0</v>
      </c>
    </row>
    <row r="1774" spans="2:7" x14ac:dyDescent="0.2">
      <c r="B1774" t="s">
        <v>2949</v>
      </c>
      <c r="C1774">
        <v>0</v>
      </c>
      <c r="D1774">
        <v>0</v>
      </c>
      <c r="E1774">
        <v>0</v>
      </c>
      <c r="F1774">
        <v>0</v>
      </c>
      <c r="G1774">
        <v>0</v>
      </c>
    </row>
    <row r="1775" spans="2:7" x14ac:dyDescent="0.2">
      <c r="B1775" t="s">
        <v>2950</v>
      </c>
      <c r="C1775">
        <v>0</v>
      </c>
      <c r="D1775">
        <v>0</v>
      </c>
      <c r="E1775">
        <v>0</v>
      </c>
      <c r="F1775">
        <v>0</v>
      </c>
      <c r="G1775">
        <v>0</v>
      </c>
    </row>
    <row r="1776" spans="2:7" x14ac:dyDescent="0.2">
      <c r="B1776" t="s">
        <v>2951</v>
      </c>
      <c r="C1776">
        <v>0</v>
      </c>
      <c r="D1776">
        <v>0</v>
      </c>
      <c r="E1776">
        <v>0</v>
      </c>
      <c r="F1776">
        <v>0</v>
      </c>
      <c r="G1776">
        <v>0</v>
      </c>
    </row>
    <row r="1777" spans="2:7" x14ac:dyDescent="0.2">
      <c r="B1777" t="s">
        <v>2952</v>
      </c>
      <c r="C1777">
        <v>0</v>
      </c>
      <c r="D1777">
        <v>0</v>
      </c>
      <c r="E1777">
        <v>0</v>
      </c>
      <c r="F1777">
        <v>0</v>
      </c>
      <c r="G1777">
        <v>0</v>
      </c>
    </row>
    <row r="1778" spans="2:7" x14ac:dyDescent="0.2">
      <c r="B1778" t="s">
        <v>2953</v>
      </c>
      <c r="C1778">
        <v>0</v>
      </c>
      <c r="D1778">
        <v>0</v>
      </c>
      <c r="E1778">
        <v>0</v>
      </c>
      <c r="F1778">
        <v>0</v>
      </c>
      <c r="G1778">
        <v>0</v>
      </c>
    </row>
    <row r="1779" spans="2:7" x14ac:dyDescent="0.2">
      <c r="B1779" t="s">
        <v>2954</v>
      </c>
      <c r="C1779">
        <v>0</v>
      </c>
      <c r="D1779">
        <v>0</v>
      </c>
      <c r="E1779">
        <v>0</v>
      </c>
      <c r="F1779">
        <v>0</v>
      </c>
      <c r="G1779">
        <v>0</v>
      </c>
    </row>
    <row r="1780" spans="2:7" x14ac:dyDescent="0.2">
      <c r="B1780" t="s">
        <v>2955</v>
      </c>
      <c r="C1780">
        <v>0</v>
      </c>
      <c r="D1780">
        <v>0</v>
      </c>
      <c r="E1780">
        <v>0</v>
      </c>
      <c r="F1780">
        <v>0</v>
      </c>
      <c r="G1780">
        <v>0</v>
      </c>
    </row>
    <row r="1781" spans="2:7" x14ac:dyDescent="0.2">
      <c r="B1781" t="s">
        <v>2956</v>
      </c>
      <c r="C1781">
        <v>0</v>
      </c>
      <c r="D1781">
        <v>0</v>
      </c>
      <c r="E1781">
        <v>0</v>
      </c>
      <c r="F1781">
        <v>0</v>
      </c>
      <c r="G1781">
        <v>0</v>
      </c>
    </row>
    <row r="1782" spans="2:7" x14ac:dyDescent="0.2">
      <c r="B1782" t="s">
        <v>2957</v>
      </c>
      <c r="C1782">
        <v>0</v>
      </c>
      <c r="D1782">
        <v>0</v>
      </c>
      <c r="E1782">
        <v>0</v>
      </c>
      <c r="F1782">
        <v>0</v>
      </c>
      <c r="G1782">
        <v>0</v>
      </c>
    </row>
    <row r="1783" spans="2:7" x14ac:dyDescent="0.2">
      <c r="B1783" t="s">
        <v>2958</v>
      </c>
      <c r="C1783">
        <v>0</v>
      </c>
      <c r="D1783">
        <v>0</v>
      </c>
      <c r="E1783">
        <v>0</v>
      </c>
      <c r="F1783">
        <v>0</v>
      </c>
      <c r="G1783">
        <v>0</v>
      </c>
    </row>
    <row r="1784" spans="2:7" x14ac:dyDescent="0.2">
      <c r="B1784" t="s">
        <v>2959</v>
      </c>
      <c r="C1784">
        <v>0</v>
      </c>
      <c r="D1784">
        <v>0</v>
      </c>
      <c r="E1784">
        <v>0</v>
      </c>
      <c r="F1784">
        <v>0</v>
      </c>
      <c r="G1784">
        <v>0</v>
      </c>
    </row>
    <row r="1785" spans="2:7" x14ac:dyDescent="0.2">
      <c r="B1785" t="s">
        <v>2960</v>
      </c>
      <c r="C1785">
        <v>0</v>
      </c>
      <c r="D1785">
        <v>0</v>
      </c>
      <c r="E1785">
        <v>0</v>
      </c>
      <c r="F1785">
        <v>0</v>
      </c>
      <c r="G1785">
        <v>0</v>
      </c>
    </row>
    <row r="1786" spans="2:7" x14ac:dyDescent="0.2">
      <c r="B1786" t="s">
        <v>2961</v>
      </c>
      <c r="C1786">
        <v>0</v>
      </c>
      <c r="D1786">
        <v>0</v>
      </c>
      <c r="E1786">
        <v>0</v>
      </c>
      <c r="F1786">
        <v>0</v>
      </c>
      <c r="G1786">
        <v>0</v>
      </c>
    </row>
    <row r="1787" spans="2:7" x14ac:dyDescent="0.2">
      <c r="B1787" t="s">
        <v>2962</v>
      </c>
      <c r="C1787">
        <v>0</v>
      </c>
      <c r="D1787">
        <v>0</v>
      </c>
      <c r="E1787">
        <v>0</v>
      </c>
      <c r="F1787">
        <v>0</v>
      </c>
      <c r="G1787">
        <v>0</v>
      </c>
    </row>
    <row r="1788" spans="2:7" x14ac:dyDescent="0.2">
      <c r="B1788" t="s">
        <v>2963</v>
      </c>
      <c r="C1788">
        <v>0</v>
      </c>
      <c r="D1788">
        <v>0</v>
      </c>
      <c r="E1788">
        <v>0</v>
      </c>
      <c r="F1788">
        <v>0</v>
      </c>
      <c r="G1788">
        <v>0</v>
      </c>
    </row>
    <row r="1789" spans="2:7" x14ac:dyDescent="0.2">
      <c r="B1789" t="s">
        <v>2964</v>
      </c>
      <c r="C1789">
        <v>0</v>
      </c>
      <c r="D1789">
        <v>0</v>
      </c>
      <c r="E1789">
        <v>0</v>
      </c>
      <c r="F1789">
        <v>0</v>
      </c>
      <c r="G1789">
        <v>0</v>
      </c>
    </row>
    <row r="1790" spans="2:7" x14ac:dyDescent="0.2">
      <c r="B1790" t="s">
        <v>2965</v>
      </c>
      <c r="C1790">
        <v>0</v>
      </c>
      <c r="D1790">
        <v>0</v>
      </c>
      <c r="E1790">
        <v>0</v>
      </c>
      <c r="F1790">
        <v>0</v>
      </c>
      <c r="G1790">
        <v>0</v>
      </c>
    </row>
    <row r="1791" spans="2:7" x14ac:dyDescent="0.2">
      <c r="B1791" t="s">
        <v>2966</v>
      </c>
      <c r="C1791">
        <v>0</v>
      </c>
      <c r="D1791">
        <v>0</v>
      </c>
      <c r="E1791">
        <v>0</v>
      </c>
      <c r="F1791">
        <v>0</v>
      </c>
      <c r="G1791">
        <v>0</v>
      </c>
    </row>
    <row r="1792" spans="2:7" x14ac:dyDescent="0.2">
      <c r="B1792" t="s">
        <v>2967</v>
      </c>
      <c r="C1792">
        <v>0</v>
      </c>
      <c r="D1792">
        <v>0</v>
      </c>
      <c r="E1792">
        <v>0</v>
      </c>
      <c r="F1792">
        <v>0</v>
      </c>
      <c r="G1792">
        <v>0</v>
      </c>
    </row>
    <row r="1793" spans="2:7" x14ac:dyDescent="0.2">
      <c r="B1793" t="s">
        <v>2968</v>
      </c>
      <c r="C1793">
        <v>0</v>
      </c>
      <c r="D1793">
        <v>0</v>
      </c>
      <c r="E1793">
        <v>0</v>
      </c>
      <c r="F1793">
        <v>0</v>
      </c>
      <c r="G1793">
        <v>0</v>
      </c>
    </row>
    <row r="1794" spans="2:7" x14ac:dyDescent="0.2">
      <c r="B1794" t="s">
        <v>2969</v>
      </c>
      <c r="C1794">
        <v>0</v>
      </c>
      <c r="D1794">
        <v>0</v>
      </c>
      <c r="E1794">
        <v>0</v>
      </c>
      <c r="F1794">
        <v>0</v>
      </c>
      <c r="G1794">
        <v>0</v>
      </c>
    </row>
    <row r="1795" spans="2:7" x14ac:dyDescent="0.2">
      <c r="B1795" t="s">
        <v>2970</v>
      </c>
      <c r="C1795">
        <v>0</v>
      </c>
      <c r="D1795">
        <v>0</v>
      </c>
      <c r="E1795">
        <v>0</v>
      </c>
      <c r="F1795">
        <v>0</v>
      </c>
      <c r="G1795">
        <v>0</v>
      </c>
    </row>
    <row r="1796" spans="2:7" x14ac:dyDescent="0.2">
      <c r="B1796" t="s">
        <v>2971</v>
      </c>
      <c r="C1796">
        <v>0</v>
      </c>
      <c r="D1796">
        <v>0</v>
      </c>
      <c r="E1796">
        <v>0</v>
      </c>
      <c r="F1796">
        <v>0</v>
      </c>
      <c r="G1796">
        <v>0</v>
      </c>
    </row>
    <row r="1797" spans="2:7" x14ac:dyDescent="0.2">
      <c r="B1797" t="s">
        <v>2972</v>
      </c>
      <c r="C1797">
        <v>0</v>
      </c>
      <c r="D1797">
        <v>0</v>
      </c>
      <c r="E1797">
        <v>0</v>
      </c>
      <c r="F1797">
        <v>0</v>
      </c>
      <c r="G1797">
        <v>0</v>
      </c>
    </row>
    <row r="1798" spans="2:7" x14ac:dyDescent="0.2">
      <c r="B1798" t="s">
        <v>2973</v>
      </c>
      <c r="C1798">
        <v>0</v>
      </c>
      <c r="D1798">
        <v>0</v>
      </c>
      <c r="E1798">
        <v>0</v>
      </c>
      <c r="F1798">
        <v>0</v>
      </c>
      <c r="G1798">
        <v>0</v>
      </c>
    </row>
    <row r="1799" spans="2:7" x14ac:dyDescent="0.2">
      <c r="B1799" t="s">
        <v>2974</v>
      </c>
      <c r="C1799">
        <v>0</v>
      </c>
      <c r="D1799">
        <v>0</v>
      </c>
      <c r="E1799">
        <v>0</v>
      </c>
      <c r="F1799">
        <v>0</v>
      </c>
      <c r="G1799">
        <v>0</v>
      </c>
    </row>
  </sheetData>
  <phoneticPr fontId="2" type="noConversion"/>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9115</vt:i4>
      </vt:variant>
    </vt:vector>
  </HeadingPairs>
  <TitlesOfParts>
    <vt:vector size="9151" baseType="lpstr">
      <vt:lpstr>Cover Page</vt:lpstr>
      <vt:lpstr>1. Summary Financial</vt:lpstr>
      <vt:lpstr>2. Key Ratios</vt:lpstr>
      <vt:lpstr>3. Supplemental Ratios</vt:lpstr>
      <vt:lpstr>4. Historical Ratios</vt:lpstr>
      <vt:lpstr>5. Assets</vt:lpstr>
      <vt:lpstr>6. LiabShEquity</vt:lpstr>
      <vt:lpstr>7. IncExp</vt:lpstr>
      <vt:lpstr>8. Loans</vt:lpstr>
      <vt:lpstr>9. Delinquent Loans </vt:lpstr>
      <vt:lpstr>10. Delinquent Loans (con't)</vt:lpstr>
      <vt:lpstr>11. Delinquent RE Loans </vt:lpstr>
      <vt:lpstr>12. Del Comm Loans</vt:lpstr>
      <vt:lpstr>13. Del Comm Loans (con't)</vt:lpstr>
      <vt:lpstr>14. Loan Losses</vt:lpstr>
      <vt:lpstr>15. Indirect Loans</vt:lpstr>
      <vt:lpstr>16. Loans Purch or Sold 701.23</vt:lpstr>
      <vt:lpstr>17. Participations 701.22</vt:lpstr>
      <vt:lpstr>18. RE Loans </vt:lpstr>
      <vt:lpstr>19. RE Loan Losses</vt:lpstr>
      <vt:lpstr>20. Commercial Loans</vt:lpstr>
      <vt:lpstr>21. Comm Loan Net COs</vt:lpstr>
      <vt:lpstr>22. Comm Loan Losses</vt:lpstr>
      <vt:lpstr>23. Investments</vt:lpstr>
      <vt:lpstr>24. Investments (con't)</vt:lpstr>
      <vt:lpstr>25. Investment Maturity</vt:lpstr>
      <vt:lpstr>26. Investments-Memoranda</vt:lpstr>
      <vt:lpstr>27. Derivatives</vt:lpstr>
      <vt:lpstr>28. LIQ - Comm and OBS</vt:lpstr>
      <vt:lpstr>29. LIQ-Borrowing Arrangements</vt:lpstr>
      <vt:lpstr>30. Shares and Membership</vt:lpstr>
      <vt:lpstr>31. Share &amp; Deposit Maturity</vt:lpstr>
      <vt:lpstr>32. Supplemental Info</vt:lpstr>
      <vt:lpstr>33. Graphs 1</vt:lpstr>
      <vt:lpstr>34. Graphs 2</vt:lpstr>
      <vt:lpstr>Master</vt:lpstr>
      <vt:lpstr>A001_C1</vt:lpstr>
      <vt:lpstr>A001_C2</vt:lpstr>
      <vt:lpstr>A001_C3</vt:lpstr>
      <vt:lpstr>A001_C4</vt:lpstr>
      <vt:lpstr>A001_C5</vt:lpstr>
      <vt:lpstr>A002_C1</vt:lpstr>
      <vt:lpstr>A002_C2</vt:lpstr>
      <vt:lpstr>A002_C3</vt:lpstr>
      <vt:lpstr>A002_C4</vt:lpstr>
      <vt:lpstr>A002_C5</vt:lpstr>
      <vt:lpstr>A003_C1</vt:lpstr>
      <vt:lpstr>A003_C2</vt:lpstr>
      <vt:lpstr>A003_C3</vt:lpstr>
      <vt:lpstr>A003_C4</vt:lpstr>
      <vt:lpstr>A003_C5</vt:lpstr>
      <vt:lpstr>A007_C1</vt:lpstr>
      <vt:lpstr>A007_C2</vt:lpstr>
      <vt:lpstr>A007_C3</vt:lpstr>
      <vt:lpstr>A007_C4</vt:lpstr>
      <vt:lpstr>A007_C5</vt:lpstr>
      <vt:lpstr>A008_C1</vt:lpstr>
      <vt:lpstr>A008_C2</vt:lpstr>
      <vt:lpstr>A008_C3</vt:lpstr>
      <vt:lpstr>A008_C4</vt:lpstr>
      <vt:lpstr>A008_C5</vt:lpstr>
      <vt:lpstr>A009_C1</vt:lpstr>
      <vt:lpstr>A009_C2</vt:lpstr>
      <vt:lpstr>A009_C3</vt:lpstr>
      <vt:lpstr>A009_C4</vt:lpstr>
      <vt:lpstr>A009_C5</vt:lpstr>
      <vt:lpstr>A009A_C1</vt:lpstr>
      <vt:lpstr>A009A_C2</vt:lpstr>
      <vt:lpstr>A009A_C3</vt:lpstr>
      <vt:lpstr>A009A_C4</vt:lpstr>
      <vt:lpstr>A009A_C5</vt:lpstr>
      <vt:lpstr>A009B_C1</vt:lpstr>
      <vt:lpstr>A009B_C2</vt:lpstr>
      <vt:lpstr>A009B_C3</vt:lpstr>
      <vt:lpstr>A009B_C4</vt:lpstr>
      <vt:lpstr>A009B_C5</vt:lpstr>
      <vt:lpstr>A009C_C1</vt:lpstr>
      <vt:lpstr>A009C_C2</vt:lpstr>
      <vt:lpstr>A009C_C3</vt:lpstr>
      <vt:lpstr>A009C_C4</vt:lpstr>
      <vt:lpstr>A009C_C5</vt:lpstr>
      <vt:lpstr>A009D_C1</vt:lpstr>
      <vt:lpstr>A009D_C2</vt:lpstr>
      <vt:lpstr>A009D_C3</vt:lpstr>
      <vt:lpstr>A009D_C4</vt:lpstr>
      <vt:lpstr>A009D_C5</vt:lpstr>
      <vt:lpstr>A009D1_C1</vt:lpstr>
      <vt:lpstr>A009D1_C2</vt:lpstr>
      <vt:lpstr>A009D1_C3</vt:lpstr>
      <vt:lpstr>A009D1_C4</vt:lpstr>
      <vt:lpstr>A009D1_C5</vt:lpstr>
      <vt:lpstr>A009D2_C1</vt:lpstr>
      <vt:lpstr>A009D2_C2</vt:lpstr>
      <vt:lpstr>A009D2_C3</vt:lpstr>
      <vt:lpstr>A009D2_C4</vt:lpstr>
      <vt:lpstr>A009D2_C5</vt:lpstr>
      <vt:lpstr>A009E_C1</vt:lpstr>
      <vt:lpstr>A009E_C2</vt:lpstr>
      <vt:lpstr>A009E_C3</vt:lpstr>
      <vt:lpstr>A009E_C4</vt:lpstr>
      <vt:lpstr>A009E_C5</vt:lpstr>
      <vt:lpstr>A010_C1</vt:lpstr>
      <vt:lpstr>A010_C2</vt:lpstr>
      <vt:lpstr>A010_C3</vt:lpstr>
      <vt:lpstr>A010_C4</vt:lpstr>
      <vt:lpstr>A010_C5</vt:lpstr>
      <vt:lpstr>A010A_C1</vt:lpstr>
      <vt:lpstr>A010A_C2</vt:lpstr>
      <vt:lpstr>A010A_C3</vt:lpstr>
      <vt:lpstr>A010A_C4</vt:lpstr>
      <vt:lpstr>A010A_C5</vt:lpstr>
      <vt:lpstr>A010B_C1</vt:lpstr>
      <vt:lpstr>A010B_C2</vt:lpstr>
      <vt:lpstr>A010B_C3</vt:lpstr>
      <vt:lpstr>A010B_C4</vt:lpstr>
      <vt:lpstr>A010B_C5</vt:lpstr>
      <vt:lpstr>A010C_C1</vt:lpstr>
      <vt:lpstr>A010C_C2</vt:lpstr>
      <vt:lpstr>A010C_C3</vt:lpstr>
      <vt:lpstr>A010C_C4</vt:lpstr>
      <vt:lpstr>A010C_C5</vt:lpstr>
      <vt:lpstr>A010X_C1</vt:lpstr>
      <vt:lpstr>A010X_C2</vt:lpstr>
      <vt:lpstr>A010X_C3</vt:lpstr>
      <vt:lpstr>A010X_C4</vt:lpstr>
      <vt:lpstr>A010X_C5</vt:lpstr>
      <vt:lpstr>A011A_C1</vt:lpstr>
      <vt:lpstr>A011A_C2</vt:lpstr>
      <vt:lpstr>A011A_C3</vt:lpstr>
      <vt:lpstr>A011A_C4</vt:lpstr>
      <vt:lpstr>A011A_C5</vt:lpstr>
      <vt:lpstr>A011C_C1</vt:lpstr>
      <vt:lpstr>A011C_C2</vt:lpstr>
      <vt:lpstr>A011C_C3</vt:lpstr>
      <vt:lpstr>A011C_C4</vt:lpstr>
      <vt:lpstr>A011C_C5</vt:lpstr>
      <vt:lpstr>A013_C1</vt:lpstr>
      <vt:lpstr>A013_C2</vt:lpstr>
      <vt:lpstr>A013_C3</vt:lpstr>
      <vt:lpstr>A013_C4</vt:lpstr>
      <vt:lpstr>A013_C5</vt:lpstr>
      <vt:lpstr>A013A_C1</vt:lpstr>
      <vt:lpstr>A013A_C2</vt:lpstr>
      <vt:lpstr>A013A_C3</vt:lpstr>
      <vt:lpstr>A013A_C4</vt:lpstr>
      <vt:lpstr>A013A_C5</vt:lpstr>
      <vt:lpstr>A013B1_C1</vt:lpstr>
      <vt:lpstr>A013B1_C2</vt:lpstr>
      <vt:lpstr>A013B1_C3</vt:lpstr>
      <vt:lpstr>A013B1_C4</vt:lpstr>
      <vt:lpstr>A013B1_C5</vt:lpstr>
      <vt:lpstr>A013B2_C1</vt:lpstr>
      <vt:lpstr>A013B2_C2</vt:lpstr>
      <vt:lpstr>A013B2_C3</vt:lpstr>
      <vt:lpstr>A013B2_C4</vt:lpstr>
      <vt:lpstr>A013B2_C5</vt:lpstr>
      <vt:lpstr>A014_C1</vt:lpstr>
      <vt:lpstr>A014_C2</vt:lpstr>
      <vt:lpstr>A014_C3</vt:lpstr>
      <vt:lpstr>A014_C4</vt:lpstr>
      <vt:lpstr>A014_C5</vt:lpstr>
      <vt:lpstr>A018_C1</vt:lpstr>
      <vt:lpstr>A018_C2</vt:lpstr>
      <vt:lpstr>A018_C3</vt:lpstr>
      <vt:lpstr>A018_C4</vt:lpstr>
      <vt:lpstr>A018_C5</vt:lpstr>
      <vt:lpstr>A018A_C1</vt:lpstr>
      <vt:lpstr>A018A_C2</vt:lpstr>
      <vt:lpstr>A018A_C3</vt:lpstr>
      <vt:lpstr>A018A_C4</vt:lpstr>
      <vt:lpstr>A018A_C5</vt:lpstr>
      <vt:lpstr>A018B1_C1</vt:lpstr>
      <vt:lpstr>A018B1_C2</vt:lpstr>
      <vt:lpstr>A018B1_C3</vt:lpstr>
      <vt:lpstr>A018B1_C4</vt:lpstr>
      <vt:lpstr>A018B1_C5</vt:lpstr>
      <vt:lpstr>A018B2_C1</vt:lpstr>
      <vt:lpstr>A018B2_C2</vt:lpstr>
      <vt:lpstr>A018B2_C3</vt:lpstr>
      <vt:lpstr>A018B2_C4</vt:lpstr>
      <vt:lpstr>A018B2_C5</vt:lpstr>
      <vt:lpstr>A020B_C1</vt:lpstr>
      <vt:lpstr>A020B_C2</vt:lpstr>
      <vt:lpstr>A020B_C3</vt:lpstr>
      <vt:lpstr>A020B_C4</vt:lpstr>
      <vt:lpstr>A020B_C5</vt:lpstr>
      <vt:lpstr>A020C_C1</vt:lpstr>
      <vt:lpstr>A020C_C2</vt:lpstr>
      <vt:lpstr>A020C_C3</vt:lpstr>
      <vt:lpstr>A020C_C4</vt:lpstr>
      <vt:lpstr>A020C_C5</vt:lpstr>
      <vt:lpstr>A020C1_C1</vt:lpstr>
      <vt:lpstr>A020C1_C2</vt:lpstr>
      <vt:lpstr>A020C1_C3</vt:lpstr>
      <vt:lpstr>A020C1_C4</vt:lpstr>
      <vt:lpstr>A020C1_C5</vt:lpstr>
      <vt:lpstr>A020C2_C1</vt:lpstr>
      <vt:lpstr>A020C2_C2</vt:lpstr>
      <vt:lpstr>A020C2_C3</vt:lpstr>
      <vt:lpstr>A020C2_C4</vt:lpstr>
      <vt:lpstr>A020C2_C5</vt:lpstr>
      <vt:lpstr>A020D_C1</vt:lpstr>
      <vt:lpstr>A020D_C2</vt:lpstr>
      <vt:lpstr>A020D_C3</vt:lpstr>
      <vt:lpstr>A020D_C4</vt:lpstr>
      <vt:lpstr>A020D_C5</vt:lpstr>
      <vt:lpstr>A020E_C1</vt:lpstr>
      <vt:lpstr>A020E_C2</vt:lpstr>
      <vt:lpstr>A020E_C3</vt:lpstr>
      <vt:lpstr>A020E_C4</vt:lpstr>
      <vt:lpstr>A020E_C5</vt:lpstr>
      <vt:lpstr>A020F_C1</vt:lpstr>
      <vt:lpstr>A020F_C2</vt:lpstr>
      <vt:lpstr>A020F_C3</vt:lpstr>
      <vt:lpstr>A020F_C4</vt:lpstr>
      <vt:lpstr>A020F_C5</vt:lpstr>
      <vt:lpstr>A020G_C1</vt:lpstr>
      <vt:lpstr>A020G_C2</vt:lpstr>
      <vt:lpstr>A020G_C3</vt:lpstr>
      <vt:lpstr>A020G_C4</vt:lpstr>
      <vt:lpstr>A020G_C5</vt:lpstr>
      <vt:lpstr>A020G1_C1</vt:lpstr>
      <vt:lpstr>A020G1_C2</vt:lpstr>
      <vt:lpstr>A020G1_C3</vt:lpstr>
      <vt:lpstr>A020G1_C4</vt:lpstr>
      <vt:lpstr>A020G1_C5</vt:lpstr>
      <vt:lpstr>A020G2_C1</vt:lpstr>
      <vt:lpstr>A020G2_C2</vt:lpstr>
      <vt:lpstr>A020G2_C3</vt:lpstr>
      <vt:lpstr>A020G2_C4</vt:lpstr>
      <vt:lpstr>A020G2_C5</vt:lpstr>
      <vt:lpstr>A020G3_C1</vt:lpstr>
      <vt:lpstr>A020G3_C2</vt:lpstr>
      <vt:lpstr>A020G3_C3</vt:lpstr>
      <vt:lpstr>A020G3_C4</vt:lpstr>
      <vt:lpstr>A020G3_C5</vt:lpstr>
      <vt:lpstr>A020G4_C1</vt:lpstr>
      <vt:lpstr>A020G4_C2</vt:lpstr>
      <vt:lpstr>A020G4_C3</vt:lpstr>
      <vt:lpstr>A020G4_C4</vt:lpstr>
      <vt:lpstr>A020G4_C5</vt:lpstr>
      <vt:lpstr>A020H_C1</vt:lpstr>
      <vt:lpstr>A020H_C2</vt:lpstr>
      <vt:lpstr>A020H_C3</vt:lpstr>
      <vt:lpstr>A020H_C4</vt:lpstr>
      <vt:lpstr>A020H_C5</vt:lpstr>
      <vt:lpstr>A020P_C1</vt:lpstr>
      <vt:lpstr>A020P_C2</vt:lpstr>
      <vt:lpstr>A020P_C3</vt:lpstr>
      <vt:lpstr>A020P_C4</vt:lpstr>
      <vt:lpstr>A020P_C5</vt:lpstr>
      <vt:lpstr>A020P1_C1</vt:lpstr>
      <vt:lpstr>A020P1_C2</vt:lpstr>
      <vt:lpstr>A020P1_C3</vt:lpstr>
      <vt:lpstr>A020P1_C4</vt:lpstr>
      <vt:lpstr>A020P1_C5</vt:lpstr>
      <vt:lpstr>A020P2_C1</vt:lpstr>
      <vt:lpstr>A020P2_C2</vt:lpstr>
      <vt:lpstr>A020P2_C3</vt:lpstr>
      <vt:lpstr>A020P2_C4</vt:lpstr>
      <vt:lpstr>A020P2_C5</vt:lpstr>
      <vt:lpstr>A020P3_C1</vt:lpstr>
      <vt:lpstr>A020P3_C2</vt:lpstr>
      <vt:lpstr>A020P3_C3</vt:lpstr>
      <vt:lpstr>A020P3_C4</vt:lpstr>
      <vt:lpstr>A020P3_C5</vt:lpstr>
      <vt:lpstr>A020P4_C1</vt:lpstr>
      <vt:lpstr>A020P4_C2</vt:lpstr>
      <vt:lpstr>A020P4_C3</vt:lpstr>
      <vt:lpstr>A020P4_C4</vt:lpstr>
      <vt:lpstr>A020P4_C5</vt:lpstr>
      <vt:lpstr>A020Q_C1</vt:lpstr>
      <vt:lpstr>A020Q_C2</vt:lpstr>
      <vt:lpstr>A020Q_C3</vt:lpstr>
      <vt:lpstr>A020Q_C4</vt:lpstr>
      <vt:lpstr>A020Q_C5</vt:lpstr>
      <vt:lpstr>A020T_C1</vt:lpstr>
      <vt:lpstr>A020T_C2</vt:lpstr>
      <vt:lpstr>A020T_C3</vt:lpstr>
      <vt:lpstr>A020T_C4</vt:lpstr>
      <vt:lpstr>A020T_C5</vt:lpstr>
      <vt:lpstr>A020U_C1</vt:lpstr>
      <vt:lpstr>A020U_C2</vt:lpstr>
      <vt:lpstr>A020U_C3</vt:lpstr>
      <vt:lpstr>A020U_C4</vt:lpstr>
      <vt:lpstr>A020U_C5</vt:lpstr>
      <vt:lpstr>A020V_C1</vt:lpstr>
      <vt:lpstr>A020V_C2</vt:lpstr>
      <vt:lpstr>A020V_C3</vt:lpstr>
      <vt:lpstr>A020V_C4</vt:lpstr>
      <vt:lpstr>A020V_C5</vt:lpstr>
      <vt:lpstr>A020X_C1</vt:lpstr>
      <vt:lpstr>A020X_C2</vt:lpstr>
      <vt:lpstr>A020X_C3</vt:lpstr>
      <vt:lpstr>A020X_C4</vt:lpstr>
      <vt:lpstr>A020X_C5</vt:lpstr>
      <vt:lpstr>A020Y_C1</vt:lpstr>
      <vt:lpstr>A020Y_C2</vt:lpstr>
      <vt:lpstr>A020Y_C3</vt:lpstr>
      <vt:lpstr>A020Y_C4</vt:lpstr>
      <vt:lpstr>A020Y_C5</vt:lpstr>
      <vt:lpstr>A020Y1_C1</vt:lpstr>
      <vt:lpstr>A020Y1_C2</vt:lpstr>
      <vt:lpstr>A020Y1_C3</vt:lpstr>
      <vt:lpstr>A020Y1_C4</vt:lpstr>
      <vt:lpstr>A020Y1_C5</vt:lpstr>
      <vt:lpstr>A021B_C1</vt:lpstr>
      <vt:lpstr>A021B_C2</vt:lpstr>
      <vt:lpstr>A021B_C3</vt:lpstr>
      <vt:lpstr>A021B_C4</vt:lpstr>
      <vt:lpstr>A021B_C5</vt:lpstr>
      <vt:lpstr>A021C_C1</vt:lpstr>
      <vt:lpstr>A021C_C2</vt:lpstr>
      <vt:lpstr>A021C_C3</vt:lpstr>
      <vt:lpstr>A021C_C4</vt:lpstr>
      <vt:lpstr>A021C_C5</vt:lpstr>
      <vt:lpstr>A021C1_C1</vt:lpstr>
      <vt:lpstr>A021C1_C2</vt:lpstr>
      <vt:lpstr>A021C1_C3</vt:lpstr>
      <vt:lpstr>A021C1_C4</vt:lpstr>
      <vt:lpstr>A021C1_C5</vt:lpstr>
      <vt:lpstr>A021C2_C1</vt:lpstr>
      <vt:lpstr>A021C2_C2</vt:lpstr>
      <vt:lpstr>A021C2_C3</vt:lpstr>
      <vt:lpstr>A021C2_C4</vt:lpstr>
      <vt:lpstr>A021C2_C5</vt:lpstr>
      <vt:lpstr>A021D_C1</vt:lpstr>
      <vt:lpstr>A021D_C2</vt:lpstr>
      <vt:lpstr>A021D_C3</vt:lpstr>
      <vt:lpstr>A021D_C4</vt:lpstr>
      <vt:lpstr>A021D_C5</vt:lpstr>
      <vt:lpstr>A021E_C1</vt:lpstr>
      <vt:lpstr>A021E_C2</vt:lpstr>
      <vt:lpstr>A021E_C3</vt:lpstr>
      <vt:lpstr>A021E_C4</vt:lpstr>
      <vt:lpstr>A021E_C5</vt:lpstr>
      <vt:lpstr>A021F_C1</vt:lpstr>
      <vt:lpstr>A021F_C2</vt:lpstr>
      <vt:lpstr>A021F_C3</vt:lpstr>
      <vt:lpstr>A021F_C4</vt:lpstr>
      <vt:lpstr>A021F_C5</vt:lpstr>
      <vt:lpstr>A021G_C1</vt:lpstr>
      <vt:lpstr>A021G_C2</vt:lpstr>
      <vt:lpstr>A021G_C3</vt:lpstr>
      <vt:lpstr>A021G_C4</vt:lpstr>
      <vt:lpstr>A021G_C5</vt:lpstr>
      <vt:lpstr>A021G1_C1</vt:lpstr>
      <vt:lpstr>A021G1_C2</vt:lpstr>
      <vt:lpstr>A021G1_C3</vt:lpstr>
      <vt:lpstr>A021G1_C4</vt:lpstr>
      <vt:lpstr>A021G1_C5</vt:lpstr>
      <vt:lpstr>A021G2_C1</vt:lpstr>
      <vt:lpstr>A021G2_C2</vt:lpstr>
      <vt:lpstr>A021G2_C3</vt:lpstr>
      <vt:lpstr>A021G2_C4</vt:lpstr>
      <vt:lpstr>A021G2_C5</vt:lpstr>
      <vt:lpstr>A021G3_C1</vt:lpstr>
      <vt:lpstr>A021G3_C2</vt:lpstr>
      <vt:lpstr>A021G3_C3</vt:lpstr>
      <vt:lpstr>A021G3_C4</vt:lpstr>
      <vt:lpstr>A021G3_C5</vt:lpstr>
      <vt:lpstr>A021G4_C1</vt:lpstr>
      <vt:lpstr>A021G4_C2</vt:lpstr>
      <vt:lpstr>A021G4_C3</vt:lpstr>
      <vt:lpstr>A021G4_C4</vt:lpstr>
      <vt:lpstr>A021G4_C5</vt:lpstr>
      <vt:lpstr>A021H_C1</vt:lpstr>
      <vt:lpstr>A021H_C2</vt:lpstr>
      <vt:lpstr>A021H_C3</vt:lpstr>
      <vt:lpstr>A021H_C4</vt:lpstr>
      <vt:lpstr>A021H_C5</vt:lpstr>
      <vt:lpstr>A021P_C1</vt:lpstr>
      <vt:lpstr>A021P_C2</vt:lpstr>
      <vt:lpstr>A021P_C3</vt:lpstr>
      <vt:lpstr>A021P_C4</vt:lpstr>
      <vt:lpstr>A021P_C5</vt:lpstr>
      <vt:lpstr>A021P1_C1</vt:lpstr>
      <vt:lpstr>A021P1_C2</vt:lpstr>
      <vt:lpstr>A021P1_C3</vt:lpstr>
      <vt:lpstr>A021P1_C4</vt:lpstr>
      <vt:lpstr>A021P1_C5</vt:lpstr>
      <vt:lpstr>A021P2_C1</vt:lpstr>
      <vt:lpstr>A021P2_C2</vt:lpstr>
      <vt:lpstr>A021P2_C3</vt:lpstr>
      <vt:lpstr>A021P2_C4</vt:lpstr>
      <vt:lpstr>A021P2_C5</vt:lpstr>
      <vt:lpstr>A021P3_C1</vt:lpstr>
      <vt:lpstr>A021P3_C2</vt:lpstr>
      <vt:lpstr>A021P3_C3</vt:lpstr>
      <vt:lpstr>A021P3_C4</vt:lpstr>
      <vt:lpstr>A021P3_C5</vt:lpstr>
      <vt:lpstr>A021P4_C1</vt:lpstr>
      <vt:lpstr>A021P4_C2</vt:lpstr>
      <vt:lpstr>A021P4_C3</vt:lpstr>
      <vt:lpstr>A021P4_C4</vt:lpstr>
      <vt:lpstr>A021P4_C5</vt:lpstr>
      <vt:lpstr>A021Q_C1</vt:lpstr>
      <vt:lpstr>A021Q_C2</vt:lpstr>
      <vt:lpstr>A021Q_C3</vt:lpstr>
      <vt:lpstr>A021Q_C4</vt:lpstr>
      <vt:lpstr>A021Q_C5</vt:lpstr>
      <vt:lpstr>A021T_C1</vt:lpstr>
      <vt:lpstr>A021T_C2</vt:lpstr>
      <vt:lpstr>A021T_C3</vt:lpstr>
      <vt:lpstr>A021T_C4</vt:lpstr>
      <vt:lpstr>A021T_C5</vt:lpstr>
      <vt:lpstr>A022B_C1</vt:lpstr>
      <vt:lpstr>A022B_C2</vt:lpstr>
      <vt:lpstr>A022B_C3</vt:lpstr>
      <vt:lpstr>A022B_C4</vt:lpstr>
      <vt:lpstr>A022B_C5</vt:lpstr>
      <vt:lpstr>A022C_C1</vt:lpstr>
      <vt:lpstr>A022C_C2</vt:lpstr>
      <vt:lpstr>A022C_C3</vt:lpstr>
      <vt:lpstr>A022C_C4</vt:lpstr>
      <vt:lpstr>A022C_C5</vt:lpstr>
      <vt:lpstr>A022C1_C1</vt:lpstr>
      <vt:lpstr>A022C1_C2</vt:lpstr>
      <vt:lpstr>A022C1_C3</vt:lpstr>
      <vt:lpstr>A022C1_C4</vt:lpstr>
      <vt:lpstr>A022C1_C5</vt:lpstr>
      <vt:lpstr>A022C2_C1</vt:lpstr>
      <vt:lpstr>A022C2_C2</vt:lpstr>
      <vt:lpstr>A022C2_C3</vt:lpstr>
      <vt:lpstr>A022C2_C4</vt:lpstr>
      <vt:lpstr>A022C2_C5</vt:lpstr>
      <vt:lpstr>A022D_C1</vt:lpstr>
      <vt:lpstr>A022D_C2</vt:lpstr>
      <vt:lpstr>A022D_C3</vt:lpstr>
      <vt:lpstr>A022D_C4</vt:lpstr>
      <vt:lpstr>A022D_C5</vt:lpstr>
      <vt:lpstr>A022E_C1</vt:lpstr>
      <vt:lpstr>A022E_C2</vt:lpstr>
      <vt:lpstr>A022E_C3</vt:lpstr>
      <vt:lpstr>A022E_C4</vt:lpstr>
      <vt:lpstr>A022E_C5</vt:lpstr>
      <vt:lpstr>A022F_C1</vt:lpstr>
      <vt:lpstr>A022F_C2</vt:lpstr>
      <vt:lpstr>A022F_C3</vt:lpstr>
      <vt:lpstr>A022F_C4</vt:lpstr>
      <vt:lpstr>A022F_C5</vt:lpstr>
      <vt:lpstr>A022G_C1</vt:lpstr>
      <vt:lpstr>A022G_C2</vt:lpstr>
      <vt:lpstr>A022G_C3</vt:lpstr>
      <vt:lpstr>A022G_C4</vt:lpstr>
      <vt:lpstr>A022G_C5</vt:lpstr>
      <vt:lpstr>A022G1_C1</vt:lpstr>
      <vt:lpstr>A022G1_C2</vt:lpstr>
      <vt:lpstr>A022G1_C3</vt:lpstr>
      <vt:lpstr>A022G1_C4</vt:lpstr>
      <vt:lpstr>A022G1_C5</vt:lpstr>
      <vt:lpstr>A022G2_C1</vt:lpstr>
      <vt:lpstr>A022G2_C2</vt:lpstr>
      <vt:lpstr>A022G2_C3</vt:lpstr>
      <vt:lpstr>A022G2_C4</vt:lpstr>
      <vt:lpstr>A022G2_C5</vt:lpstr>
      <vt:lpstr>A022G3_C1</vt:lpstr>
      <vt:lpstr>A022G3_C2</vt:lpstr>
      <vt:lpstr>A022G3_C3</vt:lpstr>
      <vt:lpstr>A022G3_C4</vt:lpstr>
      <vt:lpstr>A022G3_C5</vt:lpstr>
      <vt:lpstr>A022G4_C1</vt:lpstr>
      <vt:lpstr>A022G4_C2</vt:lpstr>
      <vt:lpstr>A022G4_C3</vt:lpstr>
      <vt:lpstr>A022G4_C4</vt:lpstr>
      <vt:lpstr>A022G4_C5</vt:lpstr>
      <vt:lpstr>A022H_C1</vt:lpstr>
      <vt:lpstr>A022H_C2</vt:lpstr>
      <vt:lpstr>A022H_C3</vt:lpstr>
      <vt:lpstr>A022H_C4</vt:lpstr>
      <vt:lpstr>A022H_C5</vt:lpstr>
      <vt:lpstr>A022P_C1</vt:lpstr>
      <vt:lpstr>A022P_C2</vt:lpstr>
      <vt:lpstr>A022P_C3</vt:lpstr>
      <vt:lpstr>A022P_C4</vt:lpstr>
      <vt:lpstr>A022P_C5</vt:lpstr>
      <vt:lpstr>A022P1_C1</vt:lpstr>
      <vt:lpstr>A022P1_C2</vt:lpstr>
      <vt:lpstr>A022P1_C3</vt:lpstr>
      <vt:lpstr>A022P1_C4</vt:lpstr>
      <vt:lpstr>A022P1_C5</vt:lpstr>
      <vt:lpstr>A022P2_C1</vt:lpstr>
      <vt:lpstr>A022P2_C2</vt:lpstr>
      <vt:lpstr>A022P2_C3</vt:lpstr>
      <vt:lpstr>A022P2_C4</vt:lpstr>
      <vt:lpstr>A022P2_C5</vt:lpstr>
      <vt:lpstr>A022P3_C1</vt:lpstr>
      <vt:lpstr>A022P3_C2</vt:lpstr>
      <vt:lpstr>A022P3_C3</vt:lpstr>
      <vt:lpstr>A022P3_C4</vt:lpstr>
      <vt:lpstr>A022P3_C5</vt:lpstr>
      <vt:lpstr>A022P4_C1</vt:lpstr>
      <vt:lpstr>A022P4_C2</vt:lpstr>
      <vt:lpstr>A022P4_C3</vt:lpstr>
      <vt:lpstr>A022P4_C4</vt:lpstr>
      <vt:lpstr>A022P4_C5</vt:lpstr>
      <vt:lpstr>A022Q_C1</vt:lpstr>
      <vt:lpstr>A022Q_C2</vt:lpstr>
      <vt:lpstr>A022Q_C3</vt:lpstr>
      <vt:lpstr>A022Q_C4</vt:lpstr>
      <vt:lpstr>A022Q_C5</vt:lpstr>
      <vt:lpstr>A022T_C1</vt:lpstr>
      <vt:lpstr>A022T_C2</vt:lpstr>
      <vt:lpstr>A022T_C3</vt:lpstr>
      <vt:lpstr>A022T_C4</vt:lpstr>
      <vt:lpstr>A022T_C5</vt:lpstr>
      <vt:lpstr>A023B_C1</vt:lpstr>
      <vt:lpstr>A023B_C2</vt:lpstr>
      <vt:lpstr>A023B_C3</vt:lpstr>
      <vt:lpstr>A023B_C4</vt:lpstr>
      <vt:lpstr>A023B_C5</vt:lpstr>
      <vt:lpstr>A023C_C1</vt:lpstr>
      <vt:lpstr>A023C_C2</vt:lpstr>
      <vt:lpstr>A023C_C3</vt:lpstr>
      <vt:lpstr>A023C_C4</vt:lpstr>
      <vt:lpstr>A023C_C5</vt:lpstr>
      <vt:lpstr>A023C1_C1</vt:lpstr>
      <vt:lpstr>A023C1_C2</vt:lpstr>
      <vt:lpstr>A023C1_C3</vt:lpstr>
      <vt:lpstr>A023C1_C4</vt:lpstr>
      <vt:lpstr>A023C1_C5</vt:lpstr>
      <vt:lpstr>A023C2_C1</vt:lpstr>
      <vt:lpstr>A023C2_C2</vt:lpstr>
      <vt:lpstr>A023C2_C3</vt:lpstr>
      <vt:lpstr>A023C2_C4</vt:lpstr>
      <vt:lpstr>A023C2_C5</vt:lpstr>
      <vt:lpstr>A023D_C1</vt:lpstr>
      <vt:lpstr>A023D_C2</vt:lpstr>
      <vt:lpstr>A023D_C3</vt:lpstr>
      <vt:lpstr>A023D_C4</vt:lpstr>
      <vt:lpstr>A023D_C5</vt:lpstr>
      <vt:lpstr>A023E_C1</vt:lpstr>
      <vt:lpstr>A023E_C2</vt:lpstr>
      <vt:lpstr>A023E_C3</vt:lpstr>
      <vt:lpstr>A023E_C4</vt:lpstr>
      <vt:lpstr>A023E_C5</vt:lpstr>
      <vt:lpstr>A023F_C1</vt:lpstr>
      <vt:lpstr>A023F_C2</vt:lpstr>
      <vt:lpstr>A023F_C3</vt:lpstr>
      <vt:lpstr>A023F_C4</vt:lpstr>
      <vt:lpstr>A023F_C5</vt:lpstr>
      <vt:lpstr>A023G_C1</vt:lpstr>
      <vt:lpstr>A023G_C2</vt:lpstr>
      <vt:lpstr>A023G_C3</vt:lpstr>
      <vt:lpstr>A023G_C4</vt:lpstr>
      <vt:lpstr>A023G_C5</vt:lpstr>
      <vt:lpstr>A023G1_C1</vt:lpstr>
      <vt:lpstr>A023G1_C2</vt:lpstr>
      <vt:lpstr>A023G1_C3</vt:lpstr>
      <vt:lpstr>A023G1_C4</vt:lpstr>
      <vt:lpstr>A023G1_C5</vt:lpstr>
      <vt:lpstr>A023G2_C1</vt:lpstr>
      <vt:lpstr>A023G2_C2</vt:lpstr>
      <vt:lpstr>A023G2_C3</vt:lpstr>
      <vt:lpstr>A023G2_C4</vt:lpstr>
      <vt:lpstr>A023G2_C5</vt:lpstr>
      <vt:lpstr>A023G3_C1</vt:lpstr>
      <vt:lpstr>A023G3_C2</vt:lpstr>
      <vt:lpstr>A023G3_C3</vt:lpstr>
      <vt:lpstr>A023G3_C4</vt:lpstr>
      <vt:lpstr>A023G3_C5</vt:lpstr>
      <vt:lpstr>A023G4_C1</vt:lpstr>
      <vt:lpstr>A023G4_C2</vt:lpstr>
      <vt:lpstr>A023G4_C3</vt:lpstr>
      <vt:lpstr>A023G4_C4</vt:lpstr>
      <vt:lpstr>A023G4_C5</vt:lpstr>
      <vt:lpstr>A023H_C1</vt:lpstr>
      <vt:lpstr>A023H_C2</vt:lpstr>
      <vt:lpstr>A023H_C3</vt:lpstr>
      <vt:lpstr>A023H_C4</vt:lpstr>
      <vt:lpstr>A023H_C5</vt:lpstr>
      <vt:lpstr>A023P_C1</vt:lpstr>
      <vt:lpstr>A023P_C2</vt:lpstr>
      <vt:lpstr>A023P_C3</vt:lpstr>
      <vt:lpstr>A023P_C4</vt:lpstr>
      <vt:lpstr>A023P_C5</vt:lpstr>
      <vt:lpstr>A023P1_C1</vt:lpstr>
      <vt:lpstr>A023P1_C2</vt:lpstr>
      <vt:lpstr>A023P1_C3</vt:lpstr>
      <vt:lpstr>A023P1_C4</vt:lpstr>
      <vt:lpstr>A023P1_C5</vt:lpstr>
      <vt:lpstr>A023P2_C1</vt:lpstr>
      <vt:lpstr>A023P2_C2</vt:lpstr>
      <vt:lpstr>A023P2_C3</vt:lpstr>
      <vt:lpstr>A023P2_C4</vt:lpstr>
      <vt:lpstr>A023P2_C5</vt:lpstr>
      <vt:lpstr>A023P3_C1</vt:lpstr>
      <vt:lpstr>A023P3_C2</vt:lpstr>
      <vt:lpstr>A023P3_C3</vt:lpstr>
      <vt:lpstr>A023P3_C4</vt:lpstr>
      <vt:lpstr>A023P3_C5</vt:lpstr>
      <vt:lpstr>A023P4_C1</vt:lpstr>
      <vt:lpstr>A023P4_C2</vt:lpstr>
      <vt:lpstr>A023P4_C3</vt:lpstr>
      <vt:lpstr>A023P4_C4</vt:lpstr>
      <vt:lpstr>A023P4_C5</vt:lpstr>
      <vt:lpstr>A023Q_C1</vt:lpstr>
      <vt:lpstr>A023Q_C2</vt:lpstr>
      <vt:lpstr>A023Q_C3</vt:lpstr>
      <vt:lpstr>A023Q_C4</vt:lpstr>
      <vt:lpstr>A023Q_C5</vt:lpstr>
      <vt:lpstr>A023T_C1</vt:lpstr>
      <vt:lpstr>A023T_C2</vt:lpstr>
      <vt:lpstr>A023T_C3</vt:lpstr>
      <vt:lpstr>A023T_C4</vt:lpstr>
      <vt:lpstr>A023T_C5</vt:lpstr>
      <vt:lpstr>A024B_C1</vt:lpstr>
      <vt:lpstr>A024B_C2</vt:lpstr>
      <vt:lpstr>A024B_C3</vt:lpstr>
      <vt:lpstr>A024B_C4</vt:lpstr>
      <vt:lpstr>A024B_C5</vt:lpstr>
      <vt:lpstr>A025A_C1</vt:lpstr>
      <vt:lpstr>A025A_C2</vt:lpstr>
      <vt:lpstr>A025A_C3</vt:lpstr>
      <vt:lpstr>A025A_C4</vt:lpstr>
      <vt:lpstr>A025A_C5</vt:lpstr>
      <vt:lpstr>A025B_C1</vt:lpstr>
      <vt:lpstr>A025B_C2</vt:lpstr>
      <vt:lpstr>A025B_C3</vt:lpstr>
      <vt:lpstr>A025B_C4</vt:lpstr>
      <vt:lpstr>A025B_C5</vt:lpstr>
      <vt:lpstr>A026B_C1</vt:lpstr>
      <vt:lpstr>A026B_C2</vt:lpstr>
      <vt:lpstr>A026B_C3</vt:lpstr>
      <vt:lpstr>A026B_C4</vt:lpstr>
      <vt:lpstr>A026B_C5</vt:lpstr>
      <vt:lpstr>A027B_C1</vt:lpstr>
      <vt:lpstr>A027B_C2</vt:lpstr>
      <vt:lpstr>A027B_C3</vt:lpstr>
      <vt:lpstr>A027B_C4</vt:lpstr>
      <vt:lpstr>A027B_C5</vt:lpstr>
      <vt:lpstr>A028B_C1</vt:lpstr>
      <vt:lpstr>A028B_C2</vt:lpstr>
      <vt:lpstr>A028B_C3</vt:lpstr>
      <vt:lpstr>A028B_C4</vt:lpstr>
      <vt:lpstr>A028B_C5</vt:lpstr>
      <vt:lpstr>A02Y1_C1</vt:lpstr>
      <vt:lpstr>A02Y1_C2</vt:lpstr>
      <vt:lpstr>A02Y1_C3</vt:lpstr>
      <vt:lpstr>A02Y1_C4</vt:lpstr>
      <vt:lpstr>A02Y1_C5</vt:lpstr>
      <vt:lpstr>A031A_C1</vt:lpstr>
      <vt:lpstr>A031A_C2</vt:lpstr>
      <vt:lpstr>A031A_C3</vt:lpstr>
      <vt:lpstr>A031A_C4</vt:lpstr>
      <vt:lpstr>A031A_C5</vt:lpstr>
      <vt:lpstr>A031B_C1</vt:lpstr>
      <vt:lpstr>A031B_C2</vt:lpstr>
      <vt:lpstr>A031B_C3</vt:lpstr>
      <vt:lpstr>A031B_C4</vt:lpstr>
      <vt:lpstr>A031B_C5</vt:lpstr>
      <vt:lpstr>A031C_C1</vt:lpstr>
      <vt:lpstr>A031C_C2</vt:lpstr>
      <vt:lpstr>A031C_C3</vt:lpstr>
      <vt:lpstr>A031C_C4</vt:lpstr>
      <vt:lpstr>A031C_C5</vt:lpstr>
      <vt:lpstr>A031D_C1</vt:lpstr>
      <vt:lpstr>A031D_C2</vt:lpstr>
      <vt:lpstr>A031D_C3</vt:lpstr>
      <vt:lpstr>A031D_C4</vt:lpstr>
      <vt:lpstr>A031D_C5</vt:lpstr>
      <vt:lpstr>A041B_C1</vt:lpstr>
      <vt:lpstr>A041B_C2</vt:lpstr>
      <vt:lpstr>A041B_C3</vt:lpstr>
      <vt:lpstr>A041B_C4</vt:lpstr>
      <vt:lpstr>A041B_C5</vt:lpstr>
      <vt:lpstr>A041C_C1</vt:lpstr>
      <vt:lpstr>A041C_C2</vt:lpstr>
      <vt:lpstr>A041C_C3</vt:lpstr>
      <vt:lpstr>A041C_C4</vt:lpstr>
      <vt:lpstr>A041C_C5</vt:lpstr>
      <vt:lpstr>A041C1_C1</vt:lpstr>
      <vt:lpstr>A041C1_C2</vt:lpstr>
      <vt:lpstr>A041C1_C3</vt:lpstr>
      <vt:lpstr>A041C1_C4</vt:lpstr>
      <vt:lpstr>A041C1_C5</vt:lpstr>
      <vt:lpstr>A041C2_C1</vt:lpstr>
      <vt:lpstr>A041C2_C2</vt:lpstr>
      <vt:lpstr>A041C2_C3</vt:lpstr>
      <vt:lpstr>A041C2_C4</vt:lpstr>
      <vt:lpstr>A041C2_C5</vt:lpstr>
      <vt:lpstr>A041D_C1</vt:lpstr>
      <vt:lpstr>A041D_C2</vt:lpstr>
      <vt:lpstr>A041D_C3</vt:lpstr>
      <vt:lpstr>A041D_C4</vt:lpstr>
      <vt:lpstr>A041D_C5</vt:lpstr>
      <vt:lpstr>A041E_C1</vt:lpstr>
      <vt:lpstr>A041E_C2</vt:lpstr>
      <vt:lpstr>A041E_C3</vt:lpstr>
      <vt:lpstr>A041E_C4</vt:lpstr>
      <vt:lpstr>A041E_C5</vt:lpstr>
      <vt:lpstr>A041F_C1</vt:lpstr>
      <vt:lpstr>A041F_C2</vt:lpstr>
      <vt:lpstr>A041F_C3</vt:lpstr>
      <vt:lpstr>A041F_C4</vt:lpstr>
      <vt:lpstr>A041F_C5</vt:lpstr>
      <vt:lpstr>A041G_C1</vt:lpstr>
      <vt:lpstr>A041G_C2</vt:lpstr>
      <vt:lpstr>A041G_C3</vt:lpstr>
      <vt:lpstr>A041G_C4</vt:lpstr>
      <vt:lpstr>A041G_C5</vt:lpstr>
      <vt:lpstr>A041G1_C1</vt:lpstr>
      <vt:lpstr>A041G1_C2</vt:lpstr>
      <vt:lpstr>A041G1_C3</vt:lpstr>
      <vt:lpstr>A041G1_C4</vt:lpstr>
      <vt:lpstr>A041G1_C5</vt:lpstr>
      <vt:lpstr>A041G2_C1</vt:lpstr>
      <vt:lpstr>A041G2_C2</vt:lpstr>
      <vt:lpstr>A041G2_C3</vt:lpstr>
      <vt:lpstr>A041G2_C4</vt:lpstr>
      <vt:lpstr>A041G2_C5</vt:lpstr>
      <vt:lpstr>A041G3_C1</vt:lpstr>
      <vt:lpstr>A041G3_C2</vt:lpstr>
      <vt:lpstr>A041G3_C3</vt:lpstr>
      <vt:lpstr>A041G3_C4</vt:lpstr>
      <vt:lpstr>A041G3_C5</vt:lpstr>
      <vt:lpstr>A041G4_C1</vt:lpstr>
      <vt:lpstr>A041G4_C2</vt:lpstr>
      <vt:lpstr>A041G4_C3</vt:lpstr>
      <vt:lpstr>A041G4_C4</vt:lpstr>
      <vt:lpstr>A041G4_C5</vt:lpstr>
      <vt:lpstr>A041H_C1</vt:lpstr>
      <vt:lpstr>A041H_C2</vt:lpstr>
      <vt:lpstr>A041H_C3</vt:lpstr>
      <vt:lpstr>A041H_C4</vt:lpstr>
      <vt:lpstr>A041H_C5</vt:lpstr>
      <vt:lpstr>A041H1_C1</vt:lpstr>
      <vt:lpstr>A041H1_C2</vt:lpstr>
      <vt:lpstr>A041H1_C3</vt:lpstr>
      <vt:lpstr>A041H1_C4</vt:lpstr>
      <vt:lpstr>A041H1_C5</vt:lpstr>
      <vt:lpstr>A041I_C1</vt:lpstr>
      <vt:lpstr>A041I_C2</vt:lpstr>
      <vt:lpstr>A041I_C3</vt:lpstr>
      <vt:lpstr>A041I_C4</vt:lpstr>
      <vt:lpstr>A041I_C5</vt:lpstr>
      <vt:lpstr>A041J_C1</vt:lpstr>
      <vt:lpstr>A041J_C2</vt:lpstr>
      <vt:lpstr>A041J_C3</vt:lpstr>
      <vt:lpstr>A041J_C4</vt:lpstr>
      <vt:lpstr>A041J_C5</vt:lpstr>
      <vt:lpstr>A041K_C1</vt:lpstr>
      <vt:lpstr>A041K_C2</vt:lpstr>
      <vt:lpstr>A041K_C3</vt:lpstr>
      <vt:lpstr>A041K_C4</vt:lpstr>
      <vt:lpstr>A041K_C5</vt:lpstr>
      <vt:lpstr>A041L_C1</vt:lpstr>
      <vt:lpstr>A041L_C2</vt:lpstr>
      <vt:lpstr>A041L_C3</vt:lpstr>
      <vt:lpstr>A041L_C4</vt:lpstr>
      <vt:lpstr>A041L_C5</vt:lpstr>
      <vt:lpstr>A041M_C1</vt:lpstr>
      <vt:lpstr>A041M_C2</vt:lpstr>
      <vt:lpstr>A041M_C3</vt:lpstr>
      <vt:lpstr>A041M_C4</vt:lpstr>
      <vt:lpstr>A041M_C5</vt:lpstr>
      <vt:lpstr>A041P_C1</vt:lpstr>
      <vt:lpstr>A041P_C2</vt:lpstr>
      <vt:lpstr>A041P_C3</vt:lpstr>
      <vt:lpstr>A041P_C4</vt:lpstr>
      <vt:lpstr>A041P_C5</vt:lpstr>
      <vt:lpstr>A041P1_C1</vt:lpstr>
      <vt:lpstr>A041P1_C2</vt:lpstr>
      <vt:lpstr>A041P1_C3</vt:lpstr>
      <vt:lpstr>A041P1_C4</vt:lpstr>
      <vt:lpstr>A041P1_C5</vt:lpstr>
      <vt:lpstr>A041P2_C1</vt:lpstr>
      <vt:lpstr>A041P2_C2</vt:lpstr>
      <vt:lpstr>A041P2_C3</vt:lpstr>
      <vt:lpstr>A041P2_C4</vt:lpstr>
      <vt:lpstr>A041P2_C5</vt:lpstr>
      <vt:lpstr>A041P3_C1</vt:lpstr>
      <vt:lpstr>A041P3_C2</vt:lpstr>
      <vt:lpstr>A041P3_C3</vt:lpstr>
      <vt:lpstr>A041P3_C4</vt:lpstr>
      <vt:lpstr>A041P3_C5</vt:lpstr>
      <vt:lpstr>A041P4_C1</vt:lpstr>
      <vt:lpstr>A041P4_C2</vt:lpstr>
      <vt:lpstr>A041P4_C3</vt:lpstr>
      <vt:lpstr>A041P4_C4</vt:lpstr>
      <vt:lpstr>A041P4_C5</vt:lpstr>
      <vt:lpstr>A041Q_C1</vt:lpstr>
      <vt:lpstr>A041Q_C2</vt:lpstr>
      <vt:lpstr>A041Q_C3</vt:lpstr>
      <vt:lpstr>A041Q_C4</vt:lpstr>
      <vt:lpstr>A041Q_C5</vt:lpstr>
      <vt:lpstr>A041R_C1</vt:lpstr>
      <vt:lpstr>A041R_C2</vt:lpstr>
      <vt:lpstr>A041R_C3</vt:lpstr>
      <vt:lpstr>A041R_C4</vt:lpstr>
      <vt:lpstr>A041R_C5</vt:lpstr>
      <vt:lpstr>A041S_C1</vt:lpstr>
      <vt:lpstr>A041S_C2</vt:lpstr>
      <vt:lpstr>A041S_C3</vt:lpstr>
      <vt:lpstr>A041S_C4</vt:lpstr>
      <vt:lpstr>A041S_C5</vt:lpstr>
      <vt:lpstr>A041T_C1</vt:lpstr>
      <vt:lpstr>A041T_C2</vt:lpstr>
      <vt:lpstr>A041T_C3</vt:lpstr>
      <vt:lpstr>A041T_C4</vt:lpstr>
      <vt:lpstr>A041T_C5</vt:lpstr>
      <vt:lpstr>A041U_C1</vt:lpstr>
      <vt:lpstr>A041U_C2</vt:lpstr>
      <vt:lpstr>A041U_C3</vt:lpstr>
      <vt:lpstr>A041U_C4</vt:lpstr>
      <vt:lpstr>A041U_C5</vt:lpstr>
      <vt:lpstr>A041V_C1</vt:lpstr>
      <vt:lpstr>A041V_C2</vt:lpstr>
      <vt:lpstr>A041V_C3</vt:lpstr>
      <vt:lpstr>A041V_C4</vt:lpstr>
      <vt:lpstr>A041V_C5</vt:lpstr>
      <vt:lpstr>A041W_C1</vt:lpstr>
      <vt:lpstr>A041W_C2</vt:lpstr>
      <vt:lpstr>A041W_C3</vt:lpstr>
      <vt:lpstr>A041W_C4</vt:lpstr>
      <vt:lpstr>A041W_C5</vt:lpstr>
      <vt:lpstr>A041W1_C1</vt:lpstr>
      <vt:lpstr>A041W1_C2</vt:lpstr>
      <vt:lpstr>A041W1_C3</vt:lpstr>
      <vt:lpstr>A041W1_C4</vt:lpstr>
      <vt:lpstr>A041W1_C5</vt:lpstr>
      <vt:lpstr>A041X_C1</vt:lpstr>
      <vt:lpstr>A041X_C2</vt:lpstr>
      <vt:lpstr>A041X_C3</vt:lpstr>
      <vt:lpstr>A041X_C4</vt:lpstr>
      <vt:lpstr>A041X_C5</vt:lpstr>
      <vt:lpstr>A041Y_C1</vt:lpstr>
      <vt:lpstr>A041Y_C2</vt:lpstr>
      <vt:lpstr>A041Y_C3</vt:lpstr>
      <vt:lpstr>A041Y_C4</vt:lpstr>
      <vt:lpstr>A041Y_C5</vt:lpstr>
      <vt:lpstr>A041Y1_C1</vt:lpstr>
      <vt:lpstr>A041Y1_C2</vt:lpstr>
      <vt:lpstr>A041Y1_C3</vt:lpstr>
      <vt:lpstr>A041Y1_C4</vt:lpstr>
      <vt:lpstr>A041Y1_C5</vt:lpstr>
      <vt:lpstr>A042_C1</vt:lpstr>
      <vt:lpstr>A042_C2</vt:lpstr>
      <vt:lpstr>A042_C3</vt:lpstr>
      <vt:lpstr>A042_C4</vt:lpstr>
      <vt:lpstr>A042_C5</vt:lpstr>
      <vt:lpstr>A042A_C1</vt:lpstr>
      <vt:lpstr>A042A_C2</vt:lpstr>
      <vt:lpstr>A042A_C3</vt:lpstr>
      <vt:lpstr>A042A_C4</vt:lpstr>
      <vt:lpstr>A042A_C5</vt:lpstr>
      <vt:lpstr>A042A1_C1</vt:lpstr>
      <vt:lpstr>A042A1_C2</vt:lpstr>
      <vt:lpstr>A042A1_C3</vt:lpstr>
      <vt:lpstr>A042A1_C4</vt:lpstr>
      <vt:lpstr>A042A1_C5</vt:lpstr>
      <vt:lpstr>A042A2_C1</vt:lpstr>
      <vt:lpstr>A042A2_C2</vt:lpstr>
      <vt:lpstr>A042A2_C3</vt:lpstr>
      <vt:lpstr>A042A2_C4</vt:lpstr>
      <vt:lpstr>A042A2_C5</vt:lpstr>
      <vt:lpstr>A042A3_C1</vt:lpstr>
      <vt:lpstr>A042A3_C2</vt:lpstr>
      <vt:lpstr>A042A3_C3</vt:lpstr>
      <vt:lpstr>A042A3_C4</vt:lpstr>
      <vt:lpstr>A042A3_C5</vt:lpstr>
      <vt:lpstr>A042A4_C1</vt:lpstr>
      <vt:lpstr>A042A4_C2</vt:lpstr>
      <vt:lpstr>A042A4_C3</vt:lpstr>
      <vt:lpstr>A042A4_C4</vt:lpstr>
      <vt:lpstr>A042A4_C5</vt:lpstr>
      <vt:lpstr>A042A5_C1</vt:lpstr>
      <vt:lpstr>A042A5_C2</vt:lpstr>
      <vt:lpstr>A042A5_C3</vt:lpstr>
      <vt:lpstr>A042A5_C4</vt:lpstr>
      <vt:lpstr>A042A5_C5</vt:lpstr>
      <vt:lpstr>A042A6_C1</vt:lpstr>
      <vt:lpstr>A042A6_C2</vt:lpstr>
      <vt:lpstr>A042A6_C3</vt:lpstr>
      <vt:lpstr>A042A6_C4</vt:lpstr>
      <vt:lpstr>A042A6_C5</vt:lpstr>
      <vt:lpstr>A042A7_C1</vt:lpstr>
      <vt:lpstr>A042A7_C2</vt:lpstr>
      <vt:lpstr>A042A7_C3</vt:lpstr>
      <vt:lpstr>A042A7_C4</vt:lpstr>
      <vt:lpstr>A042A7_C5</vt:lpstr>
      <vt:lpstr>A042A8_C1</vt:lpstr>
      <vt:lpstr>A042A8_C2</vt:lpstr>
      <vt:lpstr>A042A8_C3</vt:lpstr>
      <vt:lpstr>A042A8_C4</vt:lpstr>
      <vt:lpstr>A042A8_C5</vt:lpstr>
      <vt:lpstr>A042A9_C1</vt:lpstr>
      <vt:lpstr>A042A9_C2</vt:lpstr>
      <vt:lpstr>A042A9_C3</vt:lpstr>
      <vt:lpstr>A042A9_C4</vt:lpstr>
      <vt:lpstr>A042A9_C5</vt:lpstr>
      <vt:lpstr>A045B_C1</vt:lpstr>
      <vt:lpstr>A045B_C2</vt:lpstr>
      <vt:lpstr>A045B_C3</vt:lpstr>
      <vt:lpstr>A045B_C4</vt:lpstr>
      <vt:lpstr>A045B_C5</vt:lpstr>
      <vt:lpstr>A058A_C1</vt:lpstr>
      <vt:lpstr>A058A_C2</vt:lpstr>
      <vt:lpstr>A058A_C3</vt:lpstr>
      <vt:lpstr>A058A_C4</vt:lpstr>
      <vt:lpstr>A058A_C5</vt:lpstr>
      <vt:lpstr>A058B1_C1</vt:lpstr>
      <vt:lpstr>A058B1_C2</vt:lpstr>
      <vt:lpstr>A058B1_C3</vt:lpstr>
      <vt:lpstr>A058B1_C4</vt:lpstr>
      <vt:lpstr>A058B1_C5</vt:lpstr>
      <vt:lpstr>A058B2_C1</vt:lpstr>
      <vt:lpstr>A058B2_C2</vt:lpstr>
      <vt:lpstr>A058B2_C3</vt:lpstr>
      <vt:lpstr>A058B2_C4</vt:lpstr>
      <vt:lpstr>A058B2_C5</vt:lpstr>
      <vt:lpstr>A058C_C1</vt:lpstr>
      <vt:lpstr>A058C_C2</vt:lpstr>
      <vt:lpstr>A058C_C3</vt:lpstr>
      <vt:lpstr>A058C_C4</vt:lpstr>
      <vt:lpstr>A058C_C5</vt:lpstr>
      <vt:lpstr>A065_C1</vt:lpstr>
      <vt:lpstr>A065_C2</vt:lpstr>
      <vt:lpstr>A065_C3</vt:lpstr>
      <vt:lpstr>A065_C4</vt:lpstr>
      <vt:lpstr>A065_C5</vt:lpstr>
      <vt:lpstr>A065A4_C1</vt:lpstr>
      <vt:lpstr>A065A4_C2</vt:lpstr>
      <vt:lpstr>A065A4_C3</vt:lpstr>
      <vt:lpstr>A065A4_C4</vt:lpstr>
      <vt:lpstr>A065A4_C5</vt:lpstr>
      <vt:lpstr>A067_C1</vt:lpstr>
      <vt:lpstr>A067_C2</vt:lpstr>
      <vt:lpstr>A067_C3</vt:lpstr>
      <vt:lpstr>A067_C4</vt:lpstr>
      <vt:lpstr>A067_C5</vt:lpstr>
      <vt:lpstr>A067A2_C1</vt:lpstr>
      <vt:lpstr>A067A2_C2</vt:lpstr>
      <vt:lpstr>A067A2_C3</vt:lpstr>
      <vt:lpstr>A067A2_C4</vt:lpstr>
      <vt:lpstr>A067A2_C5</vt:lpstr>
      <vt:lpstr>A068_C1</vt:lpstr>
      <vt:lpstr>A068_C2</vt:lpstr>
      <vt:lpstr>A068_C3</vt:lpstr>
      <vt:lpstr>A068_C4</vt:lpstr>
      <vt:lpstr>A068_C5</vt:lpstr>
      <vt:lpstr>A068A_C1</vt:lpstr>
      <vt:lpstr>A068A_C2</vt:lpstr>
      <vt:lpstr>A068A_C3</vt:lpstr>
      <vt:lpstr>A068A_C4</vt:lpstr>
      <vt:lpstr>A068A_C5</vt:lpstr>
      <vt:lpstr>A069_C1</vt:lpstr>
      <vt:lpstr>A069_C2</vt:lpstr>
      <vt:lpstr>A069_C3</vt:lpstr>
      <vt:lpstr>A069_C4</vt:lpstr>
      <vt:lpstr>A069_C5</vt:lpstr>
      <vt:lpstr>A069A_C1</vt:lpstr>
      <vt:lpstr>A069A_C2</vt:lpstr>
      <vt:lpstr>A069A_C3</vt:lpstr>
      <vt:lpstr>A069A_C4</vt:lpstr>
      <vt:lpstr>A069A_C5</vt:lpstr>
      <vt:lpstr>A071F_C1</vt:lpstr>
      <vt:lpstr>A071F_C2</vt:lpstr>
      <vt:lpstr>A071F_C3</vt:lpstr>
      <vt:lpstr>A071F_C4</vt:lpstr>
      <vt:lpstr>A071F_C5</vt:lpstr>
      <vt:lpstr>A071J_C1</vt:lpstr>
      <vt:lpstr>A071J_C2</vt:lpstr>
      <vt:lpstr>A071J_C3</vt:lpstr>
      <vt:lpstr>A071J_C4</vt:lpstr>
      <vt:lpstr>A071J_C5</vt:lpstr>
      <vt:lpstr>A076_1_C1</vt:lpstr>
      <vt:lpstr>A076_1_C2</vt:lpstr>
      <vt:lpstr>A076_1_C3</vt:lpstr>
      <vt:lpstr>A076_1_C4</vt:lpstr>
      <vt:lpstr>A076_1_C5</vt:lpstr>
      <vt:lpstr>A076_2_C1</vt:lpstr>
      <vt:lpstr>A076_2_C2</vt:lpstr>
      <vt:lpstr>A076_2_C3</vt:lpstr>
      <vt:lpstr>A076_2_C4</vt:lpstr>
      <vt:lpstr>A076_2_C5</vt:lpstr>
      <vt:lpstr>A076_3_C1</vt:lpstr>
      <vt:lpstr>A076_3_C2</vt:lpstr>
      <vt:lpstr>A076_3_C3</vt:lpstr>
      <vt:lpstr>A076_3_C4</vt:lpstr>
      <vt:lpstr>A076_3_C5</vt:lpstr>
      <vt:lpstr>A076_4_C1</vt:lpstr>
      <vt:lpstr>A076_4_C2</vt:lpstr>
      <vt:lpstr>A076_4_C3</vt:lpstr>
      <vt:lpstr>A076_4_C4</vt:lpstr>
      <vt:lpstr>A076_4_C5</vt:lpstr>
      <vt:lpstr>A076_5_C1</vt:lpstr>
      <vt:lpstr>A076_5_C2</vt:lpstr>
      <vt:lpstr>A076_5_C3</vt:lpstr>
      <vt:lpstr>A076_5_C4</vt:lpstr>
      <vt:lpstr>A076_5_C5</vt:lpstr>
      <vt:lpstr>A076_C1</vt:lpstr>
      <vt:lpstr>A076_C2</vt:lpstr>
      <vt:lpstr>A076_C3</vt:lpstr>
      <vt:lpstr>A076_C4</vt:lpstr>
      <vt:lpstr>A076_C5</vt:lpstr>
      <vt:lpstr>A081_C1</vt:lpstr>
      <vt:lpstr>A081_C2</vt:lpstr>
      <vt:lpstr>A081_C3</vt:lpstr>
      <vt:lpstr>A081_C4</vt:lpstr>
      <vt:lpstr>A081_C5</vt:lpstr>
      <vt:lpstr>A082_C1</vt:lpstr>
      <vt:lpstr>A082_C2</vt:lpstr>
      <vt:lpstr>A082_C3</vt:lpstr>
      <vt:lpstr>A082_C4</vt:lpstr>
      <vt:lpstr>A082_C5</vt:lpstr>
      <vt:lpstr>A083_C1</vt:lpstr>
      <vt:lpstr>A083_C2</vt:lpstr>
      <vt:lpstr>A083_C3</vt:lpstr>
      <vt:lpstr>A083_C4</vt:lpstr>
      <vt:lpstr>A083_C5</vt:lpstr>
      <vt:lpstr>A084_C1</vt:lpstr>
      <vt:lpstr>A084_C2</vt:lpstr>
      <vt:lpstr>A084_C3</vt:lpstr>
      <vt:lpstr>A084_C4</vt:lpstr>
      <vt:lpstr>A084_C5</vt:lpstr>
      <vt:lpstr>A088_C1</vt:lpstr>
      <vt:lpstr>A088_C2</vt:lpstr>
      <vt:lpstr>A088_C3</vt:lpstr>
      <vt:lpstr>A088_C4</vt:lpstr>
      <vt:lpstr>A088_C5</vt:lpstr>
      <vt:lpstr>A089B_C1</vt:lpstr>
      <vt:lpstr>A089B_C2</vt:lpstr>
      <vt:lpstr>A089B_C3</vt:lpstr>
      <vt:lpstr>A089B_C4</vt:lpstr>
      <vt:lpstr>A089B_C5</vt:lpstr>
      <vt:lpstr>A1001A_C1</vt:lpstr>
      <vt:lpstr>A1001A_C2</vt:lpstr>
      <vt:lpstr>A1001A_C3</vt:lpstr>
      <vt:lpstr>A1001A_C4</vt:lpstr>
      <vt:lpstr>A1001A_C5</vt:lpstr>
      <vt:lpstr>A1001B_C1</vt:lpstr>
      <vt:lpstr>A1001B_C2</vt:lpstr>
      <vt:lpstr>A1001B_C3</vt:lpstr>
      <vt:lpstr>A1001B_C4</vt:lpstr>
      <vt:lpstr>A1001B_C5</vt:lpstr>
      <vt:lpstr>A1001C_C1</vt:lpstr>
      <vt:lpstr>A1001C_C2</vt:lpstr>
      <vt:lpstr>A1001C_C3</vt:lpstr>
      <vt:lpstr>A1001C_C4</vt:lpstr>
      <vt:lpstr>A1001C_C5</vt:lpstr>
      <vt:lpstr>A1001D_C1</vt:lpstr>
      <vt:lpstr>A1001D_C2</vt:lpstr>
      <vt:lpstr>A1001D_C3</vt:lpstr>
      <vt:lpstr>A1001D_C4</vt:lpstr>
      <vt:lpstr>A1001D_C5</vt:lpstr>
      <vt:lpstr>A1001E_C1</vt:lpstr>
      <vt:lpstr>A1001E_C2</vt:lpstr>
      <vt:lpstr>A1001E_C3</vt:lpstr>
      <vt:lpstr>A1001E_C4</vt:lpstr>
      <vt:lpstr>A1001E_C5</vt:lpstr>
      <vt:lpstr>A1001F_C1</vt:lpstr>
      <vt:lpstr>A1001F_C2</vt:lpstr>
      <vt:lpstr>A1001F_C3</vt:lpstr>
      <vt:lpstr>A1001F_C4</vt:lpstr>
      <vt:lpstr>A1001F_C5</vt:lpstr>
      <vt:lpstr>A1003_C1</vt:lpstr>
      <vt:lpstr>A1003_C2</vt:lpstr>
      <vt:lpstr>A1003_C3</vt:lpstr>
      <vt:lpstr>A1003_C4</vt:lpstr>
      <vt:lpstr>A1003_C5</vt:lpstr>
      <vt:lpstr>A1004_C1</vt:lpstr>
      <vt:lpstr>A1004_C2</vt:lpstr>
      <vt:lpstr>A1004_C3</vt:lpstr>
      <vt:lpstr>A1004_C4</vt:lpstr>
      <vt:lpstr>A1004_C5</vt:lpstr>
      <vt:lpstr>A1005_C1</vt:lpstr>
      <vt:lpstr>A1005_C2</vt:lpstr>
      <vt:lpstr>A1005_C3</vt:lpstr>
      <vt:lpstr>A1005_C4</vt:lpstr>
      <vt:lpstr>A1005_C5</vt:lpstr>
      <vt:lpstr>A1005A_C1</vt:lpstr>
      <vt:lpstr>A1005A_C2</vt:lpstr>
      <vt:lpstr>A1005A_C3</vt:lpstr>
      <vt:lpstr>A1005A_C4</vt:lpstr>
      <vt:lpstr>A1005A_C5</vt:lpstr>
      <vt:lpstr>A1011A_C1</vt:lpstr>
      <vt:lpstr>A1011A_C2</vt:lpstr>
      <vt:lpstr>A1011A_C3</vt:lpstr>
      <vt:lpstr>A1011A_C4</vt:lpstr>
      <vt:lpstr>A1011A_C5</vt:lpstr>
      <vt:lpstr>A1011B_C1</vt:lpstr>
      <vt:lpstr>A1011B_C2</vt:lpstr>
      <vt:lpstr>A1011B_C3</vt:lpstr>
      <vt:lpstr>A1011B_C4</vt:lpstr>
      <vt:lpstr>A1011B_C5</vt:lpstr>
      <vt:lpstr>A1011C_C1</vt:lpstr>
      <vt:lpstr>A1011C_C2</vt:lpstr>
      <vt:lpstr>A1011C_C3</vt:lpstr>
      <vt:lpstr>A1011C_C4</vt:lpstr>
      <vt:lpstr>A1011C_C5</vt:lpstr>
      <vt:lpstr>A1011D_C1</vt:lpstr>
      <vt:lpstr>A1011D_C2</vt:lpstr>
      <vt:lpstr>A1011D_C3</vt:lpstr>
      <vt:lpstr>A1011D_C4</vt:lpstr>
      <vt:lpstr>A1011D_C5</vt:lpstr>
      <vt:lpstr>A1011E_C1</vt:lpstr>
      <vt:lpstr>A1011E_C2</vt:lpstr>
      <vt:lpstr>A1011E_C3</vt:lpstr>
      <vt:lpstr>A1011E_C4</vt:lpstr>
      <vt:lpstr>A1011E_C5</vt:lpstr>
      <vt:lpstr>A1011F_C1</vt:lpstr>
      <vt:lpstr>A1011F_C2</vt:lpstr>
      <vt:lpstr>A1011F_C3</vt:lpstr>
      <vt:lpstr>A1011F_C4</vt:lpstr>
      <vt:lpstr>A1011F_C5</vt:lpstr>
      <vt:lpstr>A1011G_C1</vt:lpstr>
      <vt:lpstr>A1011G_C2</vt:lpstr>
      <vt:lpstr>A1011G_C3</vt:lpstr>
      <vt:lpstr>A1011G_C4</vt:lpstr>
      <vt:lpstr>A1011G_C5</vt:lpstr>
      <vt:lpstr>A1013_C1</vt:lpstr>
      <vt:lpstr>A1013_C2</vt:lpstr>
      <vt:lpstr>A1013_C3</vt:lpstr>
      <vt:lpstr>A1013_C4</vt:lpstr>
      <vt:lpstr>A1013_C5</vt:lpstr>
      <vt:lpstr>A1020_C1</vt:lpstr>
      <vt:lpstr>A1020_C2</vt:lpstr>
      <vt:lpstr>A1020_C3</vt:lpstr>
      <vt:lpstr>A1020_C4</vt:lpstr>
      <vt:lpstr>A1020_C5</vt:lpstr>
      <vt:lpstr>A1020C_C1</vt:lpstr>
      <vt:lpstr>A1020C_C2</vt:lpstr>
      <vt:lpstr>A1020C_C3</vt:lpstr>
      <vt:lpstr>A1020C_C4</vt:lpstr>
      <vt:lpstr>A1020C_C5</vt:lpstr>
      <vt:lpstr>A1020Y_C1</vt:lpstr>
      <vt:lpstr>A1020Y_C2</vt:lpstr>
      <vt:lpstr>A1020Y_C3</vt:lpstr>
      <vt:lpstr>A1020Y_C4</vt:lpstr>
      <vt:lpstr>A1020Y_C5</vt:lpstr>
      <vt:lpstr>A1021_C1</vt:lpstr>
      <vt:lpstr>A1021_C2</vt:lpstr>
      <vt:lpstr>A1021_C3</vt:lpstr>
      <vt:lpstr>A1021_C4</vt:lpstr>
      <vt:lpstr>A1021_C5</vt:lpstr>
      <vt:lpstr>A1021C_C1</vt:lpstr>
      <vt:lpstr>A1021C_C2</vt:lpstr>
      <vt:lpstr>A1021C_C3</vt:lpstr>
      <vt:lpstr>A1021C_C4</vt:lpstr>
      <vt:lpstr>A1021C_C5</vt:lpstr>
      <vt:lpstr>A1021Y_C1</vt:lpstr>
      <vt:lpstr>A1021Y_C2</vt:lpstr>
      <vt:lpstr>A1021Y_C3</vt:lpstr>
      <vt:lpstr>A1021Y_C4</vt:lpstr>
      <vt:lpstr>A1021Y_C5</vt:lpstr>
      <vt:lpstr>A1022C_C1</vt:lpstr>
      <vt:lpstr>A1022C_C2</vt:lpstr>
      <vt:lpstr>A1022C_C3</vt:lpstr>
      <vt:lpstr>A1022C_C4</vt:lpstr>
      <vt:lpstr>A1022C_C5</vt:lpstr>
      <vt:lpstr>A1023_C1</vt:lpstr>
      <vt:lpstr>A1023_C2</vt:lpstr>
      <vt:lpstr>A1023_C3</vt:lpstr>
      <vt:lpstr>A1023_C4</vt:lpstr>
      <vt:lpstr>A1023_C5</vt:lpstr>
      <vt:lpstr>A1023Y_C1</vt:lpstr>
      <vt:lpstr>A1023Y_C2</vt:lpstr>
      <vt:lpstr>A1023Y_C3</vt:lpstr>
      <vt:lpstr>A1023Y_C4</vt:lpstr>
      <vt:lpstr>A1023Y_C5</vt:lpstr>
      <vt:lpstr>A102C_C4</vt:lpstr>
      <vt:lpstr>A102C_C5</vt:lpstr>
      <vt:lpstr>A1030_C1</vt:lpstr>
      <vt:lpstr>A1030_C2</vt:lpstr>
      <vt:lpstr>A1030_C3</vt:lpstr>
      <vt:lpstr>A1030_C4</vt:lpstr>
      <vt:lpstr>A1030_C5</vt:lpstr>
      <vt:lpstr>A1030C_C1</vt:lpstr>
      <vt:lpstr>A1030C_C2</vt:lpstr>
      <vt:lpstr>A1030C_C3</vt:lpstr>
      <vt:lpstr>A1030C_C4</vt:lpstr>
      <vt:lpstr>A1030C_C5</vt:lpstr>
      <vt:lpstr>A1031_C1</vt:lpstr>
      <vt:lpstr>A1031_C2</vt:lpstr>
      <vt:lpstr>A1031_C3</vt:lpstr>
      <vt:lpstr>A1031_C4</vt:lpstr>
      <vt:lpstr>A1031_C5</vt:lpstr>
      <vt:lpstr>A1032_C1</vt:lpstr>
      <vt:lpstr>A1032_C2</vt:lpstr>
      <vt:lpstr>A1032_C3</vt:lpstr>
      <vt:lpstr>A1032_C4</vt:lpstr>
      <vt:lpstr>A1032_C5</vt:lpstr>
      <vt:lpstr>A1033_C1</vt:lpstr>
      <vt:lpstr>A1033_C2</vt:lpstr>
      <vt:lpstr>A1033_C3</vt:lpstr>
      <vt:lpstr>A1033_C4</vt:lpstr>
      <vt:lpstr>A1033_C5</vt:lpstr>
      <vt:lpstr>A1034_C1</vt:lpstr>
      <vt:lpstr>A1034_C2</vt:lpstr>
      <vt:lpstr>A1034_C3</vt:lpstr>
      <vt:lpstr>A1034_C4</vt:lpstr>
      <vt:lpstr>A1034_C5</vt:lpstr>
      <vt:lpstr>A1061_C1</vt:lpstr>
      <vt:lpstr>A1061_C2</vt:lpstr>
      <vt:lpstr>A1061_C3</vt:lpstr>
      <vt:lpstr>A1061_C4</vt:lpstr>
      <vt:lpstr>A1061_C5</vt:lpstr>
      <vt:lpstr>A1062_C1</vt:lpstr>
      <vt:lpstr>A1062_C2</vt:lpstr>
      <vt:lpstr>A1062_C3</vt:lpstr>
      <vt:lpstr>A1062_C4</vt:lpstr>
      <vt:lpstr>A1062_C5</vt:lpstr>
      <vt:lpstr>A1063_C1</vt:lpstr>
      <vt:lpstr>A1063_C2</vt:lpstr>
      <vt:lpstr>A1063_C3</vt:lpstr>
      <vt:lpstr>A1063_C4</vt:lpstr>
      <vt:lpstr>A1063_C5</vt:lpstr>
      <vt:lpstr>A110_C1</vt:lpstr>
      <vt:lpstr>A110_C2</vt:lpstr>
      <vt:lpstr>A110_C3</vt:lpstr>
      <vt:lpstr>A110_C4</vt:lpstr>
      <vt:lpstr>A110_C5</vt:lpstr>
      <vt:lpstr>A115_C1</vt:lpstr>
      <vt:lpstr>A115_C2</vt:lpstr>
      <vt:lpstr>A115_C3</vt:lpstr>
      <vt:lpstr>A115_C4</vt:lpstr>
      <vt:lpstr>A115_C5</vt:lpstr>
      <vt:lpstr>A116_C1</vt:lpstr>
      <vt:lpstr>A116_C2</vt:lpstr>
      <vt:lpstr>A116_C3</vt:lpstr>
      <vt:lpstr>A116_C4</vt:lpstr>
      <vt:lpstr>A116_C5</vt:lpstr>
      <vt:lpstr>A117_C1</vt:lpstr>
      <vt:lpstr>A117_C2</vt:lpstr>
      <vt:lpstr>A117_C3</vt:lpstr>
      <vt:lpstr>A117_C4</vt:lpstr>
      <vt:lpstr>A117_C5</vt:lpstr>
      <vt:lpstr>A119_C1</vt:lpstr>
      <vt:lpstr>A119_C2</vt:lpstr>
      <vt:lpstr>A119_C3</vt:lpstr>
      <vt:lpstr>A119_C4</vt:lpstr>
      <vt:lpstr>A119_C5</vt:lpstr>
      <vt:lpstr>A120_C1</vt:lpstr>
      <vt:lpstr>A120_C2</vt:lpstr>
      <vt:lpstr>A120_C3</vt:lpstr>
      <vt:lpstr>A120_C4</vt:lpstr>
      <vt:lpstr>A120_C5</vt:lpstr>
      <vt:lpstr>A124_C1</vt:lpstr>
      <vt:lpstr>A124_C2</vt:lpstr>
      <vt:lpstr>A124_C3</vt:lpstr>
      <vt:lpstr>A124_C4</vt:lpstr>
      <vt:lpstr>A124_C5</vt:lpstr>
      <vt:lpstr>A125A_C1</vt:lpstr>
      <vt:lpstr>A125A_C2</vt:lpstr>
      <vt:lpstr>A125A_C3</vt:lpstr>
      <vt:lpstr>A125A_C4</vt:lpstr>
      <vt:lpstr>A125A_C5</vt:lpstr>
      <vt:lpstr>A125B_C1</vt:lpstr>
      <vt:lpstr>A125B_C2</vt:lpstr>
      <vt:lpstr>A125B_C3</vt:lpstr>
      <vt:lpstr>A125B_C4</vt:lpstr>
      <vt:lpstr>A125B_C5</vt:lpstr>
      <vt:lpstr>A125C_C1</vt:lpstr>
      <vt:lpstr>A125C_C2</vt:lpstr>
      <vt:lpstr>A125C_C3</vt:lpstr>
      <vt:lpstr>A125C_C4</vt:lpstr>
      <vt:lpstr>A125C_C5</vt:lpstr>
      <vt:lpstr>A125D_C1</vt:lpstr>
      <vt:lpstr>A125D_C2</vt:lpstr>
      <vt:lpstr>A125D_C3</vt:lpstr>
      <vt:lpstr>A125D_C4</vt:lpstr>
      <vt:lpstr>A125D_C5</vt:lpstr>
      <vt:lpstr>A125E_C1</vt:lpstr>
      <vt:lpstr>A125E_C2</vt:lpstr>
      <vt:lpstr>A125E_C3</vt:lpstr>
      <vt:lpstr>A125E_C4</vt:lpstr>
      <vt:lpstr>A125E_C5</vt:lpstr>
      <vt:lpstr>A126A_C1</vt:lpstr>
      <vt:lpstr>A126A_C2</vt:lpstr>
      <vt:lpstr>A126A_C3</vt:lpstr>
      <vt:lpstr>A126A_C4</vt:lpstr>
      <vt:lpstr>A126A_C5</vt:lpstr>
      <vt:lpstr>A126B_C1</vt:lpstr>
      <vt:lpstr>A126B_C2</vt:lpstr>
      <vt:lpstr>A126B_C3</vt:lpstr>
      <vt:lpstr>A126B_C4</vt:lpstr>
      <vt:lpstr>A126B_C5</vt:lpstr>
      <vt:lpstr>A126C_C1</vt:lpstr>
      <vt:lpstr>A126C_C2</vt:lpstr>
      <vt:lpstr>A126C_C3</vt:lpstr>
      <vt:lpstr>A126C_C4</vt:lpstr>
      <vt:lpstr>A126C_C5</vt:lpstr>
      <vt:lpstr>A126D_C1</vt:lpstr>
      <vt:lpstr>A126D_C2</vt:lpstr>
      <vt:lpstr>A126D_C3</vt:lpstr>
      <vt:lpstr>A126D_C4</vt:lpstr>
      <vt:lpstr>A126D_C5</vt:lpstr>
      <vt:lpstr>A126E_C1</vt:lpstr>
      <vt:lpstr>A126E_C2</vt:lpstr>
      <vt:lpstr>A126E_C3</vt:lpstr>
      <vt:lpstr>A126E_C4</vt:lpstr>
      <vt:lpstr>A126E_C5</vt:lpstr>
      <vt:lpstr>A127B_C1</vt:lpstr>
      <vt:lpstr>A127B_C2</vt:lpstr>
      <vt:lpstr>A127B_C3</vt:lpstr>
      <vt:lpstr>A127B_C4</vt:lpstr>
      <vt:lpstr>A127B_C5</vt:lpstr>
      <vt:lpstr>A128B_C1</vt:lpstr>
      <vt:lpstr>A128B_C2</vt:lpstr>
      <vt:lpstr>A128B_C3</vt:lpstr>
      <vt:lpstr>A128B_C4</vt:lpstr>
      <vt:lpstr>A128B_C5</vt:lpstr>
      <vt:lpstr>A129B_C1</vt:lpstr>
      <vt:lpstr>A129B_C2</vt:lpstr>
      <vt:lpstr>A129B_C3</vt:lpstr>
      <vt:lpstr>A129B_C4</vt:lpstr>
      <vt:lpstr>A129B_C5</vt:lpstr>
      <vt:lpstr>A130B_C1</vt:lpstr>
      <vt:lpstr>A130B_C2</vt:lpstr>
      <vt:lpstr>A130B_C3</vt:lpstr>
      <vt:lpstr>A130B_C4</vt:lpstr>
      <vt:lpstr>A130B_C5</vt:lpstr>
      <vt:lpstr>A131_C1</vt:lpstr>
      <vt:lpstr>A131_C2</vt:lpstr>
      <vt:lpstr>A131_C3</vt:lpstr>
      <vt:lpstr>A131_C4</vt:lpstr>
      <vt:lpstr>A131_C5</vt:lpstr>
      <vt:lpstr>A132_C1</vt:lpstr>
      <vt:lpstr>A132_C2</vt:lpstr>
      <vt:lpstr>A132_C3</vt:lpstr>
      <vt:lpstr>A132_C4</vt:lpstr>
      <vt:lpstr>A132_C5</vt:lpstr>
      <vt:lpstr>A133_C1</vt:lpstr>
      <vt:lpstr>A133_C2</vt:lpstr>
      <vt:lpstr>A133_C3</vt:lpstr>
      <vt:lpstr>A133_C4</vt:lpstr>
      <vt:lpstr>A133_C5</vt:lpstr>
      <vt:lpstr>A134_C1</vt:lpstr>
      <vt:lpstr>A134_C2</vt:lpstr>
      <vt:lpstr>A134_C3</vt:lpstr>
      <vt:lpstr>A134_C4</vt:lpstr>
      <vt:lpstr>A134_C5</vt:lpstr>
      <vt:lpstr>A135_C1</vt:lpstr>
      <vt:lpstr>A135_C2</vt:lpstr>
      <vt:lpstr>A135_C3</vt:lpstr>
      <vt:lpstr>A135_C4</vt:lpstr>
      <vt:lpstr>A135_C5</vt:lpstr>
      <vt:lpstr>A136_C1</vt:lpstr>
      <vt:lpstr>A136_C2</vt:lpstr>
      <vt:lpstr>A136_C3</vt:lpstr>
      <vt:lpstr>A136_C4</vt:lpstr>
      <vt:lpstr>A136_C5</vt:lpstr>
      <vt:lpstr>A137_C1</vt:lpstr>
      <vt:lpstr>A137_C2</vt:lpstr>
      <vt:lpstr>A137_C3</vt:lpstr>
      <vt:lpstr>A137_C4</vt:lpstr>
      <vt:lpstr>A137_C5</vt:lpstr>
      <vt:lpstr>A143A_C1</vt:lpstr>
      <vt:lpstr>A143A_C2</vt:lpstr>
      <vt:lpstr>A143A_C3</vt:lpstr>
      <vt:lpstr>A143A_C4</vt:lpstr>
      <vt:lpstr>A143A_C5</vt:lpstr>
      <vt:lpstr>A143A1_C1</vt:lpstr>
      <vt:lpstr>A143A1_C2</vt:lpstr>
      <vt:lpstr>A143A1_C3</vt:lpstr>
      <vt:lpstr>A143A1_C4</vt:lpstr>
      <vt:lpstr>A143A1_C5</vt:lpstr>
      <vt:lpstr>A143A2_C1</vt:lpstr>
      <vt:lpstr>A143A2_C2</vt:lpstr>
      <vt:lpstr>A143A2_C3</vt:lpstr>
      <vt:lpstr>A143A2_C4</vt:lpstr>
      <vt:lpstr>A143A2_C5</vt:lpstr>
      <vt:lpstr>A143A3_C1</vt:lpstr>
      <vt:lpstr>A143A3_C2</vt:lpstr>
      <vt:lpstr>A143A3_C3</vt:lpstr>
      <vt:lpstr>A143A3_C4</vt:lpstr>
      <vt:lpstr>A143A3_C5</vt:lpstr>
      <vt:lpstr>A143A4_C1</vt:lpstr>
      <vt:lpstr>A143A4_C2</vt:lpstr>
      <vt:lpstr>A143A4_C3</vt:lpstr>
      <vt:lpstr>A143A4_C4</vt:lpstr>
      <vt:lpstr>A143A4_C5</vt:lpstr>
      <vt:lpstr>A143B_C1</vt:lpstr>
      <vt:lpstr>A143B_C2</vt:lpstr>
      <vt:lpstr>A143B_C3</vt:lpstr>
      <vt:lpstr>A143B_C4</vt:lpstr>
      <vt:lpstr>A143B_C5</vt:lpstr>
      <vt:lpstr>A143B1_C1</vt:lpstr>
      <vt:lpstr>A143B1_C2</vt:lpstr>
      <vt:lpstr>A143B1_C3</vt:lpstr>
      <vt:lpstr>A143B1_C4</vt:lpstr>
      <vt:lpstr>A143B1_C5</vt:lpstr>
      <vt:lpstr>A143B2_C1</vt:lpstr>
      <vt:lpstr>A143B2_C2</vt:lpstr>
      <vt:lpstr>A143B2_C3</vt:lpstr>
      <vt:lpstr>A143B2_C4</vt:lpstr>
      <vt:lpstr>A143B2_C5</vt:lpstr>
      <vt:lpstr>A143B3_C1</vt:lpstr>
      <vt:lpstr>A143B3_C2</vt:lpstr>
      <vt:lpstr>A143B3_C3</vt:lpstr>
      <vt:lpstr>A143B3_C4</vt:lpstr>
      <vt:lpstr>A143B3_C5</vt:lpstr>
      <vt:lpstr>A143B4_C1</vt:lpstr>
      <vt:lpstr>A143B4_C2</vt:lpstr>
      <vt:lpstr>A143B4_C3</vt:lpstr>
      <vt:lpstr>A143B4_C4</vt:lpstr>
      <vt:lpstr>A143B4_C5</vt:lpstr>
      <vt:lpstr>A210_C1</vt:lpstr>
      <vt:lpstr>A210_C2</vt:lpstr>
      <vt:lpstr>A210_C3</vt:lpstr>
      <vt:lpstr>A210_C4</vt:lpstr>
      <vt:lpstr>A210_C5</vt:lpstr>
      <vt:lpstr>A230_C1</vt:lpstr>
      <vt:lpstr>A230_C2</vt:lpstr>
      <vt:lpstr>A230_C3</vt:lpstr>
      <vt:lpstr>A230_C4</vt:lpstr>
      <vt:lpstr>A230_C5</vt:lpstr>
      <vt:lpstr>A250_C1</vt:lpstr>
      <vt:lpstr>A250_C2</vt:lpstr>
      <vt:lpstr>A250_C3</vt:lpstr>
      <vt:lpstr>A250_C4</vt:lpstr>
      <vt:lpstr>A250_C5</vt:lpstr>
      <vt:lpstr>A260_C1</vt:lpstr>
      <vt:lpstr>A260_C2</vt:lpstr>
      <vt:lpstr>A260_C3</vt:lpstr>
      <vt:lpstr>A260_C4</vt:lpstr>
      <vt:lpstr>A260_C5</vt:lpstr>
      <vt:lpstr>A270_C1</vt:lpstr>
      <vt:lpstr>A270_C2</vt:lpstr>
      <vt:lpstr>A270_C3</vt:lpstr>
      <vt:lpstr>A270_C4</vt:lpstr>
      <vt:lpstr>A270_C5</vt:lpstr>
      <vt:lpstr>A280_C1</vt:lpstr>
      <vt:lpstr>A280_C2</vt:lpstr>
      <vt:lpstr>A280_C3</vt:lpstr>
      <vt:lpstr>A280_C4</vt:lpstr>
      <vt:lpstr>A280_C5</vt:lpstr>
      <vt:lpstr>A290_C1</vt:lpstr>
      <vt:lpstr>A290_C2</vt:lpstr>
      <vt:lpstr>A290_C3</vt:lpstr>
      <vt:lpstr>A290_C4</vt:lpstr>
      <vt:lpstr>A290_C5</vt:lpstr>
      <vt:lpstr>A300_C1</vt:lpstr>
      <vt:lpstr>A300_C2</vt:lpstr>
      <vt:lpstr>A300_C3</vt:lpstr>
      <vt:lpstr>A300_C4</vt:lpstr>
      <vt:lpstr>A300_C5</vt:lpstr>
      <vt:lpstr>A310_C1</vt:lpstr>
      <vt:lpstr>A310_C2</vt:lpstr>
      <vt:lpstr>A310_C3</vt:lpstr>
      <vt:lpstr>A310_C4</vt:lpstr>
      <vt:lpstr>A310_C5</vt:lpstr>
      <vt:lpstr>A310A_C1</vt:lpstr>
      <vt:lpstr>A310A_C2</vt:lpstr>
      <vt:lpstr>A310A_C3</vt:lpstr>
      <vt:lpstr>A310A_C4</vt:lpstr>
      <vt:lpstr>A310A_C5</vt:lpstr>
      <vt:lpstr>A311_C1</vt:lpstr>
      <vt:lpstr>A311_C2</vt:lpstr>
      <vt:lpstr>A311_C3</vt:lpstr>
      <vt:lpstr>A311_C4</vt:lpstr>
      <vt:lpstr>A311_C5</vt:lpstr>
      <vt:lpstr>A311A</vt:lpstr>
      <vt:lpstr>A311A_C1</vt:lpstr>
      <vt:lpstr>A311A_C2</vt:lpstr>
      <vt:lpstr>A311A_C3</vt:lpstr>
      <vt:lpstr>A311A_C4</vt:lpstr>
      <vt:lpstr>A311A_C5</vt:lpstr>
      <vt:lpstr>A320_C1</vt:lpstr>
      <vt:lpstr>A320_C2</vt:lpstr>
      <vt:lpstr>A320_C3</vt:lpstr>
      <vt:lpstr>A320_C4</vt:lpstr>
      <vt:lpstr>A320_C5</vt:lpstr>
      <vt:lpstr>A340_C1</vt:lpstr>
      <vt:lpstr>A340_C2</vt:lpstr>
      <vt:lpstr>A340_C3</vt:lpstr>
      <vt:lpstr>A340_C4</vt:lpstr>
      <vt:lpstr>A340_C5</vt:lpstr>
      <vt:lpstr>A350_C1</vt:lpstr>
      <vt:lpstr>A350_C2</vt:lpstr>
      <vt:lpstr>A350_C3</vt:lpstr>
      <vt:lpstr>A350_C4</vt:lpstr>
      <vt:lpstr>A350_C5</vt:lpstr>
      <vt:lpstr>A360_C1</vt:lpstr>
      <vt:lpstr>A360_C2</vt:lpstr>
      <vt:lpstr>A360_C3</vt:lpstr>
      <vt:lpstr>A360_C4</vt:lpstr>
      <vt:lpstr>A360_C5</vt:lpstr>
      <vt:lpstr>A370_C1</vt:lpstr>
      <vt:lpstr>A370_C2</vt:lpstr>
      <vt:lpstr>A370_C3</vt:lpstr>
      <vt:lpstr>A370_C4</vt:lpstr>
      <vt:lpstr>A370_C5</vt:lpstr>
      <vt:lpstr>A380_C1</vt:lpstr>
      <vt:lpstr>A380_C2</vt:lpstr>
      <vt:lpstr>A380_C3</vt:lpstr>
      <vt:lpstr>A380_C4</vt:lpstr>
      <vt:lpstr>A380_C5</vt:lpstr>
      <vt:lpstr>A381_C1</vt:lpstr>
      <vt:lpstr>A381_C2</vt:lpstr>
      <vt:lpstr>A381_C3</vt:lpstr>
      <vt:lpstr>A381_C4</vt:lpstr>
      <vt:lpstr>A381_C5</vt:lpstr>
      <vt:lpstr>A385_C1</vt:lpstr>
      <vt:lpstr>A385_C2</vt:lpstr>
      <vt:lpstr>A385_C3</vt:lpstr>
      <vt:lpstr>A385_C4</vt:lpstr>
      <vt:lpstr>A385_C5</vt:lpstr>
      <vt:lpstr>A386_C1</vt:lpstr>
      <vt:lpstr>A386_C2</vt:lpstr>
      <vt:lpstr>A386_C3</vt:lpstr>
      <vt:lpstr>A386_C4</vt:lpstr>
      <vt:lpstr>A386_C5</vt:lpstr>
      <vt:lpstr>A386A_C1</vt:lpstr>
      <vt:lpstr>A386A_C2</vt:lpstr>
      <vt:lpstr>A386A_C3</vt:lpstr>
      <vt:lpstr>A386A_C4</vt:lpstr>
      <vt:lpstr>A386A_C5</vt:lpstr>
      <vt:lpstr>A386B_C1</vt:lpstr>
      <vt:lpstr>A386B_C2</vt:lpstr>
      <vt:lpstr>A386B_C3</vt:lpstr>
      <vt:lpstr>A386B_C4</vt:lpstr>
      <vt:lpstr>A386B_C5</vt:lpstr>
      <vt:lpstr>A387_C1</vt:lpstr>
      <vt:lpstr>A387_C2</vt:lpstr>
      <vt:lpstr>A387_C3</vt:lpstr>
      <vt:lpstr>A387_C4</vt:lpstr>
      <vt:lpstr>A387_C5</vt:lpstr>
      <vt:lpstr>A393_C1</vt:lpstr>
      <vt:lpstr>A393_C2</vt:lpstr>
      <vt:lpstr>A393_C3</vt:lpstr>
      <vt:lpstr>A393_C4</vt:lpstr>
      <vt:lpstr>A393_C5</vt:lpstr>
      <vt:lpstr>A396_C1</vt:lpstr>
      <vt:lpstr>A396_C2</vt:lpstr>
      <vt:lpstr>A396_C3</vt:lpstr>
      <vt:lpstr>A396_C4</vt:lpstr>
      <vt:lpstr>A396_C5</vt:lpstr>
      <vt:lpstr>A397_C1</vt:lpstr>
      <vt:lpstr>A397_C2</vt:lpstr>
      <vt:lpstr>A397_C3</vt:lpstr>
      <vt:lpstr>A397_C4</vt:lpstr>
      <vt:lpstr>A397_C5</vt:lpstr>
      <vt:lpstr>A397A_C1</vt:lpstr>
      <vt:lpstr>A397A_C2</vt:lpstr>
      <vt:lpstr>A397A_C3</vt:lpstr>
      <vt:lpstr>A397A_C4</vt:lpstr>
      <vt:lpstr>A397A_C5</vt:lpstr>
      <vt:lpstr>A400_C1</vt:lpstr>
      <vt:lpstr>A400_C2</vt:lpstr>
      <vt:lpstr>A400_C3</vt:lpstr>
      <vt:lpstr>A400_C4</vt:lpstr>
      <vt:lpstr>A400_C5</vt:lpstr>
      <vt:lpstr>A400A_C1</vt:lpstr>
      <vt:lpstr>A400A_C2</vt:lpstr>
      <vt:lpstr>A400A_C3</vt:lpstr>
      <vt:lpstr>A400A_C4</vt:lpstr>
      <vt:lpstr>A400A_C5</vt:lpstr>
      <vt:lpstr>A400A1_C1</vt:lpstr>
      <vt:lpstr>A400A1_C2</vt:lpstr>
      <vt:lpstr>A400A1_C3</vt:lpstr>
      <vt:lpstr>A400A1_C4</vt:lpstr>
      <vt:lpstr>A400A1_C5</vt:lpstr>
      <vt:lpstr>A400B_C1</vt:lpstr>
      <vt:lpstr>A400B_C2</vt:lpstr>
      <vt:lpstr>A400B_C3</vt:lpstr>
      <vt:lpstr>A400B_C4</vt:lpstr>
      <vt:lpstr>A400B_C5</vt:lpstr>
      <vt:lpstr>A400B1_C1</vt:lpstr>
      <vt:lpstr>A400B1_C2</vt:lpstr>
      <vt:lpstr>A400B1_C3</vt:lpstr>
      <vt:lpstr>A400B1_C4</vt:lpstr>
      <vt:lpstr>A400B1_C5</vt:lpstr>
      <vt:lpstr>A400C_C1</vt:lpstr>
      <vt:lpstr>A400C_C2</vt:lpstr>
      <vt:lpstr>A400C_C3</vt:lpstr>
      <vt:lpstr>A400C_C4</vt:lpstr>
      <vt:lpstr>A400C_C5</vt:lpstr>
      <vt:lpstr>A400C1_C1</vt:lpstr>
      <vt:lpstr>A400C1_C2</vt:lpstr>
      <vt:lpstr>A400C1_C3</vt:lpstr>
      <vt:lpstr>A400C1_C4</vt:lpstr>
      <vt:lpstr>A400C1_C5</vt:lpstr>
      <vt:lpstr>A400C2_C1</vt:lpstr>
      <vt:lpstr>A400C2_C2</vt:lpstr>
      <vt:lpstr>A400C2_C3</vt:lpstr>
      <vt:lpstr>A400C2_C4</vt:lpstr>
      <vt:lpstr>A400C2_C5</vt:lpstr>
      <vt:lpstr>A400C3_C1</vt:lpstr>
      <vt:lpstr>A400C3_C2</vt:lpstr>
      <vt:lpstr>A400C3_C3</vt:lpstr>
      <vt:lpstr>A400C3_C4</vt:lpstr>
      <vt:lpstr>A400C3_C5</vt:lpstr>
      <vt:lpstr>A400C4_C1</vt:lpstr>
      <vt:lpstr>A400C4_C2</vt:lpstr>
      <vt:lpstr>A400C4_C3</vt:lpstr>
      <vt:lpstr>A400C4_C4</vt:lpstr>
      <vt:lpstr>A400C4_C5</vt:lpstr>
      <vt:lpstr>A400C5_C1</vt:lpstr>
      <vt:lpstr>A400C5_C2</vt:lpstr>
      <vt:lpstr>A400C5_C3</vt:lpstr>
      <vt:lpstr>A400C5_C4</vt:lpstr>
      <vt:lpstr>A400C5_C5</vt:lpstr>
      <vt:lpstr>A400C6_C1</vt:lpstr>
      <vt:lpstr>A400C6_C2</vt:lpstr>
      <vt:lpstr>A400C6_C3</vt:lpstr>
      <vt:lpstr>A400C6_C4</vt:lpstr>
      <vt:lpstr>A400C6_C5</vt:lpstr>
      <vt:lpstr>A400C7_C1</vt:lpstr>
      <vt:lpstr>A400C7_C2</vt:lpstr>
      <vt:lpstr>A400C7_C3</vt:lpstr>
      <vt:lpstr>A400C7_C4</vt:lpstr>
      <vt:lpstr>A400C7_C5</vt:lpstr>
      <vt:lpstr>A400C8_C1</vt:lpstr>
      <vt:lpstr>A400C8_C2</vt:lpstr>
      <vt:lpstr>A400C8_C3</vt:lpstr>
      <vt:lpstr>A400C8_C4</vt:lpstr>
      <vt:lpstr>A400C8_C5</vt:lpstr>
      <vt:lpstr>A400D_C1</vt:lpstr>
      <vt:lpstr>A400D_C2</vt:lpstr>
      <vt:lpstr>A400D_C3</vt:lpstr>
      <vt:lpstr>A400D_C4</vt:lpstr>
      <vt:lpstr>A400D_C5</vt:lpstr>
      <vt:lpstr>A400F_C1</vt:lpstr>
      <vt:lpstr>A400F_C2</vt:lpstr>
      <vt:lpstr>A400F_C3</vt:lpstr>
      <vt:lpstr>A400F_C4</vt:lpstr>
      <vt:lpstr>A400F_C5</vt:lpstr>
      <vt:lpstr>A400G_C1</vt:lpstr>
      <vt:lpstr>A400G_C2</vt:lpstr>
      <vt:lpstr>A400G_C3</vt:lpstr>
      <vt:lpstr>A400G_C4</vt:lpstr>
      <vt:lpstr>A400G_C5</vt:lpstr>
      <vt:lpstr>A400G1_C1</vt:lpstr>
      <vt:lpstr>A400G1_C2</vt:lpstr>
      <vt:lpstr>A400G1_C3</vt:lpstr>
      <vt:lpstr>A400G1_C4</vt:lpstr>
      <vt:lpstr>A400G1_C5</vt:lpstr>
      <vt:lpstr>A400H_C1</vt:lpstr>
      <vt:lpstr>A400H_C2</vt:lpstr>
      <vt:lpstr>A400H_C3</vt:lpstr>
      <vt:lpstr>A400H_C4</vt:lpstr>
      <vt:lpstr>A400H_C5</vt:lpstr>
      <vt:lpstr>A400H1_C1</vt:lpstr>
      <vt:lpstr>A400H1_C2</vt:lpstr>
      <vt:lpstr>A400H1_C3</vt:lpstr>
      <vt:lpstr>A400H1_C4</vt:lpstr>
      <vt:lpstr>A400H1_C5</vt:lpstr>
      <vt:lpstr>A400H2_C1</vt:lpstr>
      <vt:lpstr>A400H2_C2</vt:lpstr>
      <vt:lpstr>A400H2_C3</vt:lpstr>
      <vt:lpstr>A400H2_C4</vt:lpstr>
      <vt:lpstr>A400H2_C5</vt:lpstr>
      <vt:lpstr>A400H3_C1</vt:lpstr>
      <vt:lpstr>A400H3_C2</vt:lpstr>
      <vt:lpstr>A400H3_C3</vt:lpstr>
      <vt:lpstr>A400H3_C4</vt:lpstr>
      <vt:lpstr>A400H3_C5</vt:lpstr>
      <vt:lpstr>A400J_C1</vt:lpstr>
      <vt:lpstr>A400J_C2</vt:lpstr>
      <vt:lpstr>A400J_C3</vt:lpstr>
      <vt:lpstr>A400J_C4</vt:lpstr>
      <vt:lpstr>A400J_C5</vt:lpstr>
      <vt:lpstr>A400J1_C1</vt:lpstr>
      <vt:lpstr>A400J1_C2</vt:lpstr>
      <vt:lpstr>A400J1_C3</vt:lpstr>
      <vt:lpstr>A400J1_C4</vt:lpstr>
      <vt:lpstr>A400J1_C5</vt:lpstr>
      <vt:lpstr>A400J2_C1</vt:lpstr>
      <vt:lpstr>A400J2_C2</vt:lpstr>
      <vt:lpstr>A400J2_C3</vt:lpstr>
      <vt:lpstr>A400J2_C4</vt:lpstr>
      <vt:lpstr>A400J2_C5</vt:lpstr>
      <vt:lpstr>A400J3_C1</vt:lpstr>
      <vt:lpstr>A400J3_C2</vt:lpstr>
      <vt:lpstr>A400J3_C3</vt:lpstr>
      <vt:lpstr>A400J3_C4</vt:lpstr>
      <vt:lpstr>A400J3_C5</vt:lpstr>
      <vt:lpstr>A400L_C1</vt:lpstr>
      <vt:lpstr>A400L_C2</vt:lpstr>
      <vt:lpstr>A400L_C3</vt:lpstr>
      <vt:lpstr>A400L_C4</vt:lpstr>
      <vt:lpstr>A400L_C5</vt:lpstr>
      <vt:lpstr>A400L1_C1</vt:lpstr>
      <vt:lpstr>A400L1_C2</vt:lpstr>
      <vt:lpstr>A400L1_C3</vt:lpstr>
      <vt:lpstr>A400L1_C4</vt:lpstr>
      <vt:lpstr>A400L1_C5</vt:lpstr>
      <vt:lpstr>A400L2_C1</vt:lpstr>
      <vt:lpstr>A400L2_C2</vt:lpstr>
      <vt:lpstr>A400L2_C3</vt:lpstr>
      <vt:lpstr>A400L2_C4</vt:lpstr>
      <vt:lpstr>A400L2_C5</vt:lpstr>
      <vt:lpstr>A400L3_C1</vt:lpstr>
      <vt:lpstr>A400L3_C2</vt:lpstr>
      <vt:lpstr>A400L3_C3</vt:lpstr>
      <vt:lpstr>A400L3_C4</vt:lpstr>
      <vt:lpstr>A400L3_C5</vt:lpstr>
      <vt:lpstr>A400M_C1</vt:lpstr>
      <vt:lpstr>A400M_C2</vt:lpstr>
      <vt:lpstr>A400M_C3</vt:lpstr>
      <vt:lpstr>A400M_C4</vt:lpstr>
      <vt:lpstr>A400M_C5</vt:lpstr>
      <vt:lpstr>A400M1_C1</vt:lpstr>
      <vt:lpstr>A400M1_C2</vt:lpstr>
      <vt:lpstr>A400M1_C3</vt:lpstr>
      <vt:lpstr>A400M1_C4</vt:lpstr>
      <vt:lpstr>A400M1_C5</vt:lpstr>
      <vt:lpstr>A400N_C1</vt:lpstr>
      <vt:lpstr>A400N_C2</vt:lpstr>
      <vt:lpstr>A400N_C3</vt:lpstr>
      <vt:lpstr>A400N_C4</vt:lpstr>
      <vt:lpstr>A400N_C5</vt:lpstr>
      <vt:lpstr>A400P_C1</vt:lpstr>
      <vt:lpstr>A400P_C2</vt:lpstr>
      <vt:lpstr>A400P_C3</vt:lpstr>
      <vt:lpstr>A400P_C4</vt:lpstr>
      <vt:lpstr>A400P_C5</vt:lpstr>
      <vt:lpstr>A400T_C1</vt:lpstr>
      <vt:lpstr>A400T_C2</vt:lpstr>
      <vt:lpstr>A400T_C3</vt:lpstr>
      <vt:lpstr>A400T_C4</vt:lpstr>
      <vt:lpstr>A400T_C5</vt:lpstr>
      <vt:lpstr>A400T1_C1</vt:lpstr>
      <vt:lpstr>A400T1_C2</vt:lpstr>
      <vt:lpstr>A400T1_C3</vt:lpstr>
      <vt:lpstr>A400T1_C4</vt:lpstr>
      <vt:lpstr>A400T1_C5</vt:lpstr>
      <vt:lpstr>A420_C1</vt:lpstr>
      <vt:lpstr>A420_C2</vt:lpstr>
      <vt:lpstr>A420_C3</vt:lpstr>
      <vt:lpstr>A420_C4</vt:lpstr>
      <vt:lpstr>A420_C5</vt:lpstr>
      <vt:lpstr>A420A_C1</vt:lpstr>
      <vt:lpstr>A420A_C2</vt:lpstr>
      <vt:lpstr>A420A_C3</vt:lpstr>
      <vt:lpstr>A420A_C4</vt:lpstr>
      <vt:lpstr>A420A_C5</vt:lpstr>
      <vt:lpstr>A420B_C1</vt:lpstr>
      <vt:lpstr>A420B_C2</vt:lpstr>
      <vt:lpstr>A420B_C3</vt:lpstr>
      <vt:lpstr>A420B_C4</vt:lpstr>
      <vt:lpstr>A420B_C5</vt:lpstr>
      <vt:lpstr>A420C_C1</vt:lpstr>
      <vt:lpstr>A420C_C2</vt:lpstr>
      <vt:lpstr>A420C_C3</vt:lpstr>
      <vt:lpstr>A420C_C4</vt:lpstr>
      <vt:lpstr>A420C_C5</vt:lpstr>
      <vt:lpstr>A420D_C1</vt:lpstr>
      <vt:lpstr>A420D_C2</vt:lpstr>
      <vt:lpstr>A420D_C3</vt:lpstr>
      <vt:lpstr>A420D_C4</vt:lpstr>
      <vt:lpstr>A420D_C5</vt:lpstr>
      <vt:lpstr>A421_C1</vt:lpstr>
      <vt:lpstr>A421_C2</vt:lpstr>
      <vt:lpstr>A421_C3</vt:lpstr>
      <vt:lpstr>A421_C4</vt:lpstr>
      <vt:lpstr>A421_C5</vt:lpstr>
      <vt:lpstr>A430_C1</vt:lpstr>
      <vt:lpstr>A430_C2</vt:lpstr>
      <vt:lpstr>A430_C3</vt:lpstr>
      <vt:lpstr>A430_C4</vt:lpstr>
      <vt:lpstr>A430_C5</vt:lpstr>
      <vt:lpstr>A431_C1</vt:lpstr>
      <vt:lpstr>A431_C2</vt:lpstr>
      <vt:lpstr>A431_C3</vt:lpstr>
      <vt:lpstr>A431_C4</vt:lpstr>
      <vt:lpstr>A431_C5</vt:lpstr>
      <vt:lpstr>A440_C1</vt:lpstr>
      <vt:lpstr>A440_C2</vt:lpstr>
      <vt:lpstr>A440_C3</vt:lpstr>
      <vt:lpstr>A440_C4</vt:lpstr>
      <vt:lpstr>A440_C5</vt:lpstr>
      <vt:lpstr>A440A_C1</vt:lpstr>
      <vt:lpstr>A440A_C2</vt:lpstr>
      <vt:lpstr>A440A_C3</vt:lpstr>
      <vt:lpstr>A440A_C4</vt:lpstr>
      <vt:lpstr>A440A_C5</vt:lpstr>
      <vt:lpstr>A451_C1</vt:lpstr>
      <vt:lpstr>A451_C2</vt:lpstr>
      <vt:lpstr>A451_C3</vt:lpstr>
      <vt:lpstr>A451_C4</vt:lpstr>
      <vt:lpstr>A451_C5</vt:lpstr>
      <vt:lpstr>A452_C1</vt:lpstr>
      <vt:lpstr>A452_C2</vt:lpstr>
      <vt:lpstr>A452_C3</vt:lpstr>
      <vt:lpstr>A452_C4</vt:lpstr>
      <vt:lpstr>A452_C5</vt:lpstr>
      <vt:lpstr>A453_C1</vt:lpstr>
      <vt:lpstr>A453_C2</vt:lpstr>
      <vt:lpstr>A453_C3</vt:lpstr>
      <vt:lpstr>A453_C4</vt:lpstr>
      <vt:lpstr>A453_C5</vt:lpstr>
      <vt:lpstr>A454_C1</vt:lpstr>
      <vt:lpstr>A454_C2</vt:lpstr>
      <vt:lpstr>A454_C3</vt:lpstr>
      <vt:lpstr>A454_C4</vt:lpstr>
      <vt:lpstr>A454_C5</vt:lpstr>
      <vt:lpstr>A455_C1</vt:lpstr>
      <vt:lpstr>A455_C2</vt:lpstr>
      <vt:lpstr>A455_C3</vt:lpstr>
      <vt:lpstr>A455_C4</vt:lpstr>
      <vt:lpstr>A455_C5</vt:lpstr>
      <vt:lpstr>A457_C1</vt:lpstr>
      <vt:lpstr>A457_C2</vt:lpstr>
      <vt:lpstr>A457_C3</vt:lpstr>
      <vt:lpstr>A457_C4</vt:lpstr>
      <vt:lpstr>A457_C5</vt:lpstr>
      <vt:lpstr>A458_C1</vt:lpstr>
      <vt:lpstr>A458_C2</vt:lpstr>
      <vt:lpstr>A458_C3</vt:lpstr>
      <vt:lpstr>A458_C4</vt:lpstr>
      <vt:lpstr>A458_C5</vt:lpstr>
      <vt:lpstr>A459_C1</vt:lpstr>
      <vt:lpstr>A459_C2</vt:lpstr>
      <vt:lpstr>A459_C3</vt:lpstr>
      <vt:lpstr>A459_C4</vt:lpstr>
      <vt:lpstr>A459_C5</vt:lpstr>
      <vt:lpstr>A460_C1</vt:lpstr>
      <vt:lpstr>A460_C2</vt:lpstr>
      <vt:lpstr>A460_C3</vt:lpstr>
      <vt:lpstr>A460_C4</vt:lpstr>
      <vt:lpstr>A460_C5</vt:lpstr>
      <vt:lpstr>A475A_C1</vt:lpstr>
      <vt:lpstr>A475A_C2</vt:lpstr>
      <vt:lpstr>A475A_C3</vt:lpstr>
      <vt:lpstr>A475A_C4</vt:lpstr>
      <vt:lpstr>A475A_C5</vt:lpstr>
      <vt:lpstr>A475A1_C1</vt:lpstr>
      <vt:lpstr>A475A1_C2</vt:lpstr>
      <vt:lpstr>A475A1_C3</vt:lpstr>
      <vt:lpstr>A475A1_C4</vt:lpstr>
      <vt:lpstr>A475A1_C5</vt:lpstr>
      <vt:lpstr>A475B_C1</vt:lpstr>
      <vt:lpstr>A475B_C2</vt:lpstr>
      <vt:lpstr>A475B_C3</vt:lpstr>
      <vt:lpstr>A475B_C4</vt:lpstr>
      <vt:lpstr>A475B_C5</vt:lpstr>
      <vt:lpstr>A475B1_C1</vt:lpstr>
      <vt:lpstr>A475B1_C2</vt:lpstr>
      <vt:lpstr>A475B1_C3</vt:lpstr>
      <vt:lpstr>A475B1_C4</vt:lpstr>
      <vt:lpstr>A475B1_C5</vt:lpstr>
      <vt:lpstr>A548_C1</vt:lpstr>
      <vt:lpstr>A548_C2</vt:lpstr>
      <vt:lpstr>A548_C3</vt:lpstr>
      <vt:lpstr>A548_C4</vt:lpstr>
      <vt:lpstr>A548_C5</vt:lpstr>
      <vt:lpstr>A549_C1</vt:lpstr>
      <vt:lpstr>A549_C2</vt:lpstr>
      <vt:lpstr>A549_C3</vt:lpstr>
      <vt:lpstr>A549_C4</vt:lpstr>
      <vt:lpstr>A549_C5</vt:lpstr>
      <vt:lpstr>A550_C1</vt:lpstr>
      <vt:lpstr>A550_C2</vt:lpstr>
      <vt:lpstr>A550_C3</vt:lpstr>
      <vt:lpstr>A550_C4</vt:lpstr>
      <vt:lpstr>A550_C5</vt:lpstr>
      <vt:lpstr>A550C_C1</vt:lpstr>
      <vt:lpstr>A550C_C2</vt:lpstr>
      <vt:lpstr>A550C_C3</vt:lpstr>
      <vt:lpstr>A550C_C4</vt:lpstr>
      <vt:lpstr>A550C_C5</vt:lpstr>
      <vt:lpstr>A550C1_C1</vt:lpstr>
      <vt:lpstr>A550C1_C2</vt:lpstr>
      <vt:lpstr>A550C1_C3</vt:lpstr>
      <vt:lpstr>A550C1_C4</vt:lpstr>
      <vt:lpstr>A550C1_C5</vt:lpstr>
      <vt:lpstr>A550C2_C1</vt:lpstr>
      <vt:lpstr>A550C2_C2</vt:lpstr>
      <vt:lpstr>A550C2_C3</vt:lpstr>
      <vt:lpstr>A550C2_C4</vt:lpstr>
      <vt:lpstr>A550C2_C5</vt:lpstr>
      <vt:lpstr>A550D_C1</vt:lpstr>
      <vt:lpstr>A550D_C2</vt:lpstr>
      <vt:lpstr>A550D_C3</vt:lpstr>
      <vt:lpstr>A550D_C4</vt:lpstr>
      <vt:lpstr>A550D_C5</vt:lpstr>
      <vt:lpstr>A550E_C1</vt:lpstr>
      <vt:lpstr>A550E_C2</vt:lpstr>
      <vt:lpstr>A550E_C3</vt:lpstr>
      <vt:lpstr>A550E_C4</vt:lpstr>
      <vt:lpstr>A550E_C5</vt:lpstr>
      <vt:lpstr>A550F_C1</vt:lpstr>
      <vt:lpstr>A550F_C2</vt:lpstr>
      <vt:lpstr>A550F_C3</vt:lpstr>
      <vt:lpstr>A550F_C4</vt:lpstr>
      <vt:lpstr>A550F_C5</vt:lpstr>
      <vt:lpstr>A550G_C1</vt:lpstr>
      <vt:lpstr>A550G_C2</vt:lpstr>
      <vt:lpstr>A550G_C3</vt:lpstr>
      <vt:lpstr>A550G_C4</vt:lpstr>
      <vt:lpstr>A550G_C5</vt:lpstr>
      <vt:lpstr>A550G1_C1</vt:lpstr>
      <vt:lpstr>A550G1_C2</vt:lpstr>
      <vt:lpstr>A550G1_C3</vt:lpstr>
      <vt:lpstr>A550G1_C4</vt:lpstr>
      <vt:lpstr>A550G1_C5</vt:lpstr>
      <vt:lpstr>A550G2_C1</vt:lpstr>
      <vt:lpstr>A550G2_C2</vt:lpstr>
      <vt:lpstr>A550G2_C3</vt:lpstr>
      <vt:lpstr>A550G2_C4</vt:lpstr>
      <vt:lpstr>A550G2_C5</vt:lpstr>
      <vt:lpstr>A550G3_C1</vt:lpstr>
      <vt:lpstr>A550G3_C2</vt:lpstr>
      <vt:lpstr>A550G3_C3</vt:lpstr>
      <vt:lpstr>A550G3_C4</vt:lpstr>
      <vt:lpstr>A550G3_C5</vt:lpstr>
      <vt:lpstr>A550G4_C1</vt:lpstr>
      <vt:lpstr>A550G4_C2</vt:lpstr>
      <vt:lpstr>A550G4_C3</vt:lpstr>
      <vt:lpstr>A550G4_C4</vt:lpstr>
      <vt:lpstr>A550G4_C5</vt:lpstr>
      <vt:lpstr>A550H_C1</vt:lpstr>
      <vt:lpstr>A550H_C2</vt:lpstr>
      <vt:lpstr>A550H_C3</vt:lpstr>
      <vt:lpstr>A550H_C4</vt:lpstr>
      <vt:lpstr>A550H_C5</vt:lpstr>
      <vt:lpstr>A550I_C1</vt:lpstr>
      <vt:lpstr>A550I_C2</vt:lpstr>
      <vt:lpstr>A550I_C3</vt:lpstr>
      <vt:lpstr>A550I_C4</vt:lpstr>
      <vt:lpstr>A550I_C5</vt:lpstr>
      <vt:lpstr>A550J_C1</vt:lpstr>
      <vt:lpstr>A550J_C2</vt:lpstr>
      <vt:lpstr>A550J_C3</vt:lpstr>
      <vt:lpstr>A550J_C4</vt:lpstr>
      <vt:lpstr>A550J_C5</vt:lpstr>
      <vt:lpstr>A550K_C1</vt:lpstr>
      <vt:lpstr>A550K_C2</vt:lpstr>
      <vt:lpstr>A550K_C3</vt:lpstr>
      <vt:lpstr>A550K_C4</vt:lpstr>
      <vt:lpstr>A550K_C5</vt:lpstr>
      <vt:lpstr>A550M_C1</vt:lpstr>
      <vt:lpstr>A550M_C2</vt:lpstr>
      <vt:lpstr>A550M_C3</vt:lpstr>
      <vt:lpstr>A550M_C4</vt:lpstr>
      <vt:lpstr>A550M_C5</vt:lpstr>
      <vt:lpstr>A550P_C1</vt:lpstr>
      <vt:lpstr>A550P_C2</vt:lpstr>
      <vt:lpstr>A550P_C3</vt:lpstr>
      <vt:lpstr>A550P_C4</vt:lpstr>
      <vt:lpstr>A550P_C5</vt:lpstr>
      <vt:lpstr>A550P1_C1</vt:lpstr>
      <vt:lpstr>A550P1_C2</vt:lpstr>
      <vt:lpstr>A550P1_C3</vt:lpstr>
      <vt:lpstr>A550P1_C4</vt:lpstr>
      <vt:lpstr>A550P1_C5</vt:lpstr>
      <vt:lpstr>A550P2_C1</vt:lpstr>
      <vt:lpstr>A550P2_C2</vt:lpstr>
      <vt:lpstr>A550P2_C3</vt:lpstr>
      <vt:lpstr>A550P2_C4</vt:lpstr>
      <vt:lpstr>A550P2_C5</vt:lpstr>
      <vt:lpstr>A550P3_C1</vt:lpstr>
      <vt:lpstr>A550P3_C2</vt:lpstr>
      <vt:lpstr>A550P3_C3</vt:lpstr>
      <vt:lpstr>A550P3_C4</vt:lpstr>
      <vt:lpstr>A550P3_C5</vt:lpstr>
      <vt:lpstr>A550P4_C1</vt:lpstr>
      <vt:lpstr>A550P4_C2</vt:lpstr>
      <vt:lpstr>A550P4_C3</vt:lpstr>
      <vt:lpstr>A550P4_C4</vt:lpstr>
      <vt:lpstr>A550P4_C5</vt:lpstr>
      <vt:lpstr>A550Q_C1</vt:lpstr>
      <vt:lpstr>A550Q_C2</vt:lpstr>
      <vt:lpstr>A550Q_C3</vt:lpstr>
      <vt:lpstr>A550Q_C4</vt:lpstr>
      <vt:lpstr>A550Q_C5</vt:lpstr>
      <vt:lpstr>A550T_C1</vt:lpstr>
      <vt:lpstr>A550T_C2</vt:lpstr>
      <vt:lpstr>A550T_C3</vt:lpstr>
      <vt:lpstr>A550T_C4</vt:lpstr>
      <vt:lpstr>A550T_C5</vt:lpstr>
      <vt:lpstr>A550U_C1</vt:lpstr>
      <vt:lpstr>A550U_C2</vt:lpstr>
      <vt:lpstr>A550U_C3</vt:lpstr>
      <vt:lpstr>A550U_C4</vt:lpstr>
      <vt:lpstr>A550U_C5</vt:lpstr>
      <vt:lpstr>A550V_C1</vt:lpstr>
      <vt:lpstr>A550V_C2</vt:lpstr>
      <vt:lpstr>A550V_C3</vt:lpstr>
      <vt:lpstr>A550V_C4</vt:lpstr>
      <vt:lpstr>A550V_C5</vt:lpstr>
      <vt:lpstr>A551_C1</vt:lpstr>
      <vt:lpstr>A551_C2</vt:lpstr>
      <vt:lpstr>A551_C3</vt:lpstr>
      <vt:lpstr>A551_C4</vt:lpstr>
      <vt:lpstr>A551_C5</vt:lpstr>
      <vt:lpstr>A551C_C1</vt:lpstr>
      <vt:lpstr>A551C_C2</vt:lpstr>
      <vt:lpstr>A551C_C3</vt:lpstr>
      <vt:lpstr>A551C_C4</vt:lpstr>
      <vt:lpstr>A551C_C5</vt:lpstr>
      <vt:lpstr>A551C1_C1</vt:lpstr>
      <vt:lpstr>A551C1_C2</vt:lpstr>
      <vt:lpstr>A551C1_C3</vt:lpstr>
      <vt:lpstr>A551C1_C4</vt:lpstr>
      <vt:lpstr>A551C1_C5</vt:lpstr>
      <vt:lpstr>A551C2_C1</vt:lpstr>
      <vt:lpstr>A551C2_C2</vt:lpstr>
      <vt:lpstr>A551C2_C3</vt:lpstr>
      <vt:lpstr>A551C2_C4</vt:lpstr>
      <vt:lpstr>A551C2_C5</vt:lpstr>
      <vt:lpstr>A551D_C1</vt:lpstr>
      <vt:lpstr>A551D_C2</vt:lpstr>
      <vt:lpstr>A551D_C3</vt:lpstr>
      <vt:lpstr>A551D_C4</vt:lpstr>
      <vt:lpstr>A551D_C5</vt:lpstr>
      <vt:lpstr>A551E_C1</vt:lpstr>
      <vt:lpstr>A551E_C2</vt:lpstr>
      <vt:lpstr>A551E_C3</vt:lpstr>
      <vt:lpstr>A551E_C4</vt:lpstr>
      <vt:lpstr>A551E_C5</vt:lpstr>
      <vt:lpstr>A551F_C1</vt:lpstr>
      <vt:lpstr>A551F_C2</vt:lpstr>
      <vt:lpstr>A551F_C3</vt:lpstr>
      <vt:lpstr>A551F_C4</vt:lpstr>
      <vt:lpstr>A551F_C5</vt:lpstr>
      <vt:lpstr>A551G_C1</vt:lpstr>
      <vt:lpstr>A551G_C2</vt:lpstr>
      <vt:lpstr>A551G_C3</vt:lpstr>
      <vt:lpstr>A551G_C4</vt:lpstr>
      <vt:lpstr>A551G_C5</vt:lpstr>
      <vt:lpstr>A551G1_C1</vt:lpstr>
      <vt:lpstr>A551G1_C2</vt:lpstr>
      <vt:lpstr>A551G1_C3</vt:lpstr>
      <vt:lpstr>A551G1_C4</vt:lpstr>
      <vt:lpstr>A551G1_C5</vt:lpstr>
      <vt:lpstr>A551G2_C1</vt:lpstr>
      <vt:lpstr>A551G2_C2</vt:lpstr>
      <vt:lpstr>A551G2_C3</vt:lpstr>
      <vt:lpstr>A551G2_C4</vt:lpstr>
      <vt:lpstr>A551G2_C5</vt:lpstr>
      <vt:lpstr>A551G3_C1</vt:lpstr>
      <vt:lpstr>A551G3_C2</vt:lpstr>
      <vt:lpstr>A551G3_C3</vt:lpstr>
      <vt:lpstr>A551G3_C4</vt:lpstr>
      <vt:lpstr>A551G3_C5</vt:lpstr>
      <vt:lpstr>A551G4_C1</vt:lpstr>
      <vt:lpstr>A551G4_C2</vt:lpstr>
      <vt:lpstr>A551G4_C3</vt:lpstr>
      <vt:lpstr>A551G4_C4</vt:lpstr>
      <vt:lpstr>A551G4_C5</vt:lpstr>
      <vt:lpstr>A551H_C1</vt:lpstr>
      <vt:lpstr>A551H_C2</vt:lpstr>
      <vt:lpstr>A551H_C3</vt:lpstr>
      <vt:lpstr>A551H_C4</vt:lpstr>
      <vt:lpstr>A551H_C5</vt:lpstr>
      <vt:lpstr>A551I_C1</vt:lpstr>
      <vt:lpstr>A551I_C2</vt:lpstr>
      <vt:lpstr>A551I_C3</vt:lpstr>
      <vt:lpstr>A551I_C4</vt:lpstr>
      <vt:lpstr>A551I_C5</vt:lpstr>
      <vt:lpstr>A551J_C1</vt:lpstr>
      <vt:lpstr>A551J_C2</vt:lpstr>
      <vt:lpstr>A551J_C3</vt:lpstr>
      <vt:lpstr>A551J_C4</vt:lpstr>
      <vt:lpstr>A551J_C5</vt:lpstr>
      <vt:lpstr>A551K_C1</vt:lpstr>
      <vt:lpstr>A551K_C2</vt:lpstr>
      <vt:lpstr>A551K_C3</vt:lpstr>
      <vt:lpstr>A551K_C4</vt:lpstr>
      <vt:lpstr>A551K_C5</vt:lpstr>
      <vt:lpstr>A551M_C1</vt:lpstr>
      <vt:lpstr>A551M_C2</vt:lpstr>
      <vt:lpstr>A551M_C3</vt:lpstr>
      <vt:lpstr>A551M_C4</vt:lpstr>
      <vt:lpstr>A551M_C5</vt:lpstr>
      <vt:lpstr>A551P_C1</vt:lpstr>
      <vt:lpstr>A551P_C2</vt:lpstr>
      <vt:lpstr>A551P_C3</vt:lpstr>
      <vt:lpstr>A551P_C4</vt:lpstr>
      <vt:lpstr>A551P_C5</vt:lpstr>
      <vt:lpstr>A551P1_C1</vt:lpstr>
      <vt:lpstr>A551P1_C2</vt:lpstr>
      <vt:lpstr>A551P1_C3</vt:lpstr>
      <vt:lpstr>A551P1_C4</vt:lpstr>
      <vt:lpstr>A551P1_C5</vt:lpstr>
      <vt:lpstr>A551P2_C1</vt:lpstr>
      <vt:lpstr>A551P2_C2</vt:lpstr>
      <vt:lpstr>A551P2_C3</vt:lpstr>
      <vt:lpstr>A551P2_C4</vt:lpstr>
      <vt:lpstr>A551P2_C5</vt:lpstr>
      <vt:lpstr>A551P3_C1</vt:lpstr>
      <vt:lpstr>A551P3_C2</vt:lpstr>
      <vt:lpstr>A551P3_C3</vt:lpstr>
      <vt:lpstr>A551P3_C4</vt:lpstr>
      <vt:lpstr>A551P3_C5</vt:lpstr>
      <vt:lpstr>A551P4_C1</vt:lpstr>
      <vt:lpstr>A551P4_C2</vt:lpstr>
      <vt:lpstr>A551P4_C3</vt:lpstr>
      <vt:lpstr>A551P4_C4</vt:lpstr>
      <vt:lpstr>A551P4_C5</vt:lpstr>
      <vt:lpstr>A551Q_C1</vt:lpstr>
      <vt:lpstr>A551Q_C2</vt:lpstr>
      <vt:lpstr>A551Q_C3</vt:lpstr>
      <vt:lpstr>A551Q_C4</vt:lpstr>
      <vt:lpstr>A551Q_C5</vt:lpstr>
      <vt:lpstr>A551T_C1</vt:lpstr>
      <vt:lpstr>A551T_C2</vt:lpstr>
      <vt:lpstr>A551T_C3</vt:lpstr>
      <vt:lpstr>A551T_C4</vt:lpstr>
      <vt:lpstr>A551T_C5</vt:lpstr>
      <vt:lpstr>A551U_C1</vt:lpstr>
      <vt:lpstr>A551U_C2</vt:lpstr>
      <vt:lpstr>A551U_C3</vt:lpstr>
      <vt:lpstr>A551U_C4</vt:lpstr>
      <vt:lpstr>A551U_C5</vt:lpstr>
      <vt:lpstr>A551V_C1</vt:lpstr>
      <vt:lpstr>A551V_C2</vt:lpstr>
      <vt:lpstr>A551V_C3</vt:lpstr>
      <vt:lpstr>A551V_C4</vt:lpstr>
      <vt:lpstr>A551V_C5</vt:lpstr>
      <vt:lpstr>A564A_C1</vt:lpstr>
      <vt:lpstr>A564A_C2</vt:lpstr>
      <vt:lpstr>A564A_C3</vt:lpstr>
      <vt:lpstr>A564A_C4</vt:lpstr>
      <vt:lpstr>A564A_C5</vt:lpstr>
      <vt:lpstr>A564B_C1</vt:lpstr>
      <vt:lpstr>A564B_C2</vt:lpstr>
      <vt:lpstr>A564B_C3</vt:lpstr>
      <vt:lpstr>A564B_C4</vt:lpstr>
      <vt:lpstr>A564B_C5</vt:lpstr>
      <vt:lpstr>A566_C1</vt:lpstr>
      <vt:lpstr>A566_C2</vt:lpstr>
      <vt:lpstr>A566_C3</vt:lpstr>
      <vt:lpstr>A566_C4</vt:lpstr>
      <vt:lpstr>A566_C5</vt:lpstr>
      <vt:lpstr>A566A_C1</vt:lpstr>
      <vt:lpstr>A566A_C2</vt:lpstr>
      <vt:lpstr>A566A_C3</vt:lpstr>
      <vt:lpstr>A566A_C4</vt:lpstr>
      <vt:lpstr>A566A_C5</vt:lpstr>
      <vt:lpstr>A566B_C1</vt:lpstr>
      <vt:lpstr>A566B_C2</vt:lpstr>
      <vt:lpstr>A566B_C3</vt:lpstr>
      <vt:lpstr>A566B_C4</vt:lpstr>
      <vt:lpstr>A566B_C5</vt:lpstr>
      <vt:lpstr>A602_C1</vt:lpstr>
      <vt:lpstr>A602_C2</vt:lpstr>
      <vt:lpstr>A602_C3</vt:lpstr>
      <vt:lpstr>A602_C4</vt:lpstr>
      <vt:lpstr>A602_C5</vt:lpstr>
      <vt:lpstr>A607_C1</vt:lpstr>
      <vt:lpstr>A607_C2</vt:lpstr>
      <vt:lpstr>A607_C3</vt:lpstr>
      <vt:lpstr>A607_C4</vt:lpstr>
      <vt:lpstr>A607_C5</vt:lpstr>
      <vt:lpstr>A608_C1</vt:lpstr>
      <vt:lpstr>A608_C2</vt:lpstr>
      <vt:lpstr>A608_C3</vt:lpstr>
      <vt:lpstr>A608_C4</vt:lpstr>
      <vt:lpstr>A608_C5</vt:lpstr>
      <vt:lpstr>A613_C1</vt:lpstr>
      <vt:lpstr>A613_C2</vt:lpstr>
      <vt:lpstr>A613_C3</vt:lpstr>
      <vt:lpstr>A613_C4</vt:lpstr>
      <vt:lpstr>A613_C5</vt:lpstr>
      <vt:lpstr>A615_C1</vt:lpstr>
      <vt:lpstr>A615_C2</vt:lpstr>
      <vt:lpstr>A615_C3</vt:lpstr>
      <vt:lpstr>A615_C4</vt:lpstr>
      <vt:lpstr>A615_C5</vt:lpstr>
      <vt:lpstr>A616A_C1</vt:lpstr>
      <vt:lpstr>A616A_C2</vt:lpstr>
      <vt:lpstr>A616A_C3</vt:lpstr>
      <vt:lpstr>A616A_C4</vt:lpstr>
      <vt:lpstr>A616A_C5</vt:lpstr>
      <vt:lpstr>A617A_C1</vt:lpstr>
      <vt:lpstr>A617A_C2</vt:lpstr>
      <vt:lpstr>A617A_C3</vt:lpstr>
      <vt:lpstr>A617A_C4</vt:lpstr>
      <vt:lpstr>A617A_C5</vt:lpstr>
      <vt:lpstr>A618A_C1</vt:lpstr>
      <vt:lpstr>A618A_C2</vt:lpstr>
      <vt:lpstr>A618A_C3</vt:lpstr>
      <vt:lpstr>A618A_C4</vt:lpstr>
      <vt:lpstr>A618A_C5</vt:lpstr>
      <vt:lpstr>A618B_C1</vt:lpstr>
      <vt:lpstr>A618B_C2</vt:lpstr>
      <vt:lpstr>A618B_C3</vt:lpstr>
      <vt:lpstr>A618B_C4</vt:lpstr>
      <vt:lpstr>A618B_C5</vt:lpstr>
      <vt:lpstr>A618C_C1</vt:lpstr>
      <vt:lpstr>A618C_C2</vt:lpstr>
      <vt:lpstr>A618C_C3</vt:lpstr>
      <vt:lpstr>A618C_C4</vt:lpstr>
      <vt:lpstr>A618C_C5</vt:lpstr>
      <vt:lpstr>A619_C1</vt:lpstr>
      <vt:lpstr>A619_C2</vt:lpstr>
      <vt:lpstr>A619_C3</vt:lpstr>
      <vt:lpstr>A619_C4</vt:lpstr>
      <vt:lpstr>A619_C5</vt:lpstr>
      <vt:lpstr>A619B_C1</vt:lpstr>
      <vt:lpstr>A619B_C2</vt:lpstr>
      <vt:lpstr>A619B_C3</vt:lpstr>
      <vt:lpstr>A619B_C4</vt:lpstr>
      <vt:lpstr>A619B_C5</vt:lpstr>
      <vt:lpstr>A630_C1</vt:lpstr>
      <vt:lpstr>A630_C2</vt:lpstr>
      <vt:lpstr>A630_C3</vt:lpstr>
      <vt:lpstr>A630_C4</vt:lpstr>
      <vt:lpstr>A630_C5</vt:lpstr>
      <vt:lpstr>A630A_C1</vt:lpstr>
      <vt:lpstr>A630A_C2</vt:lpstr>
      <vt:lpstr>A630A_C3</vt:lpstr>
      <vt:lpstr>A630A_C4</vt:lpstr>
      <vt:lpstr>A630A_C5</vt:lpstr>
      <vt:lpstr>A630B1_C1</vt:lpstr>
      <vt:lpstr>A630B1_C2</vt:lpstr>
      <vt:lpstr>A630B1_C3</vt:lpstr>
      <vt:lpstr>A630B1_C4</vt:lpstr>
      <vt:lpstr>A630B1_C5</vt:lpstr>
      <vt:lpstr>A630B2_C1</vt:lpstr>
      <vt:lpstr>A630B2_C2</vt:lpstr>
      <vt:lpstr>A630B2_C3</vt:lpstr>
      <vt:lpstr>A630B2_C4</vt:lpstr>
      <vt:lpstr>A630B2_C5</vt:lpstr>
      <vt:lpstr>A631_C1</vt:lpstr>
      <vt:lpstr>A631_C2</vt:lpstr>
      <vt:lpstr>A631_C3</vt:lpstr>
      <vt:lpstr>A631_C4</vt:lpstr>
      <vt:lpstr>A631_C5</vt:lpstr>
      <vt:lpstr>A632_C1</vt:lpstr>
      <vt:lpstr>A632_C2</vt:lpstr>
      <vt:lpstr>A632_C3</vt:lpstr>
      <vt:lpstr>A632_C4</vt:lpstr>
      <vt:lpstr>A632_C5</vt:lpstr>
      <vt:lpstr>A633_C1</vt:lpstr>
      <vt:lpstr>A633_C2</vt:lpstr>
      <vt:lpstr>A633_C3</vt:lpstr>
      <vt:lpstr>A633_C4</vt:lpstr>
      <vt:lpstr>A633_C5</vt:lpstr>
      <vt:lpstr>A634_C1</vt:lpstr>
      <vt:lpstr>A634_C2</vt:lpstr>
      <vt:lpstr>A634_C3</vt:lpstr>
      <vt:lpstr>A634_C4</vt:lpstr>
      <vt:lpstr>A634_C5</vt:lpstr>
      <vt:lpstr>A635_C1</vt:lpstr>
      <vt:lpstr>A635_C2</vt:lpstr>
      <vt:lpstr>A635_C3</vt:lpstr>
      <vt:lpstr>A635_C4</vt:lpstr>
      <vt:lpstr>A635_C5</vt:lpstr>
      <vt:lpstr>A636_C1</vt:lpstr>
      <vt:lpstr>A636_C2</vt:lpstr>
      <vt:lpstr>A636_C3</vt:lpstr>
      <vt:lpstr>A636_C4</vt:lpstr>
      <vt:lpstr>A636_C5</vt:lpstr>
      <vt:lpstr>A637_C1</vt:lpstr>
      <vt:lpstr>A637_C2</vt:lpstr>
      <vt:lpstr>A637_C3</vt:lpstr>
      <vt:lpstr>A637_C4</vt:lpstr>
      <vt:lpstr>A637_C5</vt:lpstr>
      <vt:lpstr>A638_C1</vt:lpstr>
      <vt:lpstr>A638_C2</vt:lpstr>
      <vt:lpstr>A638_C3</vt:lpstr>
      <vt:lpstr>A638_C4</vt:lpstr>
      <vt:lpstr>A638_C5</vt:lpstr>
      <vt:lpstr>A639_C1</vt:lpstr>
      <vt:lpstr>A639_C2</vt:lpstr>
      <vt:lpstr>A639_C3</vt:lpstr>
      <vt:lpstr>A639_C4</vt:lpstr>
      <vt:lpstr>A639_C5</vt:lpstr>
      <vt:lpstr>A641_C1</vt:lpstr>
      <vt:lpstr>A641_C2</vt:lpstr>
      <vt:lpstr>A641_C3</vt:lpstr>
      <vt:lpstr>A641_C4</vt:lpstr>
      <vt:lpstr>A641_C5</vt:lpstr>
      <vt:lpstr>A642_C1</vt:lpstr>
      <vt:lpstr>A642_C2</vt:lpstr>
      <vt:lpstr>A642_C3</vt:lpstr>
      <vt:lpstr>A642_C4</vt:lpstr>
      <vt:lpstr>A642_C5</vt:lpstr>
      <vt:lpstr>A643_C1</vt:lpstr>
      <vt:lpstr>A643_C2</vt:lpstr>
      <vt:lpstr>A643_C3</vt:lpstr>
      <vt:lpstr>A643_C4</vt:lpstr>
      <vt:lpstr>A643_C5</vt:lpstr>
      <vt:lpstr>A644_C1</vt:lpstr>
      <vt:lpstr>A644_C2</vt:lpstr>
      <vt:lpstr>A644_C3</vt:lpstr>
      <vt:lpstr>A644_C4</vt:lpstr>
      <vt:lpstr>A644_C5</vt:lpstr>
      <vt:lpstr>A652A_C1</vt:lpstr>
      <vt:lpstr>A652A_C2</vt:lpstr>
      <vt:lpstr>A652A_C3</vt:lpstr>
      <vt:lpstr>A652A_C4</vt:lpstr>
      <vt:lpstr>A652A_C5</vt:lpstr>
      <vt:lpstr>A652B_C1</vt:lpstr>
      <vt:lpstr>A652B_C2</vt:lpstr>
      <vt:lpstr>A652B_C3</vt:lpstr>
      <vt:lpstr>A652B_C4</vt:lpstr>
      <vt:lpstr>A652B_C5</vt:lpstr>
      <vt:lpstr>A652C_C1</vt:lpstr>
      <vt:lpstr>A652C_C2</vt:lpstr>
      <vt:lpstr>A652C_C3</vt:lpstr>
      <vt:lpstr>A652C_C4</vt:lpstr>
      <vt:lpstr>A652C_C5</vt:lpstr>
      <vt:lpstr>A652C1_C1</vt:lpstr>
      <vt:lpstr>A652C1_C2</vt:lpstr>
      <vt:lpstr>A652C1_C3</vt:lpstr>
      <vt:lpstr>A652C1_C4</vt:lpstr>
      <vt:lpstr>A652C1_C5</vt:lpstr>
      <vt:lpstr>A652C2_C1</vt:lpstr>
      <vt:lpstr>A652C2_C2</vt:lpstr>
      <vt:lpstr>A652C2_C3</vt:lpstr>
      <vt:lpstr>A652C2_C4</vt:lpstr>
      <vt:lpstr>A652C2_C5</vt:lpstr>
      <vt:lpstr>A652D_C1</vt:lpstr>
      <vt:lpstr>A652D_C2</vt:lpstr>
      <vt:lpstr>A652D_C3</vt:lpstr>
      <vt:lpstr>A652D_C4</vt:lpstr>
      <vt:lpstr>A652D_C5</vt:lpstr>
      <vt:lpstr>A655C_C1</vt:lpstr>
      <vt:lpstr>A655C_C2</vt:lpstr>
      <vt:lpstr>A655C_C3</vt:lpstr>
      <vt:lpstr>A655C_C4</vt:lpstr>
      <vt:lpstr>A655C_C5</vt:lpstr>
      <vt:lpstr>A657_C1</vt:lpstr>
      <vt:lpstr>A657_C2</vt:lpstr>
      <vt:lpstr>A657_C3</vt:lpstr>
      <vt:lpstr>A657_C4</vt:lpstr>
      <vt:lpstr>A657_C5</vt:lpstr>
      <vt:lpstr>A657A_C1</vt:lpstr>
      <vt:lpstr>A657A_C2</vt:lpstr>
      <vt:lpstr>A657A_C3</vt:lpstr>
      <vt:lpstr>A657A_C4</vt:lpstr>
      <vt:lpstr>A657A_C5</vt:lpstr>
      <vt:lpstr>A658_C1</vt:lpstr>
      <vt:lpstr>A658_C2</vt:lpstr>
      <vt:lpstr>A658_C3</vt:lpstr>
      <vt:lpstr>A658_C4</vt:lpstr>
      <vt:lpstr>A658_C5</vt:lpstr>
      <vt:lpstr>A658A_C1</vt:lpstr>
      <vt:lpstr>A658A_C2</vt:lpstr>
      <vt:lpstr>A658A_C3</vt:lpstr>
      <vt:lpstr>A658A_C4</vt:lpstr>
      <vt:lpstr>A658A_C5</vt:lpstr>
      <vt:lpstr>A659_C1</vt:lpstr>
      <vt:lpstr>A659_C2</vt:lpstr>
      <vt:lpstr>A659_C3</vt:lpstr>
      <vt:lpstr>A659_C4</vt:lpstr>
      <vt:lpstr>A659_C5</vt:lpstr>
      <vt:lpstr>A660A_C1</vt:lpstr>
      <vt:lpstr>A660A_C2</vt:lpstr>
      <vt:lpstr>A660A_C3</vt:lpstr>
      <vt:lpstr>A660A_C4</vt:lpstr>
      <vt:lpstr>A660A_C5</vt:lpstr>
      <vt:lpstr>A661A_C1</vt:lpstr>
      <vt:lpstr>A661A_C2</vt:lpstr>
      <vt:lpstr>A661A_C3</vt:lpstr>
      <vt:lpstr>A661A_C4</vt:lpstr>
      <vt:lpstr>A661A_C5</vt:lpstr>
      <vt:lpstr>A668_C1</vt:lpstr>
      <vt:lpstr>A668_C2</vt:lpstr>
      <vt:lpstr>A668_C3</vt:lpstr>
      <vt:lpstr>A668_C4</vt:lpstr>
      <vt:lpstr>A668_C5</vt:lpstr>
      <vt:lpstr>A671_C1</vt:lpstr>
      <vt:lpstr>A671_C2</vt:lpstr>
      <vt:lpstr>A671_C3</vt:lpstr>
      <vt:lpstr>A671_C4</vt:lpstr>
      <vt:lpstr>A671_C5</vt:lpstr>
      <vt:lpstr>A672A_C1</vt:lpstr>
      <vt:lpstr>A672A_C2</vt:lpstr>
      <vt:lpstr>A672A_C3</vt:lpstr>
      <vt:lpstr>A672A_C4</vt:lpstr>
      <vt:lpstr>A672A_C5</vt:lpstr>
      <vt:lpstr>A672B_C1</vt:lpstr>
      <vt:lpstr>A672B_C2</vt:lpstr>
      <vt:lpstr>A672B_C3</vt:lpstr>
      <vt:lpstr>A672B_C4</vt:lpstr>
      <vt:lpstr>A672B_C5</vt:lpstr>
      <vt:lpstr>A672C_C1</vt:lpstr>
      <vt:lpstr>A672C_C2</vt:lpstr>
      <vt:lpstr>A672C_C3</vt:lpstr>
      <vt:lpstr>A672C_C4</vt:lpstr>
      <vt:lpstr>A672C_C5</vt:lpstr>
      <vt:lpstr>A672C1_C1</vt:lpstr>
      <vt:lpstr>A672C1_C2</vt:lpstr>
      <vt:lpstr>A672C1_C3</vt:lpstr>
      <vt:lpstr>A672C1_C4</vt:lpstr>
      <vt:lpstr>A672C1_C5</vt:lpstr>
      <vt:lpstr>A672C2_C1</vt:lpstr>
      <vt:lpstr>A672C2_C2</vt:lpstr>
      <vt:lpstr>A672C2_C3</vt:lpstr>
      <vt:lpstr>A672C2_C4</vt:lpstr>
      <vt:lpstr>A672C2_C5</vt:lpstr>
      <vt:lpstr>A672D_C1</vt:lpstr>
      <vt:lpstr>A672D_C2</vt:lpstr>
      <vt:lpstr>A672D_C3</vt:lpstr>
      <vt:lpstr>A672D_C4</vt:lpstr>
      <vt:lpstr>A672D_C5</vt:lpstr>
      <vt:lpstr>A680_C1</vt:lpstr>
      <vt:lpstr>A680_C2</vt:lpstr>
      <vt:lpstr>A680_C3</vt:lpstr>
      <vt:lpstr>A680_C4</vt:lpstr>
      <vt:lpstr>A680_C5</vt:lpstr>
      <vt:lpstr>A681_C1</vt:lpstr>
      <vt:lpstr>A681_C2</vt:lpstr>
      <vt:lpstr>A681_C3</vt:lpstr>
      <vt:lpstr>A681_C4</vt:lpstr>
      <vt:lpstr>A681_C5</vt:lpstr>
      <vt:lpstr>A682_C1</vt:lpstr>
      <vt:lpstr>A682_C2</vt:lpstr>
      <vt:lpstr>A682_C3</vt:lpstr>
      <vt:lpstr>A682_C4</vt:lpstr>
      <vt:lpstr>A682_C5</vt:lpstr>
      <vt:lpstr>A690_C1</vt:lpstr>
      <vt:lpstr>A690_C2</vt:lpstr>
      <vt:lpstr>A690_C3</vt:lpstr>
      <vt:lpstr>A690_C4</vt:lpstr>
      <vt:lpstr>A690_C5</vt:lpstr>
      <vt:lpstr>A691_C1</vt:lpstr>
      <vt:lpstr>A691_C2</vt:lpstr>
      <vt:lpstr>A691_C3</vt:lpstr>
      <vt:lpstr>A691_C4</vt:lpstr>
      <vt:lpstr>A691_C5</vt:lpstr>
      <vt:lpstr>A691B1_C1</vt:lpstr>
      <vt:lpstr>A691B1_C2</vt:lpstr>
      <vt:lpstr>A691B1_C3</vt:lpstr>
      <vt:lpstr>A691B1_C4</vt:lpstr>
      <vt:lpstr>A691B1_C5</vt:lpstr>
      <vt:lpstr>A691C_C1</vt:lpstr>
      <vt:lpstr>A691C_C2</vt:lpstr>
      <vt:lpstr>A691C_C3</vt:lpstr>
      <vt:lpstr>A691C_C4</vt:lpstr>
      <vt:lpstr>A691C_C5</vt:lpstr>
      <vt:lpstr>A691C1_C1</vt:lpstr>
      <vt:lpstr>A691C1_C2</vt:lpstr>
      <vt:lpstr>A691C1_C3</vt:lpstr>
      <vt:lpstr>A691C1_C4</vt:lpstr>
      <vt:lpstr>A691C1_C5</vt:lpstr>
      <vt:lpstr>A691C2_C1</vt:lpstr>
      <vt:lpstr>A691C2_C2</vt:lpstr>
      <vt:lpstr>A691C2_C3</vt:lpstr>
      <vt:lpstr>A691C2_C4</vt:lpstr>
      <vt:lpstr>A691C2_C5</vt:lpstr>
      <vt:lpstr>A691E_C1</vt:lpstr>
      <vt:lpstr>A691E_C2</vt:lpstr>
      <vt:lpstr>A691E_C3</vt:lpstr>
      <vt:lpstr>A691E_C4</vt:lpstr>
      <vt:lpstr>A691E_C5</vt:lpstr>
      <vt:lpstr>A691G_C1</vt:lpstr>
      <vt:lpstr>A691G_C2</vt:lpstr>
      <vt:lpstr>A691G_C3</vt:lpstr>
      <vt:lpstr>A691G_C4</vt:lpstr>
      <vt:lpstr>A691G_C5</vt:lpstr>
      <vt:lpstr>A691L_C1</vt:lpstr>
      <vt:lpstr>A691L_C2</vt:lpstr>
      <vt:lpstr>A691L_C3</vt:lpstr>
      <vt:lpstr>A691L_C4</vt:lpstr>
      <vt:lpstr>A691L_C5</vt:lpstr>
      <vt:lpstr>A691L1_C1</vt:lpstr>
      <vt:lpstr>A691L1_C2</vt:lpstr>
      <vt:lpstr>A691L1_C3</vt:lpstr>
      <vt:lpstr>A691L1_C4</vt:lpstr>
      <vt:lpstr>A691L1_C5</vt:lpstr>
      <vt:lpstr>A691L2_C1</vt:lpstr>
      <vt:lpstr>A691L2_C2</vt:lpstr>
      <vt:lpstr>A691L2_C3</vt:lpstr>
      <vt:lpstr>A691L2_C4</vt:lpstr>
      <vt:lpstr>A691L2_C5</vt:lpstr>
      <vt:lpstr>A691L3_C1</vt:lpstr>
      <vt:lpstr>A691L3_C2</vt:lpstr>
      <vt:lpstr>A691L3_C3</vt:lpstr>
      <vt:lpstr>A691L3_C4</vt:lpstr>
      <vt:lpstr>A691L3_C5</vt:lpstr>
      <vt:lpstr>A691L4_C1</vt:lpstr>
      <vt:lpstr>A691L4_C2</vt:lpstr>
      <vt:lpstr>A691L4_C3</vt:lpstr>
      <vt:lpstr>A691L4_C4</vt:lpstr>
      <vt:lpstr>A691L4_C5</vt:lpstr>
      <vt:lpstr>A691L5_C1</vt:lpstr>
      <vt:lpstr>A691L5_C2</vt:lpstr>
      <vt:lpstr>A691L5_C3</vt:lpstr>
      <vt:lpstr>A691L5_C4</vt:lpstr>
      <vt:lpstr>A691L5_C5</vt:lpstr>
      <vt:lpstr>A691L6_C1</vt:lpstr>
      <vt:lpstr>A691L6_C2</vt:lpstr>
      <vt:lpstr>A691L6_C3</vt:lpstr>
      <vt:lpstr>A691L6_C4</vt:lpstr>
      <vt:lpstr>A691L6_C5</vt:lpstr>
      <vt:lpstr>A691L7_C1</vt:lpstr>
      <vt:lpstr>A691L7_C2</vt:lpstr>
      <vt:lpstr>A691L7_C3</vt:lpstr>
      <vt:lpstr>A691L7_C4</vt:lpstr>
      <vt:lpstr>A691L7_C5</vt:lpstr>
      <vt:lpstr>A691L8_C1</vt:lpstr>
      <vt:lpstr>A691L8_C2</vt:lpstr>
      <vt:lpstr>A691L8_C3</vt:lpstr>
      <vt:lpstr>A691L8_C4</vt:lpstr>
      <vt:lpstr>A691L8_C5</vt:lpstr>
      <vt:lpstr>A691L9_C1</vt:lpstr>
      <vt:lpstr>A691L9_C2</vt:lpstr>
      <vt:lpstr>A691L9_C3</vt:lpstr>
      <vt:lpstr>A691L9_C4</vt:lpstr>
      <vt:lpstr>A691L9_C5</vt:lpstr>
      <vt:lpstr>A691N_C1</vt:lpstr>
      <vt:lpstr>A691N_C2</vt:lpstr>
      <vt:lpstr>A691N_C3</vt:lpstr>
      <vt:lpstr>A691N_C4</vt:lpstr>
      <vt:lpstr>A691N_C5</vt:lpstr>
      <vt:lpstr>A691N1_C1</vt:lpstr>
      <vt:lpstr>A691N1_C2</vt:lpstr>
      <vt:lpstr>A691N1_C3</vt:lpstr>
      <vt:lpstr>A691N1_C4</vt:lpstr>
      <vt:lpstr>A691N1_C5</vt:lpstr>
      <vt:lpstr>A691N2_C1</vt:lpstr>
      <vt:lpstr>A691N2_C2</vt:lpstr>
      <vt:lpstr>A691N2_C3</vt:lpstr>
      <vt:lpstr>A691N2_C4</vt:lpstr>
      <vt:lpstr>A691N2_C5</vt:lpstr>
      <vt:lpstr>A691N3_C1</vt:lpstr>
      <vt:lpstr>A691N3_C2</vt:lpstr>
      <vt:lpstr>A691N3_C3</vt:lpstr>
      <vt:lpstr>A691N3_C4</vt:lpstr>
      <vt:lpstr>A691N3_C5</vt:lpstr>
      <vt:lpstr>A691N4_C1</vt:lpstr>
      <vt:lpstr>A691N4_C2</vt:lpstr>
      <vt:lpstr>A691N4_C3</vt:lpstr>
      <vt:lpstr>A691N4_C4</vt:lpstr>
      <vt:lpstr>A691N4_C5</vt:lpstr>
      <vt:lpstr>A691N5_C1</vt:lpstr>
      <vt:lpstr>A691N5_C2</vt:lpstr>
      <vt:lpstr>A691N5_C3</vt:lpstr>
      <vt:lpstr>A691N5_C4</vt:lpstr>
      <vt:lpstr>A691N5_C5</vt:lpstr>
      <vt:lpstr>A691N6_C1</vt:lpstr>
      <vt:lpstr>A691N6_C2</vt:lpstr>
      <vt:lpstr>A691N6_C3</vt:lpstr>
      <vt:lpstr>A691N6_C4</vt:lpstr>
      <vt:lpstr>A691N6_C5</vt:lpstr>
      <vt:lpstr>A691N7_C1</vt:lpstr>
      <vt:lpstr>A691N7_C2</vt:lpstr>
      <vt:lpstr>A691N7_C3</vt:lpstr>
      <vt:lpstr>A691N7_C4</vt:lpstr>
      <vt:lpstr>A691N7_C5</vt:lpstr>
      <vt:lpstr>A691N8_C1</vt:lpstr>
      <vt:lpstr>A691N8_C2</vt:lpstr>
      <vt:lpstr>A691N8_C3</vt:lpstr>
      <vt:lpstr>A691N8_C4</vt:lpstr>
      <vt:lpstr>A691N8_C5</vt:lpstr>
      <vt:lpstr>A691N9_C1</vt:lpstr>
      <vt:lpstr>A691N9_C2</vt:lpstr>
      <vt:lpstr>A691N9_C3</vt:lpstr>
      <vt:lpstr>A691N9_C4</vt:lpstr>
      <vt:lpstr>A691N9_C5</vt:lpstr>
      <vt:lpstr>A691P1_C1</vt:lpstr>
      <vt:lpstr>A691P1_C2</vt:lpstr>
      <vt:lpstr>A691P1_C3</vt:lpstr>
      <vt:lpstr>A691P1_C4</vt:lpstr>
      <vt:lpstr>A691P1_C5</vt:lpstr>
      <vt:lpstr>A691P2_C1</vt:lpstr>
      <vt:lpstr>A691P2_C2</vt:lpstr>
      <vt:lpstr>A691P2_C3</vt:lpstr>
      <vt:lpstr>A691P2_C4</vt:lpstr>
      <vt:lpstr>A691P2_C5</vt:lpstr>
      <vt:lpstr>A692_C1</vt:lpstr>
      <vt:lpstr>A692_C2</vt:lpstr>
      <vt:lpstr>A692_C3</vt:lpstr>
      <vt:lpstr>A692_C4</vt:lpstr>
      <vt:lpstr>A692_C5</vt:lpstr>
      <vt:lpstr>A698_C1</vt:lpstr>
      <vt:lpstr>A698_C2</vt:lpstr>
      <vt:lpstr>A698_C3</vt:lpstr>
      <vt:lpstr>A698_C4</vt:lpstr>
      <vt:lpstr>A698_C5</vt:lpstr>
      <vt:lpstr>A698A_C1</vt:lpstr>
      <vt:lpstr>A698A_C2</vt:lpstr>
      <vt:lpstr>A698A_C3</vt:lpstr>
      <vt:lpstr>A698A_C4</vt:lpstr>
      <vt:lpstr>A698A_C5</vt:lpstr>
      <vt:lpstr>A698B_C1</vt:lpstr>
      <vt:lpstr>A698B_C2</vt:lpstr>
      <vt:lpstr>A698B_C3</vt:lpstr>
      <vt:lpstr>A698B_C4</vt:lpstr>
      <vt:lpstr>A698B_C5</vt:lpstr>
      <vt:lpstr>A698C_C1</vt:lpstr>
      <vt:lpstr>A698C_C2</vt:lpstr>
      <vt:lpstr>A698C_C3</vt:lpstr>
      <vt:lpstr>A698C_C4</vt:lpstr>
      <vt:lpstr>A698C_C5</vt:lpstr>
      <vt:lpstr>A703_C1</vt:lpstr>
      <vt:lpstr>A703_C2</vt:lpstr>
      <vt:lpstr>A703_C3</vt:lpstr>
      <vt:lpstr>A703_C4</vt:lpstr>
      <vt:lpstr>A703_C5</vt:lpstr>
      <vt:lpstr>A703A_C1</vt:lpstr>
      <vt:lpstr>A703A_C2</vt:lpstr>
      <vt:lpstr>A703A_C3</vt:lpstr>
      <vt:lpstr>A703A_C4</vt:lpstr>
      <vt:lpstr>A703A_C5</vt:lpstr>
      <vt:lpstr>A704_C1</vt:lpstr>
      <vt:lpstr>A704_C2</vt:lpstr>
      <vt:lpstr>A704_C3</vt:lpstr>
      <vt:lpstr>A704_C4</vt:lpstr>
      <vt:lpstr>A704_C5</vt:lpstr>
      <vt:lpstr>A704A_C1</vt:lpstr>
      <vt:lpstr>A704A_C2</vt:lpstr>
      <vt:lpstr>A704A_C3</vt:lpstr>
      <vt:lpstr>A704A_C4</vt:lpstr>
      <vt:lpstr>A704A_C5</vt:lpstr>
      <vt:lpstr>A704A1_C1</vt:lpstr>
      <vt:lpstr>A704A1_C2</vt:lpstr>
      <vt:lpstr>A704A1_C3</vt:lpstr>
      <vt:lpstr>A704A1_C4</vt:lpstr>
      <vt:lpstr>A704A1_C5</vt:lpstr>
      <vt:lpstr>A704A2_C1</vt:lpstr>
      <vt:lpstr>A704A2_C2</vt:lpstr>
      <vt:lpstr>A704A2_C3</vt:lpstr>
      <vt:lpstr>A704A2_C4</vt:lpstr>
      <vt:lpstr>A704A2_C5</vt:lpstr>
      <vt:lpstr>A704B_C1</vt:lpstr>
      <vt:lpstr>A704B_C2</vt:lpstr>
      <vt:lpstr>A704B_C3</vt:lpstr>
      <vt:lpstr>A704B_C4</vt:lpstr>
      <vt:lpstr>A704B_C5</vt:lpstr>
      <vt:lpstr>A704C_C1</vt:lpstr>
      <vt:lpstr>A704C_C2</vt:lpstr>
      <vt:lpstr>A704C_C3</vt:lpstr>
      <vt:lpstr>A704C_C4</vt:lpstr>
      <vt:lpstr>A704C_C5</vt:lpstr>
      <vt:lpstr>A704C1_C1</vt:lpstr>
      <vt:lpstr>A704C1_C2</vt:lpstr>
      <vt:lpstr>A704C1_C3</vt:lpstr>
      <vt:lpstr>A704C1_C4</vt:lpstr>
      <vt:lpstr>A704C1_C5</vt:lpstr>
      <vt:lpstr>A704D_C1</vt:lpstr>
      <vt:lpstr>A704D_C2</vt:lpstr>
      <vt:lpstr>A704D_C3</vt:lpstr>
      <vt:lpstr>A704D_C4</vt:lpstr>
      <vt:lpstr>A704D_C5</vt:lpstr>
      <vt:lpstr>A704D2_C1</vt:lpstr>
      <vt:lpstr>A704D2_C2</vt:lpstr>
      <vt:lpstr>A704D2_C3</vt:lpstr>
      <vt:lpstr>A704D2_C4</vt:lpstr>
      <vt:lpstr>A704D2_C5</vt:lpstr>
      <vt:lpstr>A704E_C1</vt:lpstr>
      <vt:lpstr>A704E_C2</vt:lpstr>
      <vt:lpstr>A704E_C3</vt:lpstr>
      <vt:lpstr>A704E_C4</vt:lpstr>
      <vt:lpstr>A704E_C5</vt:lpstr>
      <vt:lpstr>A704F2_C1</vt:lpstr>
      <vt:lpstr>A704F2_C2</vt:lpstr>
      <vt:lpstr>A704F2_C3</vt:lpstr>
      <vt:lpstr>A704F2_C4</vt:lpstr>
      <vt:lpstr>A704F2_C5</vt:lpstr>
      <vt:lpstr>A704G2_C1</vt:lpstr>
      <vt:lpstr>A704G2_C2</vt:lpstr>
      <vt:lpstr>A704G2_C3</vt:lpstr>
      <vt:lpstr>A704G2_C4</vt:lpstr>
      <vt:lpstr>A704G2_C5</vt:lpstr>
      <vt:lpstr>A705_C1</vt:lpstr>
      <vt:lpstr>A705_C2</vt:lpstr>
      <vt:lpstr>A705_C3</vt:lpstr>
      <vt:lpstr>A705_C4</vt:lpstr>
      <vt:lpstr>A705_C5</vt:lpstr>
      <vt:lpstr>A705A_C1</vt:lpstr>
      <vt:lpstr>A705A_C2</vt:lpstr>
      <vt:lpstr>A705A_C3</vt:lpstr>
      <vt:lpstr>A705A_C4</vt:lpstr>
      <vt:lpstr>A705A_C5</vt:lpstr>
      <vt:lpstr>A705B_C1</vt:lpstr>
      <vt:lpstr>A705B_C2</vt:lpstr>
      <vt:lpstr>A705B_C3</vt:lpstr>
      <vt:lpstr>A705B_C4</vt:lpstr>
      <vt:lpstr>A705B_C5</vt:lpstr>
      <vt:lpstr>A706_C1</vt:lpstr>
      <vt:lpstr>A706_C2</vt:lpstr>
      <vt:lpstr>A706_C3</vt:lpstr>
      <vt:lpstr>A706_C4</vt:lpstr>
      <vt:lpstr>A706_C5</vt:lpstr>
      <vt:lpstr>A707_C1</vt:lpstr>
      <vt:lpstr>A707_C2</vt:lpstr>
      <vt:lpstr>A707_C3</vt:lpstr>
      <vt:lpstr>A707_C4</vt:lpstr>
      <vt:lpstr>A707_C5</vt:lpstr>
      <vt:lpstr>A708_C1</vt:lpstr>
      <vt:lpstr>A708_C2</vt:lpstr>
      <vt:lpstr>A708_C3</vt:lpstr>
      <vt:lpstr>A708_C4</vt:lpstr>
      <vt:lpstr>A708_C5</vt:lpstr>
      <vt:lpstr>A708B_C1</vt:lpstr>
      <vt:lpstr>A708B_C2</vt:lpstr>
      <vt:lpstr>A708B_C3</vt:lpstr>
      <vt:lpstr>A708B_C4</vt:lpstr>
      <vt:lpstr>A708B_C5</vt:lpstr>
      <vt:lpstr>A709_C1</vt:lpstr>
      <vt:lpstr>A709_C2</vt:lpstr>
      <vt:lpstr>A709_C3</vt:lpstr>
      <vt:lpstr>A709_C4</vt:lpstr>
      <vt:lpstr>A709_C5</vt:lpstr>
      <vt:lpstr>A710_C1</vt:lpstr>
      <vt:lpstr>A710_C2</vt:lpstr>
      <vt:lpstr>A710_C3</vt:lpstr>
      <vt:lpstr>A710_C4</vt:lpstr>
      <vt:lpstr>A710_C5</vt:lpstr>
      <vt:lpstr>A712_C1</vt:lpstr>
      <vt:lpstr>A712_C2</vt:lpstr>
      <vt:lpstr>A712_C3</vt:lpstr>
      <vt:lpstr>A712_C4</vt:lpstr>
      <vt:lpstr>A712_C5</vt:lpstr>
      <vt:lpstr>A713_C1</vt:lpstr>
      <vt:lpstr>A713_C2</vt:lpstr>
      <vt:lpstr>A713_C3</vt:lpstr>
      <vt:lpstr>A713_C4</vt:lpstr>
      <vt:lpstr>A713_C5</vt:lpstr>
      <vt:lpstr>A713A_C1</vt:lpstr>
      <vt:lpstr>A713A_C2</vt:lpstr>
      <vt:lpstr>A713A_C3</vt:lpstr>
      <vt:lpstr>A713A_C4</vt:lpstr>
      <vt:lpstr>A713A_C5</vt:lpstr>
      <vt:lpstr>A714_C1</vt:lpstr>
      <vt:lpstr>A714_C2</vt:lpstr>
      <vt:lpstr>A714_C3</vt:lpstr>
      <vt:lpstr>A714_C4</vt:lpstr>
      <vt:lpstr>A714_C5</vt:lpstr>
      <vt:lpstr>A714A_C1</vt:lpstr>
      <vt:lpstr>A714A_C2</vt:lpstr>
      <vt:lpstr>A714A_C3</vt:lpstr>
      <vt:lpstr>A714A_C4</vt:lpstr>
      <vt:lpstr>A714A_C5</vt:lpstr>
      <vt:lpstr>A715_C1</vt:lpstr>
      <vt:lpstr>A715_C2</vt:lpstr>
      <vt:lpstr>A715_C3</vt:lpstr>
      <vt:lpstr>A715_C4</vt:lpstr>
      <vt:lpstr>A715_C5</vt:lpstr>
      <vt:lpstr>A715A_C1</vt:lpstr>
      <vt:lpstr>A715A_C2</vt:lpstr>
      <vt:lpstr>A715A_C3</vt:lpstr>
      <vt:lpstr>A715A_C4</vt:lpstr>
      <vt:lpstr>A715A_C5</vt:lpstr>
      <vt:lpstr>A716_C1</vt:lpstr>
      <vt:lpstr>A716_C2</vt:lpstr>
      <vt:lpstr>A716_C3</vt:lpstr>
      <vt:lpstr>A716_C4</vt:lpstr>
      <vt:lpstr>A716_C5</vt:lpstr>
      <vt:lpstr>A716A_C1</vt:lpstr>
      <vt:lpstr>A716A_C2</vt:lpstr>
      <vt:lpstr>A716A_C3</vt:lpstr>
      <vt:lpstr>A716A_C4</vt:lpstr>
      <vt:lpstr>A716A_C5</vt:lpstr>
      <vt:lpstr>A718_C1</vt:lpstr>
      <vt:lpstr>A718_C2</vt:lpstr>
      <vt:lpstr>A718_C3</vt:lpstr>
      <vt:lpstr>A718_C4</vt:lpstr>
      <vt:lpstr>A718_C5</vt:lpstr>
      <vt:lpstr>A718A_C1</vt:lpstr>
      <vt:lpstr>A718A_C2</vt:lpstr>
      <vt:lpstr>A718A_C3</vt:lpstr>
      <vt:lpstr>A718A_C4</vt:lpstr>
      <vt:lpstr>A718A_C5</vt:lpstr>
      <vt:lpstr>A718A1_C1</vt:lpstr>
      <vt:lpstr>A718A1_C2</vt:lpstr>
      <vt:lpstr>A718A1_C3</vt:lpstr>
      <vt:lpstr>A718A1_C4</vt:lpstr>
      <vt:lpstr>A718A1_C5</vt:lpstr>
      <vt:lpstr>A718A2_C1</vt:lpstr>
      <vt:lpstr>A718A2_C2</vt:lpstr>
      <vt:lpstr>A718A2_C3</vt:lpstr>
      <vt:lpstr>A718A2_C4</vt:lpstr>
      <vt:lpstr>A718A2_C5</vt:lpstr>
      <vt:lpstr>A718A3_C1</vt:lpstr>
      <vt:lpstr>A718A3_C2</vt:lpstr>
      <vt:lpstr>A718A3_C3</vt:lpstr>
      <vt:lpstr>A718A3_C4</vt:lpstr>
      <vt:lpstr>A718A3_C5</vt:lpstr>
      <vt:lpstr>A718A4_C1</vt:lpstr>
      <vt:lpstr>A718A4_C2</vt:lpstr>
      <vt:lpstr>A718A4_C3</vt:lpstr>
      <vt:lpstr>A718A4_C4</vt:lpstr>
      <vt:lpstr>A718A4_C5</vt:lpstr>
      <vt:lpstr>A718A5_C1</vt:lpstr>
      <vt:lpstr>A718A5_C2</vt:lpstr>
      <vt:lpstr>A718A5_C3</vt:lpstr>
      <vt:lpstr>A718A5_C4</vt:lpstr>
      <vt:lpstr>A718A5_C5</vt:lpstr>
      <vt:lpstr>A719_C1</vt:lpstr>
      <vt:lpstr>A719_C2</vt:lpstr>
      <vt:lpstr>A719_C3</vt:lpstr>
      <vt:lpstr>A719_C4</vt:lpstr>
      <vt:lpstr>A719_C5</vt:lpstr>
      <vt:lpstr>A720_C1</vt:lpstr>
      <vt:lpstr>A720_C2</vt:lpstr>
      <vt:lpstr>A720_C3</vt:lpstr>
      <vt:lpstr>A720_C4</vt:lpstr>
      <vt:lpstr>A720_C5</vt:lpstr>
      <vt:lpstr>A720A_C1</vt:lpstr>
      <vt:lpstr>A720A_C2</vt:lpstr>
      <vt:lpstr>A720A_C3</vt:lpstr>
      <vt:lpstr>A720A_C4</vt:lpstr>
      <vt:lpstr>A720A_C5</vt:lpstr>
      <vt:lpstr>A720B_C1</vt:lpstr>
      <vt:lpstr>A720B_C2</vt:lpstr>
      <vt:lpstr>A720B_C3</vt:lpstr>
      <vt:lpstr>A720B_C4</vt:lpstr>
      <vt:lpstr>A720B_C5</vt:lpstr>
      <vt:lpstr>A720C_C1</vt:lpstr>
      <vt:lpstr>A720C_C2</vt:lpstr>
      <vt:lpstr>A720C_C3</vt:lpstr>
      <vt:lpstr>A720C_C4</vt:lpstr>
      <vt:lpstr>A720C_C5</vt:lpstr>
      <vt:lpstr>A720D_C1</vt:lpstr>
      <vt:lpstr>A720D_C2</vt:lpstr>
      <vt:lpstr>A720D_C3</vt:lpstr>
      <vt:lpstr>A720D_C4</vt:lpstr>
      <vt:lpstr>A720D_C5</vt:lpstr>
      <vt:lpstr>A720E_C1</vt:lpstr>
      <vt:lpstr>A720E_C2</vt:lpstr>
      <vt:lpstr>A720E_C3</vt:lpstr>
      <vt:lpstr>A720E_C4</vt:lpstr>
      <vt:lpstr>A720E_C5</vt:lpstr>
      <vt:lpstr>A721_C1</vt:lpstr>
      <vt:lpstr>A721_C2</vt:lpstr>
      <vt:lpstr>A721_C3</vt:lpstr>
      <vt:lpstr>A721_C4</vt:lpstr>
      <vt:lpstr>A721_C5</vt:lpstr>
      <vt:lpstr>A721A_C1</vt:lpstr>
      <vt:lpstr>A721A_C2</vt:lpstr>
      <vt:lpstr>A721A_C3</vt:lpstr>
      <vt:lpstr>A721A_C4</vt:lpstr>
      <vt:lpstr>A721A_C5</vt:lpstr>
      <vt:lpstr>A721B_C1</vt:lpstr>
      <vt:lpstr>A721B_C2</vt:lpstr>
      <vt:lpstr>A721B_C3</vt:lpstr>
      <vt:lpstr>A721B_C4</vt:lpstr>
      <vt:lpstr>A721B_C5</vt:lpstr>
      <vt:lpstr>A722_C1</vt:lpstr>
      <vt:lpstr>A722_C2</vt:lpstr>
      <vt:lpstr>A722_C3</vt:lpstr>
      <vt:lpstr>A722_C4</vt:lpstr>
      <vt:lpstr>A722_C5</vt:lpstr>
      <vt:lpstr>A723_C1</vt:lpstr>
      <vt:lpstr>A723_C2</vt:lpstr>
      <vt:lpstr>A723_C3</vt:lpstr>
      <vt:lpstr>A723_C4</vt:lpstr>
      <vt:lpstr>A723_C5</vt:lpstr>
      <vt:lpstr>A724_C1</vt:lpstr>
      <vt:lpstr>A724_C2</vt:lpstr>
      <vt:lpstr>A724_C3</vt:lpstr>
      <vt:lpstr>A724_C4</vt:lpstr>
      <vt:lpstr>A724_C5</vt:lpstr>
      <vt:lpstr>A724B_C1</vt:lpstr>
      <vt:lpstr>A724B_C2</vt:lpstr>
      <vt:lpstr>A724B_C3</vt:lpstr>
      <vt:lpstr>A724B_C4</vt:lpstr>
      <vt:lpstr>A724B_C5</vt:lpstr>
      <vt:lpstr>A725_C1</vt:lpstr>
      <vt:lpstr>A725_C2</vt:lpstr>
      <vt:lpstr>A725_C3</vt:lpstr>
      <vt:lpstr>A725_C4</vt:lpstr>
      <vt:lpstr>A725_C5</vt:lpstr>
      <vt:lpstr>A726_C1</vt:lpstr>
      <vt:lpstr>A726_C2</vt:lpstr>
      <vt:lpstr>A726_C3</vt:lpstr>
      <vt:lpstr>A726_C4</vt:lpstr>
      <vt:lpstr>A726_C5</vt:lpstr>
      <vt:lpstr>A730A_C1</vt:lpstr>
      <vt:lpstr>A730A_C2</vt:lpstr>
      <vt:lpstr>A730A_C3</vt:lpstr>
      <vt:lpstr>A730A_C4</vt:lpstr>
      <vt:lpstr>A730A_C5</vt:lpstr>
      <vt:lpstr>A730B_C1</vt:lpstr>
      <vt:lpstr>A730B_C2</vt:lpstr>
      <vt:lpstr>A730B_C3</vt:lpstr>
      <vt:lpstr>A730B_C4</vt:lpstr>
      <vt:lpstr>A730B_C5</vt:lpstr>
      <vt:lpstr>A730B1_C1</vt:lpstr>
      <vt:lpstr>A730B1_C2</vt:lpstr>
      <vt:lpstr>A730B1_C3</vt:lpstr>
      <vt:lpstr>A730B1_C4</vt:lpstr>
      <vt:lpstr>A730B1_C5</vt:lpstr>
      <vt:lpstr>A730B2_C1</vt:lpstr>
      <vt:lpstr>A730B2_C2</vt:lpstr>
      <vt:lpstr>A730B2_C3</vt:lpstr>
      <vt:lpstr>A730B2_C4</vt:lpstr>
      <vt:lpstr>A730B2_C5</vt:lpstr>
      <vt:lpstr>A730C_C1</vt:lpstr>
      <vt:lpstr>A730C_C2</vt:lpstr>
      <vt:lpstr>A730C_C3</vt:lpstr>
      <vt:lpstr>A730C_C4</vt:lpstr>
      <vt:lpstr>A730C_C5</vt:lpstr>
      <vt:lpstr>A731_C1</vt:lpstr>
      <vt:lpstr>A731_C2</vt:lpstr>
      <vt:lpstr>A731_C3</vt:lpstr>
      <vt:lpstr>A731_C4</vt:lpstr>
      <vt:lpstr>A731_C5</vt:lpstr>
      <vt:lpstr>A732_C1</vt:lpstr>
      <vt:lpstr>A732_C2</vt:lpstr>
      <vt:lpstr>A732_C3</vt:lpstr>
      <vt:lpstr>A732_C4</vt:lpstr>
      <vt:lpstr>A732_C5</vt:lpstr>
      <vt:lpstr>A733_C1</vt:lpstr>
      <vt:lpstr>A733_C2</vt:lpstr>
      <vt:lpstr>A733_C3</vt:lpstr>
      <vt:lpstr>A733_C4</vt:lpstr>
      <vt:lpstr>A733_C5</vt:lpstr>
      <vt:lpstr>A733A_C1</vt:lpstr>
      <vt:lpstr>A733A_C2</vt:lpstr>
      <vt:lpstr>A733A_C3</vt:lpstr>
      <vt:lpstr>A733A_C4</vt:lpstr>
      <vt:lpstr>A733A_C5</vt:lpstr>
      <vt:lpstr>A736_C1</vt:lpstr>
      <vt:lpstr>A736_C2</vt:lpstr>
      <vt:lpstr>A736_C3</vt:lpstr>
      <vt:lpstr>A736_C4</vt:lpstr>
      <vt:lpstr>A736_C5</vt:lpstr>
      <vt:lpstr>A740_C1</vt:lpstr>
      <vt:lpstr>A740_C2</vt:lpstr>
      <vt:lpstr>A740_C3</vt:lpstr>
      <vt:lpstr>A740_C4</vt:lpstr>
      <vt:lpstr>A740_C5</vt:lpstr>
      <vt:lpstr>A740A_C1</vt:lpstr>
      <vt:lpstr>A740A_C2</vt:lpstr>
      <vt:lpstr>A740A_C3</vt:lpstr>
      <vt:lpstr>A740A_C4</vt:lpstr>
      <vt:lpstr>A740A_C5</vt:lpstr>
      <vt:lpstr>A741C_C1</vt:lpstr>
      <vt:lpstr>A741C_C2</vt:lpstr>
      <vt:lpstr>A741C_C3</vt:lpstr>
      <vt:lpstr>A741C_C4</vt:lpstr>
      <vt:lpstr>A741C_C5</vt:lpstr>
      <vt:lpstr>A741C3_C1</vt:lpstr>
      <vt:lpstr>A741C3_C2</vt:lpstr>
      <vt:lpstr>A741C3_C3</vt:lpstr>
      <vt:lpstr>A741C3_C4</vt:lpstr>
      <vt:lpstr>A741C3_C5</vt:lpstr>
      <vt:lpstr>A742C_C1</vt:lpstr>
      <vt:lpstr>A742C_C2</vt:lpstr>
      <vt:lpstr>A742C_C3</vt:lpstr>
      <vt:lpstr>A742C_C4</vt:lpstr>
      <vt:lpstr>A742C_C5</vt:lpstr>
      <vt:lpstr>A742C1_C1</vt:lpstr>
      <vt:lpstr>A742C1_C2</vt:lpstr>
      <vt:lpstr>A742C1_C3</vt:lpstr>
      <vt:lpstr>A742C1_C4</vt:lpstr>
      <vt:lpstr>A742C1_C5</vt:lpstr>
      <vt:lpstr>A742C2_C1</vt:lpstr>
      <vt:lpstr>A742C2_C2</vt:lpstr>
      <vt:lpstr>A742C2_C3</vt:lpstr>
      <vt:lpstr>A742C2_C4</vt:lpstr>
      <vt:lpstr>A742C2_C5</vt:lpstr>
      <vt:lpstr>A743C_C1</vt:lpstr>
      <vt:lpstr>A743C_C2</vt:lpstr>
      <vt:lpstr>A743C_C3</vt:lpstr>
      <vt:lpstr>A743C_C4</vt:lpstr>
      <vt:lpstr>A743C_C5</vt:lpstr>
      <vt:lpstr>A743D_C1</vt:lpstr>
      <vt:lpstr>A743D_C2</vt:lpstr>
      <vt:lpstr>A743D_C3</vt:lpstr>
      <vt:lpstr>A743D_C4</vt:lpstr>
      <vt:lpstr>A743D_C5</vt:lpstr>
      <vt:lpstr>A743E_C1</vt:lpstr>
      <vt:lpstr>A743E_C2</vt:lpstr>
      <vt:lpstr>A743E_C3</vt:lpstr>
      <vt:lpstr>A743E_C4</vt:lpstr>
      <vt:lpstr>A743E_C5</vt:lpstr>
      <vt:lpstr>A744A_C1</vt:lpstr>
      <vt:lpstr>A744A_C2</vt:lpstr>
      <vt:lpstr>A744A_C3</vt:lpstr>
      <vt:lpstr>A744A_C4</vt:lpstr>
      <vt:lpstr>A744A_C5</vt:lpstr>
      <vt:lpstr>A744B_C1</vt:lpstr>
      <vt:lpstr>A744B_C2</vt:lpstr>
      <vt:lpstr>A744B_C3</vt:lpstr>
      <vt:lpstr>A744B_C4</vt:lpstr>
      <vt:lpstr>A744B_C5</vt:lpstr>
      <vt:lpstr>A744C_C1</vt:lpstr>
      <vt:lpstr>A744C_C2</vt:lpstr>
      <vt:lpstr>A744C_C3</vt:lpstr>
      <vt:lpstr>A744C_C4</vt:lpstr>
      <vt:lpstr>A744C_C5</vt:lpstr>
      <vt:lpstr>A744C1_C1</vt:lpstr>
      <vt:lpstr>A744C1_C2</vt:lpstr>
      <vt:lpstr>A744C1_C3</vt:lpstr>
      <vt:lpstr>A744C1_C4</vt:lpstr>
      <vt:lpstr>A744C1_C5</vt:lpstr>
      <vt:lpstr>A744C2_C1</vt:lpstr>
      <vt:lpstr>A744C2_C2</vt:lpstr>
      <vt:lpstr>A744C2_C3</vt:lpstr>
      <vt:lpstr>A744C2_C4</vt:lpstr>
      <vt:lpstr>A744C2_C5</vt:lpstr>
      <vt:lpstr>A744D_C1</vt:lpstr>
      <vt:lpstr>A744D_C2</vt:lpstr>
      <vt:lpstr>A744D_C3</vt:lpstr>
      <vt:lpstr>A744D_C4</vt:lpstr>
      <vt:lpstr>A744D_C5</vt:lpstr>
      <vt:lpstr>A745_C1</vt:lpstr>
      <vt:lpstr>A745_C2</vt:lpstr>
      <vt:lpstr>A745_C3</vt:lpstr>
      <vt:lpstr>A745_C4</vt:lpstr>
      <vt:lpstr>A745_C5</vt:lpstr>
      <vt:lpstr>A745A_C1</vt:lpstr>
      <vt:lpstr>A745A_C2</vt:lpstr>
      <vt:lpstr>A745A_C3</vt:lpstr>
      <vt:lpstr>A745A_C4</vt:lpstr>
      <vt:lpstr>A745A_C5</vt:lpstr>
      <vt:lpstr>A745B_C1</vt:lpstr>
      <vt:lpstr>A745B_C2</vt:lpstr>
      <vt:lpstr>A745B_C3</vt:lpstr>
      <vt:lpstr>A745B_C4</vt:lpstr>
      <vt:lpstr>A745B_C5</vt:lpstr>
      <vt:lpstr>A745C_C1</vt:lpstr>
      <vt:lpstr>A745C_C2</vt:lpstr>
      <vt:lpstr>A745C_C3</vt:lpstr>
      <vt:lpstr>A745C_C4</vt:lpstr>
      <vt:lpstr>A745C_C5</vt:lpstr>
      <vt:lpstr>A745C1_C1</vt:lpstr>
      <vt:lpstr>A745C1_C2</vt:lpstr>
      <vt:lpstr>A745C1_C3</vt:lpstr>
      <vt:lpstr>A745C1_C4</vt:lpstr>
      <vt:lpstr>A745C1_C5</vt:lpstr>
      <vt:lpstr>A745C2_C1</vt:lpstr>
      <vt:lpstr>A745C2_C2</vt:lpstr>
      <vt:lpstr>A745C2_C3</vt:lpstr>
      <vt:lpstr>A745C2_C4</vt:lpstr>
      <vt:lpstr>A745C2_C5</vt:lpstr>
      <vt:lpstr>A745D_C1</vt:lpstr>
      <vt:lpstr>A745D_C2</vt:lpstr>
      <vt:lpstr>A745D_C3</vt:lpstr>
      <vt:lpstr>A745D_C4</vt:lpstr>
      <vt:lpstr>A745D_C5</vt:lpstr>
      <vt:lpstr>A745E_C1</vt:lpstr>
      <vt:lpstr>A745E_C2</vt:lpstr>
      <vt:lpstr>A745E_C3</vt:lpstr>
      <vt:lpstr>A745E_C4</vt:lpstr>
      <vt:lpstr>A745E_C5</vt:lpstr>
      <vt:lpstr>A746_C1</vt:lpstr>
      <vt:lpstr>A746_C2</vt:lpstr>
      <vt:lpstr>A746_C3</vt:lpstr>
      <vt:lpstr>A746_C4</vt:lpstr>
      <vt:lpstr>A746_C5</vt:lpstr>
      <vt:lpstr>A751_C1</vt:lpstr>
      <vt:lpstr>A751_C2</vt:lpstr>
      <vt:lpstr>A751_C3</vt:lpstr>
      <vt:lpstr>A751_C4</vt:lpstr>
      <vt:lpstr>A751_C5</vt:lpstr>
      <vt:lpstr>A752_C1</vt:lpstr>
      <vt:lpstr>A752_C2</vt:lpstr>
      <vt:lpstr>A752_C3</vt:lpstr>
      <vt:lpstr>A752_C4</vt:lpstr>
      <vt:lpstr>A752_C5</vt:lpstr>
      <vt:lpstr>A753_C1</vt:lpstr>
      <vt:lpstr>A753_C2</vt:lpstr>
      <vt:lpstr>A753_C3</vt:lpstr>
      <vt:lpstr>A753_C4</vt:lpstr>
      <vt:lpstr>A753_C5</vt:lpstr>
      <vt:lpstr>A754_C1</vt:lpstr>
      <vt:lpstr>A754_C2</vt:lpstr>
      <vt:lpstr>A754_C3</vt:lpstr>
      <vt:lpstr>A754_C4</vt:lpstr>
      <vt:lpstr>A754_C5</vt:lpstr>
      <vt:lpstr>A755_C1</vt:lpstr>
      <vt:lpstr>A755_C2</vt:lpstr>
      <vt:lpstr>A755_C3</vt:lpstr>
      <vt:lpstr>A755_C4</vt:lpstr>
      <vt:lpstr>A755_C5</vt:lpstr>
      <vt:lpstr>A756_C1</vt:lpstr>
      <vt:lpstr>A756_C2</vt:lpstr>
      <vt:lpstr>A756_C3</vt:lpstr>
      <vt:lpstr>A756_C4</vt:lpstr>
      <vt:lpstr>A756_C5</vt:lpstr>
      <vt:lpstr>A757_C1</vt:lpstr>
      <vt:lpstr>A757_C2</vt:lpstr>
      <vt:lpstr>A757_C3</vt:lpstr>
      <vt:lpstr>A757_C4</vt:lpstr>
      <vt:lpstr>A757_C5</vt:lpstr>
      <vt:lpstr>A758_C1</vt:lpstr>
      <vt:lpstr>A758_C2</vt:lpstr>
      <vt:lpstr>A758_C3</vt:lpstr>
      <vt:lpstr>A758_C4</vt:lpstr>
      <vt:lpstr>A758_C5</vt:lpstr>
      <vt:lpstr>A766A_C1</vt:lpstr>
      <vt:lpstr>A766A_C2</vt:lpstr>
      <vt:lpstr>A766A_C3</vt:lpstr>
      <vt:lpstr>A766A_C4</vt:lpstr>
      <vt:lpstr>A766A_C5</vt:lpstr>
      <vt:lpstr>A766B_C1</vt:lpstr>
      <vt:lpstr>A766B_C2</vt:lpstr>
      <vt:lpstr>A766B_C3</vt:lpstr>
      <vt:lpstr>A766B_C4</vt:lpstr>
      <vt:lpstr>A766B_C5</vt:lpstr>
      <vt:lpstr>A766C1_C1</vt:lpstr>
      <vt:lpstr>A766C1_C2</vt:lpstr>
      <vt:lpstr>A766C1_C3</vt:lpstr>
      <vt:lpstr>A766C1_C4</vt:lpstr>
      <vt:lpstr>A766C1_C5</vt:lpstr>
      <vt:lpstr>A766C2_C1</vt:lpstr>
      <vt:lpstr>A766C2_C2</vt:lpstr>
      <vt:lpstr>A766C2_C3</vt:lpstr>
      <vt:lpstr>A766C2_C4</vt:lpstr>
      <vt:lpstr>A766C2_C5</vt:lpstr>
      <vt:lpstr>A766D_C1</vt:lpstr>
      <vt:lpstr>A766D_C2</vt:lpstr>
      <vt:lpstr>A766D_C3</vt:lpstr>
      <vt:lpstr>A766D_C4</vt:lpstr>
      <vt:lpstr>A766D_C5</vt:lpstr>
      <vt:lpstr>A766E_C1</vt:lpstr>
      <vt:lpstr>A766E_C2</vt:lpstr>
      <vt:lpstr>A766E_C3</vt:lpstr>
      <vt:lpstr>A766E_C4</vt:lpstr>
      <vt:lpstr>A766E_C5</vt:lpstr>
      <vt:lpstr>A767_C1</vt:lpstr>
      <vt:lpstr>A767_C2</vt:lpstr>
      <vt:lpstr>A767_C3</vt:lpstr>
      <vt:lpstr>A767_C4</vt:lpstr>
      <vt:lpstr>A767_C5</vt:lpstr>
      <vt:lpstr>A769A_C1</vt:lpstr>
      <vt:lpstr>A769A_C2</vt:lpstr>
      <vt:lpstr>A769A_C3</vt:lpstr>
      <vt:lpstr>A769A_C4</vt:lpstr>
      <vt:lpstr>A769A_C5</vt:lpstr>
      <vt:lpstr>A769A1_C1</vt:lpstr>
      <vt:lpstr>A769A1_C2</vt:lpstr>
      <vt:lpstr>A769A1_C3</vt:lpstr>
      <vt:lpstr>A769A1_C4</vt:lpstr>
      <vt:lpstr>A769A1_C5</vt:lpstr>
      <vt:lpstr>A769B_C1</vt:lpstr>
      <vt:lpstr>A769B_C2</vt:lpstr>
      <vt:lpstr>A769B_C3</vt:lpstr>
      <vt:lpstr>A769B_C4</vt:lpstr>
      <vt:lpstr>A769B_C5</vt:lpstr>
      <vt:lpstr>A769B1_C1</vt:lpstr>
      <vt:lpstr>A769B1_C2</vt:lpstr>
      <vt:lpstr>A769B1_C3</vt:lpstr>
      <vt:lpstr>A769B1_C4</vt:lpstr>
      <vt:lpstr>A769B1_C5</vt:lpstr>
      <vt:lpstr>A771_C1</vt:lpstr>
      <vt:lpstr>A771_C2</vt:lpstr>
      <vt:lpstr>A771_C3</vt:lpstr>
      <vt:lpstr>A771_C4</vt:lpstr>
      <vt:lpstr>A771_C5</vt:lpstr>
      <vt:lpstr>A772_C1</vt:lpstr>
      <vt:lpstr>A772_C2</vt:lpstr>
      <vt:lpstr>A772_C3</vt:lpstr>
      <vt:lpstr>A772_C4</vt:lpstr>
      <vt:lpstr>A772_C5</vt:lpstr>
      <vt:lpstr>A773_C1</vt:lpstr>
      <vt:lpstr>A773_C2</vt:lpstr>
      <vt:lpstr>A773_C3</vt:lpstr>
      <vt:lpstr>A773_C4</vt:lpstr>
      <vt:lpstr>A773_C5</vt:lpstr>
      <vt:lpstr>A774_C1</vt:lpstr>
      <vt:lpstr>A774_C2</vt:lpstr>
      <vt:lpstr>A774_C3</vt:lpstr>
      <vt:lpstr>A774_C4</vt:lpstr>
      <vt:lpstr>A774_C5</vt:lpstr>
      <vt:lpstr>A775_C1</vt:lpstr>
      <vt:lpstr>A775_C2</vt:lpstr>
      <vt:lpstr>A775_C3</vt:lpstr>
      <vt:lpstr>A775_C4</vt:lpstr>
      <vt:lpstr>A775_C5</vt:lpstr>
      <vt:lpstr>A776_C1</vt:lpstr>
      <vt:lpstr>A776_C2</vt:lpstr>
      <vt:lpstr>A776_C3</vt:lpstr>
      <vt:lpstr>A776_C4</vt:lpstr>
      <vt:lpstr>A776_C5</vt:lpstr>
      <vt:lpstr>A777_C1</vt:lpstr>
      <vt:lpstr>A777_C2</vt:lpstr>
      <vt:lpstr>A777_C3</vt:lpstr>
      <vt:lpstr>A777_C4</vt:lpstr>
      <vt:lpstr>A777_C5</vt:lpstr>
      <vt:lpstr>A778_C1</vt:lpstr>
      <vt:lpstr>A778_C2</vt:lpstr>
      <vt:lpstr>A778_C3</vt:lpstr>
      <vt:lpstr>A778_C4</vt:lpstr>
      <vt:lpstr>A778_C5</vt:lpstr>
      <vt:lpstr>A779_C1</vt:lpstr>
      <vt:lpstr>A779_C2</vt:lpstr>
      <vt:lpstr>A779_C3</vt:lpstr>
      <vt:lpstr>A779_C4</vt:lpstr>
      <vt:lpstr>A779_C5</vt:lpstr>
      <vt:lpstr>A779A_C1</vt:lpstr>
      <vt:lpstr>A779A_C2</vt:lpstr>
      <vt:lpstr>A779A_C3</vt:lpstr>
      <vt:lpstr>A779A_C4</vt:lpstr>
      <vt:lpstr>A779A_C5</vt:lpstr>
      <vt:lpstr>A780_C1</vt:lpstr>
      <vt:lpstr>A780_C2</vt:lpstr>
      <vt:lpstr>A780_C3</vt:lpstr>
      <vt:lpstr>A780_C4</vt:lpstr>
      <vt:lpstr>A780_C5</vt:lpstr>
      <vt:lpstr>A781_C1</vt:lpstr>
      <vt:lpstr>A781_C2</vt:lpstr>
      <vt:lpstr>A781_C3</vt:lpstr>
      <vt:lpstr>A781_C4</vt:lpstr>
      <vt:lpstr>A781_C5</vt:lpstr>
      <vt:lpstr>A784_C1</vt:lpstr>
      <vt:lpstr>A784_C2</vt:lpstr>
      <vt:lpstr>A784_C3</vt:lpstr>
      <vt:lpstr>A784_C4</vt:lpstr>
      <vt:lpstr>A784_C5</vt:lpstr>
      <vt:lpstr>A784A_C1</vt:lpstr>
      <vt:lpstr>A784A_C2</vt:lpstr>
      <vt:lpstr>A784A_C3</vt:lpstr>
      <vt:lpstr>A784A_C4</vt:lpstr>
      <vt:lpstr>A784A_C5</vt:lpstr>
      <vt:lpstr>A785_C1</vt:lpstr>
      <vt:lpstr>A785_C2</vt:lpstr>
      <vt:lpstr>A785_C3</vt:lpstr>
      <vt:lpstr>A785_C4</vt:lpstr>
      <vt:lpstr>A785_C5</vt:lpstr>
      <vt:lpstr>A785A_C1</vt:lpstr>
      <vt:lpstr>A785A_C2</vt:lpstr>
      <vt:lpstr>A785A_C3</vt:lpstr>
      <vt:lpstr>A785A_C4</vt:lpstr>
      <vt:lpstr>A785A_C5</vt:lpstr>
      <vt:lpstr>A786_C1</vt:lpstr>
      <vt:lpstr>A786_C2</vt:lpstr>
      <vt:lpstr>A786_C3</vt:lpstr>
      <vt:lpstr>A786_C4</vt:lpstr>
      <vt:lpstr>A786_C5</vt:lpstr>
      <vt:lpstr>A786A_C1</vt:lpstr>
      <vt:lpstr>A786A_C2</vt:lpstr>
      <vt:lpstr>A786A_C3</vt:lpstr>
      <vt:lpstr>A786A_C4</vt:lpstr>
      <vt:lpstr>A786A_C5</vt:lpstr>
      <vt:lpstr>A786B_C1</vt:lpstr>
      <vt:lpstr>A786B_C2</vt:lpstr>
      <vt:lpstr>A786B_C3</vt:lpstr>
      <vt:lpstr>A786B_C4</vt:lpstr>
      <vt:lpstr>A786B_C5</vt:lpstr>
      <vt:lpstr>A788_C1</vt:lpstr>
      <vt:lpstr>A788_C2</vt:lpstr>
      <vt:lpstr>A788_C3</vt:lpstr>
      <vt:lpstr>A788_C4</vt:lpstr>
      <vt:lpstr>A788_C5</vt:lpstr>
      <vt:lpstr>A789_C1</vt:lpstr>
      <vt:lpstr>A789_C2</vt:lpstr>
      <vt:lpstr>A789_C3</vt:lpstr>
      <vt:lpstr>A789_C4</vt:lpstr>
      <vt:lpstr>A789_C5</vt:lpstr>
      <vt:lpstr>A789A_C1</vt:lpstr>
      <vt:lpstr>A789A_C2</vt:lpstr>
      <vt:lpstr>A789A_C3</vt:lpstr>
      <vt:lpstr>A789A_C4</vt:lpstr>
      <vt:lpstr>A789A_C5</vt:lpstr>
      <vt:lpstr>A789A1_C1</vt:lpstr>
      <vt:lpstr>A789A1_C2</vt:lpstr>
      <vt:lpstr>A789A1_C3</vt:lpstr>
      <vt:lpstr>A789A1_C4</vt:lpstr>
      <vt:lpstr>A789A1_C5</vt:lpstr>
      <vt:lpstr>A789B_C1</vt:lpstr>
      <vt:lpstr>A789B_C2</vt:lpstr>
      <vt:lpstr>A789B_C3</vt:lpstr>
      <vt:lpstr>A789B_C4</vt:lpstr>
      <vt:lpstr>A789B_C5</vt:lpstr>
      <vt:lpstr>A789C_C1</vt:lpstr>
      <vt:lpstr>A789C_C2</vt:lpstr>
      <vt:lpstr>A789C_C3</vt:lpstr>
      <vt:lpstr>A789C_C4</vt:lpstr>
      <vt:lpstr>A789C_C5</vt:lpstr>
      <vt:lpstr>A789D_C1</vt:lpstr>
      <vt:lpstr>A789D_C2</vt:lpstr>
      <vt:lpstr>A789D_C3</vt:lpstr>
      <vt:lpstr>A789D_C4</vt:lpstr>
      <vt:lpstr>A789D_C5</vt:lpstr>
      <vt:lpstr>A789E_C1</vt:lpstr>
      <vt:lpstr>A789E_C2</vt:lpstr>
      <vt:lpstr>A789E_C3</vt:lpstr>
      <vt:lpstr>A789E_C4</vt:lpstr>
      <vt:lpstr>A789E_C5</vt:lpstr>
      <vt:lpstr>A789E1_C1</vt:lpstr>
      <vt:lpstr>A789E1_C2</vt:lpstr>
      <vt:lpstr>A789E1_C3</vt:lpstr>
      <vt:lpstr>A789E1_C4</vt:lpstr>
      <vt:lpstr>A789E1_C5</vt:lpstr>
      <vt:lpstr>A789E2_C1</vt:lpstr>
      <vt:lpstr>A789E2_C2</vt:lpstr>
      <vt:lpstr>A789E2_C3</vt:lpstr>
      <vt:lpstr>A789E2_C4</vt:lpstr>
      <vt:lpstr>A789E2_C5</vt:lpstr>
      <vt:lpstr>A789F_C1</vt:lpstr>
      <vt:lpstr>A789F_C2</vt:lpstr>
      <vt:lpstr>A789F_C3</vt:lpstr>
      <vt:lpstr>A789F_C4</vt:lpstr>
      <vt:lpstr>A789F_C5</vt:lpstr>
      <vt:lpstr>A789G_C1</vt:lpstr>
      <vt:lpstr>A789G_C2</vt:lpstr>
      <vt:lpstr>A789G_C3</vt:lpstr>
      <vt:lpstr>A789G_C4</vt:lpstr>
      <vt:lpstr>A789G_C5</vt:lpstr>
      <vt:lpstr>A789H_C1</vt:lpstr>
      <vt:lpstr>A789H_C2</vt:lpstr>
      <vt:lpstr>A789H_C3</vt:lpstr>
      <vt:lpstr>A789H_C4</vt:lpstr>
      <vt:lpstr>A789H_C5</vt:lpstr>
      <vt:lpstr>A794_C1</vt:lpstr>
      <vt:lpstr>A794_C2</vt:lpstr>
      <vt:lpstr>A794_C3</vt:lpstr>
      <vt:lpstr>A794_C4</vt:lpstr>
      <vt:lpstr>A794_C5</vt:lpstr>
      <vt:lpstr>A796A_C1</vt:lpstr>
      <vt:lpstr>A796A_C2</vt:lpstr>
      <vt:lpstr>A796A_C3</vt:lpstr>
      <vt:lpstr>A796A_C4</vt:lpstr>
      <vt:lpstr>A796A_C5</vt:lpstr>
      <vt:lpstr>A796B_C1</vt:lpstr>
      <vt:lpstr>A796B_C2</vt:lpstr>
      <vt:lpstr>A796B_C3</vt:lpstr>
      <vt:lpstr>A796B_C4</vt:lpstr>
      <vt:lpstr>A796B_C5</vt:lpstr>
      <vt:lpstr>A796C_C1</vt:lpstr>
      <vt:lpstr>A796C_C2</vt:lpstr>
      <vt:lpstr>A796C_C3</vt:lpstr>
      <vt:lpstr>A796C_C4</vt:lpstr>
      <vt:lpstr>A796C_C5</vt:lpstr>
      <vt:lpstr>A796C1_C1</vt:lpstr>
      <vt:lpstr>A796C1_C2</vt:lpstr>
      <vt:lpstr>A796C1_C3</vt:lpstr>
      <vt:lpstr>A796C1_C4</vt:lpstr>
      <vt:lpstr>A796C1_C5</vt:lpstr>
      <vt:lpstr>A796C2_C1</vt:lpstr>
      <vt:lpstr>A796C2_C2</vt:lpstr>
      <vt:lpstr>A796C2_C3</vt:lpstr>
      <vt:lpstr>A796C2_C4</vt:lpstr>
      <vt:lpstr>A796C2_C5</vt:lpstr>
      <vt:lpstr>A796D_C1</vt:lpstr>
      <vt:lpstr>A796D_C2</vt:lpstr>
      <vt:lpstr>A796D_C3</vt:lpstr>
      <vt:lpstr>A796D_C4</vt:lpstr>
      <vt:lpstr>A796D_C5</vt:lpstr>
      <vt:lpstr>A796E_C1</vt:lpstr>
      <vt:lpstr>A796E_C2</vt:lpstr>
      <vt:lpstr>A796E_C3</vt:lpstr>
      <vt:lpstr>A796E_C4</vt:lpstr>
      <vt:lpstr>A796E_C5</vt:lpstr>
      <vt:lpstr>A797A_C1</vt:lpstr>
      <vt:lpstr>A797A_C2</vt:lpstr>
      <vt:lpstr>A797A_C3</vt:lpstr>
      <vt:lpstr>A797A_C4</vt:lpstr>
      <vt:lpstr>A797A_C5</vt:lpstr>
      <vt:lpstr>A797B_C1</vt:lpstr>
      <vt:lpstr>A797B_C2</vt:lpstr>
      <vt:lpstr>A797B_C3</vt:lpstr>
      <vt:lpstr>A797B_C4</vt:lpstr>
      <vt:lpstr>A797B_C5</vt:lpstr>
      <vt:lpstr>A797C_C1</vt:lpstr>
      <vt:lpstr>A797C_C2</vt:lpstr>
      <vt:lpstr>A797C_C3</vt:lpstr>
      <vt:lpstr>A797C_C4</vt:lpstr>
      <vt:lpstr>A797C_C5</vt:lpstr>
      <vt:lpstr>A797C1_C1</vt:lpstr>
      <vt:lpstr>A797C1_C2</vt:lpstr>
      <vt:lpstr>A797C1_C3</vt:lpstr>
      <vt:lpstr>A797C1_C4</vt:lpstr>
      <vt:lpstr>A797C1_C5</vt:lpstr>
      <vt:lpstr>A797C2_C1</vt:lpstr>
      <vt:lpstr>A797C2_C2</vt:lpstr>
      <vt:lpstr>A797C2_C3</vt:lpstr>
      <vt:lpstr>A797C2_C4</vt:lpstr>
      <vt:lpstr>A797C2_C5</vt:lpstr>
      <vt:lpstr>A797D_C1</vt:lpstr>
      <vt:lpstr>A797D_C2</vt:lpstr>
      <vt:lpstr>A797D_C3</vt:lpstr>
      <vt:lpstr>A797D_C4</vt:lpstr>
      <vt:lpstr>A797D_C5</vt:lpstr>
      <vt:lpstr>A797E_C1</vt:lpstr>
      <vt:lpstr>A797E_C2</vt:lpstr>
      <vt:lpstr>A797E_C3</vt:lpstr>
      <vt:lpstr>A797E_C4</vt:lpstr>
      <vt:lpstr>A797E_C5</vt:lpstr>
      <vt:lpstr>A798_C1</vt:lpstr>
      <vt:lpstr>A798_C2</vt:lpstr>
      <vt:lpstr>A798_C3</vt:lpstr>
      <vt:lpstr>A798_C4</vt:lpstr>
      <vt:lpstr>A798_C5</vt:lpstr>
      <vt:lpstr>A798A_C1</vt:lpstr>
      <vt:lpstr>A798A_C2</vt:lpstr>
      <vt:lpstr>A798A_C3</vt:lpstr>
      <vt:lpstr>A798A_C4</vt:lpstr>
      <vt:lpstr>A798A_C5</vt:lpstr>
      <vt:lpstr>A798A1_C1</vt:lpstr>
      <vt:lpstr>A798A1_C2</vt:lpstr>
      <vt:lpstr>A798A1_C3</vt:lpstr>
      <vt:lpstr>A798A1_C4</vt:lpstr>
      <vt:lpstr>A798A1_C5</vt:lpstr>
      <vt:lpstr>A798A2_C1</vt:lpstr>
      <vt:lpstr>A798A2_C2</vt:lpstr>
      <vt:lpstr>A798A2_C3</vt:lpstr>
      <vt:lpstr>A798A2_C4</vt:lpstr>
      <vt:lpstr>A798A2_C5</vt:lpstr>
      <vt:lpstr>A798A3_C1</vt:lpstr>
      <vt:lpstr>A798A3_C2</vt:lpstr>
      <vt:lpstr>A798A3_C3</vt:lpstr>
      <vt:lpstr>A798A3_C4</vt:lpstr>
      <vt:lpstr>A798A3_C5</vt:lpstr>
      <vt:lpstr>A799_C1</vt:lpstr>
      <vt:lpstr>A799_C2</vt:lpstr>
      <vt:lpstr>A799_C3</vt:lpstr>
      <vt:lpstr>A799_C4</vt:lpstr>
      <vt:lpstr>A799_C5</vt:lpstr>
      <vt:lpstr>A799A_C1</vt:lpstr>
      <vt:lpstr>A799A_C2</vt:lpstr>
      <vt:lpstr>A799A_C3</vt:lpstr>
      <vt:lpstr>A799A_C4</vt:lpstr>
      <vt:lpstr>A799A_C5</vt:lpstr>
      <vt:lpstr>A799A1_C1</vt:lpstr>
      <vt:lpstr>A799A1_C2</vt:lpstr>
      <vt:lpstr>A799A1_C3</vt:lpstr>
      <vt:lpstr>A799A1_C4</vt:lpstr>
      <vt:lpstr>A799A1_C5</vt:lpstr>
      <vt:lpstr>A799B_C1</vt:lpstr>
      <vt:lpstr>A799B_C2</vt:lpstr>
      <vt:lpstr>A799B_C3</vt:lpstr>
      <vt:lpstr>A799B_C4</vt:lpstr>
      <vt:lpstr>A799B_C5</vt:lpstr>
      <vt:lpstr>A799C_C1</vt:lpstr>
      <vt:lpstr>A799C_C2</vt:lpstr>
      <vt:lpstr>A799C_C3</vt:lpstr>
      <vt:lpstr>A799C_C4</vt:lpstr>
      <vt:lpstr>A799C_C5</vt:lpstr>
      <vt:lpstr>A799C1_C1</vt:lpstr>
      <vt:lpstr>A799C1_C2</vt:lpstr>
      <vt:lpstr>A799C1_C3</vt:lpstr>
      <vt:lpstr>A799C1_C4</vt:lpstr>
      <vt:lpstr>A799C1_C5</vt:lpstr>
      <vt:lpstr>A799C2_C1</vt:lpstr>
      <vt:lpstr>A799C2_C2</vt:lpstr>
      <vt:lpstr>A799C2_C3</vt:lpstr>
      <vt:lpstr>A799C2_C4</vt:lpstr>
      <vt:lpstr>A799C2_C5</vt:lpstr>
      <vt:lpstr>A799D_C1</vt:lpstr>
      <vt:lpstr>A799D_C2</vt:lpstr>
      <vt:lpstr>A799D_C3</vt:lpstr>
      <vt:lpstr>A799D_C4</vt:lpstr>
      <vt:lpstr>A799D_C5</vt:lpstr>
      <vt:lpstr>A799I_C1</vt:lpstr>
      <vt:lpstr>A799I_C2</vt:lpstr>
      <vt:lpstr>A799I_C3</vt:lpstr>
      <vt:lpstr>A799I_C4</vt:lpstr>
      <vt:lpstr>A799I_C5</vt:lpstr>
      <vt:lpstr>A800_C1</vt:lpstr>
      <vt:lpstr>A800_C2</vt:lpstr>
      <vt:lpstr>A800_C3</vt:lpstr>
      <vt:lpstr>A800_C4</vt:lpstr>
      <vt:lpstr>A800_C5</vt:lpstr>
      <vt:lpstr>A801_C1</vt:lpstr>
      <vt:lpstr>A801_C2</vt:lpstr>
      <vt:lpstr>A801_C3</vt:lpstr>
      <vt:lpstr>A801_C4</vt:lpstr>
      <vt:lpstr>A801_C5</vt:lpstr>
      <vt:lpstr>A811_C1</vt:lpstr>
      <vt:lpstr>A811_C2</vt:lpstr>
      <vt:lpstr>A811_C3</vt:lpstr>
      <vt:lpstr>A811_C4</vt:lpstr>
      <vt:lpstr>A811_C5</vt:lpstr>
      <vt:lpstr>A811A_C1</vt:lpstr>
      <vt:lpstr>A811A_C2</vt:lpstr>
      <vt:lpstr>A811A_C3</vt:lpstr>
      <vt:lpstr>A811A_C4</vt:lpstr>
      <vt:lpstr>A811A_C5</vt:lpstr>
      <vt:lpstr>A811B_C1</vt:lpstr>
      <vt:lpstr>A811B_C2</vt:lpstr>
      <vt:lpstr>A811B_C3</vt:lpstr>
      <vt:lpstr>A811B_C4</vt:lpstr>
      <vt:lpstr>A811B_C5</vt:lpstr>
      <vt:lpstr>A811B5_C1</vt:lpstr>
      <vt:lpstr>A811B5_C2</vt:lpstr>
      <vt:lpstr>A811B5_C3</vt:lpstr>
      <vt:lpstr>A811B5_C4</vt:lpstr>
      <vt:lpstr>A811B5_C5</vt:lpstr>
      <vt:lpstr>A811C_C1</vt:lpstr>
      <vt:lpstr>A811C_C2</vt:lpstr>
      <vt:lpstr>A811C_C3</vt:lpstr>
      <vt:lpstr>A811C_C4</vt:lpstr>
      <vt:lpstr>A811C_C5</vt:lpstr>
      <vt:lpstr>A811C5_C1</vt:lpstr>
      <vt:lpstr>A811C5_C2</vt:lpstr>
      <vt:lpstr>A811C5_C3</vt:lpstr>
      <vt:lpstr>A811C5_C4</vt:lpstr>
      <vt:lpstr>A811C5_C5</vt:lpstr>
      <vt:lpstr>A811D_C1</vt:lpstr>
      <vt:lpstr>A811D_C2</vt:lpstr>
      <vt:lpstr>A811D_C3</vt:lpstr>
      <vt:lpstr>A811D_C4</vt:lpstr>
      <vt:lpstr>A811D_C5</vt:lpstr>
      <vt:lpstr>A811E_C1</vt:lpstr>
      <vt:lpstr>A811E_C2</vt:lpstr>
      <vt:lpstr>A811E_C3</vt:lpstr>
      <vt:lpstr>A811E_C4</vt:lpstr>
      <vt:lpstr>A811E_C5</vt:lpstr>
      <vt:lpstr>A812_C1</vt:lpstr>
      <vt:lpstr>A812_C2</vt:lpstr>
      <vt:lpstr>A812_C3</vt:lpstr>
      <vt:lpstr>A812_C4</vt:lpstr>
      <vt:lpstr>A812_C5</vt:lpstr>
      <vt:lpstr>A812C_C1</vt:lpstr>
      <vt:lpstr>A812C_C2</vt:lpstr>
      <vt:lpstr>A812C_C3</vt:lpstr>
      <vt:lpstr>A812C_C4</vt:lpstr>
      <vt:lpstr>A812C_C5</vt:lpstr>
      <vt:lpstr>A813_C1</vt:lpstr>
      <vt:lpstr>A813_C2</vt:lpstr>
      <vt:lpstr>A813_C3</vt:lpstr>
      <vt:lpstr>A813_C4</vt:lpstr>
      <vt:lpstr>A813_C5</vt:lpstr>
      <vt:lpstr>A813A2_C1</vt:lpstr>
      <vt:lpstr>A813A2_C2</vt:lpstr>
      <vt:lpstr>A813A2_C3</vt:lpstr>
      <vt:lpstr>A813A2_C4</vt:lpstr>
      <vt:lpstr>A813A2_C5</vt:lpstr>
      <vt:lpstr>A814_C1</vt:lpstr>
      <vt:lpstr>A814_C2</vt:lpstr>
      <vt:lpstr>A814_C3</vt:lpstr>
      <vt:lpstr>A814_C4</vt:lpstr>
      <vt:lpstr>A814_C5</vt:lpstr>
      <vt:lpstr>A814A_C1</vt:lpstr>
      <vt:lpstr>A814A_C2</vt:lpstr>
      <vt:lpstr>A814A_C3</vt:lpstr>
      <vt:lpstr>A814A_C4</vt:lpstr>
      <vt:lpstr>A814A_C5</vt:lpstr>
      <vt:lpstr>A814A1_C1</vt:lpstr>
      <vt:lpstr>A814A1_C2</vt:lpstr>
      <vt:lpstr>A814A1_C3</vt:lpstr>
      <vt:lpstr>A814A1_C4</vt:lpstr>
      <vt:lpstr>A814A1_C5</vt:lpstr>
      <vt:lpstr>A814A8_C1</vt:lpstr>
      <vt:lpstr>A814A8_C2</vt:lpstr>
      <vt:lpstr>A814A8_C3</vt:lpstr>
      <vt:lpstr>A814A8_C4</vt:lpstr>
      <vt:lpstr>A814A8_C5</vt:lpstr>
      <vt:lpstr>A814B_C1</vt:lpstr>
      <vt:lpstr>A814B_C2</vt:lpstr>
      <vt:lpstr>A814B_C3</vt:lpstr>
      <vt:lpstr>A814B_C4</vt:lpstr>
      <vt:lpstr>A814B_C5</vt:lpstr>
      <vt:lpstr>A814D_C1</vt:lpstr>
      <vt:lpstr>A814D_C2</vt:lpstr>
      <vt:lpstr>A814D_C3</vt:lpstr>
      <vt:lpstr>A814D_C4</vt:lpstr>
      <vt:lpstr>A814D_C5</vt:lpstr>
      <vt:lpstr>A814E_C1</vt:lpstr>
      <vt:lpstr>A814E_C2</vt:lpstr>
      <vt:lpstr>A814E_C3</vt:lpstr>
      <vt:lpstr>A814E_C4</vt:lpstr>
      <vt:lpstr>A814E_C5</vt:lpstr>
      <vt:lpstr>A814F_C1</vt:lpstr>
      <vt:lpstr>A814F_C2</vt:lpstr>
      <vt:lpstr>A814F_C3</vt:lpstr>
      <vt:lpstr>A814F_C4</vt:lpstr>
      <vt:lpstr>A814F_C5</vt:lpstr>
      <vt:lpstr>A814G_C1</vt:lpstr>
      <vt:lpstr>A814G_C2</vt:lpstr>
      <vt:lpstr>A814G_C3</vt:lpstr>
      <vt:lpstr>A814G_C4</vt:lpstr>
      <vt:lpstr>A814G_C5</vt:lpstr>
      <vt:lpstr>A814H_C1</vt:lpstr>
      <vt:lpstr>A814H_C2</vt:lpstr>
      <vt:lpstr>A814H_C3</vt:lpstr>
      <vt:lpstr>A814H_C4</vt:lpstr>
      <vt:lpstr>A814H_C5</vt:lpstr>
      <vt:lpstr>A814J_C1</vt:lpstr>
      <vt:lpstr>A814J_C2</vt:lpstr>
      <vt:lpstr>A814J_C3</vt:lpstr>
      <vt:lpstr>A814J_C4</vt:lpstr>
      <vt:lpstr>A814J_C5</vt:lpstr>
      <vt:lpstr>A814J5_C1</vt:lpstr>
      <vt:lpstr>A814J5_C2</vt:lpstr>
      <vt:lpstr>A814J5_C3</vt:lpstr>
      <vt:lpstr>A814J5_C4</vt:lpstr>
      <vt:lpstr>A814J5_C5</vt:lpstr>
      <vt:lpstr>A814K_C1</vt:lpstr>
      <vt:lpstr>A814K_C2</vt:lpstr>
      <vt:lpstr>A814K_C3</vt:lpstr>
      <vt:lpstr>A814K_C4</vt:lpstr>
      <vt:lpstr>A814K_C5</vt:lpstr>
      <vt:lpstr>A815_C1</vt:lpstr>
      <vt:lpstr>A815_C2</vt:lpstr>
      <vt:lpstr>A815_C3</vt:lpstr>
      <vt:lpstr>A815_C4</vt:lpstr>
      <vt:lpstr>A815_C5</vt:lpstr>
      <vt:lpstr>A815C_C1</vt:lpstr>
      <vt:lpstr>A815C_C2</vt:lpstr>
      <vt:lpstr>A815C_C3</vt:lpstr>
      <vt:lpstr>A815C_C4</vt:lpstr>
      <vt:lpstr>A815C_C5</vt:lpstr>
      <vt:lpstr>A816_C1</vt:lpstr>
      <vt:lpstr>A816_C2</vt:lpstr>
      <vt:lpstr>A816_C3</vt:lpstr>
      <vt:lpstr>A816_C4</vt:lpstr>
      <vt:lpstr>A816_C5</vt:lpstr>
      <vt:lpstr>A816A_C1</vt:lpstr>
      <vt:lpstr>A816A_C2</vt:lpstr>
      <vt:lpstr>A816A_C3</vt:lpstr>
      <vt:lpstr>A816A_C4</vt:lpstr>
      <vt:lpstr>A816A_C5</vt:lpstr>
      <vt:lpstr>A816A1_C1</vt:lpstr>
      <vt:lpstr>A816A1_C2</vt:lpstr>
      <vt:lpstr>A816A1_C3</vt:lpstr>
      <vt:lpstr>A816A1_C4</vt:lpstr>
      <vt:lpstr>A816A1_C5</vt:lpstr>
      <vt:lpstr>A816A2_C1</vt:lpstr>
      <vt:lpstr>A816A2_C2</vt:lpstr>
      <vt:lpstr>A816A2_C3</vt:lpstr>
      <vt:lpstr>A816A2_C4</vt:lpstr>
      <vt:lpstr>A816A2_C5</vt:lpstr>
      <vt:lpstr>A816B5_C1</vt:lpstr>
      <vt:lpstr>A816B5_C2</vt:lpstr>
      <vt:lpstr>A816B5_C3</vt:lpstr>
      <vt:lpstr>A816B5_C4</vt:lpstr>
      <vt:lpstr>A816B5_C5</vt:lpstr>
      <vt:lpstr>A816E_C1</vt:lpstr>
      <vt:lpstr>A816E_C2</vt:lpstr>
      <vt:lpstr>A816E_C3</vt:lpstr>
      <vt:lpstr>A816E_C4</vt:lpstr>
      <vt:lpstr>A816E_C5</vt:lpstr>
      <vt:lpstr>A816T_C1</vt:lpstr>
      <vt:lpstr>A816T_C2</vt:lpstr>
      <vt:lpstr>A816T_C3</vt:lpstr>
      <vt:lpstr>A816T_C4</vt:lpstr>
      <vt:lpstr>A816T_C5</vt:lpstr>
      <vt:lpstr>A818_C1</vt:lpstr>
      <vt:lpstr>A818_C2</vt:lpstr>
      <vt:lpstr>A818_C3</vt:lpstr>
      <vt:lpstr>A818_C4</vt:lpstr>
      <vt:lpstr>A818_C5</vt:lpstr>
      <vt:lpstr>A818A_C1</vt:lpstr>
      <vt:lpstr>A818A_C2</vt:lpstr>
      <vt:lpstr>A818A_C3</vt:lpstr>
      <vt:lpstr>A818A_C4</vt:lpstr>
      <vt:lpstr>A818A_C5</vt:lpstr>
      <vt:lpstr>A819_C1</vt:lpstr>
      <vt:lpstr>A819_C2</vt:lpstr>
      <vt:lpstr>A819_C3</vt:lpstr>
      <vt:lpstr>A819_C4</vt:lpstr>
      <vt:lpstr>A819_C5</vt:lpstr>
      <vt:lpstr>A820A_C1</vt:lpstr>
      <vt:lpstr>A820A_C2</vt:lpstr>
      <vt:lpstr>A820A_C3</vt:lpstr>
      <vt:lpstr>A820A_C4</vt:lpstr>
      <vt:lpstr>A820A_C5</vt:lpstr>
      <vt:lpstr>A822_C1</vt:lpstr>
      <vt:lpstr>A822_C2</vt:lpstr>
      <vt:lpstr>A822_C3</vt:lpstr>
      <vt:lpstr>A822_C4</vt:lpstr>
      <vt:lpstr>A822_C5</vt:lpstr>
      <vt:lpstr>A822C_C1</vt:lpstr>
      <vt:lpstr>A822C_C2</vt:lpstr>
      <vt:lpstr>A822C_C3</vt:lpstr>
      <vt:lpstr>A822C_C4</vt:lpstr>
      <vt:lpstr>A822C_C5</vt:lpstr>
      <vt:lpstr>A825_C1</vt:lpstr>
      <vt:lpstr>A825_C2</vt:lpstr>
      <vt:lpstr>A825_C3</vt:lpstr>
      <vt:lpstr>A825_C4</vt:lpstr>
      <vt:lpstr>A825_C5</vt:lpstr>
      <vt:lpstr>A825A_C1</vt:lpstr>
      <vt:lpstr>A825A_C2</vt:lpstr>
      <vt:lpstr>A825A_C3</vt:lpstr>
      <vt:lpstr>A825A_C4</vt:lpstr>
      <vt:lpstr>A825A_C5</vt:lpstr>
      <vt:lpstr>A831A_C1</vt:lpstr>
      <vt:lpstr>A831A_C2</vt:lpstr>
      <vt:lpstr>A831A_C3</vt:lpstr>
      <vt:lpstr>A831A_C4</vt:lpstr>
      <vt:lpstr>A831A_C5</vt:lpstr>
      <vt:lpstr>A831B_C1</vt:lpstr>
      <vt:lpstr>A831B_C2</vt:lpstr>
      <vt:lpstr>A831B_C3</vt:lpstr>
      <vt:lpstr>A831B_C4</vt:lpstr>
      <vt:lpstr>A831B_C5</vt:lpstr>
      <vt:lpstr>A831C_C1</vt:lpstr>
      <vt:lpstr>A831C_C2</vt:lpstr>
      <vt:lpstr>A831C_C3</vt:lpstr>
      <vt:lpstr>A831C_C4</vt:lpstr>
      <vt:lpstr>A831C_C5</vt:lpstr>
      <vt:lpstr>A831D_C1</vt:lpstr>
      <vt:lpstr>A831D_C2</vt:lpstr>
      <vt:lpstr>A831D_C3</vt:lpstr>
      <vt:lpstr>A831D_C4</vt:lpstr>
      <vt:lpstr>A831D_C5</vt:lpstr>
      <vt:lpstr>A831E_C1</vt:lpstr>
      <vt:lpstr>A831E_C2</vt:lpstr>
      <vt:lpstr>A831E_C3</vt:lpstr>
      <vt:lpstr>A831E_C4</vt:lpstr>
      <vt:lpstr>A831E_C5</vt:lpstr>
      <vt:lpstr>A831F_C1</vt:lpstr>
      <vt:lpstr>A831F_C2</vt:lpstr>
      <vt:lpstr>A831F_C3</vt:lpstr>
      <vt:lpstr>A831F_C4</vt:lpstr>
      <vt:lpstr>A831F_C5</vt:lpstr>
      <vt:lpstr>A831G_C1</vt:lpstr>
      <vt:lpstr>A831G_C2</vt:lpstr>
      <vt:lpstr>A831G_C3</vt:lpstr>
      <vt:lpstr>A831G_C4</vt:lpstr>
      <vt:lpstr>A831G_C5</vt:lpstr>
      <vt:lpstr>A831H_C1</vt:lpstr>
      <vt:lpstr>A831H_C2</vt:lpstr>
      <vt:lpstr>A831H_C3</vt:lpstr>
      <vt:lpstr>A831H_C4</vt:lpstr>
      <vt:lpstr>A831H_C5</vt:lpstr>
      <vt:lpstr>A831I_C1</vt:lpstr>
      <vt:lpstr>A831I_C2</vt:lpstr>
      <vt:lpstr>A831I_C3</vt:lpstr>
      <vt:lpstr>A831I_C4</vt:lpstr>
      <vt:lpstr>A831I_C5</vt:lpstr>
      <vt:lpstr>A831J_C1</vt:lpstr>
      <vt:lpstr>A831J_C2</vt:lpstr>
      <vt:lpstr>A831J_C3</vt:lpstr>
      <vt:lpstr>A831J_C4</vt:lpstr>
      <vt:lpstr>A831J_C5</vt:lpstr>
      <vt:lpstr>A831K_C1</vt:lpstr>
      <vt:lpstr>A831K_C2</vt:lpstr>
      <vt:lpstr>A831K_C3</vt:lpstr>
      <vt:lpstr>A831K_C4</vt:lpstr>
      <vt:lpstr>A831K_C5</vt:lpstr>
      <vt:lpstr>A831L_C1</vt:lpstr>
      <vt:lpstr>A831L_C2</vt:lpstr>
      <vt:lpstr>A831L_C3</vt:lpstr>
      <vt:lpstr>A831L_C4</vt:lpstr>
      <vt:lpstr>A831L_C5</vt:lpstr>
      <vt:lpstr>A831M_C1</vt:lpstr>
      <vt:lpstr>A831M_C2</vt:lpstr>
      <vt:lpstr>A831M_C3</vt:lpstr>
      <vt:lpstr>A831M_C4</vt:lpstr>
      <vt:lpstr>A831M_C5</vt:lpstr>
      <vt:lpstr>A831N_C1</vt:lpstr>
      <vt:lpstr>A831N_C2</vt:lpstr>
      <vt:lpstr>A831N_C3</vt:lpstr>
      <vt:lpstr>A831N_C4</vt:lpstr>
      <vt:lpstr>A831N_C5</vt:lpstr>
      <vt:lpstr>A831O_C1</vt:lpstr>
      <vt:lpstr>A831O_C2</vt:lpstr>
      <vt:lpstr>A831O_C3</vt:lpstr>
      <vt:lpstr>A831O_C4</vt:lpstr>
      <vt:lpstr>A831O_C5</vt:lpstr>
      <vt:lpstr>A831P_C1</vt:lpstr>
      <vt:lpstr>A831P_C2</vt:lpstr>
      <vt:lpstr>A831P_C3</vt:lpstr>
      <vt:lpstr>A831P_C4</vt:lpstr>
      <vt:lpstr>A831P_C5</vt:lpstr>
      <vt:lpstr>A831Q_C1</vt:lpstr>
      <vt:lpstr>A831Q_C2</vt:lpstr>
      <vt:lpstr>A831Q_C3</vt:lpstr>
      <vt:lpstr>A831Q_C4</vt:lpstr>
      <vt:lpstr>A831Q_C5</vt:lpstr>
      <vt:lpstr>A831R_C1</vt:lpstr>
      <vt:lpstr>A831R_C2</vt:lpstr>
      <vt:lpstr>A831R_C3</vt:lpstr>
      <vt:lpstr>A831R_C4</vt:lpstr>
      <vt:lpstr>A831R_C5</vt:lpstr>
      <vt:lpstr>A831S_C1</vt:lpstr>
      <vt:lpstr>A831S_C2</vt:lpstr>
      <vt:lpstr>A831S_C3</vt:lpstr>
      <vt:lpstr>A831S_C4</vt:lpstr>
      <vt:lpstr>A831S_C5</vt:lpstr>
      <vt:lpstr>A831T_C1</vt:lpstr>
      <vt:lpstr>A831T_C2</vt:lpstr>
      <vt:lpstr>A831T_C3</vt:lpstr>
      <vt:lpstr>A831T_C4</vt:lpstr>
      <vt:lpstr>A831T_C5</vt:lpstr>
      <vt:lpstr>A832A_C1</vt:lpstr>
      <vt:lpstr>A832A_C2</vt:lpstr>
      <vt:lpstr>A832A_C3</vt:lpstr>
      <vt:lpstr>A832A_C4</vt:lpstr>
      <vt:lpstr>A832A_C5</vt:lpstr>
      <vt:lpstr>A832B_C1</vt:lpstr>
      <vt:lpstr>A832B_C2</vt:lpstr>
      <vt:lpstr>A832B_C3</vt:lpstr>
      <vt:lpstr>A832B_C4</vt:lpstr>
      <vt:lpstr>A832B_C5</vt:lpstr>
      <vt:lpstr>A832C_C1</vt:lpstr>
      <vt:lpstr>A832C_C2</vt:lpstr>
      <vt:lpstr>A832C_C3</vt:lpstr>
      <vt:lpstr>A832C_C4</vt:lpstr>
      <vt:lpstr>A832C_C5</vt:lpstr>
      <vt:lpstr>A832D_C1</vt:lpstr>
      <vt:lpstr>A832D_C2</vt:lpstr>
      <vt:lpstr>A832D_C3</vt:lpstr>
      <vt:lpstr>A832D_C4</vt:lpstr>
      <vt:lpstr>A832D_C5</vt:lpstr>
      <vt:lpstr>A832E_C1</vt:lpstr>
      <vt:lpstr>A832E_C2</vt:lpstr>
      <vt:lpstr>A832E_C3</vt:lpstr>
      <vt:lpstr>A832E_C4</vt:lpstr>
      <vt:lpstr>A832E_C5</vt:lpstr>
      <vt:lpstr>A832F_C1</vt:lpstr>
      <vt:lpstr>A832F_C2</vt:lpstr>
      <vt:lpstr>A832F_C3</vt:lpstr>
      <vt:lpstr>A832F_C4</vt:lpstr>
      <vt:lpstr>A832F_C5</vt:lpstr>
      <vt:lpstr>A832G_C1</vt:lpstr>
      <vt:lpstr>A832G_C2</vt:lpstr>
      <vt:lpstr>A832G_C3</vt:lpstr>
      <vt:lpstr>A832G_C4</vt:lpstr>
      <vt:lpstr>A832G_C5</vt:lpstr>
      <vt:lpstr>A832H_C1</vt:lpstr>
      <vt:lpstr>A832H_C2</vt:lpstr>
      <vt:lpstr>A832H_C3</vt:lpstr>
      <vt:lpstr>A832H_C4</vt:lpstr>
      <vt:lpstr>A832H_C5</vt:lpstr>
      <vt:lpstr>A832I_C1</vt:lpstr>
      <vt:lpstr>A832I_C2</vt:lpstr>
      <vt:lpstr>A832I_C3</vt:lpstr>
      <vt:lpstr>A832I_C4</vt:lpstr>
      <vt:lpstr>A832I_C5</vt:lpstr>
      <vt:lpstr>A832J_C1</vt:lpstr>
      <vt:lpstr>A832J_C2</vt:lpstr>
      <vt:lpstr>A832J_C3</vt:lpstr>
      <vt:lpstr>A832J_C4</vt:lpstr>
      <vt:lpstr>A832J_C5</vt:lpstr>
      <vt:lpstr>A832K_C1</vt:lpstr>
      <vt:lpstr>A832K_C2</vt:lpstr>
      <vt:lpstr>A832K_C3</vt:lpstr>
      <vt:lpstr>A832K_C4</vt:lpstr>
      <vt:lpstr>A832K_C5</vt:lpstr>
      <vt:lpstr>A832L_C1</vt:lpstr>
      <vt:lpstr>A832L_C2</vt:lpstr>
      <vt:lpstr>A832L_C3</vt:lpstr>
      <vt:lpstr>A832L_C4</vt:lpstr>
      <vt:lpstr>A832L_C5</vt:lpstr>
      <vt:lpstr>A832M_C1</vt:lpstr>
      <vt:lpstr>A832M_C2</vt:lpstr>
      <vt:lpstr>A832M_C3</vt:lpstr>
      <vt:lpstr>A832M_C4</vt:lpstr>
      <vt:lpstr>A832M_C5</vt:lpstr>
      <vt:lpstr>A832N_C1</vt:lpstr>
      <vt:lpstr>A832N_C2</vt:lpstr>
      <vt:lpstr>A832N_C3</vt:lpstr>
      <vt:lpstr>A832N_C4</vt:lpstr>
      <vt:lpstr>A832N_C5</vt:lpstr>
      <vt:lpstr>A832O_C1</vt:lpstr>
      <vt:lpstr>A832O_C2</vt:lpstr>
      <vt:lpstr>A832O_C3</vt:lpstr>
      <vt:lpstr>A832O_C4</vt:lpstr>
      <vt:lpstr>A832O_C5</vt:lpstr>
      <vt:lpstr>A832P_C1</vt:lpstr>
      <vt:lpstr>A832P_C2</vt:lpstr>
      <vt:lpstr>A832P_C3</vt:lpstr>
      <vt:lpstr>A832P_C4</vt:lpstr>
      <vt:lpstr>A832P_C5</vt:lpstr>
      <vt:lpstr>A832Q_C1</vt:lpstr>
      <vt:lpstr>A832Q_C2</vt:lpstr>
      <vt:lpstr>A832Q_C3</vt:lpstr>
      <vt:lpstr>A832Q_C4</vt:lpstr>
      <vt:lpstr>A832Q_C5</vt:lpstr>
      <vt:lpstr>A832R_C1</vt:lpstr>
      <vt:lpstr>A832R_C2</vt:lpstr>
      <vt:lpstr>A832R_C3</vt:lpstr>
      <vt:lpstr>A832R_C4</vt:lpstr>
      <vt:lpstr>A832R_C5</vt:lpstr>
      <vt:lpstr>A832S_C1</vt:lpstr>
      <vt:lpstr>A832S_C2</vt:lpstr>
      <vt:lpstr>A832S_C3</vt:lpstr>
      <vt:lpstr>A832S_C4</vt:lpstr>
      <vt:lpstr>A832S_C5</vt:lpstr>
      <vt:lpstr>A832T_C1</vt:lpstr>
      <vt:lpstr>A832T_C2</vt:lpstr>
      <vt:lpstr>A832T_C3</vt:lpstr>
      <vt:lpstr>A832T_C4</vt:lpstr>
      <vt:lpstr>A832T_C5</vt:lpstr>
      <vt:lpstr>A836A_C1</vt:lpstr>
      <vt:lpstr>A836A_C2</vt:lpstr>
      <vt:lpstr>A836A_C3</vt:lpstr>
      <vt:lpstr>A836A_C4</vt:lpstr>
      <vt:lpstr>A836A_C5</vt:lpstr>
      <vt:lpstr>A836B_C1</vt:lpstr>
      <vt:lpstr>A836B_C2</vt:lpstr>
      <vt:lpstr>A836B_C3</vt:lpstr>
      <vt:lpstr>A836B_C4</vt:lpstr>
      <vt:lpstr>A836B_C5</vt:lpstr>
      <vt:lpstr>A836C_C1</vt:lpstr>
      <vt:lpstr>A836C_C2</vt:lpstr>
      <vt:lpstr>A836C_C3</vt:lpstr>
      <vt:lpstr>A836C_C4</vt:lpstr>
      <vt:lpstr>A836C_C5</vt:lpstr>
      <vt:lpstr>A836D_C1</vt:lpstr>
      <vt:lpstr>A836D_C2</vt:lpstr>
      <vt:lpstr>A836D_C3</vt:lpstr>
      <vt:lpstr>A836D_C4</vt:lpstr>
      <vt:lpstr>A836D_C5</vt:lpstr>
      <vt:lpstr>A836E_C1</vt:lpstr>
      <vt:lpstr>A836E_C2</vt:lpstr>
      <vt:lpstr>A836E_C3</vt:lpstr>
      <vt:lpstr>A836E_C4</vt:lpstr>
      <vt:lpstr>A836E_C5</vt:lpstr>
      <vt:lpstr>A836F_C1</vt:lpstr>
      <vt:lpstr>A836F_C2</vt:lpstr>
      <vt:lpstr>A836F_C3</vt:lpstr>
      <vt:lpstr>A836F_C4</vt:lpstr>
      <vt:lpstr>A836F_C5</vt:lpstr>
      <vt:lpstr>A836G_C1</vt:lpstr>
      <vt:lpstr>A836G_C2</vt:lpstr>
      <vt:lpstr>A836G_C3</vt:lpstr>
      <vt:lpstr>A836G_C4</vt:lpstr>
      <vt:lpstr>A836G_C5</vt:lpstr>
      <vt:lpstr>A836H_C1</vt:lpstr>
      <vt:lpstr>A836H_C2</vt:lpstr>
      <vt:lpstr>A836H_C3</vt:lpstr>
      <vt:lpstr>A836H_C4</vt:lpstr>
      <vt:lpstr>A836H_C5</vt:lpstr>
      <vt:lpstr>A836I_C1</vt:lpstr>
      <vt:lpstr>A836I_C2</vt:lpstr>
      <vt:lpstr>A836I_C3</vt:lpstr>
      <vt:lpstr>A836I_C4</vt:lpstr>
      <vt:lpstr>A836I_C5</vt:lpstr>
      <vt:lpstr>A836J_C1</vt:lpstr>
      <vt:lpstr>A836J_C2</vt:lpstr>
      <vt:lpstr>A836J_C3</vt:lpstr>
      <vt:lpstr>A836J_C4</vt:lpstr>
      <vt:lpstr>A836J_C5</vt:lpstr>
      <vt:lpstr>A836K_C1</vt:lpstr>
      <vt:lpstr>A836K_C2</vt:lpstr>
      <vt:lpstr>A836K_C3</vt:lpstr>
      <vt:lpstr>A836K_C4</vt:lpstr>
      <vt:lpstr>A836K_C5</vt:lpstr>
      <vt:lpstr>A836L_C1</vt:lpstr>
      <vt:lpstr>A836L_C2</vt:lpstr>
      <vt:lpstr>A836L_C3</vt:lpstr>
      <vt:lpstr>A836L_C4</vt:lpstr>
      <vt:lpstr>A836L_C5</vt:lpstr>
      <vt:lpstr>A836M_C1</vt:lpstr>
      <vt:lpstr>A836M_C2</vt:lpstr>
      <vt:lpstr>A836M_C3</vt:lpstr>
      <vt:lpstr>A836M_C4</vt:lpstr>
      <vt:lpstr>A836M_C5</vt:lpstr>
      <vt:lpstr>A836N_C1</vt:lpstr>
      <vt:lpstr>A836N_C2</vt:lpstr>
      <vt:lpstr>A836N_C3</vt:lpstr>
      <vt:lpstr>A836N_C4</vt:lpstr>
      <vt:lpstr>A836N_C5</vt:lpstr>
      <vt:lpstr>A836O_C1</vt:lpstr>
      <vt:lpstr>A836O_C2</vt:lpstr>
      <vt:lpstr>A836O_C3</vt:lpstr>
      <vt:lpstr>A836O_C4</vt:lpstr>
      <vt:lpstr>A836O_C5</vt:lpstr>
      <vt:lpstr>A836P_C1</vt:lpstr>
      <vt:lpstr>A836P_C2</vt:lpstr>
      <vt:lpstr>A836P_C3</vt:lpstr>
      <vt:lpstr>A836P_C4</vt:lpstr>
      <vt:lpstr>A836P_C5</vt:lpstr>
      <vt:lpstr>A836Q_C1</vt:lpstr>
      <vt:lpstr>A836Q_C2</vt:lpstr>
      <vt:lpstr>A836Q_C3</vt:lpstr>
      <vt:lpstr>A836Q_C4</vt:lpstr>
      <vt:lpstr>A836Q_C5</vt:lpstr>
      <vt:lpstr>A836R_C1</vt:lpstr>
      <vt:lpstr>A836R_C2</vt:lpstr>
      <vt:lpstr>A836R_C3</vt:lpstr>
      <vt:lpstr>A836R_C4</vt:lpstr>
      <vt:lpstr>A836R_C5</vt:lpstr>
      <vt:lpstr>A836S_C1</vt:lpstr>
      <vt:lpstr>A836S_C2</vt:lpstr>
      <vt:lpstr>A836S_C3</vt:lpstr>
      <vt:lpstr>A836S_C4</vt:lpstr>
      <vt:lpstr>A836S_C5</vt:lpstr>
      <vt:lpstr>A836T_C1</vt:lpstr>
      <vt:lpstr>A836T_C2</vt:lpstr>
      <vt:lpstr>A836T_C3</vt:lpstr>
      <vt:lpstr>A836T_C4</vt:lpstr>
      <vt:lpstr>A836T_C5</vt:lpstr>
      <vt:lpstr>A842_C1</vt:lpstr>
      <vt:lpstr>A842_C2</vt:lpstr>
      <vt:lpstr>A842_C3</vt:lpstr>
      <vt:lpstr>A842_C4</vt:lpstr>
      <vt:lpstr>A842_C5</vt:lpstr>
      <vt:lpstr>A846A_C1</vt:lpstr>
      <vt:lpstr>A846A_C2</vt:lpstr>
      <vt:lpstr>A846A_C3</vt:lpstr>
      <vt:lpstr>A846A_C4</vt:lpstr>
      <vt:lpstr>A846A_C5</vt:lpstr>
      <vt:lpstr>A846B_C1</vt:lpstr>
      <vt:lpstr>A846B_C2</vt:lpstr>
      <vt:lpstr>A846B_C3</vt:lpstr>
      <vt:lpstr>A846B_C4</vt:lpstr>
      <vt:lpstr>A846B_C5</vt:lpstr>
      <vt:lpstr>A846C_C1</vt:lpstr>
      <vt:lpstr>A846C_C2</vt:lpstr>
      <vt:lpstr>A846C_C3</vt:lpstr>
      <vt:lpstr>A846C_C4</vt:lpstr>
      <vt:lpstr>A846C_C5</vt:lpstr>
      <vt:lpstr>A846D_C1</vt:lpstr>
      <vt:lpstr>A846D_C2</vt:lpstr>
      <vt:lpstr>A846D_C3</vt:lpstr>
      <vt:lpstr>A846D_C4</vt:lpstr>
      <vt:lpstr>A846D_C5</vt:lpstr>
      <vt:lpstr>A846E_C1</vt:lpstr>
      <vt:lpstr>A846E_C2</vt:lpstr>
      <vt:lpstr>A846E_C3</vt:lpstr>
      <vt:lpstr>A846E_C4</vt:lpstr>
      <vt:lpstr>A846E_C5</vt:lpstr>
      <vt:lpstr>A846F_C1</vt:lpstr>
      <vt:lpstr>A846F_C2</vt:lpstr>
      <vt:lpstr>A846F_C3</vt:lpstr>
      <vt:lpstr>A846F_C4</vt:lpstr>
      <vt:lpstr>A846F_C5</vt:lpstr>
      <vt:lpstr>A846G_C1</vt:lpstr>
      <vt:lpstr>A846G_C2</vt:lpstr>
      <vt:lpstr>A846G_C3</vt:lpstr>
      <vt:lpstr>A846G_C4</vt:lpstr>
      <vt:lpstr>A846G_C5</vt:lpstr>
      <vt:lpstr>A846H_C1</vt:lpstr>
      <vt:lpstr>A846H_C2</vt:lpstr>
      <vt:lpstr>A846H_C3</vt:lpstr>
      <vt:lpstr>A846H_C4</vt:lpstr>
      <vt:lpstr>A846H_C5</vt:lpstr>
      <vt:lpstr>A846I_C1</vt:lpstr>
      <vt:lpstr>A846I_C2</vt:lpstr>
      <vt:lpstr>A846I_C3</vt:lpstr>
      <vt:lpstr>A846I_C4</vt:lpstr>
      <vt:lpstr>A846I_C5</vt:lpstr>
      <vt:lpstr>A846J_C1</vt:lpstr>
      <vt:lpstr>A846J_C2</vt:lpstr>
      <vt:lpstr>A846J_C3</vt:lpstr>
      <vt:lpstr>A846J_C4</vt:lpstr>
      <vt:lpstr>A846J_C5</vt:lpstr>
      <vt:lpstr>A846K_C1</vt:lpstr>
      <vt:lpstr>A846K_C2</vt:lpstr>
      <vt:lpstr>A846K_C3</vt:lpstr>
      <vt:lpstr>A846K_C4</vt:lpstr>
      <vt:lpstr>A846K_C5</vt:lpstr>
      <vt:lpstr>A846L_C1</vt:lpstr>
      <vt:lpstr>A846L_C2</vt:lpstr>
      <vt:lpstr>A846L_C3</vt:lpstr>
      <vt:lpstr>A846L_C4</vt:lpstr>
      <vt:lpstr>A846L_C5</vt:lpstr>
      <vt:lpstr>A846M_C1</vt:lpstr>
      <vt:lpstr>A846M_C2</vt:lpstr>
      <vt:lpstr>A846M_C3</vt:lpstr>
      <vt:lpstr>A846M_C4</vt:lpstr>
      <vt:lpstr>A846M_C5</vt:lpstr>
      <vt:lpstr>A846N_C1</vt:lpstr>
      <vt:lpstr>A846N_C2</vt:lpstr>
      <vt:lpstr>A846N_C3</vt:lpstr>
      <vt:lpstr>A846N_C4</vt:lpstr>
      <vt:lpstr>A846N_C5</vt:lpstr>
      <vt:lpstr>A846O_C1</vt:lpstr>
      <vt:lpstr>A846O_C2</vt:lpstr>
      <vt:lpstr>A846O_C3</vt:lpstr>
      <vt:lpstr>A846O_C4</vt:lpstr>
      <vt:lpstr>A846O_C5</vt:lpstr>
      <vt:lpstr>A846P_C1</vt:lpstr>
      <vt:lpstr>A846P_C2</vt:lpstr>
      <vt:lpstr>A846P_C3</vt:lpstr>
      <vt:lpstr>A846P_C4</vt:lpstr>
      <vt:lpstr>A846P_C5</vt:lpstr>
      <vt:lpstr>A846Q_C1</vt:lpstr>
      <vt:lpstr>A846Q_C2</vt:lpstr>
      <vt:lpstr>A846Q_C3</vt:lpstr>
      <vt:lpstr>A846Q_C4</vt:lpstr>
      <vt:lpstr>A846Q_C5</vt:lpstr>
      <vt:lpstr>A846R_C1</vt:lpstr>
      <vt:lpstr>A846R_C2</vt:lpstr>
      <vt:lpstr>A846R_C3</vt:lpstr>
      <vt:lpstr>A846R_C4</vt:lpstr>
      <vt:lpstr>A846R_C5</vt:lpstr>
      <vt:lpstr>A846S_C1</vt:lpstr>
      <vt:lpstr>A846S_C2</vt:lpstr>
      <vt:lpstr>A846S_C3</vt:lpstr>
      <vt:lpstr>A846S_C4</vt:lpstr>
      <vt:lpstr>A846S_C5</vt:lpstr>
      <vt:lpstr>A846T_C1</vt:lpstr>
      <vt:lpstr>A846T_C2</vt:lpstr>
      <vt:lpstr>A846T_C3</vt:lpstr>
      <vt:lpstr>A846T_C4</vt:lpstr>
      <vt:lpstr>A846T_C5</vt:lpstr>
      <vt:lpstr>A847A_C1</vt:lpstr>
      <vt:lpstr>A847A_C2</vt:lpstr>
      <vt:lpstr>A847A_C3</vt:lpstr>
      <vt:lpstr>A847A_C4</vt:lpstr>
      <vt:lpstr>A847A_C5</vt:lpstr>
      <vt:lpstr>A847B_C1</vt:lpstr>
      <vt:lpstr>A847B_C2</vt:lpstr>
      <vt:lpstr>A847B_C3</vt:lpstr>
      <vt:lpstr>A847B_C4</vt:lpstr>
      <vt:lpstr>A847B_C5</vt:lpstr>
      <vt:lpstr>A847C_C1</vt:lpstr>
      <vt:lpstr>A847C_C2</vt:lpstr>
      <vt:lpstr>A847C_C3</vt:lpstr>
      <vt:lpstr>A847C_C4</vt:lpstr>
      <vt:lpstr>A847C_C5</vt:lpstr>
      <vt:lpstr>A847D_C1</vt:lpstr>
      <vt:lpstr>A847D_C2</vt:lpstr>
      <vt:lpstr>A847D_C3</vt:lpstr>
      <vt:lpstr>A847D_C4</vt:lpstr>
      <vt:lpstr>A847D_C5</vt:lpstr>
      <vt:lpstr>A847E_C1</vt:lpstr>
      <vt:lpstr>A847E_C2</vt:lpstr>
      <vt:lpstr>A847E_C3</vt:lpstr>
      <vt:lpstr>A847E_C4</vt:lpstr>
      <vt:lpstr>A847E_C5</vt:lpstr>
      <vt:lpstr>A847F_C1</vt:lpstr>
      <vt:lpstr>A847F_C2</vt:lpstr>
      <vt:lpstr>A847F_C3</vt:lpstr>
      <vt:lpstr>A847F_C4</vt:lpstr>
      <vt:lpstr>A847F_C5</vt:lpstr>
      <vt:lpstr>A847G_C1</vt:lpstr>
      <vt:lpstr>A847G_C2</vt:lpstr>
      <vt:lpstr>A847G_C3</vt:lpstr>
      <vt:lpstr>A847G_C4</vt:lpstr>
      <vt:lpstr>A847G_C5</vt:lpstr>
      <vt:lpstr>A847H_C1</vt:lpstr>
      <vt:lpstr>A847H_C2</vt:lpstr>
      <vt:lpstr>A847H_C3</vt:lpstr>
      <vt:lpstr>A847H_C4</vt:lpstr>
      <vt:lpstr>A847H_C5</vt:lpstr>
      <vt:lpstr>A847I_C1</vt:lpstr>
      <vt:lpstr>A847I_C2</vt:lpstr>
      <vt:lpstr>A847I_C3</vt:lpstr>
      <vt:lpstr>A847I_C4</vt:lpstr>
      <vt:lpstr>A847I_C5</vt:lpstr>
      <vt:lpstr>A847J_C1</vt:lpstr>
      <vt:lpstr>A847J_C2</vt:lpstr>
      <vt:lpstr>A847J_C3</vt:lpstr>
      <vt:lpstr>A847J_C4</vt:lpstr>
      <vt:lpstr>A847J_C5</vt:lpstr>
      <vt:lpstr>A847K_C1</vt:lpstr>
      <vt:lpstr>A847K_C2</vt:lpstr>
      <vt:lpstr>A847K_C3</vt:lpstr>
      <vt:lpstr>A847K_C4</vt:lpstr>
      <vt:lpstr>A847K_C5</vt:lpstr>
      <vt:lpstr>A847L_C1</vt:lpstr>
      <vt:lpstr>A847L_C2</vt:lpstr>
      <vt:lpstr>A847L_C3</vt:lpstr>
      <vt:lpstr>A847L_C4</vt:lpstr>
      <vt:lpstr>A847L_C5</vt:lpstr>
      <vt:lpstr>A847M_C1</vt:lpstr>
      <vt:lpstr>A847M_C2</vt:lpstr>
      <vt:lpstr>A847M_C3</vt:lpstr>
      <vt:lpstr>A847M_C4</vt:lpstr>
      <vt:lpstr>A847M_C5</vt:lpstr>
      <vt:lpstr>A847N_C1</vt:lpstr>
      <vt:lpstr>A847N_C2</vt:lpstr>
      <vt:lpstr>A847N_C3</vt:lpstr>
      <vt:lpstr>A847N_C4</vt:lpstr>
      <vt:lpstr>A847N_C5</vt:lpstr>
      <vt:lpstr>A847O_C1</vt:lpstr>
      <vt:lpstr>A847O_C2</vt:lpstr>
      <vt:lpstr>A847O_C3</vt:lpstr>
      <vt:lpstr>A847O_C4</vt:lpstr>
      <vt:lpstr>A847O_C5</vt:lpstr>
      <vt:lpstr>A847P_C1</vt:lpstr>
      <vt:lpstr>A847P_C2</vt:lpstr>
      <vt:lpstr>A847P_C3</vt:lpstr>
      <vt:lpstr>A847P_C4</vt:lpstr>
      <vt:lpstr>A847P_C5</vt:lpstr>
      <vt:lpstr>A847Q_C1</vt:lpstr>
      <vt:lpstr>A847Q_C2</vt:lpstr>
      <vt:lpstr>A847Q_C3</vt:lpstr>
      <vt:lpstr>A847Q_C4</vt:lpstr>
      <vt:lpstr>A847Q_C5</vt:lpstr>
      <vt:lpstr>A847R_C1</vt:lpstr>
      <vt:lpstr>A847R_C2</vt:lpstr>
      <vt:lpstr>A847R_C3</vt:lpstr>
      <vt:lpstr>A847R_C4</vt:lpstr>
      <vt:lpstr>A847R_C5</vt:lpstr>
      <vt:lpstr>A847S_C1</vt:lpstr>
      <vt:lpstr>A847S_C2</vt:lpstr>
      <vt:lpstr>A847S_C3</vt:lpstr>
      <vt:lpstr>A847S_C4</vt:lpstr>
      <vt:lpstr>A847S_C5</vt:lpstr>
      <vt:lpstr>A847T_C1</vt:lpstr>
      <vt:lpstr>A847T_C2</vt:lpstr>
      <vt:lpstr>A847T_C3</vt:lpstr>
      <vt:lpstr>A847T_C4</vt:lpstr>
      <vt:lpstr>A847T_C5</vt:lpstr>
      <vt:lpstr>A848A_C1</vt:lpstr>
      <vt:lpstr>A848A_C2</vt:lpstr>
      <vt:lpstr>A848A_C3</vt:lpstr>
      <vt:lpstr>A848A_C4</vt:lpstr>
      <vt:lpstr>A848A_C5</vt:lpstr>
      <vt:lpstr>A848B_C1</vt:lpstr>
      <vt:lpstr>A848B_C2</vt:lpstr>
      <vt:lpstr>A848B_C3</vt:lpstr>
      <vt:lpstr>A848B_C4</vt:lpstr>
      <vt:lpstr>A848B_C5</vt:lpstr>
      <vt:lpstr>A848C_C1</vt:lpstr>
      <vt:lpstr>A848C_C2</vt:lpstr>
      <vt:lpstr>A848C_C3</vt:lpstr>
      <vt:lpstr>A848C_C4</vt:lpstr>
      <vt:lpstr>A848C_C5</vt:lpstr>
      <vt:lpstr>A848D_C1</vt:lpstr>
      <vt:lpstr>A848D_C2</vt:lpstr>
      <vt:lpstr>A848D_C3</vt:lpstr>
      <vt:lpstr>A848D_C4</vt:lpstr>
      <vt:lpstr>A848D_C5</vt:lpstr>
      <vt:lpstr>A848E_C1</vt:lpstr>
      <vt:lpstr>A848E_C2</vt:lpstr>
      <vt:lpstr>A848E_C3</vt:lpstr>
      <vt:lpstr>A848E_C4</vt:lpstr>
      <vt:lpstr>A848E_C5</vt:lpstr>
      <vt:lpstr>A848F_C1</vt:lpstr>
      <vt:lpstr>A848F_C2</vt:lpstr>
      <vt:lpstr>A848F_C3</vt:lpstr>
      <vt:lpstr>A848F_C4</vt:lpstr>
      <vt:lpstr>A848F_C5</vt:lpstr>
      <vt:lpstr>A848G_C1</vt:lpstr>
      <vt:lpstr>A848G_C2</vt:lpstr>
      <vt:lpstr>A848G_C3</vt:lpstr>
      <vt:lpstr>A848G_C4</vt:lpstr>
      <vt:lpstr>A848G_C5</vt:lpstr>
      <vt:lpstr>A848H_C1</vt:lpstr>
      <vt:lpstr>A848H_C2</vt:lpstr>
      <vt:lpstr>A848H_C3</vt:lpstr>
      <vt:lpstr>A848H_C4</vt:lpstr>
      <vt:lpstr>A848H_C5</vt:lpstr>
      <vt:lpstr>A848I_C1</vt:lpstr>
      <vt:lpstr>A848I_C2</vt:lpstr>
      <vt:lpstr>A848I_C3</vt:lpstr>
      <vt:lpstr>A848I_C4</vt:lpstr>
      <vt:lpstr>A848I_C5</vt:lpstr>
      <vt:lpstr>A848J_C1</vt:lpstr>
      <vt:lpstr>A848J_C2</vt:lpstr>
      <vt:lpstr>A848J_C3</vt:lpstr>
      <vt:lpstr>A848J_C4</vt:lpstr>
      <vt:lpstr>A848J_C5</vt:lpstr>
      <vt:lpstr>A848K_C1</vt:lpstr>
      <vt:lpstr>A848K_C2</vt:lpstr>
      <vt:lpstr>A848K_C3</vt:lpstr>
      <vt:lpstr>A848K_C4</vt:lpstr>
      <vt:lpstr>A848K_C5</vt:lpstr>
      <vt:lpstr>A848L_C1</vt:lpstr>
      <vt:lpstr>A848L_C2</vt:lpstr>
      <vt:lpstr>A848L_C3</vt:lpstr>
      <vt:lpstr>A848L_C4</vt:lpstr>
      <vt:lpstr>A848L_C5</vt:lpstr>
      <vt:lpstr>A848M_C1</vt:lpstr>
      <vt:lpstr>A848M_C2</vt:lpstr>
      <vt:lpstr>A848M_C3</vt:lpstr>
      <vt:lpstr>A848M_C4</vt:lpstr>
      <vt:lpstr>A848M_C5</vt:lpstr>
      <vt:lpstr>A848N_C1</vt:lpstr>
      <vt:lpstr>A848N_C2</vt:lpstr>
      <vt:lpstr>A848N_C3</vt:lpstr>
      <vt:lpstr>A848N_C4</vt:lpstr>
      <vt:lpstr>A848N_C5</vt:lpstr>
      <vt:lpstr>A848O_C1</vt:lpstr>
      <vt:lpstr>A848O_C2</vt:lpstr>
      <vt:lpstr>A848O_C3</vt:lpstr>
      <vt:lpstr>A848O_C4</vt:lpstr>
      <vt:lpstr>A848O_C5</vt:lpstr>
      <vt:lpstr>A848P_C1</vt:lpstr>
      <vt:lpstr>A848P_C2</vt:lpstr>
      <vt:lpstr>A848P_C3</vt:lpstr>
      <vt:lpstr>A848P_C4</vt:lpstr>
      <vt:lpstr>A848P_C5</vt:lpstr>
      <vt:lpstr>A848Q_C1</vt:lpstr>
      <vt:lpstr>A848Q_C2</vt:lpstr>
      <vt:lpstr>A848Q_C3</vt:lpstr>
      <vt:lpstr>A848Q_C4</vt:lpstr>
      <vt:lpstr>A848Q_C5</vt:lpstr>
      <vt:lpstr>A848R_C1</vt:lpstr>
      <vt:lpstr>A848R_C2</vt:lpstr>
      <vt:lpstr>A848R_C3</vt:lpstr>
      <vt:lpstr>A848R_C4</vt:lpstr>
      <vt:lpstr>A848R_C5</vt:lpstr>
      <vt:lpstr>A848S_C1</vt:lpstr>
      <vt:lpstr>A848S_C2</vt:lpstr>
      <vt:lpstr>A848S_C3</vt:lpstr>
      <vt:lpstr>A848S_C4</vt:lpstr>
      <vt:lpstr>A848S_C5</vt:lpstr>
      <vt:lpstr>A848T_C1</vt:lpstr>
      <vt:lpstr>A848T_C2</vt:lpstr>
      <vt:lpstr>A848T_C3</vt:lpstr>
      <vt:lpstr>A848T_C4</vt:lpstr>
      <vt:lpstr>A848T_C5</vt:lpstr>
      <vt:lpstr>A849A_C1</vt:lpstr>
      <vt:lpstr>A849A_C2</vt:lpstr>
      <vt:lpstr>A849A_C3</vt:lpstr>
      <vt:lpstr>A849A_C4</vt:lpstr>
      <vt:lpstr>A849A_C5</vt:lpstr>
      <vt:lpstr>A849B_C1</vt:lpstr>
      <vt:lpstr>A849B_C2</vt:lpstr>
      <vt:lpstr>A849B_C3</vt:lpstr>
      <vt:lpstr>A849B_C4</vt:lpstr>
      <vt:lpstr>A849B_C5</vt:lpstr>
      <vt:lpstr>A849C_C1</vt:lpstr>
      <vt:lpstr>A849C_C2</vt:lpstr>
      <vt:lpstr>A849C_C3</vt:lpstr>
      <vt:lpstr>A849C_C4</vt:lpstr>
      <vt:lpstr>A849C_C5</vt:lpstr>
      <vt:lpstr>A849D_C1</vt:lpstr>
      <vt:lpstr>A849D_C2</vt:lpstr>
      <vt:lpstr>A849D_C3</vt:lpstr>
      <vt:lpstr>A849D_C4</vt:lpstr>
      <vt:lpstr>A849D_C5</vt:lpstr>
      <vt:lpstr>A849E_C1</vt:lpstr>
      <vt:lpstr>A849E_C2</vt:lpstr>
      <vt:lpstr>A849E_C3</vt:lpstr>
      <vt:lpstr>A849E_C4</vt:lpstr>
      <vt:lpstr>A849E_C5</vt:lpstr>
      <vt:lpstr>A849F_C1</vt:lpstr>
      <vt:lpstr>A849F_C2</vt:lpstr>
      <vt:lpstr>A849F_C3</vt:lpstr>
      <vt:lpstr>A849F_C4</vt:lpstr>
      <vt:lpstr>A849F_C5</vt:lpstr>
      <vt:lpstr>A849G_C1</vt:lpstr>
      <vt:lpstr>A849G_C2</vt:lpstr>
      <vt:lpstr>A849G_C3</vt:lpstr>
      <vt:lpstr>A849G_C4</vt:lpstr>
      <vt:lpstr>A849G_C5</vt:lpstr>
      <vt:lpstr>A849H_C1</vt:lpstr>
      <vt:lpstr>A849H_C2</vt:lpstr>
      <vt:lpstr>A849H_C3</vt:lpstr>
      <vt:lpstr>A849H_C4</vt:lpstr>
      <vt:lpstr>A849H_C5</vt:lpstr>
      <vt:lpstr>A849I_C1</vt:lpstr>
      <vt:lpstr>A849I_C2</vt:lpstr>
      <vt:lpstr>A849I_C3</vt:lpstr>
      <vt:lpstr>A849I_C4</vt:lpstr>
      <vt:lpstr>A849I_C5</vt:lpstr>
      <vt:lpstr>A849J_C1</vt:lpstr>
      <vt:lpstr>A849J_C2</vt:lpstr>
      <vt:lpstr>A849J_C3</vt:lpstr>
      <vt:lpstr>A849J_C4</vt:lpstr>
      <vt:lpstr>A849J_C5</vt:lpstr>
      <vt:lpstr>A849K_C1</vt:lpstr>
      <vt:lpstr>A849K_C2</vt:lpstr>
      <vt:lpstr>A849K_C3</vt:lpstr>
      <vt:lpstr>A849K_C4</vt:lpstr>
      <vt:lpstr>A849K_C5</vt:lpstr>
      <vt:lpstr>A849L_C1</vt:lpstr>
      <vt:lpstr>A849L_C2</vt:lpstr>
      <vt:lpstr>A849L_C3</vt:lpstr>
      <vt:lpstr>A849L_C4</vt:lpstr>
      <vt:lpstr>A849L_C5</vt:lpstr>
      <vt:lpstr>A849M_C1</vt:lpstr>
      <vt:lpstr>A849M_C2</vt:lpstr>
      <vt:lpstr>A849M_C3</vt:lpstr>
      <vt:lpstr>A849M_C4</vt:lpstr>
      <vt:lpstr>A849M_C5</vt:lpstr>
      <vt:lpstr>A849N_C1</vt:lpstr>
      <vt:lpstr>A849N_C2</vt:lpstr>
      <vt:lpstr>A849N_C3</vt:lpstr>
      <vt:lpstr>A849N_C4</vt:lpstr>
      <vt:lpstr>A849N_C5</vt:lpstr>
      <vt:lpstr>A849O_C1</vt:lpstr>
      <vt:lpstr>A849O_C2</vt:lpstr>
      <vt:lpstr>A849O_C3</vt:lpstr>
      <vt:lpstr>A849O_C4</vt:lpstr>
      <vt:lpstr>A849O_C5</vt:lpstr>
      <vt:lpstr>A849P_C1</vt:lpstr>
      <vt:lpstr>A849P_C2</vt:lpstr>
      <vt:lpstr>A849P_C3</vt:lpstr>
      <vt:lpstr>A849P_C4</vt:lpstr>
      <vt:lpstr>A849P_C5</vt:lpstr>
      <vt:lpstr>A849Q_C1</vt:lpstr>
      <vt:lpstr>A849Q_C2</vt:lpstr>
      <vt:lpstr>A849Q_C3</vt:lpstr>
      <vt:lpstr>A849Q_C4</vt:lpstr>
      <vt:lpstr>A849Q_C5</vt:lpstr>
      <vt:lpstr>A849R_C1</vt:lpstr>
      <vt:lpstr>A849R_C2</vt:lpstr>
      <vt:lpstr>A849R_C3</vt:lpstr>
      <vt:lpstr>A849R_C4</vt:lpstr>
      <vt:lpstr>A849R_C5</vt:lpstr>
      <vt:lpstr>A849S_C1</vt:lpstr>
      <vt:lpstr>A849S_C2</vt:lpstr>
      <vt:lpstr>A849S_C3</vt:lpstr>
      <vt:lpstr>A849S_C4</vt:lpstr>
      <vt:lpstr>A849S_C5</vt:lpstr>
      <vt:lpstr>A849T_C1</vt:lpstr>
      <vt:lpstr>A849T_C2</vt:lpstr>
      <vt:lpstr>A849T_C3</vt:lpstr>
      <vt:lpstr>A849T_C4</vt:lpstr>
      <vt:lpstr>A849T_C5</vt:lpstr>
      <vt:lpstr>A851_C1</vt:lpstr>
      <vt:lpstr>A851_C2</vt:lpstr>
      <vt:lpstr>A851_C3</vt:lpstr>
      <vt:lpstr>A851_C4</vt:lpstr>
      <vt:lpstr>A851_C5</vt:lpstr>
      <vt:lpstr>A852_C1</vt:lpstr>
      <vt:lpstr>A852_C2</vt:lpstr>
      <vt:lpstr>A852_C3</vt:lpstr>
      <vt:lpstr>A852_C4</vt:lpstr>
      <vt:lpstr>A852_C5</vt:lpstr>
      <vt:lpstr>A853_C1</vt:lpstr>
      <vt:lpstr>A853_C2</vt:lpstr>
      <vt:lpstr>A853_C3</vt:lpstr>
      <vt:lpstr>A853_C4</vt:lpstr>
      <vt:lpstr>A853_C5</vt:lpstr>
      <vt:lpstr>A854A_C1</vt:lpstr>
      <vt:lpstr>A854A_C2</vt:lpstr>
      <vt:lpstr>A854A_C3</vt:lpstr>
      <vt:lpstr>A854A_C4</vt:lpstr>
      <vt:lpstr>A854A_C5</vt:lpstr>
      <vt:lpstr>A854B_C1</vt:lpstr>
      <vt:lpstr>A854B_C2</vt:lpstr>
      <vt:lpstr>A854B_C3</vt:lpstr>
      <vt:lpstr>A854B_C4</vt:lpstr>
      <vt:lpstr>A854B_C5</vt:lpstr>
      <vt:lpstr>A854C_C1</vt:lpstr>
      <vt:lpstr>A854C_C2</vt:lpstr>
      <vt:lpstr>A854C_C3</vt:lpstr>
      <vt:lpstr>A854C_C4</vt:lpstr>
      <vt:lpstr>A854C_C5</vt:lpstr>
      <vt:lpstr>A854D_C1</vt:lpstr>
      <vt:lpstr>A854D_C2</vt:lpstr>
      <vt:lpstr>A854D_C3</vt:lpstr>
      <vt:lpstr>A854D_C4</vt:lpstr>
      <vt:lpstr>A854D_C5</vt:lpstr>
      <vt:lpstr>A854E_C1</vt:lpstr>
      <vt:lpstr>A854E_C2</vt:lpstr>
      <vt:lpstr>A854E_C3</vt:lpstr>
      <vt:lpstr>A854E_C4</vt:lpstr>
      <vt:lpstr>A854E_C5</vt:lpstr>
      <vt:lpstr>A854F_C1</vt:lpstr>
      <vt:lpstr>A854F_C2</vt:lpstr>
      <vt:lpstr>A854F_C3</vt:lpstr>
      <vt:lpstr>A854F_C4</vt:lpstr>
      <vt:lpstr>A854F_C5</vt:lpstr>
      <vt:lpstr>A854G_C1</vt:lpstr>
      <vt:lpstr>A854G_C2</vt:lpstr>
      <vt:lpstr>A854G_C3</vt:lpstr>
      <vt:lpstr>A854G_C4</vt:lpstr>
      <vt:lpstr>A854G_C5</vt:lpstr>
      <vt:lpstr>A854H_C1</vt:lpstr>
      <vt:lpstr>A854H_C2</vt:lpstr>
      <vt:lpstr>A854H_C3</vt:lpstr>
      <vt:lpstr>A854H_C4</vt:lpstr>
      <vt:lpstr>A854H_C5</vt:lpstr>
      <vt:lpstr>A854I_C1</vt:lpstr>
      <vt:lpstr>A854I_C2</vt:lpstr>
      <vt:lpstr>A854I_C3</vt:lpstr>
      <vt:lpstr>A854I_C4</vt:lpstr>
      <vt:lpstr>A854I_C5</vt:lpstr>
      <vt:lpstr>A854J_C1</vt:lpstr>
      <vt:lpstr>A854J_C2</vt:lpstr>
      <vt:lpstr>A854J_C3</vt:lpstr>
      <vt:lpstr>A854J_C4</vt:lpstr>
      <vt:lpstr>A854J_C5</vt:lpstr>
      <vt:lpstr>A854K_C1</vt:lpstr>
      <vt:lpstr>A854K_C2</vt:lpstr>
      <vt:lpstr>A854K_C3</vt:lpstr>
      <vt:lpstr>A854K_C4</vt:lpstr>
      <vt:lpstr>A854K_C5</vt:lpstr>
      <vt:lpstr>A854L_C1</vt:lpstr>
      <vt:lpstr>A854L_C2</vt:lpstr>
      <vt:lpstr>A854L_C3</vt:lpstr>
      <vt:lpstr>A854L_C4</vt:lpstr>
      <vt:lpstr>A854L_C5</vt:lpstr>
      <vt:lpstr>A854M_C1</vt:lpstr>
      <vt:lpstr>A854M_C2</vt:lpstr>
      <vt:lpstr>A854M_C3</vt:lpstr>
      <vt:lpstr>A854M_C4</vt:lpstr>
      <vt:lpstr>A854M_C5</vt:lpstr>
      <vt:lpstr>A854N_C1</vt:lpstr>
      <vt:lpstr>A854N_C2</vt:lpstr>
      <vt:lpstr>A854N_C3</vt:lpstr>
      <vt:lpstr>A854N_C4</vt:lpstr>
      <vt:lpstr>A854N_C5</vt:lpstr>
      <vt:lpstr>A854O_C1</vt:lpstr>
      <vt:lpstr>A854O_C2</vt:lpstr>
      <vt:lpstr>A854O_C3</vt:lpstr>
      <vt:lpstr>A854O_C4</vt:lpstr>
      <vt:lpstr>A854O_C5</vt:lpstr>
      <vt:lpstr>A854P_C1</vt:lpstr>
      <vt:lpstr>A854P_C2</vt:lpstr>
      <vt:lpstr>A854P_C3</vt:lpstr>
      <vt:lpstr>A854P_C4</vt:lpstr>
      <vt:lpstr>A854P_C5</vt:lpstr>
      <vt:lpstr>A854Q_C1</vt:lpstr>
      <vt:lpstr>A854Q_C2</vt:lpstr>
      <vt:lpstr>A854Q_C3</vt:lpstr>
      <vt:lpstr>A854Q_C4</vt:lpstr>
      <vt:lpstr>A854Q_C5</vt:lpstr>
      <vt:lpstr>A854R_C1</vt:lpstr>
      <vt:lpstr>A854R_C2</vt:lpstr>
      <vt:lpstr>A854R_C3</vt:lpstr>
      <vt:lpstr>A854R_C4</vt:lpstr>
      <vt:lpstr>A854R_C5</vt:lpstr>
      <vt:lpstr>A854S_C1</vt:lpstr>
      <vt:lpstr>A854S_C2</vt:lpstr>
      <vt:lpstr>A854S_C3</vt:lpstr>
      <vt:lpstr>A854S_C4</vt:lpstr>
      <vt:lpstr>A854S_C5</vt:lpstr>
      <vt:lpstr>A854T_C1</vt:lpstr>
      <vt:lpstr>A854T_C2</vt:lpstr>
      <vt:lpstr>A854T_C3</vt:lpstr>
      <vt:lpstr>A854T_C4</vt:lpstr>
      <vt:lpstr>A854T_C5</vt:lpstr>
      <vt:lpstr>A860A_C1</vt:lpstr>
      <vt:lpstr>A860A_C2</vt:lpstr>
      <vt:lpstr>A860A_C3</vt:lpstr>
      <vt:lpstr>A860A_C4</vt:lpstr>
      <vt:lpstr>A860A_C5</vt:lpstr>
      <vt:lpstr>A860B1_C1</vt:lpstr>
      <vt:lpstr>A860B1_C2</vt:lpstr>
      <vt:lpstr>A860B1_C3</vt:lpstr>
      <vt:lpstr>A860B1_C4</vt:lpstr>
      <vt:lpstr>A860B1_C5</vt:lpstr>
      <vt:lpstr>A860B2_C1</vt:lpstr>
      <vt:lpstr>A860B2_C2</vt:lpstr>
      <vt:lpstr>A860B2_C3</vt:lpstr>
      <vt:lpstr>A860B2_C4</vt:lpstr>
      <vt:lpstr>A860B2_C5</vt:lpstr>
      <vt:lpstr>A860C_C1</vt:lpstr>
      <vt:lpstr>A860C_C2</vt:lpstr>
      <vt:lpstr>A860C_C3</vt:lpstr>
      <vt:lpstr>A860C_C4</vt:lpstr>
      <vt:lpstr>A860C_C5</vt:lpstr>
      <vt:lpstr>A865_C1</vt:lpstr>
      <vt:lpstr>A865_C2</vt:lpstr>
      <vt:lpstr>A865_C3</vt:lpstr>
      <vt:lpstr>A865_C4</vt:lpstr>
      <vt:lpstr>A865_C5</vt:lpstr>
      <vt:lpstr>A865A_C1</vt:lpstr>
      <vt:lpstr>A865A_C2</vt:lpstr>
      <vt:lpstr>A865A_C3</vt:lpstr>
      <vt:lpstr>A865A_C4</vt:lpstr>
      <vt:lpstr>A865A_C5</vt:lpstr>
      <vt:lpstr>A867A_C1</vt:lpstr>
      <vt:lpstr>A867A_C2</vt:lpstr>
      <vt:lpstr>A867A_C3</vt:lpstr>
      <vt:lpstr>A867A_C4</vt:lpstr>
      <vt:lpstr>A867A_C5</vt:lpstr>
      <vt:lpstr>A867B1_C1</vt:lpstr>
      <vt:lpstr>A867B1_C2</vt:lpstr>
      <vt:lpstr>A867B1_C3</vt:lpstr>
      <vt:lpstr>A867B1_C4</vt:lpstr>
      <vt:lpstr>A867B1_C5</vt:lpstr>
      <vt:lpstr>A867B2_C1</vt:lpstr>
      <vt:lpstr>A867B2_C2</vt:lpstr>
      <vt:lpstr>A867B2_C3</vt:lpstr>
      <vt:lpstr>A867B2_C4</vt:lpstr>
      <vt:lpstr>A867B2_C5</vt:lpstr>
      <vt:lpstr>A867C_C1</vt:lpstr>
      <vt:lpstr>A867C_C2</vt:lpstr>
      <vt:lpstr>A867C_C3</vt:lpstr>
      <vt:lpstr>A867C_C4</vt:lpstr>
      <vt:lpstr>A867C_C5</vt:lpstr>
      <vt:lpstr>A875_C1</vt:lpstr>
      <vt:lpstr>A875_C2</vt:lpstr>
      <vt:lpstr>A875_C3</vt:lpstr>
      <vt:lpstr>A875_C4</vt:lpstr>
      <vt:lpstr>A875_C5</vt:lpstr>
      <vt:lpstr>A877_C1</vt:lpstr>
      <vt:lpstr>A877_C2</vt:lpstr>
      <vt:lpstr>A877_C3</vt:lpstr>
      <vt:lpstr>A877_C4</vt:lpstr>
      <vt:lpstr>A877_C5</vt:lpstr>
      <vt:lpstr>A878_C1</vt:lpstr>
      <vt:lpstr>A878_C2</vt:lpstr>
      <vt:lpstr>A878_C3</vt:lpstr>
      <vt:lpstr>A878_C4</vt:lpstr>
      <vt:lpstr>A878_C5</vt:lpstr>
      <vt:lpstr>A879A_C1</vt:lpstr>
      <vt:lpstr>A879A_C2</vt:lpstr>
      <vt:lpstr>A879A_C3</vt:lpstr>
      <vt:lpstr>A879A_C4</vt:lpstr>
      <vt:lpstr>A879A_C5</vt:lpstr>
      <vt:lpstr>A879A1_C1</vt:lpstr>
      <vt:lpstr>A879A1_C2</vt:lpstr>
      <vt:lpstr>A879A1_C3</vt:lpstr>
      <vt:lpstr>A879A1_C4</vt:lpstr>
      <vt:lpstr>A879A1_C5</vt:lpstr>
      <vt:lpstr>A879A2_C1</vt:lpstr>
      <vt:lpstr>A879A2_C2</vt:lpstr>
      <vt:lpstr>A879A2_C3</vt:lpstr>
      <vt:lpstr>A879A2_C4</vt:lpstr>
      <vt:lpstr>A879A2_C5</vt:lpstr>
      <vt:lpstr>A879A3_C1</vt:lpstr>
      <vt:lpstr>A879A3_C2</vt:lpstr>
      <vt:lpstr>A879A3_C3</vt:lpstr>
      <vt:lpstr>A879A3_C4</vt:lpstr>
      <vt:lpstr>A879A3_C5</vt:lpstr>
      <vt:lpstr>A879B_C1</vt:lpstr>
      <vt:lpstr>A879B_C2</vt:lpstr>
      <vt:lpstr>A879B_C3</vt:lpstr>
      <vt:lpstr>A879B_C4</vt:lpstr>
      <vt:lpstr>A879B_C5</vt:lpstr>
      <vt:lpstr>A879B4_C1</vt:lpstr>
      <vt:lpstr>A879B4_C2</vt:lpstr>
      <vt:lpstr>A879B4_C3</vt:lpstr>
      <vt:lpstr>A879B4_C4</vt:lpstr>
      <vt:lpstr>A879B4_C5</vt:lpstr>
      <vt:lpstr>A879B5_C1</vt:lpstr>
      <vt:lpstr>A879B5_C2</vt:lpstr>
      <vt:lpstr>A879B5_C3</vt:lpstr>
      <vt:lpstr>A879B5_C4</vt:lpstr>
      <vt:lpstr>A879B5_C5</vt:lpstr>
      <vt:lpstr>A879C_C1</vt:lpstr>
      <vt:lpstr>A879C_C2</vt:lpstr>
      <vt:lpstr>A879C_C3</vt:lpstr>
      <vt:lpstr>A879C_C4</vt:lpstr>
      <vt:lpstr>A879C_C5</vt:lpstr>
      <vt:lpstr>A879D_C1</vt:lpstr>
      <vt:lpstr>A879D_C2</vt:lpstr>
      <vt:lpstr>A879D_C3</vt:lpstr>
      <vt:lpstr>A879D_C4</vt:lpstr>
      <vt:lpstr>A879D_C5</vt:lpstr>
      <vt:lpstr>A879D1_C1</vt:lpstr>
      <vt:lpstr>A879D1_C2</vt:lpstr>
      <vt:lpstr>A879D1_C3</vt:lpstr>
      <vt:lpstr>A879D1_C4</vt:lpstr>
      <vt:lpstr>A879D1_C5</vt:lpstr>
      <vt:lpstr>A879D10_C1</vt:lpstr>
      <vt:lpstr>A879D10_C2</vt:lpstr>
      <vt:lpstr>A879D10_C3</vt:lpstr>
      <vt:lpstr>A879D10_C4</vt:lpstr>
      <vt:lpstr>A879D10_C5</vt:lpstr>
      <vt:lpstr>A879D2_C1</vt:lpstr>
      <vt:lpstr>A879D2_C2</vt:lpstr>
      <vt:lpstr>A879D2_C3</vt:lpstr>
      <vt:lpstr>A879D2_C4</vt:lpstr>
      <vt:lpstr>A879D2_C5</vt:lpstr>
      <vt:lpstr>A879D3_C1</vt:lpstr>
      <vt:lpstr>A879D3_C2</vt:lpstr>
      <vt:lpstr>A879D3_C3</vt:lpstr>
      <vt:lpstr>A879D3_C4</vt:lpstr>
      <vt:lpstr>A879D3_C5</vt:lpstr>
      <vt:lpstr>A879D4_C1</vt:lpstr>
      <vt:lpstr>A879D4_C2</vt:lpstr>
      <vt:lpstr>A879D4_C3</vt:lpstr>
      <vt:lpstr>A879D4_C4</vt:lpstr>
      <vt:lpstr>A879D4_C5</vt:lpstr>
      <vt:lpstr>A879D5_C1</vt:lpstr>
      <vt:lpstr>A879D5_C2</vt:lpstr>
      <vt:lpstr>A879D5_C3</vt:lpstr>
      <vt:lpstr>A879D5_C4</vt:lpstr>
      <vt:lpstr>A879D5_C5</vt:lpstr>
      <vt:lpstr>A879D6_C1</vt:lpstr>
      <vt:lpstr>A879D6_C2</vt:lpstr>
      <vt:lpstr>A879D6_C3</vt:lpstr>
      <vt:lpstr>A879D6_C4</vt:lpstr>
      <vt:lpstr>A879D6_C5</vt:lpstr>
      <vt:lpstr>A879D7_C1</vt:lpstr>
      <vt:lpstr>A879D7_C2</vt:lpstr>
      <vt:lpstr>A879D7_C3</vt:lpstr>
      <vt:lpstr>A879D7_C4</vt:lpstr>
      <vt:lpstr>A879D7_C5</vt:lpstr>
      <vt:lpstr>A879D8_C1</vt:lpstr>
      <vt:lpstr>A879D8_C2</vt:lpstr>
      <vt:lpstr>A879D8_C3</vt:lpstr>
      <vt:lpstr>A879D8_C4</vt:lpstr>
      <vt:lpstr>A879D8_C5</vt:lpstr>
      <vt:lpstr>A879D9_C1</vt:lpstr>
      <vt:lpstr>A879D9_C2</vt:lpstr>
      <vt:lpstr>A879D9_C3</vt:lpstr>
      <vt:lpstr>A879D9_C4</vt:lpstr>
      <vt:lpstr>A879D9_C5</vt:lpstr>
      <vt:lpstr>A879E_C1</vt:lpstr>
      <vt:lpstr>A879E_C2</vt:lpstr>
      <vt:lpstr>A879E_C3</vt:lpstr>
      <vt:lpstr>A879E_C4</vt:lpstr>
      <vt:lpstr>A879E_C5</vt:lpstr>
      <vt:lpstr>A879F_C1</vt:lpstr>
      <vt:lpstr>A879F_C2</vt:lpstr>
      <vt:lpstr>A879F_C3</vt:lpstr>
      <vt:lpstr>A879F_C4</vt:lpstr>
      <vt:lpstr>A879F_C5</vt:lpstr>
      <vt:lpstr>A879G_C1</vt:lpstr>
      <vt:lpstr>A879G_C2</vt:lpstr>
      <vt:lpstr>A879G_C3</vt:lpstr>
      <vt:lpstr>A879G_C4</vt:lpstr>
      <vt:lpstr>A879G_C5</vt:lpstr>
      <vt:lpstr>A879H_C1</vt:lpstr>
      <vt:lpstr>A879H_C2</vt:lpstr>
      <vt:lpstr>A879H_C3</vt:lpstr>
      <vt:lpstr>A879H_C4</vt:lpstr>
      <vt:lpstr>A879H_C5</vt:lpstr>
      <vt:lpstr>A879I_C1</vt:lpstr>
      <vt:lpstr>A879I_C2</vt:lpstr>
      <vt:lpstr>A879I_C3</vt:lpstr>
      <vt:lpstr>A879I_C4</vt:lpstr>
      <vt:lpstr>A879I_C5</vt:lpstr>
      <vt:lpstr>A879J_C1</vt:lpstr>
      <vt:lpstr>A879J_C2</vt:lpstr>
      <vt:lpstr>A879J_C3</vt:lpstr>
      <vt:lpstr>A879J_C4</vt:lpstr>
      <vt:lpstr>A879J_C5</vt:lpstr>
      <vt:lpstr>A879K_C1</vt:lpstr>
      <vt:lpstr>A879K_C2</vt:lpstr>
      <vt:lpstr>A879K_C3</vt:lpstr>
      <vt:lpstr>A879K_C4</vt:lpstr>
      <vt:lpstr>A879K_C5</vt:lpstr>
      <vt:lpstr>A879L_C1</vt:lpstr>
      <vt:lpstr>A879L_C2</vt:lpstr>
      <vt:lpstr>A879L_C3</vt:lpstr>
      <vt:lpstr>A879L_C4</vt:lpstr>
      <vt:lpstr>A879L_C5</vt:lpstr>
      <vt:lpstr>A879M_C1</vt:lpstr>
      <vt:lpstr>A879M_C2</vt:lpstr>
      <vt:lpstr>A879M_C3</vt:lpstr>
      <vt:lpstr>A879M_C4</vt:lpstr>
      <vt:lpstr>A879M_C5</vt:lpstr>
      <vt:lpstr>A879N_C1</vt:lpstr>
      <vt:lpstr>A879N_C2</vt:lpstr>
      <vt:lpstr>A879N_C3</vt:lpstr>
      <vt:lpstr>A879N_C4</vt:lpstr>
      <vt:lpstr>A879N_C5</vt:lpstr>
      <vt:lpstr>A879O_C1</vt:lpstr>
      <vt:lpstr>A879O_C2</vt:lpstr>
      <vt:lpstr>A879O_C3</vt:lpstr>
      <vt:lpstr>A879O_C4</vt:lpstr>
      <vt:lpstr>A879O_C5</vt:lpstr>
      <vt:lpstr>A879P_C1</vt:lpstr>
      <vt:lpstr>A879P_C2</vt:lpstr>
      <vt:lpstr>A879P_C3</vt:lpstr>
      <vt:lpstr>A879P_C4</vt:lpstr>
      <vt:lpstr>A879P_C5</vt:lpstr>
      <vt:lpstr>A879Q_C1</vt:lpstr>
      <vt:lpstr>A879Q_C2</vt:lpstr>
      <vt:lpstr>A879Q_C3</vt:lpstr>
      <vt:lpstr>A879Q_C4</vt:lpstr>
      <vt:lpstr>A879Q_C5</vt:lpstr>
      <vt:lpstr>A879R_C1</vt:lpstr>
      <vt:lpstr>A879R_C2</vt:lpstr>
      <vt:lpstr>A879R_C3</vt:lpstr>
      <vt:lpstr>A879R_C4</vt:lpstr>
      <vt:lpstr>A879R_C5</vt:lpstr>
      <vt:lpstr>A879S_C1</vt:lpstr>
      <vt:lpstr>A879S_C2</vt:lpstr>
      <vt:lpstr>A879S_C3</vt:lpstr>
      <vt:lpstr>A879S_C4</vt:lpstr>
      <vt:lpstr>A879S_C5</vt:lpstr>
      <vt:lpstr>A879T_C1</vt:lpstr>
      <vt:lpstr>A879T_C2</vt:lpstr>
      <vt:lpstr>A879T_C3</vt:lpstr>
      <vt:lpstr>A879T_C4</vt:lpstr>
      <vt:lpstr>A879T_C5</vt:lpstr>
      <vt:lpstr>A879U_C1</vt:lpstr>
      <vt:lpstr>A879U_C2</vt:lpstr>
      <vt:lpstr>A879U_C3</vt:lpstr>
      <vt:lpstr>A879U_C4</vt:lpstr>
      <vt:lpstr>A879U_C5</vt:lpstr>
      <vt:lpstr>A879V_C1</vt:lpstr>
      <vt:lpstr>A879V_C2</vt:lpstr>
      <vt:lpstr>A879V_C3</vt:lpstr>
      <vt:lpstr>A879V_C4</vt:lpstr>
      <vt:lpstr>A879V_C5</vt:lpstr>
      <vt:lpstr>A879W_C1</vt:lpstr>
      <vt:lpstr>A879W_C2</vt:lpstr>
      <vt:lpstr>A879W_C3</vt:lpstr>
      <vt:lpstr>A879W_C4</vt:lpstr>
      <vt:lpstr>A879W_C5</vt:lpstr>
      <vt:lpstr>A880_C1</vt:lpstr>
      <vt:lpstr>A880_C2</vt:lpstr>
      <vt:lpstr>A880_C3</vt:lpstr>
      <vt:lpstr>A880_C4</vt:lpstr>
      <vt:lpstr>A880_C5</vt:lpstr>
      <vt:lpstr>A880A_C1</vt:lpstr>
      <vt:lpstr>A880A_C2</vt:lpstr>
      <vt:lpstr>A880A_C3</vt:lpstr>
      <vt:lpstr>A880A_C4</vt:lpstr>
      <vt:lpstr>A880A_C5</vt:lpstr>
      <vt:lpstr>A880B1_C1</vt:lpstr>
      <vt:lpstr>A880B1_C2</vt:lpstr>
      <vt:lpstr>A880B1_C3</vt:lpstr>
      <vt:lpstr>A880B1_C4</vt:lpstr>
      <vt:lpstr>A880B1_C5</vt:lpstr>
      <vt:lpstr>A880B2_C1</vt:lpstr>
      <vt:lpstr>A880B2_C2</vt:lpstr>
      <vt:lpstr>A880B2_C3</vt:lpstr>
      <vt:lpstr>A880B2_C4</vt:lpstr>
      <vt:lpstr>A880B2_C5</vt:lpstr>
      <vt:lpstr>A881_C1</vt:lpstr>
      <vt:lpstr>A881_C2</vt:lpstr>
      <vt:lpstr>A881_C3</vt:lpstr>
      <vt:lpstr>A881_C4</vt:lpstr>
      <vt:lpstr>A881_C5</vt:lpstr>
      <vt:lpstr>A882_C1</vt:lpstr>
      <vt:lpstr>A882_C2</vt:lpstr>
      <vt:lpstr>A882_C3</vt:lpstr>
      <vt:lpstr>A882_C4</vt:lpstr>
      <vt:lpstr>A882_C5</vt:lpstr>
      <vt:lpstr>A883A_C1</vt:lpstr>
      <vt:lpstr>A883A_C2</vt:lpstr>
      <vt:lpstr>A883A_C3</vt:lpstr>
      <vt:lpstr>A883A_C4</vt:lpstr>
      <vt:lpstr>A883A_C5</vt:lpstr>
      <vt:lpstr>A883B1_C1</vt:lpstr>
      <vt:lpstr>A883B1_C2</vt:lpstr>
      <vt:lpstr>A883B1_C3</vt:lpstr>
      <vt:lpstr>A883B1_C4</vt:lpstr>
      <vt:lpstr>A883B1_C5</vt:lpstr>
      <vt:lpstr>A883B2_C1</vt:lpstr>
      <vt:lpstr>A883B2_C2</vt:lpstr>
      <vt:lpstr>A883B2_C3</vt:lpstr>
      <vt:lpstr>A883B2_C4</vt:lpstr>
      <vt:lpstr>A883B2_C5</vt:lpstr>
      <vt:lpstr>A883C_C1</vt:lpstr>
      <vt:lpstr>A883C_C2</vt:lpstr>
      <vt:lpstr>A883C_C3</vt:lpstr>
      <vt:lpstr>A883C_C4</vt:lpstr>
      <vt:lpstr>A883C_C5</vt:lpstr>
      <vt:lpstr>A884_C1</vt:lpstr>
      <vt:lpstr>A884_C2</vt:lpstr>
      <vt:lpstr>A884_C3</vt:lpstr>
      <vt:lpstr>A884_C4</vt:lpstr>
      <vt:lpstr>A884_C5</vt:lpstr>
      <vt:lpstr>A884C_C1</vt:lpstr>
      <vt:lpstr>A884C_C2</vt:lpstr>
      <vt:lpstr>A884C_C3</vt:lpstr>
      <vt:lpstr>A884C_C4</vt:lpstr>
      <vt:lpstr>A884C_C5</vt:lpstr>
      <vt:lpstr>A884D_C1</vt:lpstr>
      <vt:lpstr>A884D_C2</vt:lpstr>
      <vt:lpstr>A884D_C3</vt:lpstr>
      <vt:lpstr>A884D_C4</vt:lpstr>
      <vt:lpstr>A884D_C5</vt:lpstr>
      <vt:lpstr>A885A_C1</vt:lpstr>
      <vt:lpstr>A885A_C2</vt:lpstr>
      <vt:lpstr>A885A_C3</vt:lpstr>
      <vt:lpstr>A885A_C4</vt:lpstr>
      <vt:lpstr>A885A_C5</vt:lpstr>
      <vt:lpstr>A885A1_C1</vt:lpstr>
      <vt:lpstr>A885A1_C2</vt:lpstr>
      <vt:lpstr>A885A1_C3</vt:lpstr>
      <vt:lpstr>A885A1_C4</vt:lpstr>
      <vt:lpstr>A885A1_C5</vt:lpstr>
      <vt:lpstr>A885A2_C1</vt:lpstr>
      <vt:lpstr>A885A2_C2</vt:lpstr>
      <vt:lpstr>A885A2_C3</vt:lpstr>
      <vt:lpstr>A885A2_C4</vt:lpstr>
      <vt:lpstr>A885A2_C5</vt:lpstr>
      <vt:lpstr>A885A3_C1</vt:lpstr>
      <vt:lpstr>A885A3_C2</vt:lpstr>
      <vt:lpstr>A885A3_C3</vt:lpstr>
      <vt:lpstr>A885A3_C4</vt:lpstr>
      <vt:lpstr>A885A3_C5</vt:lpstr>
      <vt:lpstr>A885A4_C1</vt:lpstr>
      <vt:lpstr>A885A4_C2</vt:lpstr>
      <vt:lpstr>A885A4_C3</vt:lpstr>
      <vt:lpstr>A885A4_C4</vt:lpstr>
      <vt:lpstr>A885A4_C5</vt:lpstr>
      <vt:lpstr>A885B_C1</vt:lpstr>
      <vt:lpstr>A885B_C2</vt:lpstr>
      <vt:lpstr>A885B_C3</vt:lpstr>
      <vt:lpstr>A885B_C4</vt:lpstr>
      <vt:lpstr>A885B_C5</vt:lpstr>
      <vt:lpstr>A885B1_C1</vt:lpstr>
      <vt:lpstr>A885B1_C2</vt:lpstr>
      <vt:lpstr>A885B1_C3</vt:lpstr>
      <vt:lpstr>A885B1_C4</vt:lpstr>
      <vt:lpstr>A885B1_C5</vt:lpstr>
      <vt:lpstr>A885B2_C1</vt:lpstr>
      <vt:lpstr>A885B2_C2</vt:lpstr>
      <vt:lpstr>A885B2_C3</vt:lpstr>
      <vt:lpstr>A885B2_C4</vt:lpstr>
      <vt:lpstr>A885B2_C5</vt:lpstr>
      <vt:lpstr>A885B3_C1</vt:lpstr>
      <vt:lpstr>A885B3_C2</vt:lpstr>
      <vt:lpstr>A885B3_C3</vt:lpstr>
      <vt:lpstr>A885B3_C4</vt:lpstr>
      <vt:lpstr>A885B3_C5</vt:lpstr>
      <vt:lpstr>A885B4_C1</vt:lpstr>
      <vt:lpstr>A885B4_C2</vt:lpstr>
      <vt:lpstr>A885B4_C3</vt:lpstr>
      <vt:lpstr>A885B4_C4</vt:lpstr>
      <vt:lpstr>A885B4_C5</vt:lpstr>
      <vt:lpstr>A885B5_C1</vt:lpstr>
      <vt:lpstr>A885B5_C2</vt:lpstr>
      <vt:lpstr>A885B5_C3</vt:lpstr>
      <vt:lpstr>A885B5_C4</vt:lpstr>
      <vt:lpstr>A885B5_C5</vt:lpstr>
      <vt:lpstr>A885C_C1</vt:lpstr>
      <vt:lpstr>A885C_C2</vt:lpstr>
      <vt:lpstr>A885C_C3</vt:lpstr>
      <vt:lpstr>A885C_C4</vt:lpstr>
      <vt:lpstr>A885C_C5</vt:lpstr>
      <vt:lpstr>A885C1_C1</vt:lpstr>
      <vt:lpstr>A885C1_C2</vt:lpstr>
      <vt:lpstr>A885C1_C3</vt:lpstr>
      <vt:lpstr>A885C1_C4</vt:lpstr>
      <vt:lpstr>A885C1_C5</vt:lpstr>
      <vt:lpstr>A885C2_C1</vt:lpstr>
      <vt:lpstr>A885C2_C2</vt:lpstr>
      <vt:lpstr>A885C2_C3</vt:lpstr>
      <vt:lpstr>A885C2_C4</vt:lpstr>
      <vt:lpstr>A885C2_C5</vt:lpstr>
      <vt:lpstr>A885C3_C1</vt:lpstr>
      <vt:lpstr>A885C3_C2</vt:lpstr>
      <vt:lpstr>A885C3_C3</vt:lpstr>
      <vt:lpstr>A885C3_C4</vt:lpstr>
      <vt:lpstr>A885C3_C5</vt:lpstr>
      <vt:lpstr>A885C4_C1</vt:lpstr>
      <vt:lpstr>A885C4_C2</vt:lpstr>
      <vt:lpstr>A885C4_C3</vt:lpstr>
      <vt:lpstr>A885C4_C4</vt:lpstr>
      <vt:lpstr>A885C4_C5</vt:lpstr>
      <vt:lpstr>A885C5_C1</vt:lpstr>
      <vt:lpstr>A885C5_C2</vt:lpstr>
      <vt:lpstr>A885C5_C3</vt:lpstr>
      <vt:lpstr>A885C5_C4</vt:lpstr>
      <vt:lpstr>A885C5_C5</vt:lpstr>
      <vt:lpstr>A885C6_C1</vt:lpstr>
      <vt:lpstr>A885C6_C2</vt:lpstr>
      <vt:lpstr>A885C6_C3</vt:lpstr>
      <vt:lpstr>A885C6_C4</vt:lpstr>
      <vt:lpstr>A885C6_C5</vt:lpstr>
      <vt:lpstr>A885D_C1</vt:lpstr>
      <vt:lpstr>A885D_C2</vt:lpstr>
      <vt:lpstr>A885D_C3</vt:lpstr>
      <vt:lpstr>A885D_C4</vt:lpstr>
      <vt:lpstr>A885D_C5</vt:lpstr>
      <vt:lpstr>A885D1_C1</vt:lpstr>
      <vt:lpstr>A885D1_C2</vt:lpstr>
      <vt:lpstr>A885D1_C3</vt:lpstr>
      <vt:lpstr>A885D1_C4</vt:lpstr>
      <vt:lpstr>A885D1_C5</vt:lpstr>
      <vt:lpstr>A885D2_C1</vt:lpstr>
      <vt:lpstr>A885D2_C2</vt:lpstr>
      <vt:lpstr>A885D2_C3</vt:lpstr>
      <vt:lpstr>A885D2_C4</vt:lpstr>
      <vt:lpstr>A885D2_C5</vt:lpstr>
      <vt:lpstr>A885D3_C1</vt:lpstr>
      <vt:lpstr>A885D3_C2</vt:lpstr>
      <vt:lpstr>A885D3_C3</vt:lpstr>
      <vt:lpstr>A885D3_C4</vt:lpstr>
      <vt:lpstr>A885D3_C5</vt:lpstr>
      <vt:lpstr>A885D4_C1</vt:lpstr>
      <vt:lpstr>A885D4_C2</vt:lpstr>
      <vt:lpstr>A885D4_C3</vt:lpstr>
      <vt:lpstr>A885D4_C4</vt:lpstr>
      <vt:lpstr>A885D4_C5</vt:lpstr>
      <vt:lpstr>A885D5_C1</vt:lpstr>
      <vt:lpstr>A885D5_C2</vt:lpstr>
      <vt:lpstr>A885D5_C3</vt:lpstr>
      <vt:lpstr>A885D5_C4</vt:lpstr>
      <vt:lpstr>A885D5_C5</vt:lpstr>
      <vt:lpstr>A885D6_C1</vt:lpstr>
      <vt:lpstr>A885D6_C2</vt:lpstr>
      <vt:lpstr>A885D6_C3</vt:lpstr>
      <vt:lpstr>A885D6_C4</vt:lpstr>
      <vt:lpstr>A885D6_C5</vt:lpstr>
      <vt:lpstr>A886A_C1</vt:lpstr>
      <vt:lpstr>A886A_C2</vt:lpstr>
      <vt:lpstr>A886A_C3</vt:lpstr>
      <vt:lpstr>A886A_C4</vt:lpstr>
      <vt:lpstr>A886A_C5</vt:lpstr>
      <vt:lpstr>A886B_C1</vt:lpstr>
      <vt:lpstr>A886B_C2</vt:lpstr>
      <vt:lpstr>A886B_C3</vt:lpstr>
      <vt:lpstr>A886B_C4</vt:lpstr>
      <vt:lpstr>A886B_C5</vt:lpstr>
      <vt:lpstr>A886C_C1</vt:lpstr>
      <vt:lpstr>A886C_C2</vt:lpstr>
      <vt:lpstr>A886C_C3</vt:lpstr>
      <vt:lpstr>A886C_C4</vt:lpstr>
      <vt:lpstr>A886C_C5</vt:lpstr>
      <vt:lpstr>A886D_C1</vt:lpstr>
      <vt:lpstr>A886D_C2</vt:lpstr>
      <vt:lpstr>A886D_C3</vt:lpstr>
      <vt:lpstr>A886D_C4</vt:lpstr>
      <vt:lpstr>A886D_C5</vt:lpstr>
      <vt:lpstr>A886E_C1</vt:lpstr>
      <vt:lpstr>A886E_C2</vt:lpstr>
      <vt:lpstr>A886E_C3</vt:lpstr>
      <vt:lpstr>A886E_C4</vt:lpstr>
      <vt:lpstr>A886E_C5</vt:lpstr>
      <vt:lpstr>A886F_C1</vt:lpstr>
      <vt:lpstr>A886F_C2</vt:lpstr>
      <vt:lpstr>A886F_C3</vt:lpstr>
      <vt:lpstr>A886F_C4</vt:lpstr>
      <vt:lpstr>A886F_C5</vt:lpstr>
      <vt:lpstr>A886G_C1</vt:lpstr>
      <vt:lpstr>A886G_C2</vt:lpstr>
      <vt:lpstr>A886G_C3</vt:lpstr>
      <vt:lpstr>A886G_C4</vt:lpstr>
      <vt:lpstr>A886G_C5</vt:lpstr>
      <vt:lpstr>A886H_C1</vt:lpstr>
      <vt:lpstr>A886H_C2</vt:lpstr>
      <vt:lpstr>A886H_C3</vt:lpstr>
      <vt:lpstr>A886H_C4</vt:lpstr>
      <vt:lpstr>A886H_C5</vt:lpstr>
      <vt:lpstr>A887A_C1</vt:lpstr>
      <vt:lpstr>A887A_C2</vt:lpstr>
      <vt:lpstr>A887A_C3</vt:lpstr>
      <vt:lpstr>A887A_C4</vt:lpstr>
      <vt:lpstr>A887A_C5</vt:lpstr>
      <vt:lpstr>A887B_C1</vt:lpstr>
      <vt:lpstr>A887B_C2</vt:lpstr>
      <vt:lpstr>A887B_C3</vt:lpstr>
      <vt:lpstr>A887B_C4</vt:lpstr>
      <vt:lpstr>A887B_C5</vt:lpstr>
      <vt:lpstr>A887C_C1</vt:lpstr>
      <vt:lpstr>A887C_C2</vt:lpstr>
      <vt:lpstr>A887C_C3</vt:lpstr>
      <vt:lpstr>A887C_C4</vt:lpstr>
      <vt:lpstr>A887C_C5</vt:lpstr>
      <vt:lpstr>A887D_C1</vt:lpstr>
      <vt:lpstr>A887D_C2</vt:lpstr>
      <vt:lpstr>A887D_C3</vt:lpstr>
      <vt:lpstr>A887D_C4</vt:lpstr>
      <vt:lpstr>A887D_C5</vt:lpstr>
      <vt:lpstr>A887E_C1</vt:lpstr>
      <vt:lpstr>A887E_C2</vt:lpstr>
      <vt:lpstr>A887E_C3</vt:lpstr>
      <vt:lpstr>A887E_C4</vt:lpstr>
      <vt:lpstr>A887E_C5</vt:lpstr>
      <vt:lpstr>A887F_C1</vt:lpstr>
      <vt:lpstr>A887F_C2</vt:lpstr>
      <vt:lpstr>A887F_C3</vt:lpstr>
      <vt:lpstr>A887F_C4</vt:lpstr>
      <vt:lpstr>A887F_C5</vt:lpstr>
      <vt:lpstr>A887G_C1</vt:lpstr>
      <vt:lpstr>A887G_C2</vt:lpstr>
      <vt:lpstr>A887G_C3</vt:lpstr>
      <vt:lpstr>A887G_C4</vt:lpstr>
      <vt:lpstr>A887G_C5</vt:lpstr>
      <vt:lpstr>A887H_C1</vt:lpstr>
      <vt:lpstr>A887H_C2</vt:lpstr>
      <vt:lpstr>A887H_C3</vt:lpstr>
      <vt:lpstr>A887H_C4</vt:lpstr>
      <vt:lpstr>A887H_C5</vt:lpstr>
      <vt:lpstr>A887I_C1</vt:lpstr>
      <vt:lpstr>A887I_C2</vt:lpstr>
      <vt:lpstr>A887I_C3</vt:lpstr>
      <vt:lpstr>A887I_C4</vt:lpstr>
      <vt:lpstr>A887I_C5</vt:lpstr>
      <vt:lpstr>A887J_C1</vt:lpstr>
      <vt:lpstr>A887J_C2</vt:lpstr>
      <vt:lpstr>A887J_C3</vt:lpstr>
      <vt:lpstr>A887J_C4</vt:lpstr>
      <vt:lpstr>A887J_C5</vt:lpstr>
      <vt:lpstr>A887K_C1</vt:lpstr>
      <vt:lpstr>A887K_C2</vt:lpstr>
      <vt:lpstr>A887K_C3</vt:lpstr>
      <vt:lpstr>A887K_C4</vt:lpstr>
      <vt:lpstr>A887K_C5</vt:lpstr>
      <vt:lpstr>A887L_C1</vt:lpstr>
      <vt:lpstr>A887L_C2</vt:lpstr>
      <vt:lpstr>A887L_C3</vt:lpstr>
      <vt:lpstr>A887L_C4</vt:lpstr>
      <vt:lpstr>A887L_C5</vt:lpstr>
      <vt:lpstr>A887M_C1</vt:lpstr>
      <vt:lpstr>A887M_C2</vt:lpstr>
      <vt:lpstr>A887M_C3</vt:lpstr>
      <vt:lpstr>A887M_C4</vt:lpstr>
      <vt:lpstr>A887M_C5</vt:lpstr>
      <vt:lpstr>A887N_C1</vt:lpstr>
      <vt:lpstr>A887N_C2</vt:lpstr>
      <vt:lpstr>A887N_C3</vt:lpstr>
      <vt:lpstr>A887N_C4</vt:lpstr>
      <vt:lpstr>A887N_C5</vt:lpstr>
      <vt:lpstr>A887P_C1</vt:lpstr>
      <vt:lpstr>A887P_C2</vt:lpstr>
      <vt:lpstr>A887P_C3</vt:lpstr>
      <vt:lpstr>A887P_C4</vt:lpstr>
      <vt:lpstr>A887P_C5</vt:lpstr>
      <vt:lpstr>A887R_C1</vt:lpstr>
      <vt:lpstr>A887R_C2</vt:lpstr>
      <vt:lpstr>A887R_C3</vt:lpstr>
      <vt:lpstr>A887R_C4</vt:lpstr>
      <vt:lpstr>A887R_C5</vt:lpstr>
      <vt:lpstr>A887S_C1</vt:lpstr>
      <vt:lpstr>A887S_C2</vt:lpstr>
      <vt:lpstr>A887S_C3</vt:lpstr>
      <vt:lpstr>A887S_C4</vt:lpstr>
      <vt:lpstr>A887S_C5</vt:lpstr>
      <vt:lpstr>A887T_C1</vt:lpstr>
      <vt:lpstr>A887T_C2</vt:lpstr>
      <vt:lpstr>A887T_C3</vt:lpstr>
      <vt:lpstr>A887T_C4</vt:lpstr>
      <vt:lpstr>A887T_C5</vt:lpstr>
      <vt:lpstr>A887U_C1</vt:lpstr>
      <vt:lpstr>A887U_C2</vt:lpstr>
      <vt:lpstr>A887U_C3</vt:lpstr>
      <vt:lpstr>A887U_C4</vt:lpstr>
      <vt:lpstr>A887U_C5</vt:lpstr>
      <vt:lpstr>A887V_C1</vt:lpstr>
      <vt:lpstr>A887V_C2</vt:lpstr>
      <vt:lpstr>A887V_C3</vt:lpstr>
      <vt:lpstr>A887V_C4</vt:lpstr>
      <vt:lpstr>A887V_C5</vt:lpstr>
      <vt:lpstr>A888_C1</vt:lpstr>
      <vt:lpstr>A888_C2</vt:lpstr>
      <vt:lpstr>A888_C3</vt:lpstr>
      <vt:lpstr>A888_C4</vt:lpstr>
      <vt:lpstr>A888_C5</vt:lpstr>
      <vt:lpstr>A889_C1</vt:lpstr>
      <vt:lpstr>A889_C2</vt:lpstr>
      <vt:lpstr>A889_C3</vt:lpstr>
      <vt:lpstr>A889_C4</vt:lpstr>
      <vt:lpstr>A889_C5</vt:lpstr>
      <vt:lpstr>A889B_1_C1</vt:lpstr>
      <vt:lpstr>A889B_1_C2</vt:lpstr>
      <vt:lpstr>A889B_1_C3</vt:lpstr>
      <vt:lpstr>A889B_1_C4</vt:lpstr>
      <vt:lpstr>A889B_1_C5</vt:lpstr>
      <vt:lpstr>A889B_2_C1</vt:lpstr>
      <vt:lpstr>A889B_2_C2</vt:lpstr>
      <vt:lpstr>A889B_2_C3</vt:lpstr>
      <vt:lpstr>A889B_2_C4</vt:lpstr>
      <vt:lpstr>A889B_2_C5</vt:lpstr>
      <vt:lpstr>A889B_3_C1</vt:lpstr>
      <vt:lpstr>A889B_3_C2</vt:lpstr>
      <vt:lpstr>A889B_3_C3</vt:lpstr>
      <vt:lpstr>A889B_3_C4</vt:lpstr>
      <vt:lpstr>A889B_3_C5</vt:lpstr>
      <vt:lpstr>A889B_C1</vt:lpstr>
      <vt:lpstr>A889B_C2</vt:lpstr>
      <vt:lpstr>A889B_C3</vt:lpstr>
      <vt:lpstr>A889B_C4</vt:lpstr>
      <vt:lpstr>A889B_C5</vt:lpstr>
      <vt:lpstr>A892A_1_C1</vt:lpstr>
      <vt:lpstr>A892A_1_C2</vt:lpstr>
      <vt:lpstr>A892A_1_C3</vt:lpstr>
      <vt:lpstr>A892A_1_C4</vt:lpstr>
      <vt:lpstr>A892A_1_C5</vt:lpstr>
      <vt:lpstr>A892A_2_C1</vt:lpstr>
      <vt:lpstr>A892A_2_C2</vt:lpstr>
      <vt:lpstr>A892A_2_C3</vt:lpstr>
      <vt:lpstr>A892A_2_C4</vt:lpstr>
      <vt:lpstr>A892A_2_C5</vt:lpstr>
      <vt:lpstr>A892A_3_C1</vt:lpstr>
      <vt:lpstr>A892A_3_C2</vt:lpstr>
      <vt:lpstr>A892A_3_C3</vt:lpstr>
      <vt:lpstr>A892A_3_C4</vt:lpstr>
      <vt:lpstr>A892A_3_C5</vt:lpstr>
      <vt:lpstr>A892A_C1</vt:lpstr>
      <vt:lpstr>A892A_C2</vt:lpstr>
      <vt:lpstr>A892A_C3</vt:lpstr>
      <vt:lpstr>A892A_C4</vt:lpstr>
      <vt:lpstr>A892A_C5</vt:lpstr>
      <vt:lpstr>A892B_C1</vt:lpstr>
      <vt:lpstr>A892B_C2</vt:lpstr>
      <vt:lpstr>A892B_C3</vt:lpstr>
      <vt:lpstr>A892B_C4</vt:lpstr>
      <vt:lpstr>A892B_C5</vt:lpstr>
      <vt:lpstr>A895_C1</vt:lpstr>
      <vt:lpstr>A895_C2</vt:lpstr>
      <vt:lpstr>A895_C3</vt:lpstr>
      <vt:lpstr>A895_C4</vt:lpstr>
      <vt:lpstr>A895_C5</vt:lpstr>
      <vt:lpstr>A896_C1</vt:lpstr>
      <vt:lpstr>A896_C2</vt:lpstr>
      <vt:lpstr>A896_C3</vt:lpstr>
      <vt:lpstr>A896_C4</vt:lpstr>
      <vt:lpstr>A896_C5</vt:lpstr>
      <vt:lpstr>A899_C1</vt:lpstr>
      <vt:lpstr>A899_C2</vt:lpstr>
      <vt:lpstr>A899_C3</vt:lpstr>
      <vt:lpstr>A899_C4</vt:lpstr>
      <vt:lpstr>A899_C5</vt:lpstr>
      <vt:lpstr>A900A_C1</vt:lpstr>
      <vt:lpstr>A900A_C2</vt:lpstr>
      <vt:lpstr>A900A_C3</vt:lpstr>
      <vt:lpstr>A900A_C4</vt:lpstr>
      <vt:lpstr>A900A_C5</vt:lpstr>
      <vt:lpstr>A900A1_C1</vt:lpstr>
      <vt:lpstr>A900A1_C2</vt:lpstr>
      <vt:lpstr>A900A1_C3</vt:lpstr>
      <vt:lpstr>A900A1_C4</vt:lpstr>
      <vt:lpstr>A900A1_C5</vt:lpstr>
      <vt:lpstr>A900B_C1</vt:lpstr>
      <vt:lpstr>A900B_C2</vt:lpstr>
      <vt:lpstr>A900B_C3</vt:lpstr>
      <vt:lpstr>A900B_C4</vt:lpstr>
      <vt:lpstr>A900B_C5</vt:lpstr>
      <vt:lpstr>A900B1_C1</vt:lpstr>
      <vt:lpstr>A900B1_C2</vt:lpstr>
      <vt:lpstr>A900B1_C3</vt:lpstr>
      <vt:lpstr>A900B1_C4</vt:lpstr>
      <vt:lpstr>A900B1_C5</vt:lpstr>
      <vt:lpstr>A900C_C1</vt:lpstr>
      <vt:lpstr>A900C_C2</vt:lpstr>
      <vt:lpstr>A900C_C3</vt:lpstr>
      <vt:lpstr>A900C_C4</vt:lpstr>
      <vt:lpstr>A900C_C5</vt:lpstr>
      <vt:lpstr>A900C1_C1</vt:lpstr>
      <vt:lpstr>A900C1_C2</vt:lpstr>
      <vt:lpstr>A900C1_C3</vt:lpstr>
      <vt:lpstr>A900C1_C4</vt:lpstr>
      <vt:lpstr>A900C1_C5</vt:lpstr>
      <vt:lpstr>A900C2_C1</vt:lpstr>
      <vt:lpstr>A900C2_C2</vt:lpstr>
      <vt:lpstr>A900C2_C3</vt:lpstr>
      <vt:lpstr>A900C2_C4</vt:lpstr>
      <vt:lpstr>A900C2_C5</vt:lpstr>
      <vt:lpstr>A900C3_C1</vt:lpstr>
      <vt:lpstr>A900C3_C2</vt:lpstr>
      <vt:lpstr>A900C3_C3</vt:lpstr>
      <vt:lpstr>A900C3_C4</vt:lpstr>
      <vt:lpstr>A900C3_C5</vt:lpstr>
      <vt:lpstr>A900C4_C1</vt:lpstr>
      <vt:lpstr>A900C4_C2</vt:lpstr>
      <vt:lpstr>A900C4_C3</vt:lpstr>
      <vt:lpstr>A900C4_C4</vt:lpstr>
      <vt:lpstr>A900C4_C5</vt:lpstr>
      <vt:lpstr>A900C5_C1</vt:lpstr>
      <vt:lpstr>A900C5_C2</vt:lpstr>
      <vt:lpstr>A900C5_C3</vt:lpstr>
      <vt:lpstr>A900C5_C4</vt:lpstr>
      <vt:lpstr>A900C5_C5</vt:lpstr>
      <vt:lpstr>A900C6_C1</vt:lpstr>
      <vt:lpstr>A900C6_C2</vt:lpstr>
      <vt:lpstr>A900C6_C3</vt:lpstr>
      <vt:lpstr>A900C6_C4</vt:lpstr>
      <vt:lpstr>A900C6_C5</vt:lpstr>
      <vt:lpstr>A900C7_C1</vt:lpstr>
      <vt:lpstr>A900C7_C2</vt:lpstr>
      <vt:lpstr>A900C7_C3</vt:lpstr>
      <vt:lpstr>A900C7_C4</vt:lpstr>
      <vt:lpstr>A900C7_C5</vt:lpstr>
      <vt:lpstr>A900C8_C1</vt:lpstr>
      <vt:lpstr>A900C8_C2</vt:lpstr>
      <vt:lpstr>A900C8_C3</vt:lpstr>
      <vt:lpstr>A900C8_C4</vt:lpstr>
      <vt:lpstr>A900C8_C5</vt:lpstr>
      <vt:lpstr>A900D_C1</vt:lpstr>
      <vt:lpstr>A900D_C2</vt:lpstr>
      <vt:lpstr>A900D_C3</vt:lpstr>
      <vt:lpstr>A900D_C4</vt:lpstr>
      <vt:lpstr>A900D_C5</vt:lpstr>
      <vt:lpstr>A900F_C1</vt:lpstr>
      <vt:lpstr>A900F_C2</vt:lpstr>
      <vt:lpstr>A900F_C3</vt:lpstr>
      <vt:lpstr>A900F_C4</vt:lpstr>
      <vt:lpstr>A900F_C5</vt:lpstr>
      <vt:lpstr>A900G_C1</vt:lpstr>
      <vt:lpstr>A900G_C2</vt:lpstr>
      <vt:lpstr>A900G_C3</vt:lpstr>
      <vt:lpstr>A900G_C4</vt:lpstr>
      <vt:lpstr>A900G_C5</vt:lpstr>
      <vt:lpstr>A900G1_C1</vt:lpstr>
      <vt:lpstr>A900G1_C2</vt:lpstr>
      <vt:lpstr>A900G1_C3</vt:lpstr>
      <vt:lpstr>A900G1_C4</vt:lpstr>
      <vt:lpstr>A900G1_C5</vt:lpstr>
      <vt:lpstr>A900H_C1</vt:lpstr>
      <vt:lpstr>A900H_C2</vt:lpstr>
      <vt:lpstr>A900H_C3</vt:lpstr>
      <vt:lpstr>A900H_C4</vt:lpstr>
      <vt:lpstr>A900H_C5</vt:lpstr>
      <vt:lpstr>A900H1_C1</vt:lpstr>
      <vt:lpstr>A900H1_C2</vt:lpstr>
      <vt:lpstr>A900H1_C3</vt:lpstr>
      <vt:lpstr>A900H1_C4</vt:lpstr>
      <vt:lpstr>A900H1_C5</vt:lpstr>
      <vt:lpstr>A900H2_C1</vt:lpstr>
      <vt:lpstr>A900H2_C2</vt:lpstr>
      <vt:lpstr>A900H2_C3</vt:lpstr>
      <vt:lpstr>A900H2_C4</vt:lpstr>
      <vt:lpstr>A900H2_C5</vt:lpstr>
      <vt:lpstr>A900H3_C1</vt:lpstr>
      <vt:lpstr>A900H3_C2</vt:lpstr>
      <vt:lpstr>A900H3_C3</vt:lpstr>
      <vt:lpstr>A900H3_C4</vt:lpstr>
      <vt:lpstr>A900H3_C5</vt:lpstr>
      <vt:lpstr>A900J_C1</vt:lpstr>
      <vt:lpstr>A900J_C2</vt:lpstr>
      <vt:lpstr>A900J_C3</vt:lpstr>
      <vt:lpstr>A900J_C4</vt:lpstr>
      <vt:lpstr>A900J_C5</vt:lpstr>
      <vt:lpstr>A900J1_C1</vt:lpstr>
      <vt:lpstr>A900J1_C2</vt:lpstr>
      <vt:lpstr>A900J1_C3</vt:lpstr>
      <vt:lpstr>A900J1_C4</vt:lpstr>
      <vt:lpstr>A900J1_C5</vt:lpstr>
      <vt:lpstr>A900J2_C1</vt:lpstr>
      <vt:lpstr>A900J2_C2</vt:lpstr>
      <vt:lpstr>A900J2_C3</vt:lpstr>
      <vt:lpstr>A900J2_C4</vt:lpstr>
      <vt:lpstr>A900J2_C5</vt:lpstr>
      <vt:lpstr>A900J3_C1</vt:lpstr>
      <vt:lpstr>A900J3_C2</vt:lpstr>
      <vt:lpstr>A900J3_C3</vt:lpstr>
      <vt:lpstr>A900J3_C4</vt:lpstr>
      <vt:lpstr>A900J3_C5</vt:lpstr>
      <vt:lpstr>A900K_C1</vt:lpstr>
      <vt:lpstr>A900K_C2</vt:lpstr>
      <vt:lpstr>A900K_C3</vt:lpstr>
      <vt:lpstr>A900K_C4</vt:lpstr>
      <vt:lpstr>A900K_C5</vt:lpstr>
      <vt:lpstr>A900K1_C1</vt:lpstr>
      <vt:lpstr>A900K1_C2</vt:lpstr>
      <vt:lpstr>A900K1_C3</vt:lpstr>
      <vt:lpstr>A900K1_C4</vt:lpstr>
      <vt:lpstr>A900K1_C5</vt:lpstr>
      <vt:lpstr>A900K2_C1</vt:lpstr>
      <vt:lpstr>A900K2_C2</vt:lpstr>
      <vt:lpstr>A900K2_C3</vt:lpstr>
      <vt:lpstr>A900K2_C4</vt:lpstr>
      <vt:lpstr>A900K2_C5</vt:lpstr>
      <vt:lpstr>A900K3_C1</vt:lpstr>
      <vt:lpstr>A900K3_C2</vt:lpstr>
      <vt:lpstr>A900K3_C3</vt:lpstr>
      <vt:lpstr>A900K3_C4</vt:lpstr>
      <vt:lpstr>A900K3_C5</vt:lpstr>
      <vt:lpstr>A900L_C1</vt:lpstr>
      <vt:lpstr>A900L_C2</vt:lpstr>
      <vt:lpstr>A900L_C3</vt:lpstr>
      <vt:lpstr>A900L_C4</vt:lpstr>
      <vt:lpstr>A900L_C5</vt:lpstr>
      <vt:lpstr>A900L1_C1</vt:lpstr>
      <vt:lpstr>A900L1_C2</vt:lpstr>
      <vt:lpstr>A900L1_C3</vt:lpstr>
      <vt:lpstr>A900L1_C4</vt:lpstr>
      <vt:lpstr>A900L1_C5</vt:lpstr>
      <vt:lpstr>A900L2_C1</vt:lpstr>
      <vt:lpstr>A900L2_C2</vt:lpstr>
      <vt:lpstr>A900L2_C3</vt:lpstr>
      <vt:lpstr>A900L2_C4</vt:lpstr>
      <vt:lpstr>A900L2_C5</vt:lpstr>
      <vt:lpstr>A900L3_C1</vt:lpstr>
      <vt:lpstr>A900L3_C2</vt:lpstr>
      <vt:lpstr>A900L3_C3</vt:lpstr>
      <vt:lpstr>A900L3_C4</vt:lpstr>
      <vt:lpstr>A900L3_C5</vt:lpstr>
      <vt:lpstr>A900M_C1</vt:lpstr>
      <vt:lpstr>A900M_C2</vt:lpstr>
      <vt:lpstr>A900M_C3</vt:lpstr>
      <vt:lpstr>A900M_C4</vt:lpstr>
      <vt:lpstr>A900M_C5</vt:lpstr>
      <vt:lpstr>A900M1_C1</vt:lpstr>
      <vt:lpstr>A900M1_C2</vt:lpstr>
      <vt:lpstr>A900M1_C3</vt:lpstr>
      <vt:lpstr>A900M1_C4</vt:lpstr>
      <vt:lpstr>A900M1_C5</vt:lpstr>
      <vt:lpstr>A900T_C1</vt:lpstr>
      <vt:lpstr>A900T_C2</vt:lpstr>
      <vt:lpstr>A900T_C3</vt:lpstr>
      <vt:lpstr>A900T_C4</vt:lpstr>
      <vt:lpstr>A900T_C5</vt:lpstr>
      <vt:lpstr>A900T1_C1</vt:lpstr>
      <vt:lpstr>A900T1_C2</vt:lpstr>
      <vt:lpstr>A900T1_C3</vt:lpstr>
      <vt:lpstr>A900T1_C4</vt:lpstr>
      <vt:lpstr>A900T1_C5</vt:lpstr>
      <vt:lpstr>A902_C1</vt:lpstr>
      <vt:lpstr>A902_C2</vt:lpstr>
      <vt:lpstr>A902_C3</vt:lpstr>
      <vt:lpstr>A902_C4</vt:lpstr>
      <vt:lpstr>A902_C5</vt:lpstr>
      <vt:lpstr>A902A_C1</vt:lpstr>
      <vt:lpstr>A902A_C2</vt:lpstr>
      <vt:lpstr>A902A_C3</vt:lpstr>
      <vt:lpstr>A902A_C4</vt:lpstr>
      <vt:lpstr>A902A_C5</vt:lpstr>
      <vt:lpstr>A903_C1</vt:lpstr>
      <vt:lpstr>A903_C2</vt:lpstr>
      <vt:lpstr>A903_C3</vt:lpstr>
      <vt:lpstr>A903_C4</vt:lpstr>
      <vt:lpstr>A903_C5</vt:lpstr>
      <vt:lpstr>A904_C1</vt:lpstr>
      <vt:lpstr>A904_C2</vt:lpstr>
      <vt:lpstr>A904_C3</vt:lpstr>
      <vt:lpstr>A904_C4</vt:lpstr>
      <vt:lpstr>A904_C5</vt:lpstr>
      <vt:lpstr>A905_C1</vt:lpstr>
      <vt:lpstr>A905_C2</vt:lpstr>
      <vt:lpstr>A905_C3</vt:lpstr>
      <vt:lpstr>A905_C4</vt:lpstr>
      <vt:lpstr>A905_C5</vt:lpstr>
      <vt:lpstr>A906_C1</vt:lpstr>
      <vt:lpstr>A906_C2</vt:lpstr>
      <vt:lpstr>A906_C3</vt:lpstr>
      <vt:lpstr>A906_C4</vt:lpstr>
      <vt:lpstr>A906_C5</vt:lpstr>
      <vt:lpstr>A906A_C1</vt:lpstr>
      <vt:lpstr>A906A_C2</vt:lpstr>
      <vt:lpstr>A906A_C3</vt:lpstr>
      <vt:lpstr>A906A_C4</vt:lpstr>
      <vt:lpstr>A906A_C5</vt:lpstr>
      <vt:lpstr>A906B1_C1</vt:lpstr>
      <vt:lpstr>A906B1_C2</vt:lpstr>
      <vt:lpstr>A906B1_C3</vt:lpstr>
      <vt:lpstr>A906B1_C4</vt:lpstr>
      <vt:lpstr>A906B1_C5</vt:lpstr>
      <vt:lpstr>A906B2_C1</vt:lpstr>
      <vt:lpstr>A906B2_C2</vt:lpstr>
      <vt:lpstr>A906B2_C3</vt:lpstr>
      <vt:lpstr>A906B2_C4</vt:lpstr>
      <vt:lpstr>A906B2_C5</vt:lpstr>
      <vt:lpstr>A906C_C1</vt:lpstr>
      <vt:lpstr>A906C_C2</vt:lpstr>
      <vt:lpstr>A906C_C3</vt:lpstr>
      <vt:lpstr>A906C_C4</vt:lpstr>
      <vt:lpstr>A906C_C5</vt:lpstr>
      <vt:lpstr>A908A_C1</vt:lpstr>
      <vt:lpstr>A908A_C2</vt:lpstr>
      <vt:lpstr>A908A_C3</vt:lpstr>
      <vt:lpstr>A908A_C4</vt:lpstr>
      <vt:lpstr>A908A_C5</vt:lpstr>
      <vt:lpstr>A908B1_C1</vt:lpstr>
      <vt:lpstr>A908B1_C2</vt:lpstr>
      <vt:lpstr>A908B1_C3</vt:lpstr>
      <vt:lpstr>A908B1_C4</vt:lpstr>
      <vt:lpstr>A908B1_C5</vt:lpstr>
      <vt:lpstr>A908B2_C1</vt:lpstr>
      <vt:lpstr>A908B2_C2</vt:lpstr>
      <vt:lpstr>A908B2_C3</vt:lpstr>
      <vt:lpstr>A908B2_C4</vt:lpstr>
      <vt:lpstr>A908B2_C5</vt:lpstr>
      <vt:lpstr>A908C_C1</vt:lpstr>
      <vt:lpstr>A908C_C2</vt:lpstr>
      <vt:lpstr>A908C_C3</vt:lpstr>
      <vt:lpstr>A908C_C4</vt:lpstr>
      <vt:lpstr>A908C_C5</vt:lpstr>
      <vt:lpstr>A911_C1</vt:lpstr>
      <vt:lpstr>A911_C2</vt:lpstr>
      <vt:lpstr>A911_C3</vt:lpstr>
      <vt:lpstr>A911_C4</vt:lpstr>
      <vt:lpstr>A911_C5</vt:lpstr>
      <vt:lpstr>A911A_C1</vt:lpstr>
      <vt:lpstr>A911A_C2</vt:lpstr>
      <vt:lpstr>A911A_C3</vt:lpstr>
      <vt:lpstr>A911A_C4</vt:lpstr>
      <vt:lpstr>A911A_C5</vt:lpstr>
      <vt:lpstr>A919_C1</vt:lpstr>
      <vt:lpstr>A919_C2</vt:lpstr>
      <vt:lpstr>A919_C3</vt:lpstr>
      <vt:lpstr>A919_C4</vt:lpstr>
      <vt:lpstr>A919_C5</vt:lpstr>
      <vt:lpstr>A925_C1</vt:lpstr>
      <vt:lpstr>A925_C2</vt:lpstr>
      <vt:lpstr>A925_C3</vt:lpstr>
      <vt:lpstr>A925_C4</vt:lpstr>
      <vt:lpstr>A925_C5</vt:lpstr>
      <vt:lpstr>A925A_C1</vt:lpstr>
      <vt:lpstr>A925A_C2</vt:lpstr>
      <vt:lpstr>A925A_C3</vt:lpstr>
      <vt:lpstr>A925A_C4</vt:lpstr>
      <vt:lpstr>A925A_C5</vt:lpstr>
      <vt:lpstr>A925A1_C1</vt:lpstr>
      <vt:lpstr>A925A1_C2</vt:lpstr>
      <vt:lpstr>A925A1_C3</vt:lpstr>
      <vt:lpstr>A925A1_C4</vt:lpstr>
      <vt:lpstr>A925A1_C5</vt:lpstr>
      <vt:lpstr>A925A2_C1</vt:lpstr>
      <vt:lpstr>A925A2_C2</vt:lpstr>
      <vt:lpstr>A925A2_C3</vt:lpstr>
      <vt:lpstr>A925A2_C4</vt:lpstr>
      <vt:lpstr>A925A2_C5</vt:lpstr>
      <vt:lpstr>A926_C1</vt:lpstr>
      <vt:lpstr>A926_C2</vt:lpstr>
      <vt:lpstr>A926_C3</vt:lpstr>
      <vt:lpstr>A926_C4</vt:lpstr>
      <vt:lpstr>A926_C5</vt:lpstr>
      <vt:lpstr>A927_C1</vt:lpstr>
      <vt:lpstr>A927_C2</vt:lpstr>
      <vt:lpstr>A927_C3</vt:lpstr>
      <vt:lpstr>A927_C4</vt:lpstr>
      <vt:lpstr>A927_C5</vt:lpstr>
      <vt:lpstr>A928_C1</vt:lpstr>
      <vt:lpstr>A928_C2</vt:lpstr>
      <vt:lpstr>A928_C3</vt:lpstr>
      <vt:lpstr>A928_C4</vt:lpstr>
      <vt:lpstr>A928_C5</vt:lpstr>
      <vt:lpstr>A931_C1</vt:lpstr>
      <vt:lpstr>A931_C2</vt:lpstr>
      <vt:lpstr>A931_C3</vt:lpstr>
      <vt:lpstr>A931_C4</vt:lpstr>
      <vt:lpstr>A931_C5</vt:lpstr>
      <vt:lpstr>A940_C1</vt:lpstr>
      <vt:lpstr>A940_C2</vt:lpstr>
      <vt:lpstr>A940_C3</vt:lpstr>
      <vt:lpstr>A940_C4</vt:lpstr>
      <vt:lpstr>A940_C5</vt:lpstr>
      <vt:lpstr>A945_C1</vt:lpstr>
      <vt:lpstr>A945_C2</vt:lpstr>
      <vt:lpstr>A945_C3</vt:lpstr>
      <vt:lpstr>A945_C4</vt:lpstr>
      <vt:lpstr>A945_C5</vt:lpstr>
      <vt:lpstr>A945A_C1</vt:lpstr>
      <vt:lpstr>A945A_C2</vt:lpstr>
      <vt:lpstr>A945A_C3</vt:lpstr>
      <vt:lpstr>A945A_C4</vt:lpstr>
      <vt:lpstr>A945A_C5</vt:lpstr>
      <vt:lpstr>A945B_C1</vt:lpstr>
      <vt:lpstr>A945B_C2</vt:lpstr>
      <vt:lpstr>A945B_C3</vt:lpstr>
      <vt:lpstr>A945B_C4</vt:lpstr>
      <vt:lpstr>A945B_C5</vt:lpstr>
      <vt:lpstr>A945C_C1</vt:lpstr>
      <vt:lpstr>A945C_C2</vt:lpstr>
      <vt:lpstr>A945C_C3</vt:lpstr>
      <vt:lpstr>A945C_C4</vt:lpstr>
      <vt:lpstr>A945C_C5</vt:lpstr>
      <vt:lpstr>A956_C1</vt:lpstr>
      <vt:lpstr>A956_C2</vt:lpstr>
      <vt:lpstr>A956_C3</vt:lpstr>
      <vt:lpstr>A956_C4</vt:lpstr>
      <vt:lpstr>A956_C5</vt:lpstr>
      <vt:lpstr>A961A_C1</vt:lpstr>
      <vt:lpstr>A961A_C2</vt:lpstr>
      <vt:lpstr>A961A_C3</vt:lpstr>
      <vt:lpstr>A961A_C4</vt:lpstr>
      <vt:lpstr>A961A_C5</vt:lpstr>
      <vt:lpstr>A961A1_C1</vt:lpstr>
      <vt:lpstr>A961A1_C2</vt:lpstr>
      <vt:lpstr>A961A1_C3</vt:lpstr>
      <vt:lpstr>A961A1_C4</vt:lpstr>
      <vt:lpstr>A961A1_C5</vt:lpstr>
      <vt:lpstr>A961A2_C1</vt:lpstr>
      <vt:lpstr>A961A2_C2</vt:lpstr>
      <vt:lpstr>A961A2_C3</vt:lpstr>
      <vt:lpstr>A961A2_C4</vt:lpstr>
      <vt:lpstr>A961A2_C5</vt:lpstr>
      <vt:lpstr>A961A3_C1</vt:lpstr>
      <vt:lpstr>A961A3_C2</vt:lpstr>
      <vt:lpstr>A961A3_C3</vt:lpstr>
      <vt:lpstr>A961A3_C4</vt:lpstr>
      <vt:lpstr>A961A3_C5</vt:lpstr>
      <vt:lpstr>A961A4_C1</vt:lpstr>
      <vt:lpstr>A961A4_C2</vt:lpstr>
      <vt:lpstr>A961A4_C3</vt:lpstr>
      <vt:lpstr>A961A4_C4</vt:lpstr>
      <vt:lpstr>A961A4_C5</vt:lpstr>
      <vt:lpstr>A961A5_C1</vt:lpstr>
      <vt:lpstr>A961A5_C2</vt:lpstr>
      <vt:lpstr>A961A5_C3</vt:lpstr>
      <vt:lpstr>A961A5_C4</vt:lpstr>
      <vt:lpstr>A961A5_C5</vt:lpstr>
      <vt:lpstr>A961A6_C1</vt:lpstr>
      <vt:lpstr>A961A6_C2</vt:lpstr>
      <vt:lpstr>A961A6_C3</vt:lpstr>
      <vt:lpstr>A961A6_C4</vt:lpstr>
      <vt:lpstr>A961A6_C5</vt:lpstr>
      <vt:lpstr>A961A7_C1</vt:lpstr>
      <vt:lpstr>A961A7_C2</vt:lpstr>
      <vt:lpstr>A961A7_C3</vt:lpstr>
      <vt:lpstr>A961A7_C4</vt:lpstr>
      <vt:lpstr>A961A7_C5</vt:lpstr>
      <vt:lpstr>A961A8_C1</vt:lpstr>
      <vt:lpstr>A961A8_C2</vt:lpstr>
      <vt:lpstr>A961A8_C3</vt:lpstr>
      <vt:lpstr>A961A8_C4</vt:lpstr>
      <vt:lpstr>A961A8_C5</vt:lpstr>
      <vt:lpstr>A961A9_C1</vt:lpstr>
      <vt:lpstr>A961A9_C2</vt:lpstr>
      <vt:lpstr>A961A9_C3</vt:lpstr>
      <vt:lpstr>A961A9_C4</vt:lpstr>
      <vt:lpstr>A961A9_C5</vt:lpstr>
      <vt:lpstr>A965_C1</vt:lpstr>
      <vt:lpstr>A965_C2</vt:lpstr>
      <vt:lpstr>A965_C3</vt:lpstr>
      <vt:lpstr>A965_C4</vt:lpstr>
      <vt:lpstr>A965_C5</vt:lpstr>
      <vt:lpstr>A965A_C1</vt:lpstr>
      <vt:lpstr>A965A_C2</vt:lpstr>
      <vt:lpstr>A965A_C3</vt:lpstr>
      <vt:lpstr>A965A_C4</vt:lpstr>
      <vt:lpstr>A965A_C5</vt:lpstr>
      <vt:lpstr>A965B_C1</vt:lpstr>
      <vt:lpstr>A965B_C2</vt:lpstr>
      <vt:lpstr>A965B_C3</vt:lpstr>
      <vt:lpstr>A965B_C4</vt:lpstr>
      <vt:lpstr>A965B_C5</vt:lpstr>
      <vt:lpstr>A965C_C1</vt:lpstr>
      <vt:lpstr>A965C_C2</vt:lpstr>
      <vt:lpstr>A965C_C3</vt:lpstr>
      <vt:lpstr>A965C_C4</vt:lpstr>
      <vt:lpstr>A965C_C5</vt:lpstr>
      <vt:lpstr>A965C1_C1</vt:lpstr>
      <vt:lpstr>A965C1_C2</vt:lpstr>
      <vt:lpstr>A965C1_C3</vt:lpstr>
      <vt:lpstr>A965C1_C4</vt:lpstr>
      <vt:lpstr>A965C1_C5</vt:lpstr>
      <vt:lpstr>A965C2_C1</vt:lpstr>
      <vt:lpstr>A965C2_C2</vt:lpstr>
      <vt:lpstr>A965C2_C3</vt:lpstr>
      <vt:lpstr>A965C2_C4</vt:lpstr>
      <vt:lpstr>A965C2_C5</vt:lpstr>
      <vt:lpstr>A965D_C1</vt:lpstr>
      <vt:lpstr>A965D_C2</vt:lpstr>
      <vt:lpstr>A965D_C3</vt:lpstr>
      <vt:lpstr>A965D_C4</vt:lpstr>
      <vt:lpstr>A965D_C5</vt:lpstr>
      <vt:lpstr>A966_C1</vt:lpstr>
      <vt:lpstr>A966_C2</vt:lpstr>
      <vt:lpstr>A966_C3</vt:lpstr>
      <vt:lpstr>A966_C4</vt:lpstr>
      <vt:lpstr>A966_C5</vt:lpstr>
      <vt:lpstr>A971_C1</vt:lpstr>
      <vt:lpstr>A971_C2</vt:lpstr>
      <vt:lpstr>A971_C3</vt:lpstr>
      <vt:lpstr>A971_C4</vt:lpstr>
      <vt:lpstr>A971_C5</vt:lpstr>
      <vt:lpstr>A980_C1</vt:lpstr>
      <vt:lpstr>A980_C2</vt:lpstr>
      <vt:lpstr>A980_C3</vt:lpstr>
      <vt:lpstr>A980_C4</vt:lpstr>
      <vt:lpstr>A980_C5</vt:lpstr>
      <vt:lpstr>A981_C1</vt:lpstr>
      <vt:lpstr>A981_C2</vt:lpstr>
      <vt:lpstr>A981_C3</vt:lpstr>
      <vt:lpstr>A981_C4</vt:lpstr>
      <vt:lpstr>A981_C5</vt:lpstr>
      <vt:lpstr>A981A_C1</vt:lpstr>
      <vt:lpstr>A981A_C2</vt:lpstr>
      <vt:lpstr>A981A_C3</vt:lpstr>
      <vt:lpstr>A981A_C4</vt:lpstr>
      <vt:lpstr>A981A_C5</vt:lpstr>
      <vt:lpstr>A981B_C1</vt:lpstr>
      <vt:lpstr>A981B_C2</vt:lpstr>
      <vt:lpstr>A981B_C3</vt:lpstr>
      <vt:lpstr>A981B_C4</vt:lpstr>
      <vt:lpstr>A981B_C5</vt:lpstr>
      <vt:lpstr>A981C_C1</vt:lpstr>
      <vt:lpstr>A981C_C2</vt:lpstr>
      <vt:lpstr>A981C_C3</vt:lpstr>
      <vt:lpstr>A981C_C4</vt:lpstr>
      <vt:lpstr>A981C_C5</vt:lpstr>
      <vt:lpstr>A996_C1</vt:lpstr>
      <vt:lpstr>A996_C2</vt:lpstr>
      <vt:lpstr>A996_C3</vt:lpstr>
      <vt:lpstr>A996_C4</vt:lpstr>
      <vt:lpstr>A996_C5</vt:lpstr>
      <vt:lpstr>A997_C1</vt:lpstr>
      <vt:lpstr>A997_C2</vt:lpstr>
      <vt:lpstr>A997_C3</vt:lpstr>
      <vt:lpstr>A997_C4</vt:lpstr>
      <vt:lpstr>A997_C5</vt:lpstr>
      <vt:lpstr>A998_C1</vt:lpstr>
      <vt:lpstr>A998_C2</vt:lpstr>
      <vt:lpstr>A998_C3</vt:lpstr>
      <vt:lpstr>A998_C4</vt:lpstr>
      <vt:lpstr>A998_C5</vt:lpstr>
      <vt:lpstr>A999_C1</vt:lpstr>
      <vt:lpstr>A999_C2</vt:lpstr>
      <vt:lpstr>A999_C3</vt:lpstr>
      <vt:lpstr>A999_C4</vt:lpstr>
      <vt:lpstr>A999_C5</vt:lpstr>
      <vt:lpstr>A999B_C1</vt:lpstr>
      <vt:lpstr>A999B_C2</vt:lpstr>
      <vt:lpstr>A999B_C3</vt:lpstr>
      <vt:lpstr>A999B_C4</vt:lpstr>
      <vt:lpstr>A999B_C5</vt:lpstr>
      <vt:lpstr>AAS0001_C1</vt:lpstr>
      <vt:lpstr>AAS0001_C2</vt:lpstr>
      <vt:lpstr>AAS0001_C3</vt:lpstr>
      <vt:lpstr>AAS0001_C4</vt:lpstr>
      <vt:lpstr>AAS0001_C5</vt:lpstr>
      <vt:lpstr>AAS0003_C1</vt:lpstr>
      <vt:lpstr>AAS0003_C2</vt:lpstr>
      <vt:lpstr>AAS0003_C3</vt:lpstr>
      <vt:lpstr>AAS0003_C4</vt:lpstr>
      <vt:lpstr>AAS0003_C5</vt:lpstr>
      <vt:lpstr>AAS0004_C1</vt:lpstr>
      <vt:lpstr>AAS0004_C2</vt:lpstr>
      <vt:lpstr>AAS0004_C3</vt:lpstr>
      <vt:lpstr>AAS0004_C4</vt:lpstr>
      <vt:lpstr>AAS0004_C5</vt:lpstr>
      <vt:lpstr>AAS0005_C1</vt:lpstr>
      <vt:lpstr>AAS0005_C2</vt:lpstr>
      <vt:lpstr>AAS0005_C3</vt:lpstr>
      <vt:lpstr>AAS0005_C4</vt:lpstr>
      <vt:lpstr>AAS0005_C5</vt:lpstr>
      <vt:lpstr>AAS0007_C1</vt:lpstr>
      <vt:lpstr>AAS0007_C2</vt:lpstr>
      <vt:lpstr>AAS0007_C3</vt:lpstr>
      <vt:lpstr>AAS0007_C4</vt:lpstr>
      <vt:lpstr>AAS0007_C5</vt:lpstr>
      <vt:lpstr>AAS0008_C1</vt:lpstr>
      <vt:lpstr>AAS0008_C2</vt:lpstr>
      <vt:lpstr>AAS0008_C3</vt:lpstr>
      <vt:lpstr>AAS0008_C4</vt:lpstr>
      <vt:lpstr>AAS0008_C5</vt:lpstr>
      <vt:lpstr>AAS0009_C1</vt:lpstr>
      <vt:lpstr>AAS0009_C2</vt:lpstr>
      <vt:lpstr>AAS0009_C3</vt:lpstr>
      <vt:lpstr>AAS0009_C4</vt:lpstr>
      <vt:lpstr>AAS0009_C5</vt:lpstr>
      <vt:lpstr>AAS0010_C1</vt:lpstr>
      <vt:lpstr>AAS0010_C2</vt:lpstr>
      <vt:lpstr>AAS0010_C3</vt:lpstr>
      <vt:lpstr>AAS0010_C4</vt:lpstr>
      <vt:lpstr>AAS0010_C5</vt:lpstr>
      <vt:lpstr>AAS0013_C1</vt:lpstr>
      <vt:lpstr>AAS0013_C2</vt:lpstr>
      <vt:lpstr>AAS0013_C3</vt:lpstr>
      <vt:lpstr>AAS0013_C4</vt:lpstr>
      <vt:lpstr>AAS0013_C5</vt:lpstr>
      <vt:lpstr>AAS0016_C1</vt:lpstr>
      <vt:lpstr>AAS0016_C2</vt:lpstr>
      <vt:lpstr>AAS0016_C3</vt:lpstr>
      <vt:lpstr>AAS0016_C4</vt:lpstr>
      <vt:lpstr>AAS0016_C5</vt:lpstr>
      <vt:lpstr>AAS0017_C1</vt:lpstr>
      <vt:lpstr>AAS0017_C2</vt:lpstr>
      <vt:lpstr>AAS0017_C3</vt:lpstr>
      <vt:lpstr>AAS0017_C4</vt:lpstr>
      <vt:lpstr>AAS0017_C5</vt:lpstr>
      <vt:lpstr>AAS0022_C1</vt:lpstr>
      <vt:lpstr>AAS0022_C2</vt:lpstr>
      <vt:lpstr>AAS0022_C3</vt:lpstr>
      <vt:lpstr>AAS0022_C4</vt:lpstr>
      <vt:lpstr>AAS0022_C5</vt:lpstr>
      <vt:lpstr>AAS0023_C1</vt:lpstr>
      <vt:lpstr>AAS0023_C2</vt:lpstr>
      <vt:lpstr>AAS0023_C3</vt:lpstr>
      <vt:lpstr>AAS0023_C4</vt:lpstr>
      <vt:lpstr>AAS0023_C5</vt:lpstr>
      <vt:lpstr>AAS0024_C1</vt:lpstr>
      <vt:lpstr>AAS0024_C2</vt:lpstr>
      <vt:lpstr>AAS0024_C3</vt:lpstr>
      <vt:lpstr>AAS0024_C4</vt:lpstr>
      <vt:lpstr>AAS0024_C5</vt:lpstr>
      <vt:lpstr>AAS0025_C1</vt:lpstr>
      <vt:lpstr>AAS0025_C2</vt:lpstr>
      <vt:lpstr>AAS0025_C3</vt:lpstr>
      <vt:lpstr>AAS0025_C4</vt:lpstr>
      <vt:lpstr>AAS0025_C5</vt:lpstr>
      <vt:lpstr>AAS0032_C1</vt:lpstr>
      <vt:lpstr>AAS0032_C2</vt:lpstr>
      <vt:lpstr>AAS0032_C3</vt:lpstr>
      <vt:lpstr>AAS0032_C4</vt:lpstr>
      <vt:lpstr>AAS0032_C5</vt:lpstr>
      <vt:lpstr>AAS0036_C1</vt:lpstr>
      <vt:lpstr>AAS0036_C2</vt:lpstr>
      <vt:lpstr>AAS0036_C3</vt:lpstr>
      <vt:lpstr>AAS0036_C4</vt:lpstr>
      <vt:lpstr>AAS0036_C5</vt:lpstr>
      <vt:lpstr>AAS0041_C1</vt:lpstr>
      <vt:lpstr>AAS0041_C2</vt:lpstr>
      <vt:lpstr>AAS0041_C3</vt:lpstr>
      <vt:lpstr>AAS0041_C4</vt:lpstr>
      <vt:lpstr>AAS0041_C5</vt:lpstr>
      <vt:lpstr>AAS0042_C1</vt:lpstr>
      <vt:lpstr>AAS0042_C2</vt:lpstr>
      <vt:lpstr>AAS0042_C3</vt:lpstr>
      <vt:lpstr>AAS0042_C4</vt:lpstr>
      <vt:lpstr>AAS0042_C5</vt:lpstr>
      <vt:lpstr>AAS0048_C1</vt:lpstr>
      <vt:lpstr>AAS0048_C2</vt:lpstr>
      <vt:lpstr>AAS0048_C3</vt:lpstr>
      <vt:lpstr>AAS0048_C4</vt:lpstr>
      <vt:lpstr>AAS0048_C5</vt:lpstr>
      <vt:lpstr>AAS0050_C1</vt:lpstr>
      <vt:lpstr>AAS0050_C2</vt:lpstr>
      <vt:lpstr>AAS0050_C3</vt:lpstr>
      <vt:lpstr>AAS0050_C4</vt:lpstr>
      <vt:lpstr>AAS0050_C5</vt:lpstr>
      <vt:lpstr>AAS0051_C1</vt:lpstr>
      <vt:lpstr>AAS0051_C2</vt:lpstr>
      <vt:lpstr>AAS0051_C3</vt:lpstr>
      <vt:lpstr>AAS0051_C4</vt:lpstr>
      <vt:lpstr>AAS0051_C5</vt:lpstr>
      <vt:lpstr>AAS0052_C1</vt:lpstr>
      <vt:lpstr>AAS0052_C2</vt:lpstr>
      <vt:lpstr>AAS0052_C3</vt:lpstr>
      <vt:lpstr>AAS0052_C4</vt:lpstr>
      <vt:lpstr>AAS0052_C5</vt:lpstr>
      <vt:lpstr>AAS0053_C1</vt:lpstr>
      <vt:lpstr>AAS0053_C2</vt:lpstr>
      <vt:lpstr>AAS0053_C3</vt:lpstr>
      <vt:lpstr>AAS0053_C4</vt:lpstr>
      <vt:lpstr>AAS0053_C5</vt:lpstr>
      <vt:lpstr>AAS0054_C1</vt:lpstr>
      <vt:lpstr>AAS0054_C2</vt:lpstr>
      <vt:lpstr>AAS0054_C3</vt:lpstr>
      <vt:lpstr>AAS0054_C4</vt:lpstr>
      <vt:lpstr>AAS0054_C5</vt:lpstr>
      <vt:lpstr>AAS0055_C1</vt:lpstr>
      <vt:lpstr>AAS0055_C2</vt:lpstr>
      <vt:lpstr>AAS0055_C3</vt:lpstr>
      <vt:lpstr>AAS0055_C4</vt:lpstr>
      <vt:lpstr>AAS0055_C5</vt:lpstr>
      <vt:lpstr>AAS0056_C1</vt:lpstr>
      <vt:lpstr>AAS0056_C2</vt:lpstr>
      <vt:lpstr>AAS0056_C3</vt:lpstr>
      <vt:lpstr>AAS0056_C4</vt:lpstr>
      <vt:lpstr>AAS0056_C5</vt:lpstr>
      <vt:lpstr>AAS0057_C1</vt:lpstr>
      <vt:lpstr>AAS0057_C2</vt:lpstr>
      <vt:lpstr>AAS0057_C3</vt:lpstr>
      <vt:lpstr>AAS0057_C4</vt:lpstr>
      <vt:lpstr>AAS0057_C5</vt:lpstr>
      <vt:lpstr>AAS0058_C1</vt:lpstr>
      <vt:lpstr>AAS0058_C2</vt:lpstr>
      <vt:lpstr>AAS0058_C3</vt:lpstr>
      <vt:lpstr>AAS0058_C4</vt:lpstr>
      <vt:lpstr>AAS0058_C5</vt:lpstr>
      <vt:lpstr>AAS0059_C1</vt:lpstr>
      <vt:lpstr>AAS0059_C2</vt:lpstr>
      <vt:lpstr>AAS0059_C3</vt:lpstr>
      <vt:lpstr>AAS0059_C4</vt:lpstr>
      <vt:lpstr>AAS0059_C5</vt:lpstr>
      <vt:lpstr>AAS0060_C1</vt:lpstr>
      <vt:lpstr>AAS0060_C2</vt:lpstr>
      <vt:lpstr>AAS0060_C3</vt:lpstr>
      <vt:lpstr>AAS0060_C4</vt:lpstr>
      <vt:lpstr>AAS0060_C5</vt:lpstr>
      <vt:lpstr>AAS0061_C1</vt:lpstr>
      <vt:lpstr>AAS0061_C2</vt:lpstr>
      <vt:lpstr>AAS0061_C3</vt:lpstr>
      <vt:lpstr>AAS0061_C4</vt:lpstr>
      <vt:lpstr>AAS0061_C5</vt:lpstr>
      <vt:lpstr>AAS0062_C1</vt:lpstr>
      <vt:lpstr>AAS0062_C2</vt:lpstr>
      <vt:lpstr>AAS0062_C3</vt:lpstr>
      <vt:lpstr>AAS0062_C4</vt:lpstr>
      <vt:lpstr>AAS0062_C5</vt:lpstr>
      <vt:lpstr>AAS0063_C1</vt:lpstr>
      <vt:lpstr>AAS0063_C2</vt:lpstr>
      <vt:lpstr>AAS0063_C3</vt:lpstr>
      <vt:lpstr>AAS0063_C4</vt:lpstr>
      <vt:lpstr>AAS0063_C5</vt:lpstr>
      <vt:lpstr>AAS0064_C1</vt:lpstr>
      <vt:lpstr>AAS0064_C2</vt:lpstr>
      <vt:lpstr>AAS0064_C3</vt:lpstr>
      <vt:lpstr>AAS0064_C4</vt:lpstr>
      <vt:lpstr>AAS0064_C5</vt:lpstr>
      <vt:lpstr>AAS0065_C1</vt:lpstr>
      <vt:lpstr>AAS0065_C2</vt:lpstr>
      <vt:lpstr>AAS0065_C3</vt:lpstr>
      <vt:lpstr>AAS0065_C4</vt:lpstr>
      <vt:lpstr>AAS0065_C5</vt:lpstr>
      <vt:lpstr>AAS0066_C1</vt:lpstr>
      <vt:lpstr>AAS0066_C2</vt:lpstr>
      <vt:lpstr>AAS0066_C3</vt:lpstr>
      <vt:lpstr>AAS0066_C4</vt:lpstr>
      <vt:lpstr>AAS0066_C5</vt:lpstr>
      <vt:lpstr>AAS0067_C1</vt:lpstr>
      <vt:lpstr>AAS0067_C2</vt:lpstr>
      <vt:lpstr>AAS0067_C3</vt:lpstr>
      <vt:lpstr>AAS0067_C4</vt:lpstr>
      <vt:lpstr>AAS0067_C5</vt:lpstr>
      <vt:lpstr>AAS0068_C1</vt:lpstr>
      <vt:lpstr>AAS0068_C2</vt:lpstr>
      <vt:lpstr>AAS0068_C3</vt:lpstr>
      <vt:lpstr>AAS0068_C4</vt:lpstr>
      <vt:lpstr>AAS0068_C5</vt:lpstr>
      <vt:lpstr>AAS0069_C1</vt:lpstr>
      <vt:lpstr>AAS0069_C2</vt:lpstr>
      <vt:lpstr>AAS0069_C3</vt:lpstr>
      <vt:lpstr>AAS0069_C4</vt:lpstr>
      <vt:lpstr>AAS0069_C5</vt:lpstr>
      <vt:lpstr>AAS0070_C1</vt:lpstr>
      <vt:lpstr>AAS0070_C2</vt:lpstr>
      <vt:lpstr>AAS0070_C3</vt:lpstr>
      <vt:lpstr>AAS0070_C4</vt:lpstr>
      <vt:lpstr>AAS0070_C5</vt:lpstr>
      <vt:lpstr>AAS0071_C1</vt:lpstr>
      <vt:lpstr>AAS0071_C2</vt:lpstr>
      <vt:lpstr>AAS0071_C3</vt:lpstr>
      <vt:lpstr>AAS0071_C4</vt:lpstr>
      <vt:lpstr>AAS0071_C5</vt:lpstr>
      <vt:lpstr>AAS0072_C1</vt:lpstr>
      <vt:lpstr>AAS0072_C2</vt:lpstr>
      <vt:lpstr>AAS0072_C3</vt:lpstr>
      <vt:lpstr>AAS0072_C4</vt:lpstr>
      <vt:lpstr>AAS0072_C5</vt:lpstr>
      <vt:lpstr>AAS0073_C1</vt:lpstr>
      <vt:lpstr>AAS0073_C2</vt:lpstr>
      <vt:lpstr>AAS0073_C3</vt:lpstr>
      <vt:lpstr>AAS0073_C4</vt:lpstr>
      <vt:lpstr>AAS0073_C5</vt:lpstr>
      <vt:lpstr>ACH0007_C1</vt:lpstr>
      <vt:lpstr>ACH0007_C2</vt:lpstr>
      <vt:lpstr>ACH0007_C3</vt:lpstr>
      <vt:lpstr>ACH0007_C4</vt:lpstr>
      <vt:lpstr>ACH0007_C5</vt:lpstr>
      <vt:lpstr>ACH0008_C1</vt:lpstr>
      <vt:lpstr>ACH0008_C2</vt:lpstr>
      <vt:lpstr>ACH0008_C3</vt:lpstr>
      <vt:lpstr>ACH0008_C4</vt:lpstr>
      <vt:lpstr>ACH0008_C5</vt:lpstr>
      <vt:lpstr>ACH0015_C1</vt:lpstr>
      <vt:lpstr>ACH0015_C2</vt:lpstr>
      <vt:lpstr>ACH0015_C3</vt:lpstr>
      <vt:lpstr>ACH0015_C4</vt:lpstr>
      <vt:lpstr>ACH0015_C5</vt:lpstr>
      <vt:lpstr>ACH0016_C1</vt:lpstr>
      <vt:lpstr>ACH0016_C2</vt:lpstr>
      <vt:lpstr>ACH0016_C3</vt:lpstr>
      <vt:lpstr>ACH0016_C4</vt:lpstr>
      <vt:lpstr>ACH0016_C5</vt:lpstr>
      <vt:lpstr>ACH0017_C1</vt:lpstr>
      <vt:lpstr>ACH0017_C2</vt:lpstr>
      <vt:lpstr>ACH0017_C3</vt:lpstr>
      <vt:lpstr>ACH0017_C4</vt:lpstr>
      <vt:lpstr>ACH0017_C5</vt:lpstr>
      <vt:lpstr>ACH0018_C1</vt:lpstr>
      <vt:lpstr>ACH0018_C2</vt:lpstr>
      <vt:lpstr>ACH0018_C3</vt:lpstr>
      <vt:lpstr>ACH0018_C4</vt:lpstr>
      <vt:lpstr>ACH0018_C5</vt:lpstr>
      <vt:lpstr>ACH0019_C1</vt:lpstr>
      <vt:lpstr>ACH0019_C2</vt:lpstr>
      <vt:lpstr>ACH0019_C3</vt:lpstr>
      <vt:lpstr>ACH0019_C4</vt:lpstr>
      <vt:lpstr>ACH0019_C5</vt:lpstr>
      <vt:lpstr>ACH0020_C1</vt:lpstr>
      <vt:lpstr>ACH0020_C2</vt:lpstr>
      <vt:lpstr>ACH0020_C3</vt:lpstr>
      <vt:lpstr>ACH0020_C4</vt:lpstr>
      <vt:lpstr>ACH0020_C5</vt:lpstr>
      <vt:lpstr>ACH0021_C1</vt:lpstr>
      <vt:lpstr>ACH0021_C2</vt:lpstr>
      <vt:lpstr>ACH0021_C3</vt:lpstr>
      <vt:lpstr>ACH0021_C4</vt:lpstr>
      <vt:lpstr>ACH0021_C5</vt:lpstr>
      <vt:lpstr>ACH0022_C1</vt:lpstr>
      <vt:lpstr>ACH0022_C2</vt:lpstr>
      <vt:lpstr>ACH0022_C3</vt:lpstr>
      <vt:lpstr>ACH0022_C4</vt:lpstr>
      <vt:lpstr>ACH0022_C5</vt:lpstr>
      <vt:lpstr>ACH0023_C1</vt:lpstr>
      <vt:lpstr>ACH0023_C2</vt:lpstr>
      <vt:lpstr>ACH0023_C3</vt:lpstr>
      <vt:lpstr>ACH0023_C4</vt:lpstr>
      <vt:lpstr>ACH0023_C5</vt:lpstr>
      <vt:lpstr>ACH0024_C1</vt:lpstr>
      <vt:lpstr>ACH0024_C2</vt:lpstr>
      <vt:lpstr>ACH0024_C3</vt:lpstr>
      <vt:lpstr>ACH0024_C4</vt:lpstr>
      <vt:lpstr>ACH0024_C5</vt:lpstr>
      <vt:lpstr>ACH0025_C1</vt:lpstr>
      <vt:lpstr>ACH0025_C2</vt:lpstr>
      <vt:lpstr>ACH0025_C3</vt:lpstr>
      <vt:lpstr>ACH0025_C4</vt:lpstr>
      <vt:lpstr>ACH0025_C5</vt:lpstr>
      <vt:lpstr>ACH0026_C1</vt:lpstr>
      <vt:lpstr>ACH0026_C2</vt:lpstr>
      <vt:lpstr>ACH0026_C3</vt:lpstr>
      <vt:lpstr>ACH0026_C4</vt:lpstr>
      <vt:lpstr>ACH0026_C5</vt:lpstr>
      <vt:lpstr>ACH0027_C1</vt:lpstr>
      <vt:lpstr>ACH0027_C2</vt:lpstr>
      <vt:lpstr>ACH0027_C3</vt:lpstr>
      <vt:lpstr>ACH0027_C4</vt:lpstr>
      <vt:lpstr>ACH0027_C5</vt:lpstr>
      <vt:lpstr>ACH0028_C1</vt:lpstr>
      <vt:lpstr>ACH0028_C2</vt:lpstr>
      <vt:lpstr>ACH0028_C3</vt:lpstr>
      <vt:lpstr>ACH0028_C4</vt:lpstr>
      <vt:lpstr>ACH0028_C5</vt:lpstr>
      <vt:lpstr>ACH0029_C1</vt:lpstr>
      <vt:lpstr>ACH0029_C2</vt:lpstr>
      <vt:lpstr>ACH0029_C3</vt:lpstr>
      <vt:lpstr>ACH0029_C4</vt:lpstr>
      <vt:lpstr>ACH0029_C5</vt:lpstr>
      <vt:lpstr>ACH0030_C1</vt:lpstr>
      <vt:lpstr>ACH0030_C2</vt:lpstr>
      <vt:lpstr>ACH0030_C3</vt:lpstr>
      <vt:lpstr>ACH0030_C4</vt:lpstr>
      <vt:lpstr>ACH0030_C5</vt:lpstr>
      <vt:lpstr>ACH0031_C1</vt:lpstr>
      <vt:lpstr>ACH0031_C2</vt:lpstr>
      <vt:lpstr>ACH0031_C3</vt:lpstr>
      <vt:lpstr>ACH0031_C4</vt:lpstr>
      <vt:lpstr>ACH0031_C5</vt:lpstr>
      <vt:lpstr>ACH0032_C1</vt:lpstr>
      <vt:lpstr>ACH0032_C2</vt:lpstr>
      <vt:lpstr>ACH0032_C3</vt:lpstr>
      <vt:lpstr>ACH0032_C4</vt:lpstr>
      <vt:lpstr>ACH0032_C5</vt:lpstr>
      <vt:lpstr>ACH0033_C1</vt:lpstr>
      <vt:lpstr>ACH0033_C2</vt:lpstr>
      <vt:lpstr>ACH0033_C3</vt:lpstr>
      <vt:lpstr>ACH0033_C4</vt:lpstr>
      <vt:lpstr>ACH0033_C5</vt:lpstr>
      <vt:lpstr>ACH0034_C1</vt:lpstr>
      <vt:lpstr>ACH0034_C2</vt:lpstr>
      <vt:lpstr>ACH0034_C3</vt:lpstr>
      <vt:lpstr>ACH0034_C4</vt:lpstr>
      <vt:lpstr>ACH0034_C5</vt:lpstr>
      <vt:lpstr>ACH0035_C1</vt:lpstr>
      <vt:lpstr>ACH0035_C2</vt:lpstr>
      <vt:lpstr>ACH0035_C3</vt:lpstr>
      <vt:lpstr>ACH0035_C4</vt:lpstr>
      <vt:lpstr>ACH0035_C5</vt:lpstr>
      <vt:lpstr>ACH0036_C1</vt:lpstr>
      <vt:lpstr>ACH0036_C2</vt:lpstr>
      <vt:lpstr>ACH0036_C3</vt:lpstr>
      <vt:lpstr>ACH0036_C4</vt:lpstr>
      <vt:lpstr>ACH0036_C5</vt:lpstr>
      <vt:lpstr>ACH0037_C1</vt:lpstr>
      <vt:lpstr>ACH0037_C2</vt:lpstr>
      <vt:lpstr>ACH0037_C3</vt:lpstr>
      <vt:lpstr>ACH0037_C4</vt:lpstr>
      <vt:lpstr>ACH0037_C5</vt:lpstr>
      <vt:lpstr>ACH0038_C1</vt:lpstr>
      <vt:lpstr>ACH0038_C2</vt:lpstr>
      <vt:lpstr>ACH0038_C3</vt:lpstr>
      <vt:lpstr>ACH0038_C4</vt:lpstr>
      <vt:lpstr>ACH0038_C5</vt:lpstr>
      <vt:lpstr>ACH0039_C1</vt:lpstr>
      <vt:lpstr>ACH0039_C2</vt:lpstr>
      <vt:lpstr>ACH0039_C3</vt:lpstr>
      <vt:lpstr>ACH0039_C4</vt:lpstr>
      <vt:lpstr>ACH0039_C5</vt:lpstr>
      <vt:lpstr>ACH0040_C1</vt:lpstr>
      <vt:lpstr>ACH0040_C2</vt:lpstr>
      <vt:lpstr>ACH0040_C3</vt:lpstr>
      <vt:lpstr>ACH0040_C4</vt:lpstr>
      <vt:lpstr>ACH0040_C5</vt:lpstr>
      <vt:lpstr>ACH0047_C1</vt:lpstr>
      <vt:lpstr>ACH0047_C2</vt:lpstr>
      <vt:lpstr>ACH0047_C3</vt:lpstr>
      <vt:lpstr>ACH0047_C4</vt:lpstr>
      <vt:lpstr>ACH0047_C5</vt:lpstr>
      <vt:lpstr>ACH0048_C1</vt:lpstr>
      <vt:lpstr>ACH0048_C2</vt:lpstr>
      <vt:lpstr>ACH0048_C3</vt:lpstr>
      <vt:lpstr>ACH0048_C4</vt:lpstr>
      <vt:lpstr>ACH0048_C5</vt:lpstr>
      <vt:lpstr>ACM0099_C1</vt:lpstr>
      <vt:lpstr>ACM0099_C2</vt:lpstr>
      <vt:lpstr>ACM0099_C3</vt:lpstr>
      <vt:lpstr>ACM0099_C4</vt:lpstr>
      <vt:lpstr>ACM0099_C5</vt:lpstr>
      <vt:lpstr>ADL0002_C1</vt:lpstr>
      <vt:lpstr>ADL0002_C2</vt:lpstr>
      <vt:lpstr>ADL0002_C3</vt:lpstr>
      <vt:lpstr>ADL0002_C4</vt:lpstr>
      <vt:lpstr>ADL0002_C5</vt:lpstr>
      <vt:lpstr>ADL0009_C1</vt:lpstr>
      <vt:lpstr>ADL0009_C2</vt:lpstr>
      <vt:lpstr>ADL0009_C3</vt:lpstr>
      <vt:lpstr>ADL0009_C4</vt:lpstr>
      <vt:lpstr>ADL0009_C5</vt:lpstr>
      <vt:lpstr>ADL0016_C1</vt:lpstr>
      <vt:lpstr>ADL0016_C2</vt:lpstr>
      <vt:lpstr>ADL0016_C3</vt:lpstr>
      <vt:lpstr>ADL0016_C4</vt:lpstr>
      <vt:lpstr>ADL0016_C5</vt:lpstr>
      <vt:lpstr>ADL0022_C1</vt:lpstr>
      <vt:lpstr>ADL0022_C2</vt:lpstr>
      <vt:lpstr>ADL0022_C3</vt:lpstr>
      <vt:lpstr>ADL0022_C4</vt:lpstr>
      <vt:lpstr>ADL0022_C5</vt:lpstr>
      <vt:lpstr>ADL0023_C1</vt:lpstr>
      <vt:lpstr>ADL0023_C2</vt:lpstr>
      <vt:lpstr>ADL0023_C3</vt:lpstr>
      <vt:lpstr>ADL0023_C4</vt:lpstr>
      <vt:lpstr>ADL0023_C5</vt:lpstr>
      <vt:lpstr>ADL0024_C1</vt:lpstr>
      <vt:lpstr>ADL0024_C2</vt:lpstr>
      <vt:lpstr>ADL0024_C3</vt:lpstr>
      <vt:lpstr>ADL0024_C4</vt:lpstr>
      <vt:lpstr>ADL0024_C5</vt:lpstr>
      <vt:lpstr>ADL0025_C1</vt:lpstr>
      <vt:lpstr>ADL0025_C2</vt:lpstr>
      <vt:lpstr>ADL0025_C3</vt:lpstr>
      <vt:lpstr>ADL0025_C4</vt:lpstr>
      <vt:lpstr>ADL0025_C5</vt:lpstr>
      <vt:lpstr>ADL0026_C1</vt:lpstr>
      <vt:lpstr>ADL0026_C2</vt:lpstr>
      <vt:lpstr>ADL0026_C3</vt:lpstr>
      <vt:lpstr>ADL0026_C4</vt:lpstr>
      <vt:lpstr>ADL0026_C5</vt:lpstr>
      <vt:lpstr>ADL0027_C1</vt:lpstr>
      <vt:lpstr>ADL0027_C2</vt:lpstr>
      <vt:lpstr>ADL0027_C3</vt:lpstr>
      <vt:lpstr>ADL0027_C4</vt:lpstr>
      <vt:lpstr>ADL0027_C5</vt:lpstr>
      <vt:lpstr>ADL0030_C1</vt:lpstr>
      <vt:lpstr>ADL0030_C2</vt:lpstr>
      <vt:lpstr>ADL0030_C3</vt:lpstr>
      <vt:lpstr>ADL0030_C4</vt:lpstr>
      <vt:lpstr>ADL0030_C5</vt:lpstr>
      <vt:lpstr>ADL0037_C1</vt:lpstr>
      <vt:lpstr>ADL0037_C2</vt:lpstr>
      <vt:lpstr>ADL0037_C3</vt:lpstr>
      <vt:lpstr>ADL0037_C4</vt:lpstr>
      <vt:lpstr>ADL0037_C5</vt:lpstr>
      <vt:lpstr>ADL0044_C1</vt:lpstr>
      <vt:lpstr>ADL0044_C2</vt:lpstr>
      <vt:lpstr>ADL0044_C3</vt:lpstr>
      <vt:lpstr>ADL0044_C4</vt:lpstr>
      <vt:lpstr>ADL0044_C5</vt:lpstr>
      <vt:lpstr>ADL0050_C1</vt:lpstr>
      <vt:lpstr>ADL0050_C2</vt:lpstr>
      <vt:lpstr>ADL0050_C3</vt:lpstr>
      <vt:lpstr>ADL0050_C4</vt:lpstr>
      <vt:lpstr>ADL0050_C5</vt:lpstr>
      <vt:lpstr>ADL0051_C1</vt:lpstr>
      <vt:lpstr>ADL0051_C2</vt:lpstr>
      <vt:lpstr>ADL0051_C3</vt:lpstr>
      <vt:lpstr>ADL0051_C4</vt:lpstr>
      <vt:lpstr>ADL0051_C5</vt:lpstr>
      <vt:lpstr>ADL0052_C1</vt:lpstr>
      <vt:lpstr>ADL0052_C2</vt:lpstr>
      <vt:lpstr>ADL0052_C3</vt:lpstr>
      <vt:lpstr>ADL0052_C4</vt:lpstr>
      <vt:lpstr>ADL0052_C5</vt:lpstr>
      <vt:lpstr>ADL0053_C1</vt:lpstr>
      <vt:lpstr>ADL0053_C2</vt:lpstr>
      <vt:lpstr>ADL0053_C3</vt:lpstr>
      <vt:lpstr>ADL0053_C4</vt:lpstr>
      <vt:lpstr>ADL0053_C5</vt:lpstr>
      <vt:lpstr>ADL0054_C1</vt:lpstr>
      <vt:lpstr>ADL0054_C2</vt:lpstr>
      <vt:lpstr>ADL0054_C3</vt:lpstr>
      <vt:lpstr>ADL0054_C4</vt:lpstr>
      <vt:lpstr>ADL0054_C5</vt:lpstr>
      <vt:lpstr>ADL0055_C1</vt:lpstr>
      <vt:lpstr>ADL0055_C2</vt:lpstr>
      <vt:lpstr>ADL0055_C3</vt:lpstr>
      <vt:lpstr>ADL0055_C4</vt:lpstr>
      <vt:lpstr>ADL0055_C5</vt:lpstr>
      <vt:lpstr>ADL0057_C1</vt:lpstr>
      <vt:lpstr>ADL0057_C2</vt:lpstr>
      <vt:lpstr>ADL0057_C3</vt:lpstr>
      <vt:lpstr>ADL0057_C4</vt:lpstr>
      <vt:lpstr>ADL0057_C5</vt:lpstr>
      <vt:lpstr>ADL0058_C1</vt:lpstr>
      <vt:lpstr>ADL0058_C2</vt:lpstr>
      <vt:lpstr>ADL0058_C3</vt:lpstr>
      <vt:lpstr>ADL0058_C4</vt:lpstr>
      <vt:lpstr>ADL0058_C5</vt:lpstr>
      <vt:lpstr>ADL0059_C1</vt:lpstr>
      <vt:lpstr>ADL0059_C2</vt:lpstr>
      <vt:lpstr>ADL0059_C3</vt:lpstr>
      <vt:lpstr>ADL0059_C4</vt:lpstr>
      <vt:lpstr>ADL0059_C5</vt:lpstr>
      <vt:lpstr>ADL0060_C1</vt:lpstr>
      <vt:lpstr>ADL0060_C2</vt:lpstr>
      <vt:lpstr>ADL0060_C3</vt:lpstr>
      <vt:lpstr>ADL0060_C4</vt:lpstr>
      <vt:lpstr>ADL0060_C5</vt:lpstr>
      <vt:lpstr>ADL0061_C1</vt:lpstr>
      <vt:lpstr>ADL0061_C2</vt:lpstr>
      <vt:lpstr>ADL0061_C3</vt:lpstr>
      <vt:lpstr>ADL0061_C4</vt:lpstr>
      <vt:lpstr>ADL0061_C5</vt:lpstr>
      <vt:lpstr>ADL0062_C1</vt:lpstr>
      <vt:lpstr>ADL0062_C2</vt:lpstr>
      <vt:lpstr>ADL0062_C3</vt:lpstr>
      <vt:lpstr>ADL0062_C4</vt:lpstr>
      <vt:lpstr>ADL0062_C5</vt:lpstr>
      <vt:lpstr>ADL0064_C1</vt:lpstr>
      <vt:lpstr>ADL0064_C2</vt:lpstr>
      <vt:lpstr>ADL0064_C3</vt:lpstr>
      <vt:lpstr>ADL0064_C4</vt:lpstr>
      <vt:lpstr>ADL0064_C5</vt:lpstr>
      <vt:lpstr>ADL0065_C1</vt:lpstr>
      <vt:lpstr>ADL0065_C2</vt:lpstr>
      <vt:lpstr>ADL0065_C3</vt:lpstr>
      <vt:lpstr>ADL0065_C4</vt:lpstr>
      <vt:lpstr>ADL0065_C5</vt:lpstr>
      <vt:lpstr>ADL0066_C1</vt:lpstr>
      <vt:lpstr>ADL0066_C2</vt:lpstr>
      <vt:lpstr>ADL0066_C3</vt:lpstr>
      <vt:lpstr>ADL0066_C4</vt:lpstr>
      <vt:lpstr>ADL0066_C5</vt:lpstr>
      <vt:lpstr>ADL0067_C1</vt:lpstr>
      <vt:lpstr>ADL0067_C2</vt:lpstr>
      <vt:lpstr>ADL0067_C3</vt:lpstr>
      <vt:lpstr>ADL0067_C4</vt:lpstr>
      <vt:lpstr>ADL0067_C5</vt:lpstr>
      <vt:lpstr>ADL0068_C1</vt:lpstr>
      <vt:lpstr>ADL0068_C2</vt:lpstr>
      <vt:lpstr>ADL0068_C3</vt:lpstr>
      <vt:lpstr>ADL0068_C4</vt:lpstr>
      <vt:lpstr>ADL0068_C5</vt:lpstr>
      <vt:lpstr>ADL0069_C1</vt:lpstr>
      <vt:lpstr>ADL0069_C2</vt:lpstr>
      <vt:lpstr>ADL0069_C3</vt:lpstr>
      <vt:lpstr>ADL0069_C4</vt:lpstr>
      <vt:lpstr>ADL0069_C5</vt:lpstr>
      <vt:lpstr>ADL0071_C1</vt:lpstr>
      <vt:lpstr>ADL0071_C2</vt:lpstr>
      <vt:lpstr>ADL0071_C3</vt:lpstr>
      <vt:lpstr>ADL0071_C4</vt:lpstr>
      <vt:lpstr>ADL0071_C5</vt:lpstr>
      <vt:lpstr>ADL0072_C1</vt:lpstr>
      <vt:lpstr>ADL0072_C2</vt:lpstr>
      <vt:lpstr>ADL0072_C3</vt:lpstr>
      <vt:lpstr>ADL0072_C4</vt:lpstr>
      <vt:lpstr>ADL0072_C5</vt:lpstr>
      <vt:lpstr>ADL0073_C1</vt:lpstr>
      <vt:lpstr>ADL0073_C2</vt:lpstr>
      <vt:lpstr>ADL0073_C3</vt:lpstr>
      <vt:lpstr>ADL0073_C4</vt:lpstr>
      <vt:lpstr>ADL0073_C5</vt:lpstr>
      <vt:lpstr>ADL0074_C1</vt:lpstr>
      <vt:lpstr>ADL0074_C2</vt:lpstr>
      <vt:lpstr>ADL0074_C3</vt:lpstr>
      <vt:lpstr>ADL0074_C4</vt:lpstr>
      <vt:lpstr>ADL0074_C5</vt:lpstr>
      <vt:lpstr>ADL0075_C1</vt:lpstr>
      <vt:lpstr>ADL0075_C2</vt:lpstr>
      <vt:lpstr>ADL0075_C3</vt:lpstr>
      <vt:lpstr>ADL0075_C4</vt:lpstr>
      <vt:lpstr>ADL0075_C5</vt:lpstr>
      <vt:lpstr>ADL0076_C1</vt:lpstr>
      <vt:lpstr>ADL0076_C2</vt:lpstr>
      <vt:lpstr>ADL0076_C3</vt:lpstr>
      <vt:lpstr>ADL0076_C4</vt:lpstr>
      <vt:lpstr>ADL0076_C5</vt:lpstr>
      <vt:lpstr>ADL0078_C1</vt:lpstr>
      <vt:lpstr>ADL0078_C2</vt:lpstr>
      <vt:lpstr>ADL0078_C3</vt:lpstr>
      <vt:lpstr>ADL0078_C4</vt:lpstr>
      <vt:lpstr>ADL0078_C5</vt:lpstr>
      <vt:lpstr>ADL0079_C1</vt:lpstr>
      <vt:lpstr>ADL0079_C2</vt:lpstr>
      <vt:lpstr>ADL0079_C3</vt:lpstr>
      <vt:lpstr>ADL0079_C4</vt:lpstr>
      <vt:lpstr>ADL0079_C5</vt:lpstr>
      <vt:lpstr>ADL0080_C1</vt:lpstr>
      <vt:lpstr>ADL0080_C2</vt:lpstr>
      <vt:lpstr>ADL0080_C3</vt:lpstr>
      <vt:lpstr>ADL0080_C4</vt:lpstr>
      <vt:lpstr>ADL0080_C5</vt:lpstr>
      <vt:lpstr>ADL0081_C1</vt:lpstr>
      <vt:lpstr>ADL0081_C2</vt:lpstr>
      <vt:lpstr>ADL0081_C3</vt:lpstr>
      <vt:lpstr>ADL0081_C4</vt:lpstr>
      <vt:lpstr>ADL0081_C5</vt:lpstr>
      <vt:lpstr>ADL0082_C1</vt:lpstr>
      <vt:lpstr>ADL0082_C2</vt:lpstr>
      <vt:lpstr>ADL0082_C3</vt:lpstr>
      <vt:lpstr>ADL0082_C4</vt:lpstr>
      <vt:lpstr>ADL0082_C5</vt:lpstr>
      <vt:lpstr>ADL0083_C1</vt:lpstr>
      <vt:lpstr>ADL0083_C2</vt:lpstr>
      <vt:lpstr>ADL0083_C3</vt:lpstr>
      <vt:lpstr>ADL0083_C4</vt:lpstr>
      <vt:lpstr>ADL0083_C5</vt:lpstr>
      <vt:lpstr>ADL0085_C1</vt:lpstr>
      <vt:lpstr>ADL0085_C2</vt:lpstr>
      <vt:lpstr>ADL0085_C3</vt:lpstr>
      <vt:lpstr>ADL0085_C4</vt:lpstr>
      <vt:lpstr>ADL0085_C5</vt:lpstr>
      <vt:lpstr>ADL0086_C1</vt:lpstr>
      <vt:lpstr>ADL0086_C2</vt:lpstr>
      <vt:lpstr>ADL0086_C3</vt:lpstr>
      <vt:lpstr>ADL0086_C4</vt:lpstr>
      <vt:lpstr>ADL0086_C5</vt:lpstr>
      <vt:lpstr>ADL0087_C1</vt:lpstr>
      <vt:lpstr>ADL0087_C2</vt:lpstr>
      <vt:lpstr>ADL0087_C3</vt:lpstr>
      <vt:lpstr>ADL0087_C4</vt:lpstr>
      <vt:lpstr>ADL0087_C5</vt:lpstr>
      <vt:lpstr>ADL0088_C1</vt:lpstr>
      <vt:lpstr>ADL0088_C2</vt:lpstr>
      <vt:lpstr>ADL0088_C3</vt:lpstr>
      <vt:lpstr>ADL0088_C4</vt:lpstr>
      <vt:lpstr>ADL0088_C5</vt:lpstr>
      <vt:lpstr>ADL0089_C1</vt:lpstr>
      <vt:lpstr>ADL0089_C2</vt:lpstr>
      <vt:lpstr>ADL0089_C3</vt:lpstr>
      <vt:lpstr>ADL0089_C4</vt:lpstr>
      <vt:lpstr>ADL0089_C5</vt:lpstr>
      <vt:lpstr>ADL0090_C1</vt:lpstr>
      <vt:lpstr>ADL0090_C2</vt:lpstr>
      <vt:lpstr>ADL0090_C3</vt:lpstr>
      <vt:lpstr>ADL0090_C4</vt:lpstr>
      <vt:lpstr>ADL0090_C5</vt:lpstr>
      <vt:lpstr>ADL0092_C1</vt:lpstr>
      <vt:lpstr>ADL0092_C2</vt:lpstr>
      <vt:lpstr>ADL0092_C3</vt:lpstr>
      <vt:lpstr>ADL0092_C4</vt:lpstr>
      <vt:lpstr>ADL0092_C5</vt:lpstr>
      <vt:lpstr>ADL0093_C1</vt:lpstr>
      <vt:lpstr>ADL0093_C2</vt:lpstr>
      <vt:lpstr>ADL0093_C3</vt:lpstr>
      <vt:lpstr>ADL0093_C4</vt:lpstr>
      <vt:lpstr>ADL0093_C5</vt:lpstr>
      <vt:lpstr>ADL0094_C1</vt:lpstr>
      <vt:lpstr>ADL0094_C2</vt:lpstr>
      <vt:lpstr>ADL0094_C3</vt:lpstr>
      <vt:lpstr>ADL0094_C4</vt:lpstr>
      <vt:lpstr>ADL0094_C5</vt:lpstr>
      <vt:lpstr>ADL0095_C1</vt:lpstr>
      <vt:lpstr>ADL0095_C2</vt:lpstr>
      <vt:lpstr>ADL0095_C3</vt:lpstr>
      <vt:lpstr>ADL0095_C4</vt:lpstr>
      <vt:lpstr>ADL0095_C5</vt:lpstr>
      <vt:lpstr>ADL0096_C1</vt:lpstr>
      <vt:lpstr>ADL0096_C2</vt:lpstr>
      <vt:lpstr>ADL0096_C3</vt:lpstr>
      <vt:lpstr>ADL0096_C4</vt:lpstr>
      <vt:lpstr>ADL0096_C5</vt:lpstr>
      <vt:lpstr>ADL0097_C1</vt:lpstr>
      <vt:lpstr>ADL0097_C2</vt:lpstr>
      <vt:lpstr>ADL0097_C3</vt:lpstr>
      <vt:lpstr>ADL0097_C4</vt:lpstr>
      <vt:lpstr>ADL0097_C5</vt:lpstr>
      <vt:lpstr>ADL0099_C1</vt:lpstr>
      <vt:lpstr>ADL0099_C2</vt:lpstr>
      <vt:lpstr>ADL0099_C3</vt:lpstr>
      <vt:lpstr>ADL0099_C4</vt:lpstr>
      <vt:lpstr>ADL0099_C5</vt:lpstr>
      <vt:lpstr>ADL0100_C1</vt:lpstr>
      <vt:lpstr>ADL0100_C2</vt:lpstr>
      <vt:lpstr>ADL0100_C3</vt:lpstr>
      <vt:lpstr>ADL0100_C4</vt:lpstr>
      <vt:lpstr>ADL0100_C5</vt:lpstr>
      <vt:lpstr>ADL0101_C1</vt:lpstr>
      <vt:lpstr>ADL0101_C2</vt:lpstr>
      <vt:lpstr>ADL0101_C3</vt:lpstr>
      <vt:lpstr>ADL0101_C4</vt:lpstr>
      <vt:lpstr>ADL0101_C5</vt:lpstr>
      <vt:lpstr>ADL0102_C1</vt:lpstr>
      <vt:lpstr>ADL0102_C2</vt:lpstr>
      <vt:lpstr>ADL0102_C3</vt:lpstr>
      <vt:lpstr>ADL0102_C4</vt:lpstr>
      <vt:lpstr>ADL0102_C5</vt:lpstr>
      <vt:lpstr>ADL0103_C1</vt:lpstr>
      <vt:lpstr>ADL0103_C2</vt:lpstr>
      <vt:lpstr>ADL0103_C3</vt:lpstr>
      <vt:lpstr>ADL0103_C4</vt:lpstr>
      <vt:lpstr>ADL0103_C5</vt:lpstr>
      <vt:lpstr>ADL0104_C1</vt:lpstr>
      <vt:lpstr>ADL0104_C2</vt:lpstr>
      <vt:lpstr>ADL0104_C3</vt:lpstr>
      <vt:lpstr>ADL0104_C4</vt:lpstr>
      <vt:lpstr>ADL0104_C5</vt:lpstr>
      <vt:lpstr>ADL0106_C1</vt:lpstr>
      <vt:lpstr>ADL0106_C2</vt:lpstr>
      <vt:lpstr>ADL0106_C3</vt:lpstr>
      <vt:lpstr>ADL0106_C4</vt:lpstr>
      <vt:lpstr>ADL0106_C5</vt:lpstr>
      <vt:lpstr>ADL0107_C1</vt:lpstr>
      <vt:lpstr>ADL0107_C2</vt:lpstr>
      <vt:lpstr>ADL0107_C3</vt:lpstr>
      <vt:lpstr>ADL0107_C4</vt:lpstr>
      <vt:lpstr>ADL0107_C5</vt:lpstr>
      <vt:lpstr>ADL0108_C1</vt:lpstr>
      <vt:lpstr>ADL0108_C2</vt:lpstr>
      <vt:lpstr>ADL0108_C3</vt:lpstr>
      <vt:lpstr>ADL0108_C4</vt:lpstr>
      <vt:lpstr>ADL0108_C5</vt:lpstr>
      <vt:lpstr>ADL0109_C1</vt:lpstr>
      <vt:lpstr>ADL0109_C2</vt:lpstr>
      <vt:lpstr>ADL0109_C3</vt:lpstr>
      <vt:lpstr>ADL0109_C4</vt:lpstr>
      <vt:lpstr>ADL0109_C5</vt:lpstr>
      <vt:lpstr>ADL0110_C1</vt:lpstr>
      <vt:lpstr>ADL0110_C2</vt:lpstr>
      <vt:lpstr>ADL0110_C3</vt:lpstr>
      <vt:lpstr>ADL0110_C4</vt:lpstr>
      <vt:lpstr>ADL0110_C5</vt:lpstr>
      <vt:lpstr>ADL0111_C1</vt:lpstr>
      <vt:lpstr>ADL0111_C2</vt:lpstr>
      <vt:lpstr>ADL0111_C3</vt:lpstr>
      <vt:lpstr>ADL0111_C4</vt:lpstr>
      <vt:lpstr>ADL0111_C5</vt:lpstr>
      <vt:lpstr>ADL0113_C1</vt:lpstr>
      <vt:lpstr>ADL0113_C2</vt:lpstr>
      <vt:lpstr>ADL0113_C3</vt:lpstr>
      <vt:lpstr>ADL0113_C4</vt:lpstr>
      <vt:lpstr>ADL0113_C5</vt:lpstr>
      <vt:lpstr>ADL0114_C1</vt:lpstr>
      <vt:lpstr>ADL0114_C2</vt:lpstr>
      <vt:lpstr>ADL0114_C3</vt:lpstr>
      <vt:lpstr>ADL0114_C4</vt:lpstr>
      <vt:lpstr>ADL0114_C5</vt:lpstr>
      <vt:lpstr>ADL0115_C1</vt:lpstr>
      <vt:lpstr>ADL0115_C2</vt:lpstr>
      <vt:lpstr>ADL0115_C3</vt:lpstr>
      <vt:lpstr>ADL0115_C4</vt:lpstr>
      <vt:lpstr>ADL0115_C5</vt:lpstr>
      <vt:lpstr>ADL0116_C1</vt:lpstr>
      <vt:lpstr>ADL0116_C2</vt:lpstr>
      <vt:lpstr>ADL0116_C3</vt:lpstr>
      <vt:lpstr>ADL0116_C4</vt:lpstr>
      <vt:lpstr>ADL0116_C5</vt:lpstr>
      <vt:lpstr>ADL0117_C1</vt:lpstr>
      <vt:lpstr>ADL0117_C2</vt:lpstr>
      <vt:lpstr>ADL0117_C3</vt:lpstr>
      <vt:lpstr>ADL0117_C4</vt:lpstr>
      <vt:lpstr>ADL0117_C5</vt:lpstr>
      <vt:lpstr>ADL0118_C1</vt:lpstr>
      <vt:lpstr>ADL0118_C2</vt:lpstr>
      <vt:lpstr>ADL0118_C3</vt:lpstr>
      <vt:lpstr>ADL0118_C4</vt:lpstr>
      <vt:lpstr>ADL0118_C5</vt:lpstr>
      <vt:lpstr>ADL0120_C1</vt:lpstr>
      <vt:lpstr>ADL0120_C2</vt:lpstr>
      <vt:lpstr>ADL0120_C3</vt:lpstr>
      <vt:lpstr>ADL0120_C4</vt:lpstr>
      <vt:lpstr>ADL0120_C5</vt:lpstr>
      <vt:lpstr>ADL0121_C1</vt:lpstr>
      <vt:lpstr>ADL0121_C2</vt:lpstr>
      <vt:lpstr>ADL0121_C3</vt:lpstr>
      <vt:lpstr>ADL0121_C4</vt:lpstr>
      <vt:lpstr>ADL0121_C5</vt:lpstr>
      <vt:lpstr>ADL0122_C1</vt:lpstr>
      <vt:lpstr>ADL0122_C2</vt:lpstr>
      <vt:lpstr>ADL0122_C3</vt:lpstr>
      <vt:lpstr>ADL0122_C4</vt:lpstr>
      <vt:lpstr>ADL0122_C5</vt:lpstr>
      <vt:lpstr>ADL0123_C1</vt:lpstr>
      <vt:lpstr>ADL0123_C2</vt:lpstr>
      <vt:lpstr>ADL0123_C3</vt:lpstr>
      <vt:lpstr>ADL0123_C4</vt:lpstr>
      <vt:lpstr>ADL0123_C5</vt:lpstr>
      <vt:lpstr>ADL0124_C1</vt:lpstr>
      <vt:lpstr>ADL0124_C2</vt:lpstr>
      <vt:lpstr>ADL0124_C3</vt:lpstr>
      <vt:lpstr>ADL0124_C4</vt:lpstr>
      <vt:lpstr>ADL0124_C5</vt:lpstr>
      <vt:lpstr>ADL0125_C1</vt:lpstr>
      <vt:lpstr>ADL0125_C2</vt:lpstr>
      <vt:lpstr>ADL0125_C3</vt:lpstr>
      <vt:lpstr>ADL0125_C4</vt:lpstr>
      <vt:lpstr>ADL0125_C5</vt:lpstr>
      <vt:lpstr>ADL0127_C1</vt:lpstr>
      <vt:lpstr>ADL0127_C2</vt:lpstr>
      <vt:lpstr>ADL0127_C3</vt:lpstr>
      <vt:lpstr>ADL0127_C4</vt:lpstr>
      <vt:lpstr>ADL0127_C5</vt:lpstr>
      <vt:lpstr>ADL0128_C1</vt:lpstr>
      <vt:lpstr>ADL0128_C2</vt:lpstr>
      <vt:lpstr>ADL0128_C3</vt:lpstr>
      <vt:lpstr>ADL0128_C4</vt:lpstr>
      <vt:lpstr>ADL0128_C5</vt:lpstr>
      <vt:lpstr>ADL0129_C1</vt:lpstr>
      <vt:lpstr>ADL0129_C2</vt:lpstr>
      <vt:lpstr>ADL0129_C3</vt:lpstr>
      <vt:lpstr>ADL0129_C4</vt:lpstr>
      <vt:lpstr>ADL0129_C5</vt:lpstr>
      <vt:lpstr>ADL0130_C1</vt:lpstr>
      <vt:lpstr>ADL0130_C2</vt:lpstr>
      <vt:lpstr>ADL0130_C3</vt:lpstr>
      <vt:lpstr>ADL0130_C4</vt:lpstr>
      <vt:lpstr>ADL0130_C5</vt:lpstr>
      <vt:lpstr>ADL0131_C1</vt:lpstr>
      <vt:lpstr>ADL0131_C2</vt:lpstr>
      <vt:lpstr>ADL0131_C3</vt:lpstr>
      <vt:lpstr>ADL0131_C4</vt:lpstr>
      <vt:lpstr>ADL0131_C5</vt:lpstr>
      <vt:lpstr>ADL0132_C1</vt:lpstr>
      <vt:lpstr>ADL0132_C2</vt:lpstr>
      <vt:lpstr>ADL0132_C3</vt:lpstr>
      <vt:lpstr>ADL0132_C4</vt:lpstr>
      <vt:lpstr>ADL0132_C5</vt:lpstr>
      <vt:lpstr>ADL0134_C1</vt:lpstr>
      <vt:lpstr>ADL0134_C2</vt:lpstr>
      <vt:lpstr>ADL0134_C3</vt:lpstr>
      <vt:lpstr>ADL0134_C4</vt:lpstr>
      <vt:lpstr>ADL0134_C5</vt:lpstr>
      <vt:lpstr>ADL0135_C1</vt:lpstr>
      <vt:lpstr>ADL0135_C2</vt:lpstr>
      <vt:lpstr>ADL0135_C3</vt:lpstr>
      <vt:lpstr>ADL0135_C4</vt:lpstr>
      <vt:lpstr>ADL0135_C5</vt:lpstr>
      <vt:lpstr>ADL0136_C1</vt:lpstr>
      <vt:lpstr>ADL0136_C2</vt:lpstr>
      <vt:lpstr>ADL0136_C3</vt:lpstr>
      <vt:lpstr>ADL0136_C4</vt:lpstr>
      <vt:lpstr>ADL0136_C5</vt:lpstr>
      <vt:lpstr>ADL0137_C1</vt:lpstr>
      <vt:lpstr>ADL0137_C2</vt:lpstr>
      <vt:lpstr>ADL0137_C3</vt:lpstr>
      <vt:lpstr>ADL0137_C4</vt:lpstr>
      <vt:lpstr>ADL0137_C5</vt:lpstr>
      <vt:lpstr>ADL0138_C1</vt:lpstr>
      <vt:lpstr>ADL0138_C2</vt:lpstr>
      <vt:lpstr>ADL0138_C3</vt:lpstr>
      <vt:lpstr>ADL0138_C4</vt:lpstr>
      <vt:lpstr>ADL0138_C5</vt:lpstr>
      <vt:lpstr>ADL0139_C1</vt:lpstr>
      <vt:lpstr>ADL0139_C2</vt:lpstr>
      <vt:lpstr>ADL0139_C3</vt:lpstr>
      <vt:lpstr>ADL0139_C4</vt:lpstr>
      <vt:lpstr>ADL0139_C5</vt:lpstr>
      <vt:lpstr>ADL0141_C1</vt:lpstr>
      <vt:lpstr>ADL0141_C2</vt:lpstr>
      <vt:lpstr>ADL0141_C3</vt:lpstr>
      <vt:lpstr>ADL0141_C4</vt:lpstr>
      <vt:lpstr>ADL0141_C5</vt:lpstr>
      <vt:lpstr>ADL0142_C1</vt:lpstr>
      <vt:lpstr>ADL0142_C2</vt:lpstr>
      <vt:lpstr>ADL0142_C3</vt:lpstr>
      <vt:lpstr>ADL0142_C4</vt:lpstr>
      <vt:lpstr>ADL0142_C5</vt:lpstr>
      <vt:lpstr>ADL0144_C1</vt:lpstr>
      <vt:lpstr>ADL0144_C2</vt:lpstr>
      <vt:lpstr>ADL0144_C3</vt:lpstr>
      <vt:lpstr>ADL0144_C4</vt:lpstr>
      <vt:lpstr>ADL0144_C5</vt:lpstr>
      <vt:lpstr>ADL0145_C1</vt:lpstr>
      <vt:lpstr>ADL0145_C2</vt:lpstr>
      <vt:lpstr>ADL0145_C3</vt:lpstr>
      <vt:lpstr>ADL0145_C4</vt:lpstr>
      <vt:lpstr>ADL0145_C5</vt:lpstr>
      <vt:lpstr>ADL0146_C1</vt:lpstr>
      <vt:lpstr>ADL0146_C2</vt:lpstr>
      <vt:lpstr>ADL0146_C3</vt:lpstr>
      <vt:lpstr>ADL0146_C4</vt:lpstr>
      <vt:lpstr>ADL0146_C5</vt:lpstr>
      <vt:lpstr>ADL0147_C1</vt:lpstr>
      <vt:lpstr>ADL0147_C2</vt:lpstr>
      <vt:lpstr>ADL0147_C3</vt:lpstr>
      <vt:lpstr>ADL0147_C4</vt:lpstr>
      <vt:lpstr>ADL0147_C5</vt:lpstr>
      <vt:lpstr>ADL0148_C1</vt:lpstr>
      <vt:lpstr>ADL0148_C2</vt:lpstr>
      <vt:lpstr>ADL0148_C3</vt:lpstr>
      <vt:lpstr>ADL0148_C4</vt:lpstr>
      <vt:lpstr>ADL0148_C5</vt:lpstr>
      <vt:lpstr>ADT0001_C1</vt:lpstr>
      <vt:lpstr>ADT0001_C2</vt:lpstr>
      <vt:lpstr>ADT0001_C3</vt:lpstr>
      <vt:lpstr>ADT0001_C4</vt:lpstr>
      <vt:lpstr>ADT0001_C5</vt:lpstr>
      <vt:lpstr>ADT0002_C1</vt:lpstr>
      <vt:lpstr>ADT0002_C2</vt:lpstr>
      <vt:lpstr>ADT0002_C3</vt:lpstr>
      <vt:lpstr>ADT0002_C4</vt:lpstr>
      <vt:lpstr>ADT0002_C5</vt:lpstr>
      <vt:lpstr>ADT0003_C1</vt:lpstr>
      <vt:lpstr>ADT0003_C2</vt:lpstr>
      <vt:lpstr>ADT0003_C3</vt:lpstr>
      <vt:lpstr>ADT0003_C4</vt:lpstr>
      <vt:lpstr>ADT0003_C5</vt:lpstr>
      <vt:lpstr>ADT0004_C1</vt:lpstr>
      <vt:lpstr>ADT0004_C2</vt:lpstr>
      <vt:lpstr>ADT0004_C3</vt:lpstr>
      <vt:lpstr>ADT0004_C4</vt:lpstr>
      <vt:lpstr>ADT0004_C5</vt:lpstr>
      <vt:lpstr>ADT0005_C1</vt:lpstr>
      <vt:lpstr>ADT0005_C2</vt:lpstr>
      <vt:lpstr>ADT0005_C3</vt:lpstr>
      <vt:lpstr>ADT0005_C4</vt:lpstr>
      <vt:lpstr>ADT0005_C5</vt:lpstr>
      <vt:lpstr>ADT0006_C1</vt:lpstr>
      <vt:lpstr>ADT0006_C2</vt:lpstr>
      <vt:lpstr>ADT0006_C3</vt:lpstr>
      <vt:lpstr>ADT0006_C4</vt:lpstr>
      <vt:lpstr>ADT0006_C5</vt:lpstr>
      <vt:lpstr>ADT0007_C1</vt:lpstr>
      <vt:lpstr>ADT0007_C2</vt:lpstr>
      <vt:lpstr>ADT0007_C3</vt:lpstr>
      <vt:lpstr>ADT0007_C4</vt:lpstr>
      <vt:lpstr>ADT0007_C5</vt:lpstr>
      <vt:lpstr>ADT0008_C1</vt:lpstr>
      <vt:lpstr>ADT0008_C2</vt:lpstr>
      <vt:lpstr>ADT0008_C3</vt:lpstr>
      <vt:lpstr>ADT0008_C4</vt:lpstr>
      <vt:lpstr>ADT0008_C5</vt:lpstr>
      <vt:lpstr>ADT0009_C1</vt:lpstr>
      <vt:lpstr>ADT0009_C2</vt:lpstr>
      <vt:lpstr>ADT0009_C3</vt:lpstr>
      <vt:lpstr>ADT0009_C4</vt:lpstr>
      <vt:lpstr>ADT0009_C5</vt:lpstr>
      <vt:lpstr>ADT0010_C1</vt:lpstr>
      <vt:lpstr>ADT0010_C2</vt:lpstr>
      <vt:lpstr>ADT0010_C3</vt:lpstr>
      <vt:lpstr>ADT0010_C4</vt:lpstr>
      <vt:lpstr>ADT0010_C5</vt:lpstr>
      <vt:lpstr>ADT0011_C1</vt:lpstr>
      <vt:lpstr>ADT0011_C2</vt:lpstr>
      <vt:lpstr>ADT0011_C3</vt:lpstr>
      <vt:lpstr>ADT0011_C4</vt:lpstr>
      <vt:lpstr>ADT0011_C5</vt:lpstr>
      <vt:lpstr>ADT0012_C1</vt:lpstr>
      <vt:lpstr>ADT0012_C2</vt:lpstr>
      <vt:lpstr>ADT0012_C3</vt:lpstr>
      <vt:lpstr>ADT0012_C4</vt:lpstr>
      <vt:lpstr>ADT0012_C5</vt:lpstr>
      <vt:lpstr>ADT0013_C1</vt:lpstr>
      <vt:lpstr>ADT0013_C2</vt:lpstr>
      <vt:lpstr>ADT0013_C3</vt:lpstr>
      <vt:lpstr>ADT0013_C4</vt:lpstr>
      <vt:lpstr>ADT0013_C5</vt:lpstr>
      <vt:lpstr>ADT0014_C1</vt:lpstr>
      <vt:lpstr>ADT0014_C2</vt:lpstr>
      <vt:lpstr>ADT0014_C3</vt:lpstr>
      <vt:lpstr>ADT0014_C4</vt:lpstr>
      <vt:lpstr>ADT0014_C5</vt:lpstr>
      <vt:lpstr>ADT0015_C1</vt:lpstr>
      <vt:lpstr>ADT0015_C2</vt:lpstr>
      <vt:lpstr>ADT0015_C3</vt:lpstr>
      <vt:lpstr>ADT0015_C4</vt:lpstr>
      <vt:lpstr>ADT0015_C5</vt:lpstr>
      <vt:lpstr>ADT0016_C1</vt:lpstr>
      <vt:lpstr>ADT0016_C2</vt:lpstr>
      <vt:lpstr>ADT0016_C3</vt:lpstr>
      <vt:lpstr>ADT0016_C4</vt:lpstr>
      <vt:lpstr>ADT0016_C5</vt:lpstr>
      <vt:lpstr>AEQ0009_C1</vt:lpstr>
      <vt:lpstr>AEQ0009_C2</vt:lpstr>
      <vt:lpstr>AEQ0009_C3</vt:lpstr>
      <vt:lpstr>AEQ0009_C4</vt:lpstr>
      <vt:lpstr>AEQ0009_C5</vt:lpstr>
      <vt:lpstr>AIN0001_C1</vt:lpstr>
      <vt:lpstr>AIN0001_C2</vt:lpstr>
      <vt:lpstr>AIN0001_C3</vt:lpstr>
      <vt:lpstr>AIN0001_C4</vt:lpstr>
      <vt:lpstr>AIN0001_C5</vt:lpstr>
      <vt:lpstr>AIN0002_C1</vt:lpstr>
      <vt:lpstr>AIN0002_C2</vt:lpstr>
      <vt:lpstr>AIN0002_C3</vt:lpstr>
      <vt:lpstr>AIN0002_C4</vt:lpstr>
      <vt:lpstr>AIN0002_C5</vt:lpstr>
      <vt:lpstr>AIN0003_C1</vt:lpstr>
      <vt:lpstr>AIN0003_C2</vt:lpstr>
      <vt:lpstr>AIN0003_C3</vt:lpstr>
      <vt:lpstr>AIN0003_C4</vt:lpstr>
      <vt:lpstr>AIN0003_C5</vt:lpstr>
      <vt:lpstr>AIN0004_C1</vt:lpstr>
      <vt:lpstr>AIN0004_C2</vt:lpstr>
      <vt:lpstr>AIN0004_C3</vt:lpstr>
      <vt:lpstr>AIN0004_C4</vt:lpstr>
      <vt:lpstr>AIN0004_C5</vt:lpstr>
      <vt:lpstr>AIN0005_C1</vt:lpstr>
      <vt:lpstr>AIN0005_C2</vt:lpstr>
      <vt:lpstr>AIN0005_C3</vt:lpstr>
      <vt:lpstr>AIN0005_C4</vt:lpstr>
      <vt:lpstr>AIN0005_C5</vt:lpstr>
      <vt:lpstr>AIN0006_C1</vt:lpstr>
      <vt:lpstr>AIN0006_C2</vt:lpstr>
      <vt:lpstr>AIN0006_C3</vt:lpstr>
      <vt:lpstr>AIN0006_C4</vt:lpstr>
      <vt:lpstr>AIN0006_C5</vt:lpstr>
      <vt:lpstr>AIN0007_C1</vt:lpstr>
      <vt:lpstr>AIN0007_C2</vt:lpstr>
      <vt:lpstr>AIN0007_C3</vt:lpstr>
      <vt:lpstr>AIN0007_C4</vt:lpstr>
      <vt:lpstr>AIN0007_C5</vt:lpstr>
      <vt:lpstr>AIN0008_C1</vt:lpstr>
      <vt:lpstr>AIN0008_C2</vt:lpstr>
      <vt:lpstr>AIN0008_C3</vt:lpstr>
      <vt:lpstr>AIN0008_C4</vt:lpstr>
      <vt:lpstr>AIN0008_C5</vt:lpstr>
      <vt:lpstr>AIS0004_C1</vt:lpstr>
      <vt:lpstr>AIS0004_C2</vt:lpstr>
      <vt:lpstr>AIS0004_C3</vt:lpstr>
      <vt:lpstr>AIS0004_C4</vt:lpstr>
      <vt:lpstr>AIS0004_C5</vt:lpstr>
      <vt:lpstr>AIS0005_C1</vt:lpstr>
      <vt:lpstr>AIS0005_C2</vt:lpstr>
      <vt:lpstr>AIS0005_C3</vt:lpstr>
      <vt:lpstr>AIS0005_C4</vt:lpstr>
      <vt:lpstr>AIS0005_C5</vt:lpstr>
      <vt:lpstr>AIS0011_C1</vt:lpstr>
      <vt:lpstr>AIS0011_C2</vt:lpstr>
      <vt:lpstr>AIS0011_C3</vt:lpstr>
      <vt:lpstr>AIS0011_C4</vt:lpstr>
      <vt:lpstr>AIS0011_C5</vt:lpstr>
      <vt:lpstr>AIS0017_C1</vt:lpstr>
      <vt:lpstr>AIS0017_C2</vt:lpstr>
      <vt:lpstr>AIS0017_C3</vt:lpstr>
      <vt:lpstr>AIS0017_C4</vt:lpstr>
      <vt:lpstr>AIS0017_C5</vt:lpstr>
      <vt:lpstr>AIS0020_C1</vt:lpstr>
      <vt:lpstr>AIS0020_C2</vt:lpstr>
      <vt:lpstr>AIS0020_C3</vt:lpstr>
      <vt:lpstr>AIS0020_C4</vt:lpstr>
      <vt:lpstr>AIS0020_C5</vt:lpstr>
      <vt:lpstr>AIS0021_C1</vt:lpstr>
      <vt:lpstr>AIS0021_C2</vt:lpstr>
      <vt:lpstr>AIS0021_C3</vt:lpstr>
      <vt:lpstr>AIS0021_C4</vt:lpstr>
      <vt:lpstr>AIS0021_C5</vt:lpstr>
      <vt:lpstr>AIS0022_C1</vt:lpstr>
      <vt:lpstr>AIS0022_C2</vt:lpstr>
      <vt:lpstr>AIS0022_C3</vt:lpstr>
      <vt:lpstr>AIS0022_C4</vt:lpstr>
      <vt:lpstr>AIS0022_C5</vt:lpstr>
      <vt:lpstr>AIS0026_C1</vt:lpstr>
      <vt:lpstr>AIS0026_C2</vt:lpstr>
      <vt:lpstr>AIS0026_C3</vt:lpstr>
      <vt:lpstr>AIS0026_C4</vt:lpstr>
      <vt:lpstr>AIS0026_C5</vt:lpstr>
      <vt:lpstr>AIS0029_C1</vt:lpstr>
      <vt:lpstr>AIS0029_C2</vt:lpstr>
      <vt:lpstr>AIS0029_C3</vt:lpstr>
      <vt:lpstr>AIS0029_C4</vt:lpstr>
      <vt:lpstr>AIS0029_C5</vt:lpstr>
      <vt:lpstr>AIS0030_C1</vt:lpstr>
      <vt:lpstr>AIS0030_C2</vt:lpstr>
      <vt:lpstr>AIS0030_C3</vt:lpstr>
      <vt:lpstr>AIS0030_C4</vt:lpstr>
      <vt:lpstr>AIS0030_C5</vt:lpstr>
      <vt:lpstr>AIS0046_C1</vt:lpstr>
      <vt:lpstr>AIS0046_C2</vt:lpstr>
      <vt:lpstr>AIS0046_C3</vt:lpstr>
      <vt:lpstr>AIS0046_C4</vt:lpstr>
      <vt:lpstr>AIS0046_C5</vt:lpstr>
      <vt:lpstr>AIS0047_C1</vt:lpstr>
      <vt:lpstr>AIS0047_C2</vt:lpstr>
      <vt:lpstr>AIS0047_C3</vt:lpstr>
      <vt:lpstr>AIS0047_C4</vt:lpstr>
      <vt:lpstr>AIS0047_C5</vt:lpstr>
      <vt:lpstr>AIS0048_C1</vt:lpstr>
      <vt:lpstr>AIS0048_C2</vt:lpstr>
      <vt:lpstr>AIS0048_C3</vt:lpstr>
      <vt:lpstr>AIS0048_C4</vt:lpstr>
      <vt:lpstr>AIS0048_C5</vt:lpstr>
      <vt:lpstr>AIS0049_C1</vt:lpstr>
      <vt:lpstr>AIS0049_C2</vt:lpstr>
      <vt:lpstr>AIS0049_C3</vt:lpstr>
      <vt:lpstr>AIS0049_C4</vt:lpstr>
      <vt:lpstr>AIS0049_C5</vt:lpstr>
      <vt:lpstr>ALC0047_C1</vt:lpstr>
      <vt:lpstr>ALC0047_C2</vt:lpstr>
      <vt:lpstr>ALC0047_C3</vt:lpstr>
      <vt:lpstr>ALC0047_C4</vt:lpstr>
      <vt:lpstr>ALC0047_C5</vt:lpstr>
      <vt:lpstr>ALC0047X_C1</vt:lpstr>
      <vt:lpstr>ALC0047X_C2</vt:lpstr>
      <vt:lpstr>ALC0047X_C3</vt:lpstr>
      <vt:lpstr>ALC0047X_C4</vt:lpstr>
      <vt:lpstr>ALC0047X_C5</vt:lpstr>
      <vt:lpstr>ALC0085_C1</vt:lpstr>
      <vt:lpstr>ALC0085_C2</vt:lpstr>
      <vt:lpstr>ALC0085_C3</vt:lpstr>
      <vt:lpstr>ALC0085_C4</vt:lpstr>
      <vt:lpstr>ALC0085_C5</vt:lpstr>
      <vt:lpstr>ALI0003_C1</vt:lpstr>
      <vt:lpstr>ALI0003_C2</vt:lpstr>
      <vt:lpstr>ALI0003_C3</vt:lpstr>
      <vt:lpstr>ALI0003_C4</vt:lpstr>
      <vt:lpstr>ALI0003_C5</vt:lpstr>
      <vt:lpstr>ALI0069_C1</vt:lpstr>
      <vt:lpstr>ALI0069_C2</vt:lpstr>
      <vt:lpstr>ALI0069_C3</vt:lpstr>
      <vt:lpstr>ALI0069_C4</vt:lpstr>
      <vt:lpstr>ALI0069_C5</vt:lpstr>
      <vt:lpstr>ALN0051_C1</vt:lpstr>
      <vt:lpstr>ALN0051_C2</vt:lpstr>
      <vt:lpstr>ALN0051_C3</vt:lpstr>
      <vt:lpstr>ALN0051_C4</vt:lpstr>
      <vt:lpstr>ALN0051_C5</vt:lpstr>
      <vt:lpstr>ALN0052_C1</vt:lpstr>
      <vt:lpstr>ALN0052_C2</vt:lpstr>
      <vt:lpstr>ALN0052_C3</vt:lpstr>
      <vt:lpstr>ALN0052_C4</vt:lpstr>
      <vt:lpstr>ALN0052_C5</vt:lpstr>
      <vt:lpstr>ALN0054_C1</vt:lpstr>
      <vt:lpstr>ALN0054_C2</vt:lpstr>
      <vt:lpstr>ALN0054_C3</vt:lpstr>
      <vt:lpstr>ALN0054_C4</vt:lpstr>
      <vt:lpstr>ALN0054_C5</vt:lpstr>
      <vt:lpstr>ALN0055_C1</vt:lpstr>
      <vt:lpstr>ALN0055_C2</vt:lpstr>
      <vt:lpstr>ALN0055_C3</vt:lpstr>
      <vt:lpstr>ALN0055_C4</vt:lpstr>
      <vt:lpstr>ALN0055_C5</vt:lpstr>
      <vt:lpstr>ALN0057_C1</vt:lpstr>
      <vt:lpstr>ALN0057_C2</vt:lpstr>
      <vt:lpstr>ALN0057_C3</vt:lpstr>
      <vt:lpstr>ALN0057_C4</vt:lpstr>
      <vt:lpstr>ALN0057_C5</vt:lpstr>
      <vt:lpstr>ALQ0013_C1</vt:lpstr>
      <vt:lpstr>ALQ0013_C2</vt:lpstr>
      <vt:lpstr>ALQ0013_C3</vt:lpstr>
      <vt:lpstr>ALQ0013_C4</vt:lpstr>
      <vt:lpstr>ALQ0013_C5</vt:lpstr>
      <vt:lpstr>ALQ0017_C1</vt:lpstr>
      <vt:lpstr>ALQ0017_C2</vt:lpstr>
      <vt:lpstr>ALQ0017_C3</vt:lpstr>
      <vt:lpstr>ALQ0017_C4</vt:lpstr>
      <vt:lpstr>ALQ0017_C5</vt:lpstr>
      <vt:lpstr>ALQ0020_C1</vt:lpstr>
      <vt:lpstr>ALQ0020_C2</vt:lpstr>
      <vt:lpstr>ALQ0020_C3</vt:lpstr>
      <vt:lpstr>ALQ0020_C4</vt:lpstr>
      <vt:lpstr>ALQ0020_C5</vt:lpstr>
      <vt:lpstr>ALQ0021_C1</vt:lpstr>
      <vt:lpstr>ALQ0021_C2</vt:lpstr>
      <vt:lpstr>ALQ0021_C3</vt:lpstr>
      <vt:lpstr>ALQ0021_C4</vt:lpstr>
      <vt:lpstr>ALQ0021_C5</vt:lpstr>
      <vt:lpstr>ALQ0022_C1</vt:lpstr>
      <vt:lpstr>ALQ0022_C2</vt:lpstr>
      <vt:lpstr>ALQ0022_C3</vt:lpstr>
      <vt:lpstr>ALQ0022_C4</vt:lpstr>
      <vt:lpstr>ALQ0022_C5</vt:lpstr>
      <vt:lpstr>ALQ0023_C1</vt:lpstr>
      <vt:lpstr>ALQ0023_C2</vt:lpstr>
      <vt:lpstr>ALQ0023_C3</vt:lpstr>
      <vt:lpstr>ALQ0023_C4</vt:lpstr>
      <vt:lpstr>ALQ0023_C5</vt:lpstr>
      <vt:lpstr>ALQ0026_C1</vt:lpstr>
      <vt:lpstr>ALQ0026_C2</vt:lpstr>
      <vt:lpstr>ALQ0026_C3</vt:lpstr>
      <vt:lpstr>ALQ0026_C4</vt:lpstr>
      <vt:lpstr>ALQ0026_C5</vt:lpstr>
      <vt:lpstr>ALQ0027_C1</vt:lpstr>
      <vt:lpstr>ALQ0027_C2</vt:lpstr>
      <vt:lpstr>ALQ0027_C3</vt:lpstr>
      <vt:lpstr>ALQ0027_C4</vt:lpstr>
      <vt:lpstr>ALQ0027_C5</vt:lpstr>
      <vt:lpstr>ALQ0028_C1</vt:lpstr>
      <vt:lpstr>ALQ0028_C2</vt:lpstr>
      <vt:lpstr>ALQ0028_C3</vt:lpstr>
      <vt:lpstr>ALQ0028_C4</vt:lpstr>
      <vt:lpstr>ALQ0028_C5</vt:lpstr>
      <vt:lpstr>ALQ0029_C1</vt:lpstr>
      <vt:lpstr>ALQ0029_C2</vt:lpstr>
      <vt:lpstr>ALQ0029_C3</vt:lpstr>
      <vt:lpstr>ALQ0029_C4</vt:lpstr>
      <vt:lpstr>ALQ0029_C5</vt:lpstr>
      <vt:lpstr>ALQ0030_C1</vt:lpstr>
      <vt:lpstr>ALQ0030_C2</vt:lpstr>
      <vt:lpstr>ALQ0030_C3</vt:lpstr>
      <vt:lpstr>ALQ0030_C4</vt:lpstr>
      <vt:lpstr>ALQ0030_C5</vt:lpstr>
      <vt:lpstr>ALQ0034_C1</vt:lpstr>
      <vt:lpstr>ALQ0034_C2</vt:lpstr>
      <vt:lpstr>ALQ0034_C3</vt:lpstr>
      <vt:lpstr>ALQ0034_C4</vt:lpstr>
      <vt:lpstr>ALQ0034_C5</vt:lpstr>
      <vt:lpstr>ALQ0035_C1</vt:lpstr>
      <vt:lpstr>ALQ0035_C2</vt:lpstr>
      <vt:lpstr>ALQ0035_C3</vt:lpstr>
      <vt:lpstr>ALQ0035_C4</vt:lpstr>
      <vt:lpstr>ALQ0035_C5</vt:lpstr>
      <vt:lpstr>ALQ0038_C1</vt:lpstr>
      <vt:lpstr>ALQ0038_C2</vt:lpstr>
      <vt:lpstr>ALQ0038_C3</vt:lpstr>
      <vt:lpstr>ALQ0038_C4</vt:lpstr>
      <vt:lpstr>ALQ0038_C5</vt:lpstr>
      <vt:lpstr>ALQ0039_C1</vt:lpstr>
      <vt:lpstr>ALQ0039_C2</vt:lpstr>
      <vt:lpstr>ALQ0039_C3</vt:lpstr>
      <vt:lpstr>ALQ0039_C4</vt:lpstr>
      <vt:lpstr>ALQ0039_C5</vt:lpstr>
      <vt:lpstr>ALQ0040_C1</vt:lpstr>
      <vt:lpstr>ALQ0040_C2</vt:lpstr>
      <vt:lpstr>ALQ0040_C3</vt:lpstr>
      <vt:lpstr>ALQ0040_C4</vt:lpstr>
      <vt:lpstr>ALQ0040_C5</vt:lpstr>
      <vt:lpstr>ALQ0042_C1</vt:lpstr>
      <vt:lpstr>ALQ0042_C2</vt:lpstr>
      <vt:lpstr>ALQ0042_C3</vt:lpstr>
      <vt:lpstr>ALQ0042_C4</vt:lpstr>
      <vt:lpstr>ALQ0042_C5</vt:lpstr>
      <vt:lpstr>ALQ0043_C1</vt:lpstr>
      <vt:lpstr>ALQ0043_C2</vt:lpstr>
      <vt:lpstr>ALQ0043_C3</vt:lpstr>
      <vt:lpstr>ALQ0043_C4</vt:lpstr>
      <vt:lpstr>ALQ0043_C5</vt:lpstr>
      <vt:lpstr>ALQ0044_C1</vt:lpstr>
      <vt:lpstr>ALQ0044_C2</vt:lpstr>
      <vt:lpstr>ALQ0044_C3</vt:lpstr>
      <vt:lpstr>ALQ0044_C4</vt:lpstr>
      <vt:lpstr>ALQ0044_C5</vt:lpstr>
      <vt:lpstr>ALQ0045_C1</vt:lpstr>
      <vt:lpstr>ALQ0045_C2</vt:lpstr>
      <vt:lpstr>ALQ0045_C3</vt:lpstr>
      <vt:lpstr>ALQ0045_C4</vt:lpstr>
      <vt:lpstr>ALQ0045_C5</vt:lpstr>
      <vt:lpstr>ALQ0046_C1</vt:lpstr>
      <vt:lpstr>ALQ0046_C2</vt:lpstr>
      <vt:lpstr>ALQ0046_C3</vt:lpstr>
      <vt:lpstr>ALQ0046_C4</vt:lpstr>
      <vt:lpstr>ALQ0046_C5</vt:lpstr>
      <vt:lpstr>ALQ0047_C1</vt:lpstr>
      <vt:lpstr>ALQ0047_C2</vt:lpstr>
      <vt:lpstr>ALQ0047_C3</vt:lpstr>
      <vt:lpstr>ALQ0047_C4</vt:lpstr>
      <vt:lpstr>ALQ0047_C5</vt:lpstr>
      <vt:lpstr>ALQ0052_C1</vt:lpstr>
      <vt:lpstr>ALQ0052_C2</vt:lpstr>
      <vt:lpstr>ALQ0052_C3</vt:lpstr>
      <vt:lpstr>ALQ0052_C4</vt:lpstr>
      <vt:lpstr>ALQ0052_C5</vt:lpstr>
      <vt:lpstr>ALQ0053_C1</vt:lpstr>
      <vt:lpstr>ALQ0053_C2</vt:lpstr>
      <vt:lpstr>ALQ0053_C3</vt:lpstr>
      <vt:lpstr>ALQ0053_C4</vt:lpstr>
      <vt:lpstr>ALQ0053_C5</vt:lpstr>
      <vt:lpstr>ALQ0056_C1</vt:lpstr>
      <vt:lpstr>ALQ0056_C2</vt:lpstr>
      <vt:lpstr>ALQ0056_C3</vt:lpstr>
      <vt:lpstr>ALQ0056_C4</vt:lpstr>
      <vt:lpstr>ALQ0056_C5</vt:lpstr>
      <vt:lpstr>ALQ0059_C1</vt:lpstr>
      <vt:lpstr>ALQ0059_C2</vt:lpstr>
      <vt:lpstr>ALQ0059_C3</vt:lpstr>
      <vt:lpstr>ALQ0059_C4</vt:lpstr>
      <vt:lpstr>ALQ0059_C5</vt:lpstr>
      <vt:lpstr>ALQ0060_C1</vt:lpstr>
      <vt:lpstr>ALQ0060_C2</vt:lpstr>
      <vt:lpstr>ALQ0060_C3</vt:lpstr>
      <vt:lpstr>ALQ0060_C4</vt:lpstr>
      <vt:lpstr>ALQ0060_C5</vt:lpstr>
      <vt:lpstr>ALQ0061_C1</vt:lpstr>
      <vt:lpstr>ALQ0061_C2</vt:lpstr>
      <vt:lpstr>ALQ0061_C3</vt:lpstr>
      <vt:lpstr>ALQ0061_C4</vt:lpstr>
      <vt:lpstr>ALQ0061_C5</vt:lpstr>
      <vt:lpstr>ALQ0062_C1</vt:lpstr>
      <vt:lpstr>ALQ0062_C2</vt:lpstr>
      <vt:lpstr>ALQ0062_C3</vt:lpstr>
      <vt:lpstr>ALQ0062_C4</vt:lpstr>
      <vt:lpstr>ALQ0062_C5</vt:lpstr>
      <vt:lpstr>ALQ0860_C1</vt:lpstr>
      <vt:lpstr>ALQ0860_C2</vt:lpstr>
      <vt:lpstr>ALQ0860_C3</vt:lpstr>
      <vt:lpstr>ALQ0860_C4</vt:lpstr>
      <vt:lpstr>ALQ0860_C5</vt:lpstr>
      <vt:lpstr>Anu_C1</vt:lpstr>
      <vt:lpstr>Anu_C2</vt:lpstr>
      <vt:lpstr>Anu_C3</vt:lpstr>
      <vt:lpstr>Anu_C4</vt:lpstr>
      <vt:lpstr>Anu_C5</vt:lpstr>
      <vt:lpstr>ANV0001_C1</vt:lpstr>
      <vt:lpstr>ANV0001_C2</vt:lpstr>
      <vt:lpstr>ANV0001_C3</vt:lpstr>
      <vt:lpstr>ANV0001_C4</vt:lpstr>
      <vt:lpstr>ANV0001_C5</vt:lpstr>
      <vt:lpstr>ANV0002_C1</vt:lpstr>
      <vt:lpstr>ANV0002_C2</vt:lpstr>
      <vt:lpstr>ANV0002_C3</vt:lpstr>
      <vt:lpstr>ANV0002_C4</vt:lpstr>
      <vt:lpstr>ANV0002_C5</vt:lpstr>
      <vt:lpstr>ANV0003_C1</vt:lpstr>
      <vt:lpstr>ANV0003_C2</vt:lpstr>
      <vt:lpstr>ANV0003_C3</vt:lpstr>
      <vt:lpstr>ANV0003_C4</vt:lpstr>
      <vt:lpstr>ANV0003_C5</vt:lpstr>
      <vt:lpstr>ANV0004_C1</vt:lpstr>
      <vt:lpstr>ANV0004_C2</vt:lpstr>
      <vt:lpstr>ANV0004_C3</vt:lpstr>
      <vt:lpstr>ANV0004_C4</vt:lpstr>
      <vt:lpstr>ANV0004_C5</vt:lpstr>
      <vt:lpstr>ANV0013_C1</vt:lpstr>
      <vt:lpstr>ANV0013_C2</vt:lpstr>
      <vt:lpstr>ANV0013_C3</vt:lpstr>
      <vt:lpstr>ANV0013_C4</vt:lpstr>
      <vt:lpstr>ANV0013_C5</vt:lpstr>
      <vt:lpstr>ANV0014_C1</vt:lpstr>
      <vt:lpstr>ANV0014_C2</vt:lpstr>
      <vt:lpstr>ANV0014_C3</vt:lpstr>
      <vt:lpstr>ANV0014_C4</vt:lpstr>
      <vt:lpstr>ANV0014_C5</vt:lpstr>
      <vt:lpstr>ANV0015_C1</vt:lpstr>
      <vt:lpstr>ANV0015_C2</vt:lpstr>
      <vt:lpstr>ANV0015_C3</vt:lpstr>
      <vt:lpstr>ANV0015_C4</vt:lpstr>
      <vt:lpstr>ANV0015_C5</vt:lpstr>
      <vt:lpstr>ANV0016_C1</vt:lpstr>
      <vt:lpstr>ANV0016_C2</vt:lpstr>
      <vt:lpstr>ANV0016_C3</vt:lpstr>
      <vt:lpstr>ANV0016_C4</vt:lpstr>
      <vt:lpstr>ANV0016_C5</vt:lpstr>
      <vt:lpstr>ANV0017_C1</vt:lpstr>
      <vt:lpstr>ANV0017_C2</vt:lpstr>
      <vt:lpstr>ANV0017_C3</vt:lpstr>
      <vt:lpstr>ANV0017_C4</vt:lpstr>
      <vt:lpstr>ANV0017_C5</vt:lpstr>
      <vt:lpstr>ANV0018_C1</vt:lpstr>
      <vt:lpstr>ANV0018_C2</vt:lpstr>
      <vt:lpstr>ANV0018_C3</vt:lpstr>
      <vt:lpstr>ANV0018_C4</vt:lpstr>
      <vt:lpstr>ANV0018_C5</vt:lpstr>
      <vt:lpstr>ANV0019_C1</vt:lpstr>
      <vt:lpstr>ANV0019_C2</vt:lpstr>
      <vt:lpstr>ANV0019_C3</vt:lpstr>
      <vt:lpstr>ANV0019_C4</vt:lpstr>
      <vt:lpstr>ANV0019_C5</vt:lpstr>
      <vt:lpstr>ANV0020_C1</vt:lpstr>
      <vt:lpstr>ANV0020_C2</vt:lpstr>
      <vt:lpstr>ANV0020_C3</vt:lpstr>
      <vt:lpstr>ANV0020_C4</vt:lpstr>
      <vt:lpstr>ANV0020_C5</vt:lpstr>
      <vt:lpstr>ANV0033_C1</vt:lpstr>
      <vt:lpstr>ANV0033_C2</vt:lpstr>
      <vt:lpstr>ANV0033_C3</vt:lpstr>
      <vt:lpstr>ANV0033_C4</vt:lpstr>
      <vt:lpstr>ANV0033_C5</vt:lpstr>
      <vt:lpstr>ANV0034_C1</vt:lpstr>
      <vt:lpstr>ANV0034_C2</vt:lpstr>
      <vt:lpstr>ANV0034_C3</vt:lpstr>
      <vt:lpstr>ANV0034_C4</vt:lpstr>
      <vt:lpstr>ANV0034_C5</vt:lpstr>
      <vt:lpstr>ANV0035_C1</vt:lpstr>
      <vt:lpstr>ANV0035_C2</vt:lpstr>
      <vt:lpstr>ANV0035_C3</vt:lpstr>
      <vt:lpstr>ANV0035_C4</vt:lpstr>
      <vt:lpstr>ANV0035_C5</vt:lpstr>
      <vt:lpstr>ANV0036_C1</vt:lpstr>
      <vt:lpstr>ANV0036_C2</vt:lpstr>
      <vt:lpstr>ANV0036_C3</vt:lpstr>
      <vt:lpstr>ANV0036_C4</vt:lpstr>
      <vt:lpstr>ANV0036_C5</vt:lpstr>
      <vt:lpstr>ANV0049_C1</vt:lpstr>
      <vt:lpstr>ANV0049_C2</vt:lpstr>
      <vt:lpstr>ANV0049_C3</vt:lpstr>
      <vt:lpstr>ANV0049_C4</vt:lpstr>
      <vt:lpstr>ANV0049_C5</vt:lpstr>
      <vt:lpstr>ANV0050_C1</vt:lpstr>
      <vt:lpstr>ANV0050_C2</vt:lpstr>
      <vt:lpstr>ANV0050_C3</vt:lpstr>
      <vt:lpstr>ANV0050_C4</vt:lpstr>
      <vt:lpstr>ANV0050_C5</vt:lpstr>
      <vt:lpstr>ANV0051_C1</vt:lpstr>
      <vt:lpstr>ANV0051_C2</vt:lpstr>
      <vt:lpstr>ANV0051_C3</vt:lpstr>
      <vt:lpstr>ANV0051_C4</vt:lpstr>
      <vt:lpstr>ANV0051_C5</vt:lpstr>
      <vt:lpstr>ANV0052_C1</vt:lpstr>
      <vt:lpstr>ANV0052_C2</vt:lpstr>
      <vt:lpstr>ANV0052_C3</vt:lpstr>
      <vt:lpstr>ANV0052_C4</vt:lpstr>
      <vt:lpstr>ANV0052_C5</vt:lpstr>
      <vt:lpstr>ANV0065_C1</vt:lpstr>
      <vt:lpstr>ANV0065_C2</vt:lpstr>
      <vt:lpstr>ANV0065_C3</vt:lpstr>
      <vt:lpstr>ANV0065_C4</vt:lpstr>
      <vt:lpstr>ANV0065_C5</vt:lpstr>
      <vt:lpstr>ANV0066_C1</vt:lpstr>
      <vt:lpstr>ANV0066_C2</vt:lpstr>
      <vt:lpstr>ANV0066_C3</vt:lpstr>
      <vt:lpstr>ANV0066_C4</vt:lpstr>
      <vt:lpstr>ANV0066_C5</vt:lpstr>
      <vt:lpstr>ANV0067_C1</vt:lpstr>
      <vt:lpstr>ANV0067_C2</vt:lpstr>
      <vt:lpstr>ANV0067_C3</vt:lpstr>
      <vt:lpstr>ANV0067_C4</vt:lpstr>
      <vt:lpstr>ANV0067_C5</vt:lpstr>
      <vt:lpstr>ANV0068_C1</vt:lpstr>
      <vt:lpstr>ANV0068_C2</vt:lpstr>
      <vt:lpstr>ANV0068_C3</vt:lpstr>
      <vt:lpstr>ANV0068_C4</vt:lpstr>
      <vt:lpstr>ANV0068_C5</vt:lpstr>
      <vt:lpstr>ANV0069_C1</vt:lpstr>
      <vt:lpstr>ANV0069_C2</vt:lpstr>
      <vt:lpstr>ANV0069_C3</vt:lpstr>
      <vt:lpstr>ANV0069_C4</vt:lpstr>
      <vt:lpstr>ANV0069_C5</vt:lpstr>
      <vt:lpstr>ANV0070_C1</vt:lpstr>
      <vt:lpstr>ANV0070_C2</vt:lpstr>
      <vt:lpstr>ANV0070_C3</vt:lpstr>
      <vt:lpstr>ANV0070_C4</vt:lpstr>
      <vt:lpstr>ANV0070_C5</vt:lpstr>
      <vt:lpstr>ANV0071_C1</vt:lpstr>
      <vt:lpstr>ANV0071_C2</vt:lpstr>
      <vt:lpstr>ANV0071_C3</vt:lpstr>
      <vt:lpstr>ANV0071_C4</vt:lpstr>
      <vt:lpstr>ANV0071_C5</vt:lpstr>
      <vt:lpstr>ANV0072_C1</vt:lpstr>
      <vt:lpstr>ANV0072_C2</vt:lpstr>
      <vt:lpstr>ANV0072_C3</vt:lpstr>
      <vt:lpstr>ANV0072_C4</vt:lpstr>
      <vt:lpstr>ANV0072_C5</vt:lpstr>
      <vt:lpstr>ANV0073_C1</vt:lpstr>
      <vt:lpstr>ANV0073_C2</vt:lpstr>
      <vt:lpstr>ANV0073_C3</vt:lpstr>
      <vt:lpstr>ANV0073_C4</vt:lpstr>
      <vt:lpstr>ANV0073_C5</vt:lpstr>
      <vt:lpstr>ANV0074_C1</vt:lpstr>
      <vt:lpstr>ANV0074_C2</vt:lpstr>
      <vt:lpstr>ANV0074_C3</vt:lpstr>
      <vt:lpstr>ANV0074_C4</vt:lpstr>
      <vt:lpstr>ANV0074_C5</vt:lpstr>
      <vt:lpstr>ANV0075_C1</vt:lpstr>
      <vt:lpstr>ANV0075_C2</vt:lpstr>
      <vt:lpstr>ANV0075_C3</vt:lpstr>
      <vt:lpstr>ANV0075_C4</vt:lpstr>
      <vt:lpstr>ANV0075_C5</vt:lpstr>
      <vt:lpstr>ANV0076_C1</vt:lpstr>
      <vt:lpstr>ANV0076_C2</vt:lpstr>
      <vt:lpstr>ANV0076_C3</vt:lpstr>
      <vt:lpstr>ANV0076_C4</vt:lpstr>
      <vt:lpstr>ANV0076_C5</vt:lpstr>
      <vt:lpstr>ANV0077_C1</vt:lpstr>
      <vt:lpstr>ANV0077_C2</vt:lpstr>
      <vt:lpstr>ANV0077_C3</vt:lpstr>
      <vt:lpstr>ANV0077_C4</vt:lpstr>
      <vt:lpstr>ANV0077_C5</vt:lpstr>
      <vt:lpstr>ANV0078_C1</vt:lpstr>
      <vt:lpstr>ANV0078_C2</vt:lpstr>
      <vt:lpstr>ANV0078_C3</vt:lpstr>
      <vt:lpstr>ANV0078_C4</vt:lpstr>
      <vt:lpstr>ANV0078_C5</vt:lpstr>
      <vt:lpstr>ANV0079_C1</vt:lpstr>
      <vt:lpstr>ANV0079_C2</vt:lpstr>
      <vt:lpstr>ANV0079_C3</vt:lpstr>
      <vt:lpstr>ANV0079_C4</vt:lpstr>
      <vt:lpstr>ANV0079_C5</vt:lpstr>
      <vt:lpstr>ANV0080_C1</vt:lpstr>
      <vt:lpstr>ANV0080_C2</vt:lpstr>
      <vt:lpstr>ANV0080_C3</vt:lpstr>
      <vt:lpstr>ANV0080_C4</vt:lpstr>
      <vt:lpstr>ANV0080_C5</vt:lpstr>
      <vt:lpstr>ANV0081_C1</vt:lpstr>
      <vt:lpstr>ANV0081_C2</vt:lpstr>
      <vt:lpstr>ANV0081_C3</vt:lpstr>
      <vt:lpstr>ANV0081_C4</vt:lpstr>
      <vt:lpstr>ANV0081_C5</vt:lpstr>
      <vt:lpstr>ANV0083_C1</vt:lpstr>
      <vt:lpstr>ANV0083_C2</vt:lpstr>
      <vt:lpstr>ANV0083_C3</vt:lpstr>
      <vt:lpstr>ANV0083_C4</vt:lpstr>
      <vt:lpstr>ANV0083_C5</vt:lpstr>
      <vt:lpstr>ANV0084_C1</vt:lpstr>
      <vt:lpstr>ANV0084_C2</vt:lpstr>
      <vt:lpstr>ANV0084_C3</vt:lpstr>
      <vt:lpstr>ANV0084_C4</vt:lpstr>
      <vt:lpstr>ANV0084_C5</vt:lpstr>
      <vt:lpstr>ANV0087_C1</vt:lpstr>
      <vt:lpstr>ANV0087_C2</vt:lpstr>
      <vt:lpstr>ANV0087_C3</vt:lpstr>
      <vt:lpstr>ANV0087_C4</vt:lpstr>
      <vt:lpstr>ANV0087_C5</vt:lpstr>
      <vt:lpstr>ANV0088_C1</vt:lpstr>
      <vt:lpstr>ANV0088_C2</vt:lpstr>
      <vt:lpstr>ANV0088_C3</vt:lpstr>
      <vt:lpstr>ANV0088_C4</vt:lpstr>
      <vt:lpstr>ANV0088_C5</vt:lpstr>
      <vt:lpstr>ANV0089_C1</vt:lpstr>
      <vt:lpstr>ANV0089_C2</vt:lpstr>
      <vt:lpstr>ANV0089_C3</vt:lpstr>
      <vt:lpstr>ANV0089_C4</vt:lpstr>
      <vt:lpstr>ANV0089_C5</vt:lpstr>
      <vt:lpstr>ANV0093_C1</vt:lpstr>
      <vt:lpstr>ANV0093_C2</vt:lpstr>
      <vt:lpstr>ANV0093_C3</vt:lpstr>
      <vt:lpstr>ANV0093_C4</vt:lpstr>
      <vt:lpstr>ANV0093_C5</vt:lpstr>
      <vt:lpstr>ANV0097_C1</vt:lpstr>
      <vt:lpstr>ANV0097_C2</vt:lpstr>
      <vt:lpstr>ANV0097_C3</vt:lpstr>
      <vt:lpstr>ANV0097_C4</vt:lpstr>
      <vt:lpstr>ANV0097_C5</vt:lpstr>
      <vt:lpstr>ANV0101_C1</vt:lpstr>
      <vt:lpstr>ANV0101_C2</vt:lpstr>
      <vt:lpstr>ANV0101_C3</vt:lpstr>
      <vt:lpstr>ANV0101_C4</vt:lpstr>
      <vt:lpstr>ANV0101_C5</vt:lpstr>
      <vt:lpstr>ANV0102_C1</vt:lpstr>
      <vt:lpstr>ANV0102_C2</vt:lpstr>
      <vt:lpstr>ANV0102_C3</vt:lpstr>
      <vt:lpstr>ANV0102_C4</vt:lpstr>
      <vt:lpstr>ANV0102_C5</vt:lpstr>
      <vt:lpstr>ANV0103_C1</vt:lpstr>
      <vt:lpstr>ANV0103_C2</vt:lpstr>
      <vt:lpstr>ANV0103_C3</vt:lpstr>
      <vt:lpstr>ANV0103_C4</vt:lpstr>
      <vt:lpstr>ANV0103_C5</vt:lpstr>
      <vt:lpstr>ANV0104_C1</vt:lpstr>
      <vt:lpstr>ANV0104_C2</vt:lpstr>
      <vt:lpstr>ANV0104_C3</vt:lpstr>
      <vt:lpstr>ANV0104_C4</vt:lpstr>
      <vt:lpstr>ANV0104_C5</vt:lpstr>
      <vt:lpstr>ANV0105_C1</vt:lpstr>
      <vt:lpstr>ANV0105_C2</vt:lpstr>
      <vt:lpstr>ANV0105_C3</vt:lpstr>
      <vt:lpstr>ANV0105_C4</vt:lpstr>
      <vt:lpstr>ANV0105_C5</vt:lpstr>
      <vt:lpstr>ANV0106_C1</vt:lpstr>
      <vt:lpstr>ANV0106_C2</vt:lpstr>
      <vt:lpstr>ANV0106_C3</vt:lpstr>
      <vt:lpstr>ANV0106_C4</vt:lpstr>
      <vt:lpstr>ANV0106_C5</vt:lpstr>
      <vt:lpstr>ANV0107_C1</vt:lpstr>
      <vt:lpstr>ANV0107_C2</vt:lpstr>
      <vt:lpstr>ANV0107_C3</vt:lpstr>
      <vt:lpstr>ANV0107_C4</vt:lpstr>
      <vt:lpstr>ANV0107_C5</vt:lpstr>
      <vt:lpstr>ANV0108_C1</vt:lpstr>
      <vt:lpstr>ANV0108_C2</vt:lpstr>
      <vt:lpstr>ANV0108_C3</vt:lpstr>
      <vt:lpstr>ANV0108_C4</vt:lpstr>
      <vt:lpstr>ANV0108_C5</vt:lpstr>
      <vt:lpstr>ANV0111_C1</vt:lpstr>
      <vt:lpstr>ANV0111_C2</vt:lpstr>
      <vt:lpstr>ANV0111_C3</vt:lpstr>
      <vt:lpstr>ANV0111_C4</vt:lpstr>
      <vt:lpstr>ANV0111_C5</vt:lpstr>
      <vt:lpstr>ANV0112_C1</vt:lpstr>
      <vt:lpstr>ANV0112_C2</vt:lpstr>
      <vt:lpstr>ANV0112_C3</vt:lpstr>
      <vt:lpstr>ANV0112_C4</vt:lpstr>
      <vt:lpstr>ANV0112_C5</vt:lpstr>
      <vt:lpstr>ANV0113_C1</vt:lpstr>
      <vt:lpstr>ANV0113_C2</vt:lpstr>
      <vt:lpstr>ANV0113_C3</vt:lpstr>
      <vt:lpstr>ANV0113_C4</vt:lpstr>
      <vt:lpstr>ANV0113_C5</vt:lpstr>
      <vt:lpstr>ANV0114_C1</vt:lpstr>
      <vt:lpstr>ANV0114_C2</vt:lpstr>
      <vt:lpstr>ANV0114_C3</vt:lpstr>
      <vt:lpstr>ANV0114_C4</vt:lpstr>
      <vt:lpstr>ANV0114_C5</vt:lpstr>
      <vt:lpstr>ANV0115_C1</vt:lpstr>
      <vt:lpstr>ANV0115_C2</vt:lpstr>
      <vt:lpstr>ANV0115_C3</vt:lpstr>
      <vt:lpstr>ANV0115_C4</vt:lpstr>
      <vt:lpstr>ANV0115_C5</vt:lpstr>
      <vt:lpstr>ANV0116_C1</vt:lpstr>
      <vt:lpstr>ANV0116_C2</vt:lpstr>
      <vt:lpstr>ANV0116_C3</vt:lpstr>
      <vt:lpstr>ANV0116_C4</vt:lpstr>
      <vt:lpstr>ANV0116_C5</vt:lpstr>
      <vt:lpstr>ANV0122_C1</vt:lpstr>
      <vt:lpstr>ANV0122_C2</vt:lpstr>
      <vt:lpstr>ANV0122_C3</vt:lpstr>
      <vt:lpstr>ANV0122_C4</vt:lpstr>
      <vt:lpstr>ANV0122_C5</vt:lpstr>
      <vt:lpstr>ANV0128_C1</vt:lpstr>
      <vt:lpstr>ANV0128_C2</vt:lpstr>
      <vt:lpstr>ANV0128_C3</vt:lpstr>
      <vt:lpstr>ANV0128_C4</vt:lpstr>
      <vt:lpstr>ANV0128_C5</vt:lpstr>
      <vt:lpstr>ANV0134_C1</vt:lpstr>
      <vt:lpstr>ANV0134_C2</vt:lpstr>
      <vt:lpstr>ANV0134_C3</vt:lpstr>
      <vt:lpstr>ANV0134_C4</vt:lpstr>
      <vt:lpstr>ANV0134_C5</vt:lpstr>
      <vt:lpstr>ANV0140_C1</vt:lpstr>
      <vt:lpstr>ANV0140_C2</vt:lpstr>
      <vt:lpstr>ANV0140_C3</vt:lpstr>
      <vt:lpstr>ANV0140_C4</vt:lpstr>
      <vt:lpstr>ANV0140_C5</vt:lpstr>
      <vt:lpstr>ANV0141_C1</vt:lpstr>
      <vt:lpstr>ANV0141_C2</vt:lpstr>
      <vt:lpstr>ANV0141_C3</vt:lpstr>
      <vt:lpstr>ANV0141_C4</vt:lpstr>
      <vt:lpstr>ANV0141_C5</vt:lpstr>
      <vt:lpstr>ANV0142_C1</vt:lpstr>
      <vt:lpstr>ANV0142_C2</vt:lpstr>
      <vt:lpstr>ANV0142_C3</vt:lpstr>
      <vt:lpstr>ANV0142_C4</vt:lpstr>
      <vt:lpstr>ANV0142_C5</vt:lpstr>
      <vt:lpstr>ANV0143_C1</vt:lpstr>
      <vt:lpstr>ANV0143_C2</vt:lpstr>
      <vt:lpstr>ANV0143_C3</vt:lpstr>
      <vt:lpstr>ANV0143_C4</vt:lpstr>
      <vt:lpstr>ANV0143_C5</vt:lpstr>
      <vt:lpstr>ANV0144_C1</vt:lpstr>
      <vt:lpstr>ANV0144_C2</vt:lpstr>
      <vt:lpstr>ANV0144_C3</vt:lpstr>
      <vt:lpstr>ANV0144_C4</vt:lpstr>
      <vt:lpstr>ANV0144_C5</vt:lpstr>
      <vt:lpstr>ANV0145_C1</vt:lpstr>
      <vt:lpstr>ANV0145_C2</vt:lpstr>
      <vt:lpstr>ANV0145_C3</vt:lpstr>
      <vt:lpstr>ANV0145_C4</vt:lpstr>
      <vt:lpstr>ANV0145_C5</vt:lpstr>
      <vt:lpstr>ANV0146_C1</vt:lpstr>
      <vt:lpstr>ANV0146_C2</vt:lpstr>
      <vt:lpstr>ANV0146_C3</vt:lpstr>
      <vt:lpstr>ANV0146_C4</vt:lpstr>
      <vt:lpstr>ANV0146_C5</vt:lpstr>
      <vt:lpstr>ANV0153_C1</vt:lpstr>
      <vt:lpstr>ANV0153_C2</vt:lpstr>
      <vt:lpstr>ANV0153_C3</vt:lpstr>
      <vt:lpstr>ANV0153_C4</vt:lpstr>
      <vt:lpstr>ANV0153_C5</vt:lpstr>
      <vt:lpstr>ANV0154_C1</vt:lpstr>
      <vt:lpstr>ANV0154_C2</vt:lpstr>
      <vt:lpstr>ANV0154_C3</vt:lpstr>
      <vt:lpstr>ANV0154_C4</vt:lpstr>
      <vt:lpstr>ANV0154_C5</vt:lpstr>
      <vt:lpstr>ANV0155_C1</vt:lpstr>
      <vt:lpstr>ANV0155_C2</vt:lpstr>
      <vt:lpstr>ANV0155_C3</vt:lpstr>
      <vt:lpstr>ANV0155_C4</vt:lpstr>
      <vt:lpstr>ANV0155_C5</vt:lpstr>
      <vt:lpstr>ANV0156_C1</vt:lpstr>
      <vt:lpstr>ANV0156_C2</vt:lpstr>
      <vt:lpstr>ANV0156_C3</vt:lpstr>
      <vt:lpstr>ANV0156_C4</vt:lpstr>
      <vt:lpstr>ANV0156_C5</vt:lpstr>
      <vt:lpstr>ANV0157_C1</vt:lpstr>
      <vt:lpstr>ANV0157_C2</vt:lpstr>
      <vt:lpstr>ANV0157_C3</vt:lpstr>
      <vt:lpstr>ANV0157_C4</vt:lpstr>
      <vt:lpstr>ANV0157_C5</vt:lpstr>
      <vt:lpstr>ANV0158_C1</vt:lpstr>
      <vt:lpstr>ANV0158_C2</vt:lpstr>
      <vt:lpstr>ANV0158_C3</vt:lpstr>
      <vt:lpstr>ANV0158_C4</vt:lpstr>
      <vt:lpstr>ANV0158_C5</vt:lpstr>
      <vt:lpstr>ANV0159_C1</vt:lpstr>
      <vt:lpstr>ANV0159_C2</vt:lpstr>
      <vt:lpstr>ANV0159_C3</vt:lpstr>
      <vt:lpstr>ANV0159_C4</vt:lpstr>
      <vt:lpstr>ANV0159_C5</vt:lpstr>
      <vt:lpstr>ANV0160_C1</vt:lpstr>
      <vt:lpstr>ANV0160_C2</vt:lpstr>
      <vt:lpstr>ANV0160_C3</vt:lpstr>
      <vt:lpstr>ANV0160_C4</vt:lpstr>
      <vt:lpstr>ANV0160_C5</vt:lpstr>
      <vt:lpstr>ANV0161_C1</vt:lpstr>
      <vt:lpstr>ANV0161_C2</vt:lpstr>
      <vt:lpstr>ANV0161_C3</vt:lpstr>
      <vt:lpstr>ANV0161_C4</vt:lpstr>
      <vt:lpstr>ANV0161_C5</vt:lpstr>
      <vt:lpstr>ANV0162_C1</vt:lpstr>
      <vt:lpstr>ANV0162_C2</vt:lpstr>
      <vt:lpstr>ANV0162_C3</vt:lpstr>
      <vt:lpstr>ANV0162_C4</vt:lpstr>
      <vt:lpstr>ANV0162_C5</vt:lpstr>
      <vt:lpstr>ANV0169_C1</vt:lpstr>
      <vt:lpstr>ANV0169_C2</vt:lpstr>
      <vt:lpstr>ANV0169_C3</vt:lpstr>
      <vt:lpstr>ANV0169_C4</vt:lpstr>
      <vt:lpstr>ANV0169_C5</vt:lpstr>
      <vt:lpstr>ANV0170_C1</vt:lpstr>
      <vt:lpstr>ANV0170_C2</vt:lpstr>
      <vt:lpstr>ANV0170_C3</vt:lpstr>
      <vt:lpstr>ANV0170_C4</vt:lpstr>
      <vt:lpstr>ANV0170_C5</vt:lpstr>
      <vt:lpstr>ANV0172_C1</vt:lpstr>
      <vt:lpstr>ANV0172_C2</vt:lpstr>
      <vt:lpstr>ANV0172_C3</vt:lpstr>
      <vt:lpstr>ANV0172_C4</vt:lpstr>
      <vt:lpstr>ANV0172_C5</vt:lpstr>
      <vt:lpstr>ANV0173_C1</vt:lpstr>
      <vt:lpstr>ANV0173_C2</vt:lpstr>
      <vt:lpstr>ANV0173_C3</vt:lpstr>
      <vt:lpstr>ANV0173_C4</vt:lpstr>
      <vt:lpstr>ANV0173_C5</vt:lpstr>
      <vt:lpstr>ANW0001_C1</vt:lpstr>
      <vt:lpstr>ANW0001_C2</vt:lpstr>
      <vt:lpstr>ANW0001_C3</vt:lpstr>
      <vt:lpstr>ANW0001_C4</vt:lpstr>
      <vt:lpstr>ANW0001_C5</vt:lpstr>
      <vt:lpstr>ANW0002_C1</vt:lpstr>
      <vt:lpstr>ANW0002_C2</vt:lpstr>
      <vt:lpstr>ANW0002_C3</vt:lpstr>
      <vt:lpstr>ANW0002_C4</vt:lpstr>
      <vt:lpstr>ANW0002_C5</vt:lpstr>
      <vt:lpstr>ANW0004_C1</vt:lpstr>
      <vt:lpstr>ANW0004_C2</vt:lpstr>
      <vt:lpstr>ANW0004_C3</vt:lpstr>
      <vt:lpstr>ANW0004_C4</vt:lpstr>
      <vt:lpstr>ANW0004_C5</vt:lpstr>
      <vt:lpstr>ANW0004X_C1</vt:lpstr>
      <vt:lpstr>ANW0004X_C2</vt:lpstr>
      <vt:lpstr>ANW0004X_C3</vt:lpstr>
      <vt:lpstr>ANW0004X_C4</vt:lpstr>
      <vt:lpstr>ANW0004X_C5</vt:lpstr>
      <vt:lpstr>ANW0010_C1</vt:lpstr>
      <vt:lpstr>ANW0010_C2</vt:lpstr>
      <vt:lpstr>ANW0010_C3</vt:lpstr>
      <vt:lpstr>ANW0010_C4</vt:lpstr>
      <vt:lpstr>ANW0010_C5</vt:lpstr>
      <vt:lpstr>API0007_C1</vt:lpstr>
      <vt:lpstr>API0007_C2</vt:lpstr>
      <vt:lpstr>API0007_C3</vt:lpstr>
      <vt:lpstr>API0007_C4</vt:lpstr>
      <vt:lpstr>API0007_C5</vt:lpstr>
      <vt:lpstr>API0008_C1</vt:lpstr>
      <vt:lpstr>API0008_C2</vt:lpstr>
      <vt:lpstr>API0008_C3</vt:lpstr>
      <vt:lpstr>API0008_C4</vt:lpstr>
      <vt:lpstr>API0008_C5</vt:lpstr>
      <vt:lpstr>API0009_C1</vt:lpstr>
      <vt:lpstr>API0009_C2</vt:lpstr>
      <vt:lpstr>API0009_C3</vt:lpstr>
      <vt:lpstr>API0009_C4</vt:lpstr>
      <vt:lpstr>API0009_C5</vt:lpstr>
      <vt:lpstr>ARB0012_C1</vt:lpstr>
      <vt:lpstr>ARB0012_C2</vt:lpstr>
      <vt:lpstr>ARB0012_C3</vt:lpstr>
      <vt:lpstr>ARB0012_C4</vt:lpstr>
      <vt:lpstr>ARB0012_C5</vt:lpstr>
      <vt:lpstr>ARB0171_C1</vt:lpstr>
      <vt:lpstr>ARB0171_C2</vt:lpstr>
      <vt:lpstr>ARB0171_C3</vt:lpstr>
      <vt:lpstr>ARB0171_C4</vt:lpstr>
      <vt:lpstr>ARB0171_C5</vt:lpstr>
      <vt:lpstr>ARB0172_C1</vt:lpstr>
      <vt:lpstr>ARB0172_C2</vt:lpstr>
      <vt:lpstr>ARB0172_C3</vt:lpstr>
      <vt:lpstr>ARB0172_C4</vt:lpstr>
      <vt:lpstr>ARB0172_C5</vt:lpstr>
      <vt:lpstr>ARL0002_C1</vt:lpstr>
      <vt:lpstr>ARL0002_C2</vt:lpstr>
      <vt:lpstr>ARL0002_C3</vt:lpstr>
      <vt:lpstr>ARL0002_C4</vt:lpstr>
      <vt:lpstr>ARL0002_C5</vt:lpstr>
      <vt:lpstr>ARL0003_C1</vt:lpstr>
      <vt:lpstr>ARL0003_C2</vt:lpstr>
      <vt:lpstr>ARL0003_C3</vt:lpstr>
      <vt:lpstr>ARL0003_C4</vt:lpstr>
      <vt:lpstr>ARL0003_C5</vt:lpstr>
      <vt:lpstr>ARL0005_C1</vt:lpstr>
      <vt:lpstr>ARL0005_C2</vt:lpstr>
      <vt:lpstr>ARL0005_C3</vt:lpstr>
      <vt:lpstr>ARL0005_C4</vt:lpstr>
      <vt:lpstr>ARL0005_C5</vt:lpstr>
      <vt:lpstr>ARL0006_C1</vt:lpstr>
      <vt:lpstr>ARL0006_C2</vt:lpstr>
      <vt:lpstr>ARL0006_C3</vt:lpstr>
      <vt:lpstr>ARL0006_C4</vt:lpstr>
      <vt:lpstr>ARL0006_C5</vt:lpstr>
      <vt:lpstr>ARL0008_C1</vt:lpstr>
      <vt:lpstr>ARL0008_C2</vt:lpstr>
      <vt:lpstr>ARL0008_C3</vt:lpstr>
      <vt:lpstr>ARL0008_C4</vt:lpstr>
      <vt:lpstr>ARL0008_C5</vt:lpstr>
      <vt:lpstr>ARL0009_C1</vt:lpstr>
      <vt:lpstr>ARL0009_C2</vt:lpstr>
      <vt:lpstr>ARL0009_C3</vt:lpstr>
      <vt:lpstr>ARL0009_C4</vt:lpstr>
      <vt:lpstr>ARL0009_C5</vt:lpstr>
      <vt:lpstr>ARL0011_C1</vt:lpstr>
      <vt:lpstr>ARL0011_C2</vt:lpstr>
      <vt:lpstr>ARL0011_C3</vt:lpstr>
      <vt:lpstr>ARL0011_C4</vt:lpstr>
      <vt:lpstr>ARL0011_C5</vt:lpstr>
      <vt:lpstr>ARL0012_C1</vt:lpstr>
      <vt:lpstr>ARL0012_C2</vt:lpstr>
      <vt:lpstr>ARL0012_C3</vt:lpstr>
      <vt:lpstr>ARL0012_C4</vt:lpstr>
      <vt:lpstr>ARL0012_C5</vt:lpstr>
      <vt:lpstr>ARL0014_C1</vt:lpstr>
      <vt:lpstr>ARL0014_C2</vt:lpstr>
      <vt:lpstr>ARL0014_C3</vt:lpstr>
      <vt:lpstr>ARL0014_C4</vt:lpstr>
      <vt:lpstr>ARL0014_C5</vt:lpstr>
      <vt:lpstr>ARL0015_C1</vt:lpstr>
      <vt:lpstr>ARL0015_C2</vt:lpstr>
      <vt:lpstr>ARL0015_C3</vt:lpstr>
      <vt:lpstr>ARL0015_C4</vt:lpstr>
      <vt:lpstr>ARL0015_C5</vt:lpstr>
      <vt:lpstr>ARL0016_C1</vt:lpstr>
      <vt:lpstr>ARL0016_C2</vt:lpstr>
      <vt:lpstr>ARL0016_C3</vt:lpstr>
      <vt:lpstr>ARL0016_C4</vt:lpstr>
      <vt:lpstr>ARL0016_C5</vt:lpstr>
      <vt:lpstr>ARL0017_C1</vt:lpstr>
      <vt:lpstr>ARL0017_C2</vt:lpstr>
      <vt:lpstr>ARL0017_C3</vt:lpstr>
      <vt:lpstr>ARL0017_C4</vt:lpstr>
      <vt:lpstr>ARL0017_C5</vt:lpstr>
      <vt:lpstr>ARL0019_C1</vt:lpstr>
      <vt:lpstr>ARL0019_C2</vt:lpstr>
      <vt:lpstr>ARL0019_C3</vt:lpstr>
      <vt:lpstr>ARL0019_C4</vt:lpstr>
      <vt:lpstr>ARL0019_C5</vt:lpstr>
      <vt:lpstr>ARL0020_C1</vt:lpstr>
      <vt:lpstr>ARL0020_C2</vt:lpstr>
      <vt:lpstr>ARL0020_C3</vt:lpstr>
      <vt:lpstr>ARL0020_C4</vt:lpstr>
      <vt:lpstr>ARL0020_C5</vt:lpstr>
      <vt:lpstr>ARL0022_C1</vt:lpstr>
      <vt:lpstr>ARL0022_C2</vt:lpstr>
      <vt:lpstr>ARL0022_C3</vt:lpstr>
      <vt:lpstr>ARL0022_C4</vt:lpstr>
      <vt:lpstr>ARL0022_C5</vt:lpstr>
      <vt:lpstr>ARL0023_C1</vt:lpstr>
      <vt:lpstr>ARL0023_C2</vt:lpstr>
      <vt:lpstr>ARL0023_C3</vt:lpstr>
      <vt:lpstr>ARL0023_C4</vt:lpstr>
      <vt:lpstr>ARL0023_C5</vt:lpstr>
      <vt:lpstr>ARL0025_C1</vt:lpstr>
      <vt:lpstr>ARL0025_C2</vt:lpstr>
      <vt:lpstr>ARL0025_C3</vt:lpstr>
      <vt:lpstr>ARL0025_C4</vt:lpstr>
      <vt:lpstr>ARL0025_C5</vt:lpstr>
      <vt:lpstr>ARL0026_C1</vt:lpstr>
      <vt:lpstr>ARL0026_C2</vt:lpstr>
      <vt:lpstr>ARL0026_C3</vt:lpstr>
      <vt:lpstr>ARL0026_C4</vt:lpstr>
      <vt:lpstr>ARL0026_C5</vt:lpstr>
      <vt:lpstr>ARL0028_C1</vt:lpstr>
      <vt:lpstr>ARL0028_C2</vt:lpstr>
      <vt:lpstr>ARL0028_C3</vt:lpstr>
      <vt:lpstr>ARL0028_C4</vt:lpstr>
      <vt:lpstr>ARL0028_C5</vt:lpstr>
      <vt:lpstr>ARL0029_C1</vt:lpstr>
      <vt:lpstr>ARL0029_C2</vt:lpstr>
      <vt:lpstr>ARL0029_C3</vt:lpstr>
      <vt:lpstr>ARL0029_C4</vt:lpstr>
      <vt:lpstr>ARL0029_C5</vt:lpstr>
      <vt:lpstr>ARL0030_C1</vt:lpstr>
      <vt:lpstr>ARL0030_C2</vt:lpstr>
      <vt:lpstr>ARL0030_C3</vt:lpstr>
      <vt:lpstr>ARL0030_C4</vt:lpstr>
      <vt:lpstr>ARL0030_C5</vt:lpstr>
      <vt:lpstr>ARL0031_C1</vt:lpstr>
      <vt:lpstr>ARL0031_C2</vt:lpstr>
      <vt:lpstr>ARL0031_C3</vt:lpstr>
      <vt:lpstr>ARL0031_C4</vt:lpstr>
      <vt:lpstr>ARL0031_C5</vt:lpstr>
      <vt:lpstr>ARL0033_C1</vt:lpstr>
      <vt:lpstr>ARL0033_C2</vt:lpstr>
      <vt:lpstr>ARL0033_C3</vt:lpstr>
      <vt:lpstr>ARL0033_C4</vt:lpstr>
      <vt:lpstr>ARL0033_C5</vt:lpstr>
      <vt:lpstr>ARL0034_C1</vt:lpstr>
      <vt:lpstr>ARL0034_C2</vt:lpstr>
      <vt:lpstr>ARL0034_C3</vt:lpstr>
      <vt:lpstr>ARL0034_C4</vt:lpstr>
      <vt:lpstr>ARL0034_C5</vt:lpstr>
      <vt:lpstr>ARL0036_C1</vt:lpstr>
      <vt:lpstr>ARL0036_C2</vt:lpstr>
      <vt:lpstr>ARL0036_C3</vt:lpstr>
      <vt:lpstr>ARL0036_C4</vt:lpstr>
      <vt:lpstr>ARL0036_C5</vt:lpstr>
      <vt:lpstr>ARL0037_C1</vt:lpstr>
      <vt:lpstr>ARL0037_C2</vt:lpstr>
      <vt:lpstr>ARL0037_C3</vt:lpstr>
      <vt:lpstr>ARL0037_C4</vt:lpstr>
      <vt:lpstr>ARL0037_C5</vt:lpstr>
      <vt:lpstr>ARL0039_C1</vt:lpstr>
      <vt:lpstr>ARL0039_C2</vt:lpstr>
      <vt:lpstr>ARL0039_C3</vt:lpstr>
      <vt:lpstr>ARL0039_C4</vt:lpstr>
      <vt:lpstr>ARL0039_C5</vt:lpstr>
      <vt:lpstr>ARL0040_C1</vt:lpstr>
      <vt:lpstr>ARL0040_C2</vt:lpstr>
      <vt:lpstr>ARL0040_C3</vt:lpstr>
      <vt:lpstr>ARL0040_C4</vt:lpstr>
      <vt:lpstr>ARL0040_C5</vt:lpstr>
      <vt:lpstr>ARL0042_C1</vt:lpstr>
      <vt:lpstr>ARL0042_C2</vt:lpstr>
      <vt:lpstr>ARL0042_C3</vt:lpstr>
      <vt:lpstr>ARL0042_C4</vt:lpstr>
      <vt:lpstr>ARL0042_C5</vt:lpstr>
      <vt:lpstr>ARL0043_C1</vt:lpstr>
      <vt:lpstr>ARL0043_C2</vt:lpstr>
      <vt:lpstr>ARL0043_C3</vt:lpstr>
      <vt:lpstr>ARL0043_C4</vt:lpstr>
      <vt:lpstr>ARL0043_C5</vt:lpstr>
      <vt:lpstr>ARL0044_C1</vt:lpstr>
      <vt:lpstr>ARL0044_C2</vt:lpstr>
      <vt:lpstr>ARL0044_C3</vt:lpstr>
      <vt:lpstr>ARL0044_C4</vt:lpstr>
      <vt:lpstr>ARL0044_C5</vt:lpstr>
      <vt:lpstr>ARL0045_C1</vt:lpstr>
      <vt:lpstr>ARL0045_C2</vt:lpstr>
      <vt:lpstr>ARL0045_C3</vt:lpstr>
      <vt:lpstr>ARL0045_C4</vt:lpstr>
      <vt:lpstr>ARL0045_C5</vt:lpstr>
      <vt:lpstr>ARL0046_C1</vt:lpstr>
      <vt:lpstr>ARL0046_C2</vt:lpstr>
      <vt:lpstr>ARL0046_C3</vt:lpstr>
      <vt:lpstr>ARL0046_C4</vt:lpstr>
      <vt:lpstr>ARL0046_C5</vt:lpstr>
      <vt:lpstr>ARL0047_C1</vt:lpstr>
      <vt:lpstr>ARL0047_C2</vt:lpstr>
      <vt:lpstr>ARL0047_C3</vt:lpstr>
      <vt:lpstr>ARL0047_C4</vt:lpstr>
      <vt:lpstr>ARL0047_C5</vt:lpstr>
      <vt:lpstr>ARL0048_C1</vt:lpstr>
      <vt:lpstr>ARL0048_C2</vt:lpstr>
      <vt:lpstr>ARL0048_C3</vt:lpstr>
      <vt:lpstr>ARL0048_C4</vt:lpstr>
      <vt:lpstr>ARL0048_C5</vt:lpstr>
      <vt:lpstr>ARL0050_C1</vt:lpstr>
      <vt:lpstr>ARL0050_C2</vt:lpstr>
      <vt:lpstr>ARL0050_C3</vt:lpstr>
      <vt:lpstr>ARL0050_C4</vt:lpstr>
      <vt:lpstr>ARL0050_C5</vt:lpstr>
      <vt:lpstr>ASH0013_C1</vt:lpstr>
      <vt:lpstr>ASH0013_C2</vt:lpstr>
      <vt:lpstr>ASH0013_C3</vt:lpstr>
      <vt:lpstr>ASH0013_C4</vt:lpstr>
      <vt:lpstr>ASH0013_C5</vt:lpstr>
      <vt:lpstr>ASH0018_C1</vt:lpstr>
      <vt:lpstr>ASH0018_C2</vt:lpstr>
      <vt:lpstr>ASH0018_C3</vt:lpstr>
      <vt:lpstr>ASH0018_C4</vt:lpstr>
      <vt:lpstr>ASH0018_C5</vt:lpstr>
      <vt:lpstr>ASH0880_C1</vt:lpstr>
      <vt:lpstr>ASH0880_C2</vt:lpstr>
      <vt:lpstr>ASH0880_C3</vt:lpstr>
      <vt:lpstr>ASH0880_C4</vt:lpstr>
      <vt:lpstr>ASH0880_C5</vt:lpstr>
      <vt:lpstr>ASL0003_C1</vt:lpstr>
      <vt:lpstr>ASL0003_C2</vt:lpstr>
      <vt:lpstr>ASL0003_C3</vt:lpstr>
      <vt:lpstr>ASL0003_C4</vt:lpstr>
      <vt:lpstr>ASL0003_C5</vt:lpstr>
      <vt:lpstr>ASL0012_C1</vt:lpstr>
      <vt:lpstr>ASL0012_C2</vt:lpstr>
      <vt:lpstr>ASL0012_C3</vt:lpstr>
      <vt:lpstr>ASL0012_C4</vt:lpstr>
      <vt:lpstr>ASL0012_C5</vt:lpstr>
      <vt:lpstr>ASL0013_C1</vt:lpstr>
      <vt:lpstr>ASL0013_C2</vt:lpstr>
      <vt:lpstr>ASL0013_C3</vt:lpstr>
      <vt:lpstr>ASL0013_C4</vt:lpstr>
      <vt:lpstr>ASL0013_C5</vt:lpstr>
      <vt:lpstr>ASL0014_C1</vt:lpstr>
      <vt:lpstr>ASL0014_C2</vt:lpstr>
      <vt:lpstr>ASL0014_C3</vt:lpstr>
      <vt:lpstr>ASL0014_C4</vt:lpstr>
      <vt:lpstr>ASL0014_C5</vt:lpstr>
      <vt:lpstr>ASL0015_C1</vt:lpstr>
      <vt:lpstr>ASL0015_C2</vt:lpstr>
      <vt:lpstr>ASL0015_C3</vt:lpstr>
      <vt:lpstr>ASL0015_C4</vt:lpstr>
      <vt:lpstr>ASL0015_C5</vt:lpstr>
      <vt:lpstr>ASL0017_C1</vt:lpstr>
      <vt:lpstr>ASL0017_C2</vt:lpstr>
      <vt:lpstr>ASL0017_C3</vt:lpstr>
      <vt:lpstr>ASL0017_C4</vt:lpstr>
      <vt:lpstr>ASL0017_C5</vt:lpstr>
      <vt:lpstr>ASL0018_C1</vt:lpstr>
      <vt:lpstr>ASL0018_C2</vt:lpstr>
      <vt:lpstr>ASL0018_C3</vt:lpstr>
      <vt:lpstr>ASL0018_C4</vt:lpstr>
      <vt:lpstr>ASL0018_C5</vt:lpstr>
      <vt:lpstr>ASL0019_C1</vt:lpstr>
      <vt:lpstr>ASL0019_C2</vt:lpstr>
      <vt:lpstr>ASL0019_C3</vt:lpstr>
      <vt:lpstr>ASL0019_C4</vt:lpstr>
      <vt:lpstr>ASL0019_C5</vt:lpstr>
      <vt:lpstr>ASL0020_C1</vt:lpstr>
      <vt:lpstr>ASL0020_C2</vt:lpstr>
      <vt:lpstr>ASL0020_C3</vt:lpstr>
      <vt:lpstr>ASL0020_C4</vt:lpstr>
      <vt:lpstr>ASL0020_C5</vt:lpstr>
      <vt:lpstr>ASL0021_C1</vt:lpstr>
      <vt:lpstr>ASL0021_C2</vt:lpstr>
      <vt:lpstr>ASL0021_C3</vt:lpstr>
      <vt:lpstr>ASL0021_C4</vt:lpstr>
      <vt:lpstr>ASL0021_C5</vt:lpstr>
      <vt:lpstr>ASL0022_C1</vt:lpstr>
      <vt:lpstr>ASL0022_C2</vt:lpstr>
      <vt:lpstr>ASL0022_C3</vt:lpstr>
      <vt:lpstr>ASL0022_C4</vt:lpstr>
      <vt:lpstr>ASL0022_C5</vt:lpstr>
      <vt:lpstr>ASL0023_C1</vt:lpstr>
      <vt:lpstr>ASL0023_C2</vt:lpstr>
      <vt:lpstr>ASL0023_C3</vt:lpstr>
      <vt:lpstr>ASL0023_C4</vt:lpstr>
      <vt:lpstr>ASL0023_C5</vt:lpstr>
      <vt:lpstr>ASL0024_C1</vt:lpstr>
      <vt:lpstr>ASL0024_C2</vt:lpstr>
      <vt:lpstr>ASL0024_C3</vt:lpstr>
      <vt:lpstr>ASL0024_C4</vt:lpstr>
      <vt:lpstr>ASL0024_C5</vt:lpstr>
      <vt:lpstr>ASL0026_C1</vt:lpstr>
      <vt:lpstr>ASL0026_C2</vt:lpstr>
      <vt:lpstr>ASL0026_C3</vt:lpstr>
      <vt:lpstr>ASL0026_C4</vt:lpstr>
      <vt:lpstr>ASL0026_C5</vt:lpstr>
      <vt:lpstr>ASL0028_C1</vt:lpstr>
      <vt:lpstr>ASL0028_C2</vt:lpstr>
      <vt:lpstr>ASL0028_C3</vt:lpstr>
      <vt:lpstr>ASL0028_C4</vt:lpstr>
      <vt:lpstr>ASL0028_C5</vt:lpstr>
      <vt:lpstr>ASL0029_C1</vt:lpstr>
      <vt:lpstr>ASL0029_C2</vt:lpstr>
      <vt:lpstr>ASL0029_C3</vt:lpstr>
      <vt:lpstr>ASL0029_C4</vt:lpstr>
      <vt:lpstr>ASL0029_C5</vt:lpstr>
      <vt:lpstr>ASL0030_C1</vt:lpstr>
      <vt:lpstr>ASL0030_C2</vt:lpstr>
      <vt:lpstr>ASL0030_C3</vt:lpstr>
      <vt:lpstr>ASL0030_C4</vt:lpstr>
      <vt:lpstr>ASL0030_C5</vt:lpstr>
      <vt:lpstr>ASL0032_C1</vt:lpstr>
      <vt:lpstr>ASL0032_C2</vt:lpstr>
      <vt:lpstr>ASL0032_C3</vt:lpstr>
      <vt:lpstr>ASL0032_C4</vt:lpstr>
      <vt:lpstr>ASL0032_C5</vt:lpstr>
      <vt:lpstr>ASL0033_C1</vt:lpstr>
      <vt:lpstr>ASL0033_C2</vt:lpstr>
      <vt:lpstr>ASL0033_C3</vt:lpstr>
      <vt:lpstr>ASL0033_C4</vt:lpstr>
      <vt:lpstr>ASL0033_C5</vt:lpstr>
      <vt:lpstr>ASL0034_C1</vt:lpstr>
      <vt:lpstr>ASL0034_C2</vt:lpstr>
      <vt:lpstr>ASL0034_C3</vt:lpstr>
      <vt:lpstr>ASL0034_C4</vt:lpstr>
      <vt:lpstr>ASL0034_C5</vt:lpstr>
      <vt:lpstr>ASL0035_C1</vt:lpstr>
      <vt:lpstr>ASL0035_C2</vt:lpstr>
      <vt:lpstr>ASL0035_C3</vt:lpstr>
      <vt:lpstr>ASL0035_C4</vt:lpstr>
      <vt:lpstr>ASL0035_C5</vt:lpstr>
      <vt:lpstr>ASL0036_C1</vt:lpstr>
      <vt:lpstr>ASL0036_C2</vt:lpstr>
      <vt:lpstr>ASL0036_C3</vt:lpstr>
      <vt:lpstr>ASL0036_C4</vt:lpstr>
      <vt:lpstr>ASL0036_C5</vt:lpstr>
      <vt:lpstr>ASL0037_C1</vt:lpstr>
      <vt:lpstr>ASL0037_C2</vt:lpstr>
      <vt:lpstr>ASL0037_C3</vt:lpstr>
      <vt:lpstr>ASL0037_C4</vt:lpstr>
      <vt:lpstr>ASL0037_C5</vt:lpstr>
      <vt:lpstr>ASL0038_C1</vt:lpstr>
      <vt:lpstr>ASL0038_C2</vt:lpstr>
      <vt:lpstr>ASL0038_C3</vt:lpstr>
      <vt:lpstr>ASL0038_C4</vt:lpstr>
      <vt:lpstr>ASL0038_C5</vt:lpstr>
      <vt:lpstr>ASL0039_C1</vt:lpstr>
      <vt:lpstr>ASL0039_C2</vt:lpstr>
      <vt:lpstr>ASL0039_C3</vt:lpstr>
      <vt:lpstr>ASL0039_C4</vt:lpstr>
      <vt:lpstr>ASL0039_C5</vt:lpstr>
      <vt:lpstr>ASL0041_C1</vt:lpstr>
      <vt:lpstr>ASL0041_C2</vt:lpstr>
      <vt:lpstr>ASL0041_C3</vt:lpstr>
      <vt:lpstr>ASL0041_C4</vt:lpstr>
      <vt:lpstr>ASL0041_C5</vt:lpstr>
      <vt:lpstr>ASL0043_C1</vt:lpstr>
      <vt:lpstr>ASL0043_C2</vt:lpstr>
      <vt:lpstr>ASL0043_C3</vt:lpstr>
      <vt:lpstr>ASL0043_C4</vt:lpstr>
      <vt:lpstr>ASL0043_C5</vt:lpstr>
      <vt:lpstr>ASL0045_C1</vt:lpstr>
      <vt:lpstr>ASL0045_C2</vt:lpstr>
      <vt:lpstr>ASL0045_C3</vt:lpstr>
      <vt:lpstr>ASL0045_C4</vt:lpstr>
      <vt:lpstr>ASL0045_C5</vt:lpstr>
      <vt:lpstr>ASL0047_C1</vt:lpstr>
      <vt:lpstr>ASL0047_C2</vt:lpstr>
      <vt:lpstr>ASL0047_C3</vt:lpstr>
      <vt:lpstr>ASL0047_C4</vt:lpstr>
      <vt:lpstr>ASL0047_C5</vt:lpstr>
      <vt:lpstr>ASL0049_C1</vt:lpstr>
      <vt:lpstr>ASL0049_C2</vt:lpstr>
      <vt:lpstr>ASL0049_C3</vt:lpstr>
      <vt:lpstr>ASL0049_C4</vt:lpstr>
      <vt:lpstr>ASL0049_C5</vt:lpstr>
      <vt:lpstr>ASL0051_C1</vt:lpstr>
      <vt:lpstr>ASL0051_C2</vt:lpstr>
      <vt:lpstr>ASL0051_C3</vt:lpstr>
      <vt:lpstr>ASL0051_C4</vt:lpstr>
      <vt:lpstr>ASL0051_C5</vt:lpstr>
      <vt:lpstr>ASL0053_C1</vt:lpstr>
      <vt:lpstr>ASL0053_C2</vt:lpstr>
      <vt:lpstr>ASL0053_C3</vt:lpstr>
      <vt:lpstr>ASL0053_C4</vt:lpstr>
      <vt:lpstr>ASL0053_C5</vt:lpstr>
      <vt:lpstr>ASL0055_C1</vt:lpstr>
      <vt:lpstr>ASL0055_C2</vt:lpstr>
      <vt:lpstr>ASL0055_C3</vt:lpstr>
      <vt:lpstr>ASL0055_C4</vt:lpstr>
      <vt:lpstr>ASL0055_C5</vt:lpstr>
      <vt:lpstr>ASL0056_C1</vt:lpstr>
      <vt:lpstr>ASL0056_C2</vt:lpstr>
      <vt:lpstr>ASL0056_C3</vt:lpstr>
      <vt:lpstr>ASL0056_C4</vt:lpstr>
      <vt:lpstr>ASL0056_C5</vt:lpstr>
      <vt:lpstr>ASL0057_C1</vt:lpstr>
      <vt:lpstr>ASL0057_C2</vt:lpstr>
      <vt:lpstr>ASL0057_C3</vt:lpstr>
      <vt:lpstr>ASL0057_C4</vt:lpstr>
      <vt:lpstr>ASL0057_C5</vt:lpstr>
      <vt:lpstr>ASL0058_C1</vt:lpstr>
      <vt:lpstr>ASL0058_C2</vt:lpstr>
      <vt:lpstr>ASL0058_C3</vt:lpstr>
      <vt:lpstr>ASL0058_C4</vt:lpstr>
      <vt:lpstr>ASL0058_C5</vt:lpstr>
      <vt:lpstr>ASL0059_C1</vt:lpstr>
      <vt:lpstr>ASL0059_C2</vt:lpstr>
      <vt:lpstr>ASL0059_C3</vt:lpstr>
      <vt:lpstr>ASL0059_C4</vt:lpstr>
      <vt:lpstr>ASL0059_C5</vt:lpstr>
      <vt:lpstr>AssetRange</vt:lpstr>
      <vt:lpstr>City</vt:lpstr>
      <vt:lpstr>CountCu_C1</vt:lpstr>
      <vt:lpstr>CountCu_C2</vt:lpstr>
      <vt:lpstr>CountCu_C3</vt:lpstr>
      <vt:lpstr>CountCu_C4</vt:lpstr>
      <vt:lpstr>CountCu_C5</vt:lpstr>
      <vt:lpstr>Criteria</vt:lpstr>
      <vt:lpstr>Cu_Name</vt:lpstr>
      <vt:lpstr>CU_NUMBER</vt:lpstr>
      <vt:lpstr>Cu_Type</vt:lpstr>
      <vt:lpstr>CycDat_C1</vt:lpstr>
      <vt:lpstr>CycDat_C2</vt:lpstr>
      <vt:lpstr>CycDat_C3</vt:lpstr>
      <vt:lpstr>CycDat_C4</vt:lpstr>
      <vt:lpstr>CycDat_C5</vt:lpstr>
      <vt:lpstr>Cycle_date_C1</vt:lpstr>
      <vt:lpstr>Cycle_date_C2</vt:lpstr>
      <vt:lpstr>Cycle_date_C3</vt:lpstr>
      <vt:lpstr>Cycle_date_C4</vt:lpstr>
      <vt:lpstr>Cycle_date_C5</vt:lpstr>
      <vt:lpstr>Date1</vt:lpstr>
      <vt:lpstr>Date2</vt:lpstr>
      <vt:lpstr>DATE3</vt:lpstr>
      <vt:lpstr>DATE4</vt:lpstr>
      <vt:lpstr>District</vt:lpstr>
      <vt:lpstr>DT0001_C1</vt:lpstr>
      <vt:lpstr>DT0001_C2</vt:lpstr>
      <vt:lpstr>DT0001_C3</vt:lpstr>
      <vt:lpstr>DT0001_C4</vt:lpstr>
      <vt:lpstr>DT0001_C5</vt:lpstr>
      <vt:lpstr>DT0002_C1</vt:lpstr>
      <vt:lpstr>DT0002_C2</vt:lpstr>
      <vt:lpstr>DT0002_C3</vt:lpstr>
      <vt:lpstr>DT0002_C4</vt:lpstr>
      <vt:lpstr>DT0002_C5</vt:lpstr>
      <vt:lpstr>DT0003_C1</vt:lpstr>
      <vt:lpstr>DT0003_C2</vt:lpstr>
      <vt:lpstr>DT0003_C3</vt:lpstr>
      <vt:lpstr>DT0003_C4</vt:lpstr>
      <vt:lpstr>DT0003_C5</vt:lpstr>
      <vt:lpstr>DT0004_C1</vt:lpstr>
      <vt:lpstr>DT0004_C2</vt:lpstr>
      <vt:lpstr>DT0004_C3</vt:lpstr>
      <vt:lpstr>DT0004_C4</vt:lpstr>
      <vt:lpstr>DT0004_C5</vt:lpstr>
      <vt:lpstr>DT0005_C1</vt:lpstr>
      <vt:lpstr>DT0005_C2</vt:lpstr>
      <vt:lpstr>DT0005_C3</vt:lpstr>
      <vt:lpstr>DT0005_C4</vt:lpstr>
      <vt:lpstr>DT0005_C5</vt:lpstr>
      <vt:lpstr>DT0006_C1</vt:lpstr>
      <vt:lpstr>DT0006_C2</vt:lpstr>
      <vt:lpstr>DT0006_C3</vt:lpstr>
      <vt:lpstr>DT0006_C4</vt:lpstr>
      <vt:lpstr>DT0006_C5</vt:lpstr>
      <vt:lpstr>DT0007_C1</vt:lpstr>
      <vt:lpstr>DT0007_C2</vt:lpstr>
      <vt:lpstr>DT0007_C3</vt:lpstr>
      <vt:lpstr>DT0007_C4</vt:lpstr>
      <vt:lpstr>DT0007_C5</vt:lpstr>
      <vt:lpstr>DT0008_C1</vt:lpstr>
      <vt:lpstr>DT0008_C2</vt:lpstr>
      <vt:lpstr>DT0008_C3</vt:lpstr>
      <vt:lpstr>DT0008_C4</vt:lpstr>
      <vt:lpstr>DT0008_C5</vt:lpstr>
      <vt:lpstr>DT0009_C1</vt:lpstr>
      <vt:lpstr>DT0009_C2</vt:lpstr>
      <vt:lpstr>DT0009_C3</vt:lpstr>
      <vt:lpstr>DT0009_C4</vt:lpstr>
      <vt:lpstr>DT0009_C5</vt:lpstr>
      <vt:lpstr>DT0010_C1</vt:lpstr>
      <vt:lpstr>DT0010_C1DT0010_C5</vt:lpstr>
      <vt:lpstr>DT0010_C2</vt:lpstr>
      <vt:lpstr>DT0010_C3</vt:lpstr>
      <vt:lpstr>DT0010_C4</vt:lpstr>
      <vt:lpstr>DT0011_C1</vt:lpstr>
      <vt:lpstr>DT0011_C2</vt:lpstr>
      <vt:lpstr>DT0011_C3</vt:lpstr>
      <vt:lpstr>DT0011_C4</vt:lpstr>
      <vt:lpstr>DT0011_C5</vt:lpstr>
      <vt:lpstr>DT0012_C1</vt:lpstr>
      <vt:lpstr>DT0012_C2</vt:lpstr>
      <vt:lpstr>DT0012_C3</vt:lpstr>
      <vt:lpstr>DT0012_C4</vt:lpstr>
      <vt:lpstr>DT0012_C5</vt:lpstr>
      <vt:lpstr>DT0013_C1</vt:lpstr>
      <vt:lpstr>DT0013_C2</vt:lpstr>
      <vt:lpstr>DT0013_C3</vt:lpstr>
      <vt:lpstr>DT0013_C4</vt:lpstr>
      <vt:lpstr>DT0013_C5</vt:lpstr>
      <vt:lpstr>DT0014_C1</vt:lpstr>
      <vt:lpstr>DT0014_C2</vt:lpstr>
      <vt:lpstr>DT0014_C3</vt:lpstr>
      <vt:lpstr>DT0014_C4</vt:lpstr>
      <vt:lpstr>DT0014_C5</vt:lpstr>
      <vt:lpstr>DT0015_C1</vt:lpstr>
      <vt:lpstr>DT0015_C2</vt:lpstr>
      <vt:lpstr>DT0015_C3</vt:lpstr>
      <vt:lpstr>DT0015_C4</vt:lpstr>
      <vt:lpstr>DT0015_C5</vt:lpstr>
      <vt:lpstr>DT0016_C1</vt:lpstr>
      <vt:lpstr>DT0016_C2</vt:lpstr>
      <vt:lpstr>DT0016_C3</vt:lpstr>
      <vt:lpstr>DT0016_C4</vt:lpstr>
      <vt:lpstr>DT0016_C5</vt:lpstr>
      <vt:lpstr>FPR_Criteria</vt:lpstr>
      <vt:lpstr>interval</vt:lpstr>
      <vt:lpstr>isArchived</vt:lpstr>
      <vt:lpstr>Key_Ratios</vt:lpstr>
      <vt:lpstr>NoCu_in_Peer_Group</vt:lpstr>
      <vt:lpstr>O20Y1_C1</vt:lpstr>
      <vt:lpstr>O20Y1_C2</vt:lpstr>
      <vt:lpstr>O20Y1_C3</vt:lpstr>
      <vt:lpstr>O20Y1_C4</vt:lpstr>
      <vt:lpstr>O20Y1_C5</vt:lpstr>
      <vt:lpstr>pA002_C1</vt:lpstr>
      <vt:lpstr>pA002_C2</vt:lpstr>
      <vt:lpstr>pA002_C3</vt:lpstr>
      <vt:lpstr>pA002_C4</vt:lpstr>
      <vt:lpstr>pA002_C5</vt:lpstr>
      <vt:lpstr>pA003_C1</vt:lpstr>
      <vt:lpstr>pA003_C2</vt:lpstr>
      <vt:lpstr>pA003_C3</vt:lpstr>
      <vt:lpstr>pA003_C4</vt:lpstr>
      <vt:lpstr>pA003_C5</vt:lpstr>
      <vt:lpstr>pA010_C1</vt:lpstr>
      <vt:lpstr>pA010_C2</vt:lpstr>
      <vt:lpstr>pA010_C3</vt:lpstr>
      <vt:lpstr>pA010_C4</vt:lpstr>
      <vt:lpstr>pA010_C5</vt:lpstr>
      <vt:lpstr>pA018_C1</vt:lpstr>
      <vt:lpstr>pA018_C2</vt:lpstr>
      <vt:lpstr>pA018_C3</vt:lpstr>
      <vt:lpstr>pA018_C4</vt:lpstr>
      <vt:lpstr>pA018_C5</vt:lpstr>
      <vt:lpstr>pA025A_C1</vt:lpstr>
      <vt:lpstr>pA025A_C2</vt:lpstr>
      <vt:lpstr>pA025A_C3</vt:lpstr>
      <vt:lpstr>pA025A_C4</vt:lpstr>
      <vt:lpstr>pA025A_C5</vt:lpstr>
      <vt:lpstr>pA025B_C1</vt:lpstr>
      <vt:lpstr>pA025B_C2</vt:lpstr>
      <vt:lpstr>pA025B_C3</vt:lpstr>
      <vt:lpstr>pA025B_C4</vt:lpstr>
      <vt:lpstr>pA025B_C5</vt:lpstr>
      <vt:lpstr>pA042A5_C1</vt:lpstr>
      <vt:lpstr>pA042A5_C2</vt:lpstr>
      <vt:lpstr>pA042A5_C3</vt:lpstr>
      <vt:lpstr>pA042A5_C4</vt:lpstr>
      <vt:lpstr>pA042A5_C5</vt:lpstr>
      <vt:lpstr>pA042A6_C1</vt:lpstr>
      <vt:lpstr>pA042A6_C2</vt:lpstr>
      <vt:lpstr>pA042A6_C3</vt:lpstr>
      <vt:lpstr>pA042A6_C4</vt:lpstr>
      <vt:lpstr>pA042A6_C5</vt:lpstr>
      <vt:lpstr>pA042A7_C1</vt:lpstr>
      <vt:lpstr>pA042A7_C2</vt:lpstr>
      <vt:lpstr>pA042A7_C3</vt:lpstr>
      <vt:lpstr>pA042A7_C4</vt:lpstr>
      <vt:lpstr>pA042A7_C5</vt:lpstr>
      <vt:lpstr>pA042A8_C1</vt:lpstr>
      <vt:lpstr>pA042A8_C2</vt:lpstr>
      <vt:lpstr>pA042A8_C3</vt:lpstr>
      <vt:lpstr>pA042A8_C4</vt:lpstr>
      <vt:lpstr>pA042A8_C5</vt:lpstr>
      <vt:lpstr>pA083_C1</vt:lpstr>
      <vt:lpstr>pA083_C2</vt:lpstr>
      <vt:lpstr>pA083_C3</vt:lpstr>
      <vt:lpstr>pA083_C4</vt:lpstr>
      <vt:lpstr>pA083_C5</vt:lpstr>
      <vt:lpstr>pA1001A_C1</vt:lpstr>
      <vt:lpstr>pA1001A_C2</vt:lpstr>
      <vt:lpstr>pA1001A_C3</vt:lpstr>
      <vt:lpstr>pA1001A_C4</vt:lpstr>
      <vt:lpstr>pA1001A_C5</vt:lpstr>
      <vt:lpstr>pA1001B_C1</vt:lpstr>
      <vt:lpstr>pA1001B_C2</vt:lpstr>
      <vt:lpstr>pA1001B_C3</vt:lpstr>
      <vt:lpstr>pA1001B_C4</vt:lpstr>
      <vt:lpstr>pA1001B_C5</vt:lpstr>
      <vt:lpstr>pA1011A_C1</vt:lpstr>
      <vt:lpstr>pA1011A_C2</vt:lpstr>
      <vt:lpstr>pA1011A_C3</vt:lpstr>
      <vt:lpstr>pA1011A_C4</vt:lpstr>
      <vt:lpstr>pA1011A_C5</vt:lpstr>
      <vt:lpstr>pA1011B_C1</vt:lpstr>
      <vt:lpstr>pA1011B_C2</vt:lpstr>
      <vt:lpstr>pA1011B_C3</vt:lpstr>
      <vt:lpstr>pA1011B_C4</vt:lpstr>
      <vt:lpstr>pA1011B_C5</vt:lpstr>
      <vt:lpstr>pA143B3_C1</vt:lpstr>
      <vt:lpstr>pA143B3_C2</vt:lpstr>
      <vt:lpstr>pA143B3_C3</vt:lpstr>
      <vt:lpstr>pA143B3_C4</vt:lpstr>
      <vt:lpstr>pA143B3_C5</vt:lpstr>
      <vt:lpstr>pA143B4_C1</vt:lpstr>
      <vt:lpstr>pA143B4_C2</vt:lpstr>
      <vt:lpstr>pA143B4_C3</vt:lpstr>
      <vt:lpstr>pA143B4_C4</vt:lpstr>
      <vt:lpstr>pA143B4_C5</vt:lpstr>
      <vt:lpstr>pA370_C1</vt:lpstr>
      <vt:lpstr>pA370_C2</vt:lpstr>
      <vt:lpstr>pA370_C3</vt:lpstr>
      <vt:lpstr>pA370_C4</vt:lpstr>
      <vt:lpstr>pA370_C5</vt:lpstr>
      <vt:lpstr>pA385_C1</vt:lpstr>
      <vt:lpstr>pA385_C2</vt:lpstr>
      <vt:lpstr>pA385_C3</vt:lpstr>
      <vt:lpstr>pA385_C4</vt:lpstr>
      <vt:lpstr>pA385_C5</vt:lpstr>
      <vt:lpstr>pA386_C1</vt:lpstr>
      <vt:lpstr>pA386_C2</vt:lpstr>
      <vt:lpstr>pA386_C3</vt:lpstr>
      <vt:lpstr>pA386_C4</vt:lpstr>
      <vt:lpstr>pA386_C5</vt:lpstr>
      <vt:lpstr>pA386A_C1</vt:lpstr>
      <vt:lpstr>pA386A_C2</vt:lpstr>
      <vt:lpstr>pA386A_C3</vt:lpstr>
      <vt:lpstr>pA386A_C4</vt:lpstr>
      <vt:lpstr>pA386A_C5</vt:lpstr>
      <vt:lpstr>pA386B_C1</vt:lpstr>
      <vt:lpstr>pA386B_C2</vt:lpstr>
      <vt:lpstr>pA386B_C3</vt:lpstr>
      <vt:lpstr>pA386B_C4</vt:lpstr>
      <vt:lpstr>pA386B_C5</vt:lpstr>
      <vt:lpstr>pA396_C1</vt:lpstr>
      <vt:lpstr>pA396_C2</vt:lpstr>
      <vt:lpstr>pA396_C3</vt:lpstr>
      <vt:lpstr>pA396_C4</vt:lpstr>
      <vt:lpstr>pA396_C5</vt:lpstr>
      <vt:lpstr>pA397_C1</vt:lpstr>
      <vt:lpstr>pA397_C2</vt:lpstr>
      <vt:lpstr>pA397_C3</vt:lpstr>
      <vt:lpstr>pA397_C4</vt:lpstr>
      <vt:lpstr>pA397_C5</vt:lpstr>
      <vt:lpstr>pA397A_C1</vt:lpstr>
      <vt:lpstr>pA397A_C2</vt:lpstr>
      <vt:lpstr>pA397A_C3</vt:lpstr>
      <vt:lpstr>pA397A_C4</vt:lpstr>
      <vt:lpstr>pA397A_C5</vt:lpstr>
      <vt:lpstr>pA400A_C1</vt:lpstr>
      <vt:lpstr>pA400A_C2</vt:lpstr>
      <vt:lpstr>pA400A_C3</vt:lpstr>
      <vt:lpstr>pA400A_C4</vt:lpstr>
      <vt:lpstr>pA400A_C5</vt:lpstr>
      <vt:lpstr>pA400B_C1</vt:lpstr>
      <vt:lpstr>pA400B_C2</vt:lpstr>
      <vt:lpstr>pA400B_C3</vt:lpstr>
      <vt:lpstr>pA400B_C4</vt:lpstr>
      <vt:lpstr>pA400B_C5</vt:lpstr>
      <vt:lpstr>pA400C5_C1</vt:lpstr>
      <vt:lpstr>pA400C5_C2</vt:lpstr>
      <vt:lpstr>pA400C5_C3</vt:lpstr>
      <vt:lpstr>pA400C5_C4</vt:lpstr>
      <vt:lpstr>pA400C5_C5</vt:lpstr>
      <vt:lpstr>pA400C6_C1</vt:lpstr>
      <vt:lpstr>pA400C6_C2</vt:lpstr>
      <vt:lpstr>pA400C6_C3</vt:lpstr>
      <vt:lpstr>pA400C6_C4</vt:lpstr>
      <vt:lpstr>pA400C6_C5</vt:lpstr>
      <vt:lpstr>pA400C7_C1</vt:lpstr>
      <vt:lpstr>pA400C7_C2</vt:lpstr>
      <vt:lpstr>pA400C7_C3</vt:lpstr>
      <vt:lpstr>pA400C7_C4</vt:lpstr>
      <vt:lpstr>pA400C7_C5</vt:lpstr>
      <vt:lpstr>pA400C8_C1</vt:lpstr>
      <vt:lpstr>pA400C8_C2</vt:lpstr>
      <vt:lpstr>pA400C8_C3</vt:lpstr>
      <vt:lpstr>pA400C8_C4</vt:lpstr>
      <vt:lpstr>pA400C8_C5</vt:lpstr>
      <vt:lpstr>pA400H2_C1</vt:lpstr>
      <vt:lpstr>pA400H2_C2</vt:lpstr>
      <vt:lpstr>pA400H2_C3</vt:lpstr>
      <vt:lpstr>pA400H2_C4</vt:lpstr>
      <vt:lpstr>pA400H2_C5</vt:lpstr>
      <vt:lpstr>pA400H3_C1</vt:lpstr>
      <vt:lpstr>pA400H3_C2</vt:lpstr>
      <vt:lpstr>pA400H3_C3</vt:lpstr>
      <vt:lpstr>pA400H3_C4</vt:lpstr>
      <vt:lpstr>pA400H3_C5</vt:lpstr>
      <vt:lpstr>pA400J2_C1</vt:lpstr>
      <vt:lpstr>pA400J2_C2</vt:lpstr>
      <vt:lpstr>pA400J2_C3</vt:lpstr>
      <vt:lpstr>pA400J2_C4</vt:lpstr>
      <vt:lpstr>pA400J2_C5</vt:lpstr>
      <vt:lpstr>pA400J3_C1</vt:lpstr>
      <vt:lpstr>pA400J3_C2</vt:lpstr>
      <vt:lpstr>pA400J3_C3</vt:lpstr>
      <vt:lpstr>pA400J3_C4</vt:lpstr>
      <vt:lpstr>pA400J3_C5</vt:lpstr>
      <vt:lpstr>pA400L2_C1</vt:lpstr>
      <vt:lpstr>pA400L2_C2</vt:lpstr>
      <vt:lpstr>pA400L2_C3</vt:lpstr>
      <vt:lpstr>pA400L2_C4</vt:lpstr>
      <vt:lpstr>pA400L2_C5</vt:lpstr>
      <vt:lpstr>pA400L3_C1</vt:lpstr>
      <vt:lpstr>pA400L3_C2</vt:lpstr>
      <vt:lpstr>pA400L3_C3</vt:lpstr>
      <vt:lpstr>pA400L3_C4</vt:lpstr>
      <vt:lpstr>pA400L3_C5</vt:lpstr>
      <vt:lpstr>pA400M_C1</vt:lpstr>
      <vt:lpstr>pA400M_C2</vt:lpstr>
      <vt:lpstr>pA400M_C3</vt:lpstr>
      <vt:lpstr>pA400M_C4</vt:lpstr>
      <vt:lpstr>pA400M_C5</vt:lpstr>
      <vt:lpstr>pA400M1_C1</vt:lpstr>
      <vt:lpstr>pA400M1_C2</vt:lpstr>
      <vt:lpstr>pA400M1_C3</vt:lpstr>
      <vt:lpstr>pA400M1_C4</vt:lpstr>
      <vt:lpstr>pA400M1_C5</vt:lpstr>
      <vt:lpstr>pA400P_C1</vt:lpstr>
      <vt:lpstr>pA400P_C2</vt:lpstr>
      <vt:lpstr>pA400P_C3</vt:lpstr>
      <vt:lpstr>pA400P_C4</vt:lpstr>
      <vt:lpstr>pA400P_C5</vt:lpstr>
      <vt:lpstr>pA400T_C1</vt:lpstr>
      <vt:lpstr>pA400T_C2</vt:lpstr>
      <vt:lpstr>pA400T_C3</vt:lpstr>
      <vt:lpstr>pA400T_C4</vt:lpstr>
      <vt:lpstr>pA400T_C5</vt:lpstr>
      <vt:lpstr>pA400T1_C1</vt:lpstr>
      <vt:lpstr>pA400T1_C2</vt:lpstr>
      <vt:lpstr>pA400T1_C3</vt:lpstr>
      <vt:lpstr>pA400T1_C4</vt:lpstr>
      <vt:lpstr>pA400T1_C5</vt:lpstr>
      <vt:lpstr>pA550_C1</vt:lpstr>
      <vt:lpstr>pA550_C2</vt:lpstr>
      <vt:lpstr>pA550_C3</vt:lpstr>
      <vt:lpstr>pA550_C4</vt:lpstr>
      <vt:lpstr>pA550_C5</vt:lpstr>
      <vt:lpstr>pA551_C1</vt:lpstr>
      <vt:lpstr>pA551_C2</vt:lpstr>
      <vt:lpstr>pA551_C3</vt:lpstr>
      <vt:lpstr>pA551_C4</vt:lpstr>
      <vt:lpstr>pA551_C5</vt:lpstr>
      <vt:lpstr>pA618A_C1</vt:lpstr>
      <vt:lpstr>pA618A_C2</vt:lpstr>
      <vt:lpstr>pA618A_C3</vt:lpstr>
      <vt:lpstr>pA618A_C4</vt:lpstr>
      <vt:lpstr>pA618A_C5</vt:lpstr>
      <vt:lpstr>pA619_C1</vt:lpstr>
      <vt:lpstr>pA619_C2</vt:lpstr>
      <vt:lpstr>pA619_C3</vt:lpstr>
      <vt:lpstr>pA619_C4</vt:lpstr>
      <vt:lpstr>pA619_C5</vt:lpstr>
      <vt:lpstr>pA619B_C1</vt:lpstr>
      <vt:lpstr>pA619B_C2</vt:lpstr>
      <vt:lpstr>pA619B_C3</vt:lpstr>
      <vt:lpstr>pA619B_C4</vt:lpstr>
      <vt:lpstr>pA619B_C5</vt:lpstr>
      <vt:lpstr>pA658_C1</vt:lpstr>
      <vt:lpstr>pA658_C2</vt:lpstr>
      <vt:lpstr>pA658_C3</vt:lpstr>
      <vt:lpstr>pA658_C4</vt:lpstr>
      <vt:lpstr>pA658_C5</vt:lpstr>
      <vt:lpstr>pA668_C1</vt:lpstr>
      <vt:lpstr>pA668_C2</vt:lpstr>
      <vt:lpstr>pA668_C3</vt:lpstr>
      <vt:lpstr>pA668_C4</vt:lpstr>
      <vt:lpstr>pA668_C5</vt:lpstr>
      <vt:lpstr>pA691E_C1</vt:lpstr>
      <vt:lpstr>pA691E_C2</vt:lpstr>
      <vt:lpstr>pA691E_C3</vt:lpstr>
      <vt:lpstr>pA691E_C4</vt:lpstr>
      <vt:lpstr>pA691E_C5</vt:lpstr>
      <vt:lpstr>pA691L_C1</vt:lpstr>
      <vt:lpstr>pA691L_C2</vt:lpstr>
      <vt:lpstr>pA691L_C3</vt:lpstr>
      <vt:lpstr>pA691L_C4</vt:lpstr>
      <vt:lpstr>pA691L_C5</vt:lpstr>
      <vt:lpstr>pA691N_C1</vt:lpstr>
      <vt:lpstr>pA691N_C2</vt:lpstr>
      <vt:lpstr>pA691N_C3</vt:lpstr>
      <vt:lpstr>pA691N_C4</vt:lpstr>
      <vt:lpstr>pA691N_C5</vt:lpstr>
      <vt:lpstr>pA698_C1</vt:lpstr>
      <vt:lpstr>pA698_C2</vt:lpstr>
      <vt:lpstr>pA698_C3</vt:lpstr>
      <vt:lpstr>pA698_C4</vt:lpstr>
      <vt:lpstr>pA698_C5</vt:lpstr>
      <vt:lpstr>pA698A_C1</vt:lpstr>
      <vt:lpstr>pA698A_C2</vt:lpstr>
      <vt:lpstr>pA698A_C3</vt:lpstr>
      <vt:lpstr>pA698A_C4</vt:lpstr>
      <vt:lpstr>pA698A_C5</vt:lpstr>
      <vt:lpstr>pA698C_C1</vt:lpstr>
      <vt:lpstr>pA698C_C2</vt:lpstr>
      <vt:lpstr>pA698C_C3</vt:lpstr>
      <vt:lpstr>pA698C_C4</vt:lpstr>
      <vt:lpstr>pA698C_C5</vt:lpstr>
      <vt:lpstr>pA703_C1</vt:lpstr>
      <vt:lpstr>pA703_C2</vt:lpstr>
      <vt:lpstr>pA703_C3</vt:lpstr>
      <vt:lpstr>pA703_C4</vt:lpstr>
      <vt:lpstr>pA703_C5</vt:lpstr>
      <vt:lpstr>pA703A_C1</vt:lpstr>
      <vt:lpstr>pA703A_C2</vt:lpstr>
      <vt:lpstr>pA703A_C3</vt:lpstr>
      <vt:lpstr>pA703A_C4</vt:lpstr>
      <vt:lpstr>pA703A_C5</vt:lpstr>
      <vt:lpstr>pA704C1_C1</vt:lpstr>
      <vt:lpstr>pA704C1_C2</vt:lpstr>
      <vt:lpstr>pA704C1_C3</vt:lpstr>
      <vt:lpstr>pA704C1_C4</vt:lpstr>
      <vt:lpstr>pA704C1_C5</vt:lpstr>
      <vt:lpstr>pA704D2_C1</vt:lpstr>
      <vt:lpstr>pA704D2_C2</vt:lpstr>
      <vt:lpstr>pA704D2_C3</vt:lpstr>
      <vt:lpstr>pA704D2_C4</vt:lpstr>
      <vt:lpstr>pA704D2_C5</vt:lpstr>
      <vt:lpstr>pA710_C1</vt:lpstr>
      <vt:lpstr>pA710_C2</vt:lpstr>
      <vt:lpstr>pA710_C3</vt:lpstr>
      <vt:lpstr>pA710_C4</vt:lpstr>
      <vt:lpstr>pA710_C5</vt:lpstr>
      <vt:lpstr>pA718A5_C1</vt:lpstr>
      <vt:lpstr>pA718A5_C2</vt:lpstr>
      <vt:lpstr>pA718A5_C3</vt:lpstr>
      <vt:lpstr>pA718A5_C4</vt:lpstr>
      <vt:lpstr>pA718A5_C5</vt:lpstr>
      <vt:lpstr>pA730B_C1</vt:lpstr>
      <vt:lpstr>pA730B_C2</vt:lpstr>
      <vt:lpstr>pA730B_C3</vt:lpstr>
      <vt:lpstr>pA730B_C4</vt:lpstr>
      <vt:lpstr>pA730B_C5</vt:lpstr>
      <vt:lpstr>pA730C_C1</vt:lpstr>
      <vt:lpstr>pA730C_C2</vt:lpstr>
      <vt:lpstr>pA730C_C3</vt:lpstr>
      <vt:lpstr>pA730C_C4</vt:lpstr>
      <vt:lpstr>pA730C_C5</vt:lpstr>
      <vt:lpstr>pA781_C1</vt:lpstr>
      <vt:lpstr>pA781_C2</vt:lpstr>
      <vt:lpstr>pA781_C3</vt:lpstr>
      <vt:lpstr>pA781_C4</vt:lpstr>
      <vt:lpstr>pA781_C5</vt:lpstr>
      <vt:lpstr>pA799_C1</vt:lpstr>
      <vt:lpstr>pA799_C2</vt:lpstr>
      <vt:lpstr>pA799_C3</vt:lpstr>
      <vt:lpstr>pA799_C4</vt:lpstr>
      <vt:lpstr>pA799_C5</vt:lpstr>
      <vt:lpstr>pA799I_C1</vt:lpstr>
      <vt:lpstr>pA799I_C2</vt:lpstr>
      <vt:lpstr>pA799I_C3</vt:lpstr>
      <vt:lpstr>pA799I_C4</vt:lpstr>
      <vt:lpstr>pA799I_C5</vt:lpstr>
      <vt:lpstr>pA814_C1</vt:lpstr>
      <vt:lpstr>pA814_C2</vt:lpstr>
      <vt:lpstr>pA814_C3</vt:lpstr>
      <vt:lpstr>pA814_C4</vt:lpstr>
      <vt:lpstr>pA814_C5</vt:lpstr>
      <vt:lpstr>pA814A_C1</vt:lpstr>
      <vt:lpstr>pA814A_C2</vt:lpstr>
      <vt:lpstr>pA814A_C3</vt:lpstr>
      <vt:lpstr>pA814A_C4</vt:lpstr>
      <vt:lpstr>pA814A_C5</vt:lpstr>
      <vt:lpstr>pA814A1_C1</vt:lpstr>
      <vt:lpstr>pA814A1_C2</vt:lpstr>
      <vt:lpstr>pA814A1_C3</vt:lpstr>
      <vt:lpstr>pA814A1_C4</vt:lpstr>
      <vt:lpstr>pA814A1_C5</vt:lpstr>
      <vt:lpstr>pA814E_C1</vt:lpstr>
      <vt:lpstr>pA814E_C2</vt:lpstr>
      <vt:lpstr>pA814E_C3</vt:lpstr>
      <vt:lpstr>pA814E_C4</vt:lpstr>
      <vt:lpstr>pA814E_C5</vt:lpstr>
      <vt:lpstr>pA925_C1</vt:lpstr>
      <vt:lpstr>pA925_C2</vt:lpstr>
      <vt:lpstr>pA925_C3</vt:lpstr>
      <vt:lpstr>pA925_C4</vt:lpstr>
      <vt:lpstr>pA925_C5</vt:lpstr>
      <vt:lpstr>pA931_C1</vt:lpstr>
      <vt:lpstr>pA931_C2</vt:lpstr>
      <vt:lpstr>pA931_C3</vt:lpstr>
      <vt:lpstr>pA931_C4</vt:lpstr>
      <vt:lpstr>pA931_C5</vt:lpstr>
      <vt:lpstr>pA940_C1</vt:lpstr>
      <vt:lpstr>pA940_C2</vt:lpstr>
      <vt:lpstr>pA940_C3</vt:lpstr>
      <vt:lpstr>pA940_C4</vt:lpstr>
      <vt:lpstr>pA940_C5</vt:lpstr>
      <vt:lpstr>pA997_C1</vt:lpstr>
      <vt:lpstr>pA997_C2</vt:lpstr>
      <vt:lpstr>pA997_C3</vt:lpstr>
      <vt:lpstr>pA997_C4</vt:lpstr>
      <vt:lpstr>pA997_C5</vt:lpstr>
      <vt:lpstr>pAAS0007_C1</vt:lpstr>
      <vt:lpstr>pAAS0007_C2</vt:lpstr>
      <vt:lpstr>pAAS0007_C3</vt:lpstr>
      <vt:lpstr>pAAS0007_C4</vt:lpstr>
      <vt:lpstr>pAAS0007_C5</vt:lpstr>
      <vt:lpstr>pAAS0008_C1</vt:lpstr>
      <vt:lpstr>pAAS0008_C2</vt:lpstr>
      <vt:lpstr>pAAS0008_C3</vt:lpstr>
      <vt:lpstr>pAAS0008_C4</vt:lpstr>
      <vt:lpstr>pAAS0008_C5</vt:lpstr>
      <vt:lpstr>pAAS0013_C1</vt:lpstr>
      <vt:lpstr>pAAS0013_C2</vt:lpstr>
      <vt:lpstr>pAAS0013_C3</vt:lpstr>
      <vt:lpstr>pAAS0013_C4</vt:lpstr>
      <vt:lpstr>pAAS0013_C5</vt:lpstr>
      <vt:lpstr>pAAS0017_C1</vt:lpstr>
      <vt:lpstr>pAAS0017_C2</vt:lpstr>
      <vt:lpstr>pAAS0017_C3</vt:lpstr>
      <vt:lpstr>pAAS0017_C4</vt:lpstr>
      <vt:lpstr>pAAS0017_C5</vt:lpstr>
      <vt:lpstr>pANV0158_C1</vt:lpstr>
      <vt:lpstr>pANV0158_C2</vt:lpstr>
      <vt:lpstr>pANV0158_C3</vt:lpstr>
      <vt:lpstr>pANV0158_C4</vt:lpstr>
      <vt:lpstr>pANV0158_C5</vt:lpstr>
      <vt:lpstr>pARL0047_C1</vt:lpstr>
      <vt:lpstr>pARL0047_C2</vt:lpstr>
      <vt:lpstr>pARL0047_C3</vt:lpstr>
      <vt:lpstr>pARL0047_C4</vt:lpstr>
      <vt:lpstr>pARL0047_C5</vt:lpstr>
      <vt:lpstr>pASL0019_C1</vt:lpstr>
      <vt:lpstr>pASL0019_C2</vt:lpstr>
      <vt:lpstr>pASL0019_C3</vt:lpstr>
      <vt:lpstr>pASL0019_C4</vt:lpstr>
      <vt:lpstr>pASL0019_C5</vt:lpstr>
      <vt:lpstr>pASL0021_C1</vt:lpstr>
      <vt:lpstr>pASL0021_C2</vt:lpstr>
      <vt:lpstr>pASL0021_C3</vt:lpstr>
      <vt:lpstr>pASL0021_C4</vt:lpstr>
      <vt:lpstr>pASL0021_C5</vt:lpstr>
      <vt:lpstr>Peer_Group</vt:lpstr>
      <vt:lpstr>PR_1_C1</vt:lpstr>
      <vt:lpstr>PR_1_C2</vt:lpstr>
      <vt:lpstr>PR_1_C3</vt:lpstr>
      <vt:lpstr>PR_1_C4</vt:lpstr>
      <vt:lpstr>PR_1_C5</vt:lpstr>
      <vt:lpstr>PR_10_C1</vt:lpstr>
      <vt:lpstr>PR_10_C2</vt:lpstr>
      <vt:lpstr>PR_10_C3</vt:lpstr>
      <vt:lpstr>PR_10_C4</vt:lpstr>
      <vt:lpstr>PR_10_C5</vt:lpstr>
      <vt:lpstr>PR_11_C1</vt:lpstr>
      <vt:lpstr>PR_11_C2</vt:lpstr>
      <vt:lpstr>PR_11_C3</vt:lpstr>
      <vt:lpstr>PR_11_C4</vt:lpstr>
      <vt:lpstr>PR_11_C5</vt:lpstr>
      <vt:lpstr>PR_12_C1</vt:lpstr>
      <vt:lpstr>PR_12_C2</vt:lpstr>
      <vt:lpstr>PR_12_C3</vt:lpstr>
      <vt:lpstr>PR_12_C4</vt:lpstr>
      <vt:lpstr>PR_12_C5</vt:lpstr>
      <vt:lpstr>PR_13_C1</vt:lpstr>
      <vt:lpstr>PR_13_C2</vt:lpstr>
      <vt:lpstr>PR_13_C3</vt:lpstr>
      <vt:lpstr>PR_13_C4</vt:lpstr>
      <vt:lpstr>PR_13_C5</vt:lpstr>
      <vt:lpstr>PR_14_C1</vt:lpstr>
      <vt:lpstr>PR_14_C2</vt:lpstr>
      <vt:lpstr>PR_14_C3</vt:lpstr>
      <vt:lpstr>PR_14_C4</vt:lpstr>
      <vt:lpstr>PR_14_C5</vt:lpstr>
      <vt:lpstr>PR_15_C1</vt:lpstr>
      <vt:lpstr>PR_15_C2</vt:lpstr>
      <vt:lpstr>PR_15_C3</vt:lpstr>
      <vt:lpstr>PR_15_C4</vt:lpstr>
      <vt:lpstr>PR_15_C5</vt:lpstr>
      <vt:lpstr>PR_16_C1</vt:lpstr>
      <vt:lpstr>PR_16_C2</vt:lpstr>
      <vt:lpstr>PR_16_C3</vt:lpstr>
      <vt:lpstr>PR_16_C4</vt:lpstr>
      <vt:lpstr>PR_16_C5</vt:lpstr>
      <vt:lpstr>PR_160_C1</vt:lpstr>
      <vt:lpstr>PR_160_C2</vt:lpstr>
      <vt:lpstr>PR_160_C3</vt:lpstr>
      <vt:lpstr>PR_160_C4</vt:lpstr>
      <vt:lpstr>PR_160_C5</vt:lpstr>
      <vt:lpstr>PR_168_C1</vt:lpstr>
      <vt:lpstr>PR_168_C2</vt:lpstr>
      <vt:lpstr>PR_168_C3</vt:lpstr>
      <vt:lpstr>PR_168_C4</vt:lpstr>
      <vt:lpstr>PR_168_C5</vt:lpstr>
      <vt:lpstr>PR_17_C1</vt:lpstr>
      <vt:lpstr>PR_17_C2</vt:lpstr>
      <vt:lpstr>PR_17_C3</vt:lpstr>
      <vt:lpstr>PR_17_C4</vt:lpstr>
      <vt:lpstr>PR_17_C5</vt:lpstr>
      <vt:lpstr>PR_173_C1</vt:lpstr>
      <vt:lpstr>PR_173_C2</vt:lpstr>
      <vt:lpstr>PR_173_C3</vt:lpstr>
      <vt:lpstr>PR_173_C4</vt:lpstr>
      <vt:lpstr>PR_173_C5</vt:lpstr>
      <vt:lpstr>PR_18_C1</vt:lpstr>
      <vt:lpstr>PR_18_C2</vt:lpstr>
      <vt:lpstr>PR_18_C3</vt:lpstr>
      <vt:lpstr>PR_18_C4</vt:lpstr>
      <vt:lpstr>PR_18_C5</vt:lpstr>
      <vt:lpstr>PR_19_C1</vt:lpstr>
      <vt:lpstr>PR_19_C2</vt:lpstr>
      <vt:lpstr>PR_19_C3</vt:lpstr>
      <vt:lpstr>PR_19_C4</vt:lpstr>
      <vt:lpstr>PR_19_C5</vt:lpstr>
      <vt:lpstr>PR_2_C1</vt:lpstr>
      <vt:lpstr>PR_2_C2</vt:lpstr>
      <vt:lpstr>PR_2_C3</vt:lpstr>
      <vt:lpstr>PR_2_C4</vt:lpstr>
      <vt:lpstr>PR_2_C5</vt:lpstr>
      <vt:lpstr>PR_20_C1</vt:lpstr>
      <vt:lpstr>PR_20_C2</vt:lpstr>
      <vt:lpstr>PR_20_C3</vt:lpstr>
      <vt:lpstr>PR_20_C4</vt:lpstr>
      <vt:lpstr>PR_20_C5</vt:lpstr>
      <vt:lpstr>PR_21_C1</vt:lpstr>
      <vt:lpstr>PR_21_C2</vt:lpstr>
      <vt:lpstr>PR_21_C3</vt:lpstr>
      <vt:lpstr>PR_21_C4</vt:lpstr>
      <vt:lpstr>PR_21_C5</vt:lpstr>
      <vt:lpstr>PR_212_C1</vt:lpstr>
      <vt:lpstr>PR_212_C2</vt:lpstr>
      <vt:lpstr>PR_212_C3</vt:lpstr>
      <vt:lpstr>PR_212_C4</vt:lpstr>
      <vt:lpstr>PR_212_C5</vt:lpstr>
      <vt:lpstr>PR_22_C1</vt:lpstr>
      <vt:lpstr>PR_22_C2</vt:lpstr>
      <vt:lpstr>PR_22_C3</vt:lpstr>
      <vt:lpstr>PR_22_C4</vt:lpstr>
      <vt:lpstr>PR_22_C5</vt:lpstr>
      <vt:lpstr>PR_222_C1</vt:lpstr>
      <vt:lpstr>PR_222_C2</vt:lpstr>
      <vt:lpstr>PR_222_C3</vt:lpstr>
      <vt:lpstr>PR_222_C4</vt:lpstr>
      <vt:lpstr>PR_222_C5</vt:lpstr>
      <vt:lpstr>PR_223_C1</vt:lpstr>
      <vt:lpstr>PR_223_C2</vt:lpstr>
      <vt:lpstr>PR_223_C3</vt:lpstr>
      <vt:lpstr>PR_223_C4</vt:lpstr>
      <vt:lpstr>PR_223_C5</vt:lpstr>
      <vt:lpstr>PR_224_C1</vt:lpstr>
      <vt:lpstr>PR_224_C2</vt:lpstr>
      <vt:lpstr>PR_224_C3</vt:lpstr>
      <vt:lpstr>PR_224_C4</vt:lpstr>
      <vt:lpstr>PR_224_C5</vt:lpstr>
      <vt:lpstr>PR_23_C1</vt:lpstr>
      <vt:lpstr>PR_23_C2</vt:lpstr>
      <vt:lpstr>PR_23_C3</vt:lpstr>
      <vt:lpstr>PR_23_C4</vt:lpstr>
      <vt:lpstr>PR_23_C5</vt:lpstr>
      <vt:lpstr>PR_239_C1</vt:lpstr>
      <vt:lpstr>PR_239_C2</vt:lpstr>
      <vt:lpstr>PR_239_C3</vt:lpstr>
      <vt:lpstr>PR_239_C4</vt:lpstr>
      <vt:lpstr>PR_239_C5</vt:lpstr>
      <vt:lpstr>PR_24_C1</vt:lpstr>
      <vt:lpstr>PR_24_C2</vt:lpstr>
      <vt:lpstr>PR_24_C3</vt:lpstr>
      <vt:lpstr>PR_24_C4</vt:lpstr>
      <vt:lpstr>PR_24_C5</vt:lpstr>
      <vt:lpstr>PR_243_C1</vt:lpstr>
      <vt:lpstr>PR_243_C2</vt:lpstr>
      <vt:lpstr>PR_243_C3</vt:lpstr>
      <vt:lpstr>PR_243_C4</vt:lpstr>
      <vt:lpstr>PR_243_C5</vt:lpstr>
      <vt:lpstr>PR_244_C1</vt:lpstr>
      <vt:lpstr>PR_244_C2</vt:lpstr>
      <vt:lpstr>PR_244_C3</vt:lpstr>
      <vt:lpstr>PR_244_C4</vt:lpstr>
      <vt:lpstr>PR_244_C5</vt:lpstr>
      <vt:lpstr>PR_245_C1</vt:lpstr>
      <vt:lpstr>PR_245_C2</vt:lpstr>
      <vt:lpstr>PR_245_C3</vt:lpstr>
      <vt:lpstr>PR_245_C4</vt:lpstr>
      <vt:lpstr>PR_245_C5</vt:lpstr>
      <vt:lpstr>PR_25_C1</vt:lpstr>
      <vt:lpstr>PR_25_C2</vt:lpstr>
      <vt:lpstr>PR_25_C3</vt:lpstr>
      <vt:lpstr>PR_25_C4</vt:lpstr>
      <vt:lpstr>PR_25_C5</vt:lpstr>
      <vt:lpstr>PR_26_C1</vt:lpstr>
      <vt:lpstr>PR_26_C2</vt:lpstr>
      <vt:lpstr>PR_26_C3</vt:lpstr>
      <vt:lpstr>PR_26_C4</vt:lpstr>
      <vt:lpstr>PR_26_C5</vt:lpstr>
      <vt:lpstr>PR_260_C1</vt:lpstr>
      <vt:lpstr>PR_260_C2</vt:lpstr>
      <vt:lpstr>PR_260_C3</vt:lpstr>
      <vt:lpstr>PR_260_C4</vt:lpstr>
      <vt:lpstr>PR_260_C5</vt:lpstr>
      <vt:lpstr>PR_261_C1</vt:lpstr>
      <vt:lpstr>PR_261_C2</vt:lpstr>
      <vt:lpstr>PR_261_C3</vt:lpstr>
      <vt:lpstr>PR_261_C4</vt:lpstr>
      <vt:lpstr>PR_261_C5</vt:lpstr>
      <vt:lpstr>PR_262_C1</vt:lpstr>
      <vt:lpstr>PR_262_C2</vt:lpstr>
      <vt:lpstr>PR_262_C3</vt:lpstr>
      <vt:lpstr>PR_262_C4</vt:lpstr>
      <vt:lpstr>PR_262_C5</vt:lpstr>
      <vt:lpstr>PR_263_C1</vt:lpstr>
      <vt:lpstr>PR_263_C2</vt:lpstr>
      <vt:lpstr>PR_263_C3</vt:lpstr>
      <vt:lpstr>PR_263_C4</vt:lpstr>
      <vt:lpstr>PR_263_C5</vt:lpstr>
      <vt:lpstr>PR_264_C1</vt:lpstr>
      <vt:lpstr>PR_264_C2</vt:lpstr>
      <vt:lpstr>PR_264_C3</vt:lpstr>
      <vt:lpstr>PR_264_C4</vt:lpstr>
      <vt:lpstr>PR_264_C5</vt:lpstr>
      <vt:lpstr>PR_265_C1</vt:lpstr>
      <vt:lpstr>PR_265_C2</vt:lpstr>
      <vt:lpstr>PR_265_C3</vt:lpstr>
      <vt:lpstr>PR_265_C4</vt:lpstr>
      <vt:lpstr>PR_265_C5</vt:lpstr>
      <vt:lpstr>PR_266_C1</vt:lpstr>
      <vt:lpstr>PR_266_C2</vt:lpstr>
      <vt:lpstr>PR_266_C3</vt:lpstr>
      <vt:lpstr>PR_266_C4</vt:lpstr>
      <vt:lpstr>PR_266_C5</vt:lpstr>
      <vt:lpstr>PR_27_C1</vt:lpstr>
      <vt:lpstr>PR_27_C2</vt:lpstr>
      <vt:lpstr>PR_27_C3</vt:lpstr>
      <vt:lpstr>PR_27_C4</vt:lpstr>
      <vt:lpstr>PR_27_C5</vt:lpstr>
      <vt:lpstr>PR_28_C1</vt:lpstr>
      <vt:lpstr>PR_28_C2</vt:lpstr>
      <vt:lpstr>PR_28_C3</vt:lpstr>
      <vt:lpstr>PR_28_C4</vt:lpstr>
      <vt:lpstr>PR_28_C5</vt:lpstr>
      <vt:lpstr>PR_29_C1</vt:lpstr>
      <vt:lpstr>PR_29_C2</vt:lpstr>
      <vt:lpstr>PR_29_C3</vt:lpstr>
      <vt:lpstr>PR_29_C4</vt:lpstr>
      <vt:lpstr>PR_29_C5</vt:lpstr>
      <vt:lpstr>PR_3_C1</vt:lpstr>
      <vt:lpstr>PR_3_C2</vt:lpstr>
      <vt:lpstr>PR_3_C3</vt:lpstr>
      <vt:lpstr>PR_3_C4</vt:lpstr>
      <vt:lpstr>PR_3_C5</vt:lpstr>
      <vt:lpstr>PR_30_C1</vt:lpstr>
      <vt:lpstr>PR_30_C2</vt:lpstr>
      <vt:lpstr>PR_30_C3</vt:lpstr>
      <vt:lpstr>PR_30_C4</vt:lpstr>
      <vt:lpstr>PR_30_C5</vt:lpstr>
      <vt:lpstr>PR_306_C1</vt:lpstr>
      <vt:lpstr>PR_306_C2</vt:lpstr>
      <vt:lpstr>PR_306_C3</vt:lpstr>
      <vt:lpstr>PR_306_C4</vt:lpstr>
      <vt:lpstr>PR_306_C5</vt:lpstr>
      <vt:lpstr>PR_307_C1</vt:lpstr>
      <vt:lpstr>PR_307_C2</vt:lpstr>
      <vt:lpstr>PR_307_C3</vt:lpstr>
      <vt:lpstr>PR_307_C4</vt:lpstr>
      <vt:lpstr>PR_307_C5</vt:lpstr>
      <vt:lpstr>PR_308_C1</vt:lpstr>
      <vt:lpstr>PR_308_C2</vt:lpstr>
      <vt:lpstr>PR_308_C3</vt:lpstr>
      <vt:lpstr>PR_308_C4</vt:lpstr>
      <vt:lpstr>PR_308_C5</vt:lpstr>
      <vt:lpstr>PR_31_C1</vt:lpstr>
      <vt:lpstr>PR_31_C2</vt:lpstr>
      <vt:lpstr>PR_31_C3</vt:lpstr>
      <vt:lpstr>PR_31_C4</vt:lpstr>
      <vt:lpstr>PR_31_C5</vt:lpstr>
      <vt:lpstr>PR_316_C1</vt:lpstr>
      <vt:lpstr>PR_316_C2</vt:lpstr>
      <vt:lpstr>PR_316_C3</vt:lpstr>
      <vt:lpstr>PR_316_C4</vt:lpstr>
      <vt:lpstr>PR_316_C5</vt:lpstr>
      <vt:lpstr>PR_319_C1</vt:lpstr>
      <vt:lpstr>PR_319_C2</vt:lpstr>
      <vt:lpstr>PR_319_C3</vt:lpstr>
      <vt:lpstr>PR_319_C4</vt:lpstr>
      <vt:lpstr>PR_319_C5</vt:lpstr>
      <vt:lpstr>PR_32_C1</vt:lpstr>
      <vt:lpstr>PR_32_C2</vt:lpstr>
      <vt:lpstr>PR_32_C3</vt:lpstr>
      <vt:lpstr>PR_32_C4</vt:lpstr>
      <vt:lpstr>PR_32_C5</vt:lpstr>
      <vt:lpstr>PR_33_C1</vt:lpstr>
      <vt:lpstr>PR_33_C2</vt:lpstr>
      <vt:lpstr>PR_33_C3</vt:lpstr>
      <vt:lpstr>PR_33_C4</vt:lpstr>
      <vt:lpstr>PR_33_C5</vt:lpstr>
      <vt:lpstr>PR_34_C1</vt:lpstr>
      <vt:lpstr>PR_34_C2</vt:lpstr>
      <vt:lpstr>PR_34_C3</vt:lpstr>
      <vt:lpstr>PR_34_C4</vt:lpstr>
      <vt:lpstr>PR_34_C5</vt:lpstr>
      <vt:lpstr>PR_35_C1</vt:lpstr>
      <vt:lpstr>PR_35_C2</vt:lpstr>
      <vt:lpstr>PR_35_C3</vt:lpstr>
      <vt:lpstr>PR_35_C4</vt:lpstr>
      <vt:lpstr>PR_35_C5</vt:lpstr>
      <vt:lpstr>PR_36_C1</vt:lpstr>
      <vt:lpstr>PR_36_C2</vt:lpstr>
      <vt:lpstr>PR_36_C3</vt:lpstr>
      <vt:lpstr>PR_36_C4</vt:lpstr>
      <vt:lpstr>PR_36_C5</vt:lpstr>
      <vt:lpstr>PR_37_C1</vt:lpstr>
      <vt:lpstr>PR_37_C2</vt:lpstr>
      <vt:lpstr>PR_37_C3</vt:lpstr>
      <vt:lpstr>PR_37_C4</vt:lpstr>
      <vt:lpstr>PR_37_C5</vt:lpstr>
      <vt:lpstr>PR_38_C1</vt:lpstr>
      <vt:lpstr>PR_38_C2</vt:lpstr>
      <vt:lpstr>PR_38_C3</vt:lpstr>
      <vt:lpstr>PR_38_C4</vt:lpstr>
      <vt:lpstr>PR_38_C5</vt:lpstr>
      <vt:lpstr>PR_39_C1</vt:lpstr>
      <vt:lpstr>PR_39_C2</vt:lpstr>
      <vt:lpstr>PR_39_C3</vt:lpstr>
      <vt:lpstr>PR_39_C4</vt:lpstr>
      <vt:lpstr>PR_39_C5</vt:lpstr>
      <vt:lpstr>PR_4_C1</vt:lpstr>
      <vt:lpstr>PR_4_C2</vt:lpstr>
      <vt:lpstr>PR_4_C3</vt:lpstr>
      <vt:lpstr>PR_4_C4</vt:lpstr>
      <vt:lpstr>PR_4_C5</vt:lpstr>
      <vt:lpstr>PR_40_C1</vt:lpstr>
      <vt:lpstr>PR_40_C2</vt:lpstr>
      <vt:lpstr>PR_40_C3</vt:lpstr>
      <vt:lpstr>PR_40_C4</vt:lpstr>
      <vt:lpstr>PR_40_C5</vt:lpstr>
      <vt:lpstr>PR_41_C1</vt:lpstr>
      <vt:lpstr>PR_41_C2</vt:lpstr>
      <vt:lpstr>PR_41_C3</vt:lpstr>
      <vt:lpstr>PR_41_C4</vt:lpstr>
      <vt:lpstr>PR_41_C5</vt:lpstr>
      <vt:lpstr>PR_42_C1</vt:lpstr>
      <vt:lpstr>PR_42_C2</vt:lpstr>
      <vt:lpstr>PR_42_C3</vt:lpstr>
      <vt:lpstr>PR_42_C4</vt:lpstr>
      <vt:lpstr>PR_42_C5</vt:lpstr>
      <vt:lpstr>PR_43_C1</vt:lpstr>
      <vt:lpstr>PR_43_C2</vt:lpstr>
      <vt:lpstr>PR_43_C3</vt:lpstr>
      <vt:lpstr>PR_43_C4</vt:lpstr>
      <vt:lpstr>PR_43_C5</vt:lpstr>
      <vt:lpstr>PR_44_C1</vt:lpstr>
      <vt:lpstr>PR_44_C2</vt:lpstr>
      <vt:lpstr>PR_44_C3</vt:lpstr>
      <vt:lpstr>PR_44_C4</vt:lpstr>
      <vt:lpstr>PR_44_C5</vt:lpstr>
      <vt:lpstr>PR_45_C1</vt:lpstr>
      <vt:lpstr>PR_45_C2</vt:lpstr>
      <vt:lpstr>PR_45_C3</vt:lpstr>
      <vt:lpstr>PR_45_C4</vt:lpstr>
      <vt:lpstr>PR_45_C5</vt:lpstr>
      <vt:lpstr>PR_46_C1</vt:lpstr>
      <vt:lpstr>PR_46_C2</vt:lpstr>
      <vt:lpstr>PR_46_C3</vt:lpstr>
      <vt:lpstr>PR_46_C4</vt:lpstr>
      <vt:lpstr>PR_46_C5</vt:lpstr>
      <vt:lpstr>PR_47_C1</vt:lpstr>
      <vt:lpstr>PR_47_C2</vt:lpstr>
      <vt:lpstr>PR_47_C3</vt:lpstr>
      <vt:lpstr>PR_47_C4</vt:lpstr>
      <vt:lpstr>PR_47_C5</vt:lpstr>
      <vt:lpstr>PR_48_C1</vt:lpstr>
      <vt:lpstr>PR_48_C2</vt:lpstr>
      <vt:lpstr>PR_48_C3</vt:lpstr>
      <vt:lpstr>PR_48_C4</vt:lpstr>
      <vt:lpstr>PR_48_C5</vt:lpstr>
      <vt:lpstr>PR_49_C1</vt:lpstr>
      <vt:lpstr>PR_49_C2</vt:lpstr>
      <vt:lpstr>PR_49_C3</vt:lpstr>
      <vt:lpstr>PR_49_C4</vt:lpstr>
      <vt:lpstr>PR_49_C5</vt:lpstr>
      <vt:lpstr>PR_5_C1</vt:lpstr>
      <vt:lpstr>PR_5_C2</vt:lpstr>
      <vt:lpstr>PR_5_C3</vt:lpstr>
      <vt:lpstr>PR_5_C4</vt:lpstr>
      <vt:lpstr>PR_5_C5</vt:lpstr>
      <vt:lpstr>PR_50_C1</vt:lpstr>
      <vt:lpstr>PR_50_C2</vt:lpstr>
      <vt:lpstr>PR_50_C3</vt:lpstr>
      <vt:lpstr>PR_50_C4</vt:lpstr>
      <vt:lpstr>PR_50_C5</vt:lpstr>
      <vt:lpstr>PR_51_C1</vt:lpstr>
      <vt:lpstr>PR_51_C2</vt:lpstr>
      <vt:lpstr>PR_51_C3</vt:lpstr>
      <vt:lpstr>PR_51_C4</vt:lpstr>
      <vt:lpstr>PR_51_C5</vt:lpstr>
      <vt:lpstr>PR_52_C1</vt:lpstr>
      <vt:lpstr>PR_52_C2</vt:lpstr>
      <vt:lpstr>PR_52_C3</vt:lpstr>
      <vt:lpstr>PR_52_C4</vt:lpstr>
      <vt:lpstr>PR_52_C5</vt:lpstr>
      <vt:lpstr>PR_53_C1</vt:lpstr>
      <vt:lpstr>PR_53_C2</vt:lpstr>
      <vt:lpstr>PR_53_C3</vt:lpstr>
      <vt:lpstr>PR_53_C4</vt:lpstr>
      <vt:lpstr>PR_53_C5</vt:lpstr>
      <vt:lpstr>PR_54_C1</vt:lpstr>
      <vt:lpstr>PR_54_C2</vt:lpstr>
      <vt:lpstr>PR_54_C3</vt:lpstr>
      <vt:lpstr>PR_54_C4</vt:lpstr>
      <vt:lpstr>PR_54_C5</vt:lpstr>
      <vt:lpstr>PR_55_C1</vt:lpstr>
      <vt:lpstr>PR_55_C2</vt:lpstr>
      <vt:lpstr>PR_55_C3</vt:lpstr>
      <vt:lpstr>PR_55_C4</vt:lpstr>
      <vt:lpstr>PR_55_C5</vt:lpstr>
      <vt:lpstr>PR_56_C1</vt:lpstr>
      <vt:lpstr>PR_56_C2</vt:lpstr>
      <vt:lpstr>PR_56_C3</vt:lpstr>
      <vt:lpstr>PR_56_C4</vt:lpstr>
      <vt:lpstr>PR_56_C5</vt:lpstr>
      <vt:lpstr>PR_57_C1</vt:lpstr>
      <vt:lpstr>PR_57_C2</vt:lpstr>
      <vt:lpstr>PR_57_C3</vt:lpstr>
      <vt:lpstr>PR_57_C4</vt:lpstr>
      <vt:lpstr>PR_57_C5</vt:lpstr>
      <vt:lpstr>PR_58_C1</vt:lpstr>
      <vt:lpstr>PR_58_C2</vt:lpstr>
      <vt:lpstr>PR_58_C3</vt:lpstr>
      <vt:lpstr>PR_58_C4</vt:lpstr>
      <vt:lpstr>PR_58_C5</vt:lpstr>
      <vt:lpstr>PR_59_C1</vt:lpstr>
      <vt:lpstr>PR_59_C2</vt:lpstr>
      <vt:lpstr>PR_59_C3</vt:lpstr>
      <vt:lpstr>PR_59_C4</vt:lpstr>
      <vt:lpstr>PR_59_C5</vt:lpstr>
      <vt:lpstr>PR_6_C1</vt:lpstr>
      <vt:lpstr>PR_6_C2</vt:lpstr>
      <vt:lpstr>PR_6_C3</vt:lpstr>
      <vt:lpstr>PR_6_C4</vt:lpstr>
      <vt:lpstr>PR_6_C5</vt:lpstr>
      <vt:lpstr>PR_60_C1</vt:lpstr>
      <vt:lpstr>PR_60_C2</vt:lpstr>
      <vt:lpstr>PR_60_C3</vt:lpstr>
      <vt:lpstr>PR_60_C4</vt:lpstr>
      <vt:lpstr>PR_60_C5</vt:lpstr>
      <vt:lpstr>PR_7_C1</vt:lpstr>
      <vt:lpstr>PR_7_C2</vt:lpstr>
      <vt:lpstr>PR_7_C3</vt:lpstr>
      <vt:lpstr>PR_7_C4</vt:lpstr>
      <vt:lpstr>PR_7_C5</vt:lpstr>
      <vt:lpstr>PR_8_C1</vt:lpstr>
      <vt:lpstr>PR_8_C2</vt:lpstr>
      <vt:lpstr>PR_8_C3</vt:lpstr>
      <vt:lpstr>PR_8_C4</vt:lpstr>
      <vt:lpstr>PR_8_C5</vt:lpstr>
      <vt:lpstr>PR_80_C1</vt:lpstr>
      <vt:lpstr>PR_80_C2</vt:lpstr>
      <vt:lpstr>PR_80_C3</vt:lpstr>
      <vt:lpstr>PR_80_C4</vt:lpstr>
      <vt:lpstr>PR_80_C5</vt:lpstr>
      <vt:lpstr>PR_9_C1</vt:lpstr>
      <vt:lpstr>PR_9_C2</vt:lpstr>
      <vt:lpstr>PR_9_C3</vt:lpstr>
      <vt:lpstr>PR_9_C4</vt:lpstr>
      <vt:lpstr>PR_9_C5</vt:lpstr>
      <vt:lpstr>PR_96_C1</vt:lpstr>
      <vt:lpstr>PR_96_C2</vt:lpstr>
      <vt:lpstr>PR_96_C3</vt:lpstr>
      <vt:lpstr>PR_96_C4</vt:lpstr>
      <vt:lpstr>PR_96_C5</vt:lpstr>
      <vt:lpstr>'1. Summary Financial'!Print_Area</vt:lpstr>
      <vt:lpstr>'10. Delinquent Loans (con''t)'!Print_Area</vt:lpstr>
      <vt:lpstr>'11. Delinquent RE Loans '!Print_Area</vt:lpstr>
      <vt:lpstr>'12. Del Comm Loans'!Print_Area</vt:lpstr>
      <vt:lpstr>'13. Del Comm Loans (con''t)'!Print_Area</vt:lpstr>
      <vt:lpstr>'14. Loan Losses'!Print_Area</vt:lpstr>
      <vt:lpstr>'15. Indirect Loans'!Print_Area</vt:lpstr>
      <vt:lpstr>'16. Loans Purch or Sold 701.23'!Print_Area</vt:lpstr>
      <vt:lpstr>'17. Participations 701.22'!Print_Area</vt:lpstr>
      <vt:lpstr>'18. RE Loans '!Print_Area</vt:lpstr>
      <vt:lpstr>'19. RE Loan Losses'!Print_Area</vt:lpstr>
      <vt:lpstr>'2. Key Ratios'!Print_Area</vt:lpstr>
      <vt:lpstr>'20. Commercial Loans'!Print_Area</vt:lpstr>
      <vt:lpstr>'21. Comm Loan Net COs'!Print_Area</vt:lpstr>
      <vt:lpstr>'22. Comm Loan Losses'!Print_Area</vt:lpstr>
      <vt:lpstr>'23. Investments'!Print_Area</vt:lpstr>
      <vt:lpstr>'24. Investments (con''t)'!Print_Area</vt:lpstr>
      <vt:lpstr>'25. Investment Maturity'!Print_Area</vt:lpstr>
      <vt:lpstr>'26. Investments-Memoranda'!Print_Area</vt:lpstr>
      <vt:lpstr>'27. Derivatives'!Print_Area</vt:lpstr>
      <vt:lpstr>'28. LIQ - Comm and OBS'!Print_Area</vt:lpstr>
      <vt:lpstr>'29. LIQ-Borrowing Arrangements'!Print_Area</vt:lpstr>
      <vt:lpstr>'3. Supplemental Ratios'!Print_Area</vt:lpstr>
      <vt:lpstr>'30. Shares and Membership'!Print_Area</vt:lpstr>
      <vt:lpstr>'31. Share &amp; Deposit Maturity'!Print_Area</vt:lpstr>
      <vt:lpstr>'32. Supplemental Info'!Print_Area</vt:lpstr>
      <vt:lpstr>'33. Graphs 1'!Print_Area</vt:lpstr>
      <vt:lpstr>'34. Graphs 2'!Print_Area</vt:lpstr>
      <vt:lpstr>'4. Historical Ratios'!Print_Area</vt:lpstr>
      <vt:lpstr>'5. Assets'!Print_Area</vt:lpstr>
      <vt:lpstr>'6. LiabShEquity'!Print_Area</vt:lpstr>
      <vt:lpstr>'7. IncExp'!Print_Area</vt:lpstr>
      <vt:lpstr>'8. Loans'!Print_Area</vt:lpstr>
      <vt:lpstr>'9. Delinquent Loans '!Print_Area</vt:lpstr>
      <vt:lpstr>'Cover Page'!Print_Area</vt:lpstr>
      <vt:lpstr>qA025B_C1</vt:lpstr>
      <vt:lpstr>qA025B_C2</vt:lpstr>
      <vt:lpstr>qA025B_C3</vt:lpstr>
      <vt:lpstr>qA025B_C4</vt:lpstr>
      <vt:lpstr>qA025B_C5</vt:lpstr>
      <vt:lpstr>qA550_C1</vt:lpstr>
      <vt:lpstr>qA550_C2</vt:lpstr>
      <vt:lpstr>qA550_C3</vt:lpstr>
      <vt:lpstr>qA550_C4</vt:lpstr>
      <vt:lpstr>qA550_C5</vt:lpstr>
      <vt:lpstr>qA551_C1</vt:lpstr>
      <vt:lpstr>qA551_C2</vt:lpstr>
      <vt:lpstr>qA551_C3</vt:lpstr>
      <vt:lpstr>qA551_C4</vt:lpstr>
      <vt:lpstr>qA551_C5</vt:lpstr>
      <vt:lpstr>R_1_C1</vt:lpstr>
      <vt:lpstr>R_1_C2</vt:lpstr>
      <vt:lpstr>R_1_C3</vt:lpstr>
      <vt:lpstr>R_1_C4</vt:lpstr>
      <vt:lpstr>R_1_C5</vt:lpstr>
      <vt:lpstr>R_10_C1</vt:lpstr>
      <vt:lpstr>R_10_C2</vt:lpstr>
      <vt:lpstr>R_10_C3</vt:lpstr>
      <vt:lpstr>R_10_C4</vt:lpstr>
      <vt:lpstr>R_10_C5</vt:lpstr>
      <vt:lpstr>R_11_C1</vt:lpstr>
      <vt:lpstr>R_11_C2</vt:lpstr>
      <vt:lpstr>R_11_C3</vt:lpstr>
      <vt:lpstr>R_11_C4</vt:lpstr>
      <vt:lpstr>R_11_C5</vt:lpstr>
      <vt:lpstr>R_12_C1</vt:lpstr>
      <vt:lpstr>R_12_C2</vt:lpstr>
      <vt:lpstr>R_12_C3</vt:lpstr>
      <vt:lpstr>R_12_C4</vt:lpstr>
      <vt:lpstr>R_12_C5</vt:lpstr>
      <vt:lpstr>R_13_C1</vt:lpstr>
      <vt:lpstr>R_13_C2</vt:lpstr>
      <vt:lpstr>R_13_C3</vt:lpstr>
      <vt:lpstr>R_13_C4</vt:lpstr>
      <vt:lpstr>R_13_C5</vt:lpstr>
      <vt:lpstr>R_14_C1</vt:lpstr>
      <vt:lpstr>R_14_C2</vt:lpstr>
      <vt:lpstr>R_14_C3</vt:lpstr>
      <vt:lpstr>R_14_C4</vt:lpstr>
      <vt:lpstr>R_14_C5</vt:lpstr>
      <vt:lpstr>R_15_C1</vt:lpstr>
      <vt:lpstr>R_15_C2</vt:lpstr>
      <vt:lpstr>R_15_C3</vt:lpstr>
      <vt:lpstr>R_15_C4</vt:lpstr>
      <vt:lpstr>R_15_C5</vt:lpstr>
      <vt:lpstr>R_16_C1</vt:lpstr>
      <vt:lpstr>R_16_C2</vt:lpstr>
      <vt:lpstr>R_16_C3</vt:lpstr>
      <vt:lpstr>R_16_C4</vt:lpstr>
      <vt:lpstr>R_16_C5</vt:lpstr>
      <vt:lpstr>R_160_C1</vt:lpstr>
      <vt:lpstr>R_160_C2</vt:lpstr>
      <vt:lpstr>R_160_C3</vt:lpstr>
      <vt:lpstr>R_160_C4</vt:lpstr>
      <vt:lpstr>R_160_C5</vt:lpstr>
      <vt:lpstr>R_168_C1</vt:lpstr>
      <vt:lpstr>R_168_C2</vt:lpstr>
      <vt:lpstr>R_168_C3</vt:lpstr>
      <vt:lpstr>R_168_C4</vt:lpstr>
      <vt:lpstr>R_168_C5</vt:lpstr>
      <vt:lpstr>R_17_C1</vt:lpstr>
      <vt:lpstr>R_17_C2</vt:lpstr>
      <vt:lpstr>R_17_C3</vt:lpstr>
      <vt:lpstr>R_17_C4</vt:lpstr>
      <vt:lpstr>R_17_C5</vt:lpstr>
      <vt:lpstr>R_173_C1</vt:lpstr>
      <vt:lpstr>R_173_C2</vt:lpstr>
      <vt:lpstr>R_173_C3</vt:lpstr>
      <vt:lpstr>R_173_C4</vt:lpstr>
      <vt:lpstr>R_173_C5</vt:lpstr>
      <vt:lpstr>R_18_C1</vt:lpstr>
      <vt:lpstr>R_18_C2</vt:lpstr>
      <vt:lpstr>R_18_C3</vt:lpstr>
      <vt:lpstr>R_18_C4</vt:lpstr>
      <vt:lpstr>R_18_C5</vt:lpstr>
      <vt:lpstr>R_19_C1</vt:lpstr>
      <vt:lpstr>R_19_C2</vt:lpstr>
      <vt:lpstr>R_19_C3</vt:lpstr>
      <vt:lpstr>R_19_C4</vt:lpstr>
      <vt:lpstr>R_19_C5</vt:lpstr>
      <vt:lpstr>R_2_C1</vt:lpstr>
      <vt:lpstr>R_2_C2</vt:lpstr>
      <vt:lpstr>R_2_C3</vt:lpstr>
      <vt:lpstr>R_2_C4</vt:lpstr>
      <vt:lpstr>R_2_C5</vt:lpstr>
      <vt:lpstr>R_20_C1</vt:lpstr>
      <vt:lpstr>R_20_C2</vt:lpstr>
      <vt:lpstr>R_20_C3</vt:lpstr>
      <vt:lpstr>R_20_C4</vt:lpstr>
      <vt:lpstr>R_20_C5</vt:lpstr>
      <vt:lpstr>R_21_C1</vt:lpstr>
      <vt:lpstr>R_21_C2</vt:lpstr>
      <vt:lpstr>R_21_C3</vt:lpstr>
      <vt:lpstr>R_21_C4</vt:lpstr>
      <vt:lpstr>R_21_C5</vt:lpstr>
      <vt:lpstr>R_212_C1</vt:lpstr>
      <vt:lpstr>R_212_C2</vt:lpstr>
      <vt:lpstr>R_212_C3</vt:lpstr>
      <vt:lpstr>R_212_C4</vt:lpstr>
      <vt:lpstr>R_212_C5</vt:lpstr>
      <vt:lpstr>R_22_C1</vt:lpstr>
      <vt:lpstr>R_22_C2</vt:lpstr>
      <vt:lpstr>R_22_C3</vt:lpstr>
      <vt:lpstr>R_22_C4</vt:lpstr>
      <vt:lpstr>R_22_C5</vt:lpstr>
      <vt:lpstr>R_222_C1</vt:lpstr>
      <vt:lpstr>R_222_C2</vt:lpstr>
      <vt:lpstr>R_222_C3</vt:lpstr>
      <vt:lpstr>R_222_C4</vt:lpstr>
      <vt:lpstr>R_222_C5</vt:lpstr>
      <vt:lpstr>R_223_C1</vt:lpstr>
      <vt:lpstr>R_223_C2</vt:lpstr>
      <vt:lpstr>R_223_C3</vt:lpstr>
      <vt:lpstr>R_223_C4</vt:lpstr>
      <vt:lpstr>R_223_C5</vt:lpstr>
      <vt:lpstr>R_224_C1</vt:lpstr>
      <vt:lpstr>R_224_C2</vt:lpstr>
      <vt:lpstr>R_224_C3</vt:lpstr>
      <vt:lpstr>R_224_C4</vt:lpstr>
      <vt:lpstr>R_224_C5</vt:lpstr>
      <vt:lpstr>R_23_C1</vt:lpstr>
      <vt:lpstr>R_23_C2</vt:lpstr>
      <vt:lpstr>R_23_C3</vt:lpstr>
      <vt:lpstr>R_23_C4</vt:lpstr>
      <vt:lpstr>R_23_C5</vt:lpstr>
      <vt:lpstr>R_239_C1</vt:lpstr>
      <vt:lpstr>R_239_C2</vt:lpstr>
      <vt:lpstr>R_239_C3</vt:lpstr>
      <vt:lpstr>R_239_C4</vt:lpstr>
      <vt:lpstr>R_239_C5</vt:lpstr>
      <vt:lpstr>R_24_C1</vt:lpstr>
      <vt:lpstr>R_24_C2</vt:lpstr>
      <vt:lpstr>R_24_C3</vt:lpstr>
      <vt:lpstr>R_24_C4</vt:lpstr>
      <vt:lpstr>R_24_C5</vt:lpstr>
      <vt:lpstr>R_243_C1</vt:lpstr>
      <vt:lpstr>R_243_C2</vt:lpstr>
      <vt:lpstr>R_243_C3</vt:lpstr>
      <vt:lpstr>R_243_C4</vt:lpstr>
      <vt:lpstr>R_243_C5</vt:lpstr>
      <vt:lpstr>R_244_C1</vt:lpstr>
      <vt:lpstr>R_244_C2</vt:lpstr>
      <vt:lpstr>R_244_C3</vt:lpstr>
      <vt:lpstr>R_244_C4</vt:lpstr>
      <vt:lpstr>R_244_C5</vt:lpstr>
      <vt:lpstr>R_245_C1</vt:lpstr>
      <vt:lpstr>R_245_C2</vt:lpstr>
      <vt:lpstr>R_245_C3</vt:lpstr>
      <vt:lpstr>R_245_C4</vt:lpstr>
      <vt:lpstr>R_245_C5</vt:lpstr>
      <vt:lpstr>R_25_C1</vt:lpstr>
      <vt:lpstr>R_25_C2</vt:lpstr>
      <vt:lpstr>R_25_C3</vt:lpstr>
      <vt:lpstr>R_25_C4</vt:lpstr>
      <vt:lpstr>R_25_C5</vt:lpstr>
      <vt:lpstr>R_26_C1</vt:lpstr>
      <vt:lpstr>R_26_C2</vt:lpstr>
      <vt:lpstr>R_26_C3</vt:lpstr>
      <vt:lpstr>R_26_C4</vt:lpstr>
      <vt:lpstr>R_26_C5</vt:lpstr>
      <vt:lpstr>R_260_C1</vt:lpstr>
      <vt:lpstr>R_260_C2</vt:lpstr>
      <vt:lpstr>R_260_C3</vt:lpstr>
      <vt:lpstr>R_260_C4</vt:lpstr>
      <vt:lpstr>R_260_C5</vt:lpstr>
      <vt:lpstr>R_261_C1</vt:lpstr>
      <vt:lpstr>R_261_C2</vt:lpstr>
      <vt:lpstr>R_261_C3</vt:lpstr>
      <vt:lpstr>R_261_C4</vt:lpstr>
      <vt:lpstr>R_261_C5</vt:lpstr>
      <vt:lpstr>R_262_C1</vt:lpstr>
      <vt:lpstr>R_262_C2</vt:lpstr>
      <vt:lpstr>R_262_C3</vt:lpstr>
      <vt:lpstr>R_262_C4</vt:lpstr>
      <vt:lpstr>R_262_C5</vt:lpstr>
      <vt:lpstr>R_263_C1</vt:lpstr>
      <vt:lpstr>R_263_C2</vt:lpstr>
      <vt:lpstr>R_263_C3</vt:lpstr>
      <vt:lpstr>R_263_C4</vt:lpstr>
      <vt:lpstr>R_263_C5</vt:lpstr>
      <vt:lpstr>R_264_C1</vt:lpstr>
      <vt:lpstr>R_264_C2</vt:lpstr>
      <vt:lpstr>R_264_C3</vt:lpstr>
      <vt:lpstr>R_264_C4</vt:lpstr>
      <vt:lpstr>R_264_C5</vt:lpstr>
      <vt:lpstr>R_265_C1</vt:lpstr>
      <vt:lpstr>R_265_C2</vt:lpstr>
      <vt:lpstr>R_265_C3</vt:lpstr>
      <vt:lpstr>R_265_C4</vt:lpstr>
      <vt:lpstr>R_265_C5</vt:lpstr>
      <vt:lpstr>R_266_C1</vt:lpstr>
      <vt:lpstr>R_266_C2</vt:lpstr>
      <vt:lpstr>R_266_C3</vt:lpstr>
      <vt:lpstr>R_266_C4</vt:lpstr>
      <vt:lpstr>R_266_C5</vt:lpstr>
      <vt:lpstr>R_27_C1</vt:lpstr>
      <vt:lpstr>R_27_C2</vt:lpstr>
      <vt:lpstr>R_27_C3</vt:lpstr>
      <vt:lpstr>R_27_C4</vt:lpstr>
      <vt:lpstr>R_27_C5</vt:lpstr>
      <vt:lpstr>R_28_C1</vt:lpstr>
      <vt:lpstr>R_28_C2</vt:lpstr>
      <vt:lpstr>R_28_C3</vt:lpstr>
      <vt:lpstr>R_28_C4</vt:lpstr>
      <vt:lpstr>R_28_C5</vt:lpstr>
      <vt:lpstr>R_29_C1</vt:lpstr>
      <vt:lpstr>R_29_C2</vt:lpstr>
      <vt:lpstr>R_29_C3</vt:lpstr>
      <vt:lpstr>R_29_C4</vt:lpstr>
      <vt:lpstr>R_29_C5</vt:lpstr>
      <vt:lpstr>R_3_C1</vt:lpstr>
      <vt:lpstr>R_3_C2</vt:lpstr>
      <vt:lpstr>R_3_C3</vt:lpstr>
      <vt:lpstr>R_3_C4</vt:lpstr>
      <vt:lpstr>R_3_C5</vt:lpstr>
      <vt:lpstr>R_30_C1</vt:lpstr>
      <vt:lpstr>R_30_C2</vt:lpstr>
      <vt:lpstr>R_30_C3</vt:lpstr>
      <vt:lpstr>R_30_C4</vt:lpstr>
      <vt:lpstr>R_30_C5</vt:lpstr>
      <vt:lpstr>R_306_C1</vt:lpstr>
      <vt:lpstr>R_306_C2</vt:lpstr>
      <vt:lpstr>R_306_C3</vt:lpstr>
      <vt:lpstr>R_306_C4</vt:lpstr>
      <vt:lpstr>R_306_C5</vt:lpstr>
      <vt:lpstr>R_307_C1</vt:lpstr>
      <vt:lpstr>R_307_C2</vt:lpstr>
      <vt:lpstr>R_307_C3</vt:lpstr>
      <vt:lpstr>R_307_C4</vt:lpstr>
      <vt:lpstr>R_307_C5</vt:lpstr>
      <vt:lpstr>R_308_C1</vt:lpstr>
      <vt:lpstr>R_308_C2</vt:lpstr>
      <vt:lpstr>R_308_C3</vt:lpstr>
      <vt:lpstr>R_308_C4</vt:lpstr>
      <vt:lpstr>R_308_C5</vt:lpstr>
      <vt:lpstr>R_31_C1</vt:lpstr>
      <vt:lpstr>R_31_C2</vt:lpstr>
      <vt:lpstr>R_31_C3</vt:lpstr>
      <vt:lpstr>R_31_C4</vt:lpstr>
      <vt:lpstr>R_31_C5</vt:lpstr>
      <vt:lpstr>R_316_C1</vt:lpstr>
      <vt:lpstr>R_316_C2</vt:lpstr>
      <vt:lpstr>R_316_C3</vt:lpstr>
      <vt:lpstr>R_316_C4</vt:lpstr>
      <vt:lpstr>R_316_C5</vt:lpstr>
      <vt:lpstr>R_319_C1</vt:lpstr>
      <vt:lpstr>R_319_C2</vt:lpstr>
      <vt:lpstr>R_319_C3</vt:lpstr>
      <vt:lpstr>R_319_C4</vt:lpstr>
      <vt:lpstr>R_319_C5</vt:lpstr>
      <vt:lpstr>R_32_C1</vt:lpstr>
      <vt:lpstr>R_32_C2</vt:lpstr>
      <vt:lpstr>R_32_C3</vt:lpstr>
      <vt:lpstr>R_32_C4</vt:lpstr>
      <vt:lpstr>R_32_C5</vt:lpstr>
      <vt:lpstr>R_33_C1</vt:lpstr>
      <vt:lpstr>R_33_C2</vt:lpstr>
      <vt:lpstr>R_33_C3</vt:lpstr>
      <vt:lpstr>R_33_C4</vt:lpstr>
      <vt:lpstr>R_33_C5</vt:lpstr>
      <vt:lpstr>R_34_C1</vt:lpstr>
      <vt:lpstr>R_34_C2</vt:lpstr>
      <vt:lpstr>R_34_C3</vt:lpstr>
      <vt:lpstr>R_34_C4</vt:lpstr>
      <vt:lpstr>R_34_C5</vt:lpstr>
      <vt:lpstr>R_35_C1</vt:lpstr>
      <vt:lpstr>R_35_C2</vt:lpstr>
      <vt:lpstr>R_35_C3</vt:lpstr>
      <vt:lpstr>R_35_C4</vt:lpstr>
      <vt:lpstr>R_35_C5</vt:lpstr>
      <vt:lpstr>R_36_C1</vt:lpstr>
      <vt:lpstr>R_36_C2</vt:lpstr>
      <vt:lpstr>R_36_C3</vt:lpstr>
      <vt:lpstr>R_36_C4</vt:lpstr>
      <vt:lpstr>R_36_C5</vt:lpstr>
      <vt:lpstr>R_37_C1</vt:lpstr>
      <vt:lpstr>R_37_C2</vt:lpstr>
      <vt:lpstr>R_37_C3</vt:lpstr>
      <vt:lpstr>R_37_C4</vt:lpstr>
      <vt:lpstr>R_37_C5</vt:lpstr>
      <vt:lpstr>R_38_C1</vt:lpstr>
      <vt:lpstr>R_38_C2</vt:lpstr>
      <vt:lpstr>R_38_C3</vt:lpstr>
      <vt:lpstr>R_38_C4</vt:lpstr>
      <vt:lpstr>R_38_C5</vt:lpstr>
      <vt:lpstr>R_39_C1</vt:lpstr>
      <vt:lpstr>R_39_C2</vt:lpstr>
      <vt:lpstr>R_39_C3</vt:lpstr>
      <vt:lpstr>R_39_C4</vt:lpstr>
      <vt:lpstr>R_39_C5</vt:lpstr>
      <vt:lpstr>R_4_C1</vt:lpstr>
      <vt:lpstr>R_4_C2</vt:lpstr>
      <vt:lpstr>R_4_C3</vt:lpstr>
      <vt:lpstr>R_4_C4</vt:lpstr>
      <vt:lpstr>R_4_C5</vt:lpstr>
      <vt:lpstr>R_40_C1</vt:lpstr>
      <vt:lpstr>R_40_C2</vt:lpstr>
      <vt:lpstr>R_40_C3</vt:lpstr>
      <vt:lpstr>R_40_C4</vt:lpstr>
      <vt:lpstr>R_40_C5</vt:lpstr>
      <vt:lpstr>R_41_C1</vt:lpstr>
      <vt:lpstr>R_41_C2</vt:lpstr>
      <vt:lpstr>R_41_C3</vt:lpstr>
      <vt:lpstr>R_41_C4</vt:lpstr>
      <vt:lpstr>R_41_C5</vt:lpstr>
      <vt:lpstr>R_42_C1</vt:lpstr>
      <vt:lpstr>R_42_C2</vt:lpstr>
      <vt:lpstr>R_42_C3</vt:lpstr>
      <vt:lpstr>R_42_C4</vt:lpstr>
      <vt:lpstr>R_42_C5</vt:lpstr>
      <vt:lpstr>R_43_C1</vt:lpstr>
      <vt:lpstr>R_43_C2</vt:lpstr>
      <vt:lpstr>R_43_C3</vt:lpstr>
      <vt:lpstr>R_43_C4</vt:lpstr>
      <vt:lpstr>R_43_C5</vt:lpstr>
      <vt:lpstr>R_44_C1</vt:lpstr>
      <vt:lpstr>R_44_C2</vt:lpstr>
      <vt:lpstr>R_44_C3</vt:lpstr>
      <vt:lpstr>R_44_C4</vt:lpstr>
      <vt:lpstr>R_44_C5</vt:lpstr>
      <vt:lpstr>R_45_C1</vt:lpstr>
      <vt:lpstr>R_45_C2</vt:lpstr>
      <vt:lpstr>R_45_C3</vt:lpstr>
      <vt:lpstr>R_45_C4</vt:lpstr>
      <vt:lpstr>R_45_C5</vt:lpstr>
      <vt:lpstr>R_46_C1</vt:lpstr>
      <vt:lpstr>R_46_C2</vt:lpstr>
      <vt:lpstr>R_46_C3</vt:lpstr>
      <vt:lpstr>R_46_C4</vt:lpstr>
      <vt:lpstr>R_46_C5</vt:lpstr>
      <vt:lpstr>R_47_C1</vt:lpstr>
      <vt:lpstr>R_47_C2</vt:lpstr>
      <vt:lpstr>R_47_C3</vt:lpstr>
      <vt:lpstr>R_47_C4</vt:lpstr>
      <vt:lpstr>R_47_C5</vt:lpstr>
      <vt:lpstr>R_48_C1</vt:lpstr>
      <vt:lpstr>R_48_C2</vt:lpstr>
      <vt:lpstr>R_48_C3</vt:lpstr>
      <vt:lpstr>R_48_C4</vt:lpstr>
      <vt:lpstr>R_48_C5</vt:lpstr>
      <vt:lpstr>R_49_C1</vt:lpstr>
      <vt:lpstr>R_49_C2</vt:lpstr>
      <vt:lpstr>R_49_C3</vt:lpstr>
      <vt:lpstr>R_49_C4</vt:lpstr>
      <vt:lpstr>R_49_C5</vt:lpstr>
      <vt:lpstr>R_5_C1</vt:lpstr>
      <vt:lpstr>R_5_C2</vt:lpstr>
      <vt:lpstr>R_5_C3</vt:lpstr>
      <vt:lpstr>R_5_C4</vt:lpstr>
      <vt:lpstr>R_5_C5</vt:lpstr>
      <vt:lpstr>R_50_C1</vt:lpstr>
      <vt:lpstr>R_50_C2</vt:lpstr>
      <vt:lpstr>R_50_C3</vt:lpstr>
      <vt:lpstr>R_50_C4</vt:lpstr>
      <vt:lpstr>R_50_C5</vt:lpstr>
      <vt:lpstr>R_51_C1</vt:lpstr>
      <vt:lpstr>R_51_C2</vt:lpstr>
      <vt:lpstr>R_51_C3</vt:lpstr>
      <vt:lpstr>R_51_C4</vt:lpstr>
      <vt:lpstr>R_51_C5</vt:lpstr>
      <vt:lpstr>R_52_C1</vt:lpstr>
      <vt:lpstr>R_52_C2</vt:lpstr>
      <vt:lpstr>R_52_C3</vt:lpstr>
      <vt:lpstr>R_52_C4</vt:lpstr>
      <vt:lpstr>R_52_C5</vt:lpstr>
      <vt:lpstr>R_53_C1</vt:lpstr>
      <vt:lpstr>R_53_C2</vt:lpstr>
      <vt:lpstr>R_53_C3</vt:lpstr>
      <vt:lpstr>R_53_C4</vt:lpstr>
      <vt:lpstr>R_53_C5</vt:lpstr>
      <vt:lpstr>R_54_C1</vt:lpstr>
      <vt:lpstr>R_54_C2</vt:lpstr>
      <vt:lpstr>R_54_C3</vt:lpstr>
      <vt:lpstr>R_54_C4</vt:lpstr>
      <vt:lpstr>R_54_C5</vt:lpstr>
      <vt:lpstr>R_55_C1</vt:lpstr>
      <vt:lpstr>R_55_C2</vt:lpstr>
      <vt:lpstr>R_55_C3</vt:lpstr>
      <vt:lpstr>R_55_C4</vt:lpstr>
      <vt:lpstr>R_55_C5</vt:lpstr>
      <vt:lpstr>R_56_C1</vt:lpstr>
      <vt:lpstr>R_56_C2</vt:lpstr>
      <vt:lpstr>R_56_C3</vt:lpstr>
      <vt:lpstr>R_56_C4</vt:lpstr>
      <vt:lpstr>R_56_C5</vt:lpstr>
      <vt:lpstr>R_57_C1</vt:lpstr>
      <vt:lpstr>R_57_C2</vt:lpstr>
      <vt:lpstr>R_57_C3</vt:lpstr>
      <vt:lpstr>R_57_C4</vt:lpstr>
      <vt:lpstr>R_57_C5</vt:lpstr>
      <vt:lpstr>R_58_C1</vt:lpstr>
      <vt:lpstr>R_58_C2</vt:lpstr>
      <vt:lpstr>R_58_C3</vt:lpstr>
      <vt:lpstr>R_58_C4</vt:lpstr>
      <vt:lpstr>R_58_C5</vt:lpstr>
      <vt:lpstr>R_59_C1</vt:lpstr>
      <vt:lpstr>R_59_C2</vt:lpstr>
      <vt:lpstr>R_59_C3</vt:lpstr>
      <vt:lpstr>R_59_C4</vt:lpstr>
      <vt:lpstr>R_59_C5</vt:lpstr>
      <vt:lpstr>R_6_C1</vt:lpstr>
      <vt:lpstr>R_6_C2</vt:lpstr>
      <vt:lpstr>R_6_C3</vt:lpstr>
      <vt:lpstr>R_6_C4</vt:lpstr>
      <vt:lpstr>R_6_C5</vt:lpstr>
      <vt:lpstr>R_60_C1</vt:lpstr>
      <vt:lpstr>R_60_C2</vt:lpstr>
      <vt:lpstr>R_60_C3</vt:lpstr>
      <vt:lpstr>R_60_C4</vt:lpstr>
      <vt:lpstr>R_60_C5</vt:lpstr>
      <vt:lpstr>R_7_C1</vt:lpstr>
      <vt:lpstr>R_7_C2</vt:lpstr>
      <vt:lpstr>R_7_C3</vt:lpstr>
      <vt:lpstr>R_7_C4</vt:lpstr>
      <vt:lpstr>R_7_C5</vt:lpstr>
      <vt:lpstr>R_8_C1</vt:lpstr>
      <vt:lpstr>R_8_C2</vt:lpstr>
      <vt:lpstr>R_8_C3</vt:lpstr>
      <vt:lpstr>R_8_C4</vt:lpstr>
      <vt:lpstr>R_8_C5</vt:lpstr>
      <vt:lpstr>R_80_C1</vt:lpstr>
      <vt:lpstr>R_80_C2</vt:lpstr>
      <vt:lpstr>R_80_C3</vt:lpstr>
      <vt:lpstr>R_80_C4</vt:lpstr>
      <vt:lpstr>R_80_C5</vt:lpstr>
      <vt:lpstr>R_9_C1</vt:lpstr>
      <vt:lpstr>R_9_C2</vt:lpstr>
      <vt:lpstr>R_9_C3</vt:lpstr>
      <vt:lpstr>R_9_C4</vt:lpstr>
      <vt:lpstr>R_9_C5</vt:lpstr>
      <vt:lpstr>R_96_C1</vt:lpstr>
      <vt:lpstr>R_96_C2</vt:lpstr>
      <vt:lpstr>R_96_C3</vt:lpstr>
      <vt:lpstr>R_96_C4</vt:lpstr>
      <vt:lpstr>R_96_C5</vt:lpstr>
      <vt:lpstr>Region</vt:lpstr>
      <vt:lpstr>ReportSource</vt:lpstr>
      <vt:lpstr>ReportSrcExplanation</vt:lpstr>
      <vt:lpstr>ReportSrcText</vt:lpstr>
      <vt:lpstr>ReportTitle</vt:lpstr>
      <vt:lpstr>Request_Date</vt:lpstr>
      <vt:lpstr>RetPop</vt:lpstr>
      <vt:lpstr>RptExp</vt:lpstr>
      <vt:lpstr>RptText</vt:lpstr>
      <vt:lpstr>Run_Date</vt:lpstr>
      <vt:lpstr>SE</vt:lpstr>
      <vt:lpstr>State</vt:lpstr>
      <vt:lpstr>Street</vt:lpstr>
      <vt:lpstr>Validated</vt:lpstr>
      <vt:lpstr>Zip_Code</vt:lpstr>
    </vt:vector>
  </TitlesOfParts>
  <Company>NCUA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OCIO</dc:creator>
  <cp:lastModifiedBy>LI, Alexander (Contractor / OCIO)</cp:lastModifiedBy>
  <cp:lastPrinted>2025-06-04T15:06:58Z</cp:lastPrinted>
  <dcterms:created xsi:type="dcterms:W3CDTF">2004-08-20T15:14:25Z</dcterms:created>
  <dcterms:modified xsi:type="dcterms:W3CDTF">2025-12-19T17:34:53Z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{8AD811B6-FBD7-411B-AECE-3FF4C03CD927}</vt:lpwstr>
  </property>
</Properties>
</file>