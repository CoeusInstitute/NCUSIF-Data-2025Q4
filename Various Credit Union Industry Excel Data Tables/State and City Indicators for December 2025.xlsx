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S:\States\State &amp; City Indicators Table\"/>
    </mc:Choice>
  </mc:AlternateContent>
  <xr:revisionPtr revIDLastSave="0" documentId="13_ncr:1_{F30E63C2-BE75-45C0-B21D-08B07905AAA0}" xr6:coauthVersionLast="47" xr6:coauthVersionMax="47" xr10:uidLastSave="{00000000-0000-0000-0000-000000000000}"/>
  <bookViews>
    <workbookView xWindow="-108" yWindow="-108" windowWidth="23256" windowHeight="12456" tabRatio="670" xr2:uid="{00000000-000D-0000-FFFF-FFFF00000000}"/>
  </bookViews>
  <sheets>
    <sheet name="Metro Area Unemployment Rates" sheetId="4" r:id="rId1"/>
    <sheet name="State Unemployment Rates" sheetId="1" r:id="rId2"/>
    <sheet name="Metro Area House Price Growth" sheetId="3" r:id="rId3"/>
    <sheet name="State House Price Growth" sheetId="2" r:id="rId4"/>
  </sheets>
  <definedNames>
    <definedName name="_xlnm.Print_Area" localSheetId="2">'Metro Area House Price Growth'!$B$2:$AB$391</definedName>
    <definedName name="_xlnm.Print_Area" localSheetId="0">'Metro Area Unemployment Rates'!$B$1:$AB$398</definedName>
    <definedName name="_xlnm.Print_Area" localSheetId="3">'State House Price Growth'!$B$2:$AB$57</definedName>
    <definedName name="_xlnm.Print_Area" localSheetId="1">'State Unemployment Rates'!$B$2:$KA$58</definedName>
    <definedName name="_xlnm.Print_Titles" localSheetId="2">'Metro Area House Price Growth'!$2:$3</definedName>
    <definedName name="_xlnm.Print_Titles" localSheetId="0">'Metro Area Unemployment Rates'!$2:$3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C5" i="1" l="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4" i="1"/>
  <c r="BB56" i="1" l="1"/>
  <c r="BW56" i="1" s="1"/>
  <c r="CR56" i="1" s="1"/>
  <c r="BB55" i="1"/>
  <c r="BW55" i="1" s="1"/>
  <c r="CR55" i="1" s="1"/>
  <c r="BB54" i="1"/>
  <c r="BW54" i="1" s="1"/>
  <c r="CR54" i="1" s="1"/>
  <c r="BB53" i="1"/>
  <c r="BW53" i="1" s="1"/>
  <c r="CR53" i="1" s="1"/>
  <c r="BB52" i="1"/>
  <c r="BW52" i="1" s="1"/>
  <c r="CR52" i="1" s="1"/>
  <c r="BB51" i="1"/>
  <c r="BW51" i="1" s="1"/>
  <c r="CR51" i="1" s="1"/>
  <c r="BB50" i="1"/>
  <c r="BW50" i="1" s="1"/>
  <c r="CR50" i="1" s="1"/>
  <c r="BB49" i="1"/>
  <c r="BW49" i="1" s="1"/>
  <c r="CR49" i="1" s="1"/>
  <c r="BB48" i="1"/>
  <c r="BW48" i="1" s="1"/>
  <c r="CR48" i="1" s="1"/>
  <c r="BB47" i="1"/>
  <c r="BW47" i="1" s="1"/>
  <c r="CR47" i="1" s="1"/>
  <c r="BB46" i="1"/>
  <c r="BW46" i="1" s="1"/>
  <c r="CR46" i="1" s="1"/>
  <c r="BB45" i="1"/>
  <c r="BW45" i="1" s="1"/>
  <c r="CR45" i="1" s="1"/>
  <c r="BB44" i="1"/>
  <c r="BW44" i="1" s="1"/>
  <c r="CR44" i="1" s="1"/>
  <c r="BB43" i="1"/>
  <c r="BW43" i="1" s="1"/>
  <c r="CR43" i="1" s="1"/>
  <c r="BB42" i="1"/>
  <c r="BW42" i="1" s="1"/>
  <c r="CR42" i="1" s="1"/>
  <c r="BB41" i="1"/>
  <c r="BW41" i="1" s="1"/>
  <c r="CR41" i="1" s="1"/>
  <c r="BB40" i="1"/>
  <c r="BW40" i="1" s="1"/>
  <c r="CR40" i="1" s="1"/>
  <c r="BB39" i="1"/>
  <c r="BW39" i="1" s="1"/>
  <c r="CR39" i="1" s="1"/>
  <c r="BB38" i="1"/>
  <c r="BW38" i="1" s="1"/>
  <c r="CR38" i="1" s="1"/>
  <c r="BB37" i="1"/>
  <c r="BW37" i="1" s="1"/>
  <c r="CR37" i="1" s="1"/>
  <c r="BB36" i="1"/>
  <c r="BW36" i="1" s="1"/>
  <c r="CR36" i="1" s="1"/>
  <c r="BB35" i="1"/>
  <c r="BW35" i="1" s="1"/>
  <c r="CR35" i="1" s="1"/>
  <c r="BB34" i="1"/>
  <c r="BW34" i="1" s="1"/>
  <c r="CR34" i="1" s="1"/>
  <c r="BB33" i="1"/>
  <c r="BW33" i="1" s="1"/>
  <c r="CR33" i="1" s="1"/>
  <c r="BB32" i="1"/>
  <c r="BW32" i="1" s="1"/>
  <c r="CR32" i="1" s="1"/>
  <c r="BB31" i="1"/>
  <c r="BW31" i="1" s="1"/>
  <c r="CR31" i="1" s="1"/>
  <c r="BB30" i="1"/>
  <c r="BW30" i="1" s="1"/>
  <c r="CR30" i="1" s="1"/>
  <c r="BB29" i="1"/>
  <c r="BW29" i="1" s="1"/>
  <c r="CR29" i="1" s="1"/>
  <c r="BB28" i="1"/>
  <c r="BW28" i="1" s="1"/>
  <c r="CR28" i="1" s="1"/>
  <c r="BB27" i="1"/>
  <c r="BW27" i="1" s="1"/>
  <c r="CR27" i="1" s="1"/>
  <c r="BB26" i="1"/>
  <c r="BW26" i="1" s="1"/>
  <c r="CR26" i="1" s="1"/>
  <c r="BB25" i="1"/>
  <c r="BW25" i="1" s="1"/>
  <c r="CR25" i="1" s="1"/>
  <c r="BB24" i="1"/>
  <c r="BW24" i="1" s="1"/>
  <c r="CR24" i="1" s="1"/>
  <c r="BB23" i="1"/>
  <c r="BW23" i="1" s="1"/>
  <c r="CR23" i="1" s="1"/>
  <c r="BB22" i="1"/>
  <c r="BW22" i="1" s="1"/>
  <c r="CR22" i="1" s="1"/>
  <c r="BB21" i="1"/>
  <c r="BW21" i="1" s="1"/>
  <c r="CR21" i="1" s="1"/>
  <c r="BB20" i="1"/>
  <c r="BW20" i="1" s="1"/>
  <c r="CR20" i="1" s="1"/>
  <c r="BB19" i="1"/>
  <c r="BW19" i="1" s="1"/>
  <c r="CR19" i="1" s="1"/>
  <c r="BB18" i="1"/>
  <c r="BW18" i="1" s="1"/>
  <c r="CR18" i="1" s="1"/>
  <c r="BB17" i="1"/>
  <c r="BW17" i="1" s="1"/>
  <c r="CR17" i="1" s="1"/>
  <c r="BB16" i="1"/>
  <c r="BW16" i="1" s="1"/>
  <c r="CR16" i="1" s="1"/>
  <c r="BB15" i="1"/>
  <c r="BW15" i="1" s="1"/>
  <c r="CR15" i="1" s="1"/>
  <c r="BB14" i="1"/>
  <c r="BW14" i="1" s="1"/>
  <c r="CR14" i="1" s="1"/>
  <c r="BB13" i="1"/>
  <c r="BW13" i="1" s="1"/>
  <c r="CR13" i="1" s="1"/>
  <c r="BB12" i="1"/>
  <c r="BW12" i="1" s="1"/>
  <c r="CR12" i="1" s="1"/>
  <c r="BB11" i="1"/>
  <c r="BW11" i="1" s="1"/>
  <c r="CR11" i="1" s="1"/>
  <c r="BB10" i="1"/>
  <c r="BW10" i="1" s="1"/>
  <c r="CR10" i="1" s="1"/>
  <c r="BB9" i="1"/>
  <c r="BW9" i="1" s="1"/>
  <c r="CR9" i="1" s="1"/>
  <c r="BB8" i="1"/>
  <c r="BW8" i="1" s="1"/>
  <c r="CR8" i="1" s="1"/>
  <c r="BB7" i="1"/>
  <c r="BW7" i="1" s="1"/>
  <c r="CR7" i="1" s="1"/>
  <c r="BB6" i="1"/>
  <c r="BW6" i="1" s="1"/>
  <c r="CR6" i="1" s="1"/>
  <c r="BB5" i="1"/>
  <c r="BW5" i="1" s="1"/>
  <c r="CR5" i="1" s="1"/>
  <c r="BB4" i="1" l="1"/>
  <c r="BW4" i="1" s="1"/>
  <c r="CR4" i="1" s="1"/>
</calcChain>
</file>

<file path=xl/sharedStrings.xml><?xml version="1.0" encoding="utf-8"?>
<sst xmlns="http://schemas.openxmlformats.org/spreadsheetml/2006/main" count="1607" uniqueCount="563">
  <si>
    <t>Abilene, TX</t>
  </si>
  <si>
    <t>Akron, OH</t>
  </si>
  <si>
    <t>Albany, GA</t>
  </si>
  <si>
    <t>Albuquerque, NM</t>
  </si>
  <si>
    <t>Alexandria, LA</t>
  </si>
  <si>
    <t>Altoona, PA</t>
  </si>
  <si>
    <t>Amarillo, TX</t>
  </si>
  <si>
    <t>Ames, IA</t>
  </si>
  <si>
    <t>Anchorage, AK</t>
  </si>
  <si>
    <t>Ann Arbor, MI</t>
  </si>
  <si>
    <t>Appleton, WI</t>
  </si>
  <si>
    <t>Asheville, NC</t>
  </si>
  <si>
    <t>Bangor, ME</t>
  </si>
  <si>
    <t>Barnstable Town, MA</t>
  </si>
  <si>
    <t>Baton Rouge, LA</t>
  </si>
  <si>
    <t>Battle Creek, MI</t>
  </si>
  <si>
    <t>Bay City, MI</t>
  </si>
  <si>
    <t>Bellingham, WA</t>
  </si>
  <si>
    <t>Billings, MT</t>
  </si>
  <si>
    <t>Binghamton, NY</t>
  </si>
  <si>
    <t>Bismarck, ND</t>
  </si>
  <si>
    <t>Bloomington, IN</t>
  </si>
  <si>
    <t>Bloomington, IL</t>
  </si>
  <si>
    <t>Boise City, ID</t>
  </si>
  <si>
    <t>Boulder, CO</t>
  </si>
  <si>
    <t>Bowling Green, KY</t>
  </si>
  <si>
    <t>Burlington, NC</t>
  </si>
  <si>
    <t>Carson City, NV</t>
  </si>
  <si>
    <t>Casper, WY</t>
  </si>
  <si>
    <t>Cedar Rapids, IA</t>
  </si>
  <si>
    <t>Charleston, WV</t>
  </si>
  <si>
    <t>Charlottesville, VA</t>
  </si>
  <si>
    <t>Cheyenne, WY</t>
  </si>
  <si>
    <t>Chico, CA</t>
  </si>
  <si>
    <t>Cleveland, TN</t>
  </si>
  <si>
    <t>Coeur d'Alene, ID</t>
  </si>
  <si>
    <t>Colorado Springs, CO</t>
  </si>
  <si>
    <t>Columbia, MO</t>
  </si>
  <si>
    <t>Columbia, SC</t>
  </si>
  <si>
    <t>Columbus, IN</t>
  </si>
  <si>
    <t>Columbus, OH</t>
  </si>
  <si>
    <t>Corpus Christi, TX</t>
  </si>
  <si>
    <t>Corvallis, OR</t>
  </si>
  <si>
    <t>Dalton, GA</t>
  </si>
  <si>
    <t>Decatur, AL</t>
  </si>
  <si>
    <t>Decatur, IL</t>
  </si>
  <si>
    <t>Dothan, AL</t>
  </si>
  <si>
    <t>Dover, DE</t>
  </si>
  <si>
    <t>Dubuque, IA</t>
  </si>
  <si>
    <t>Eau Claire, WI</t>
  </si>
  <si>
    <t>El Centro, CA</t>
  </si>
  <si>
    <t>El Paso, TX</t>
  </si>
  <si>
    <t>Elmira, NY</t>
  </si>
  <si>
    <t>Erie, PA</t>
  </si>
  <si>
    <t>Farmington, NM</t>
  </si>
  <si>
    <t>Fayetteville, NC</t>
  </si>
  <si>
    <t>Flagstaff, AZ</t>
  </si>
  <si>
    <t>Flint, MI</t>
  </si>
  <si>
    <t>Florence, SC</t>
  </si>
  <si>
    <t>Fond du Lac, WI</t>
  </si>
  <si>
    <t>Fort Wayne, IN</t>
  </si>
  <si>
    <t>Fresno, CA</t>
  </si>
  <si>
    <t>Gadsden, AL</t>
  </si>
  <si>
    <t>Gainesville, FL</t>
  </si>
  <si>
    <t>Gainesville, GA</t>
  </si>
  <si>
    <t>Glens Falls, NY</t>
  </si>
  <si>
    <t>Goldsboro, NC</t>
  </si>
  <si>
    <t>Grand Junction, CO</t>
  </si>
  <si>
    <t>Great Falls, MT</t>
  </si>
  <si>
    <t>Greeley, CO</t>
  </si>
  <si>
    <t>Green Bay, WI</t>
  </si>
  <si>
    <t>Greenville, NC</t>
  </si>
  <si>
    <t>Guayama, PR</t>
  </si>
  <si>
    <t>Harrisonburg, VA</t>
  </si>
  <si>
    <t>Hattiesburg, MS</t>
  </si>
  <si>
    <t>Hinesville, GA</t>
  </si>
  <si>
    <t>Hot Springs, AR</t>
  </si>
  <si>
    <t>Huntsville, AL</t>
  </si>
  <si>
    <t>Idaho Falls, ID</t>
  </si>
  <si>
    <t>Iowa City, IA</t>
  </si>
  <si>
    <t>Ithaca, NY</t>
  </si>
  <si>
    <t>Jackson, MI</t>
  </si>
  <si>
    <t>Jackson, MS</t>
  </si>
  <si>
    <t>Jackson, TN</t>
  </si>
  <si>
    <t>Jacksonville, FL</t>
  </si>
  <si>
    <t>Jacksonville, NC</t>
  </si>
  <si>
    <t>Jefferson City, MO</t>
  </si>
  <si>
    <t>Johnson City, TN</t>
  </si>
  <si>
    <t>Johnstown, PA</t>
  </si>
  <si>
    <t>Jonesboro, AR</t>
  </si>
  <si>
    <t>Kankakee, IL</t>
  </si>
  <si>
    <t>Kingston, NY</t>
  </si>
  <si>
    <t>Knoxville, TN</t>
  </si>
  <si>
    <t>Kokomo, IN</t>
  </si>
  <si>
    <t>Lafayette, LA</t>
  </si>
  <si>
    <t>Lake Charles, LA</t>
  </si>
  <si>
    <t>Lancaster, PA</t>
  </si>
  <si>
    <t>Laredo, TX</t>
  </si>
  <si>
    <t>Las Cruces, NM</t>
  </si>
  <si>
    <t>Lawrence, KS</t>
  </si>
  <si>
    <t>Lawton, OK</t>
  </si>
  <si>
    <t>Lebanon, PA</t>
  </si>
  <si>
    <t>Lima, OH</t>
  </si>
  <si>
    <t>Lincoln, NE</t>
  </si>
  <si>
    <t>Longview, TX</t>
  </si>
  <si>
    <t>Lubbock, TX</t>
  </si>
  <si>
    <t>Lynchburg, VA</t>
  </si>
  <si>
    <t>Madison, WI</t>
  </si>
  <si>
    <t>Mansfield, OH</t>
  </si>
  <si>
    <t>Medford, OR</t>
  </si>
  <si>
    <t>Merced, CA</t>
  </si>
  <si>
    <t>Midland, TX</t>
  </si>
  <si>
    <t>Missoula, MT</t>
  </si>
  <si>
    <t>Mobile, AL</t>
  </si>
  <si>
    <t>Modesto, CA</t>
  </si>
  <si>
    <t>Monroe, LA</t>
  </si>
  <si>
    <t>Monroe, MI</t>
  </si>
  <si>
    <t>Montgomery, AL</t>
  </si>
  <si>
    <t>Morgantown, WV</t>
  </si>
  <si>
    <t>Morristown, TN</t>
  </si>
  <si>
    <t>Muncie, IN</t>
  </si>
  <si>
    <t>Napa, CA</t>
  </si>
  <si>
    <t>Ocala, FL</t>
  </si>
  <si>
    <t>Odessa, TX</t>
  </si>
  <si>
    <t>Oklahoma City, OK</t>
  </si>
  <si>
    <t>Owensboro, KY</t>
  </si>
  <si>
    <t>Peoria, IL</t>
  </si>
  <si>
    <t>Pittsburgh, PA</t>
  </si>
  <si>
    <t>Pittsfield, MA</t>
  </si>
  <si>
    <t>Pocatello, ID</t>
  </si>
  <si>
    <t>Ponce, PR</t>
  </si>
  <si>
    <t>Port St. Lucie, FL</t>
  </si>
  <si>
    <t>Pueblo, CO</t>
  </si>
  <si>
    <t>Punta Gorda, FL</t>
  </si>
  <si>
    <t>Rapid City, SD</t>
  </si>
  <si>
    <t>Reading, PA</t>
  </si>
  <si>
    <t>Redding, CA</t>
  </si>
  <si>
    <t>Reno, NV</t>
  </si>
  <si>
    <t>Richmond, VA</t>
  </si>
  <si>
    <t>Roanoke, VA</t>
  </si>
  <si>
    <t>Rochester, MN</t>
  </si>
  <si>
    <t>Rochester, NY</t>
  </si>
  <si>
    <t>Rockford, IL</t>
  </si>
  <si>
    <t>Rocky Mount, NC</t>
  </si>
  <si>
    <t>Rome, GA</t>
  </si>
  <si>
    <t>Saginaw, MI</t>
  </si>
  <si>
    <t>Salem, OR</t>
  </si>
  <si>
    <t>Salinas, CA</t>
  </si>
  <si>
    <t>San Angelo, TX</t>
  </si>
  <si>
    <t>Santa Fe, NM</t>
  </si>
  <si>
    <t>Savannah, GA</t>
  </si>
  <si>
    <t>Sheboygan, WI</t>
  </si>
  <si>
    <t>Spartanburg, SC</t>
  </si>
  <si>
    <t>Springfield, IL</t>
  </si>
  <si>
    <t>Springfield, MA</t>
  </si>
  <si>
    <t>Springfield, MO</t>
  </si>
  <si>
    <t>Springfield, OH</t>
  </si>
  <si>
    <t>St. Cloud, MN</t>
  </si>
  <si>
    <t>St. George, UT</t>
  </si>
  <si>
    <t>State College, PA</t>
  </si>
  <si>
    <t>Sumter, SC</t>
  </si>
  <si>
    <t>Syracuse, NY</t>
  </si>
  <si>
    <t>Tallahassee, FL</t>
  </si>
  <si>
    <t>Terre Haute, IN</t>
  </si>
  <si>
    <t>Toledo, OH</t>
  </si>
  <si>
    <t>Topeka, KS</t>
  </si>
  <si>
    <t>Tucson, AZ</t>
  </si>
  <si>
    <t>Tulsa, OK</t>
  </si>
  <si>
    <t>Tuscaloosa, AL</t>
  </si>
  <si>
    <t>Tyler, TX</t>
  </si>
  <si>
    <t>Valdosta, GA</t>
  </si>
  <si>
    <t>Victoria, TX</t>
  </si>
  <si>
    <t>Waco, TX</t>
  </si>
  <si>
    <t>Warner Robins, GA</t>
  </si>
  <si>
    <t>Wausau, WI</t>
  </si>
  <si>
    <t>Wichita Falls, TX</t>
  </si>
  <si>
    <t>Wichita, KS</t>
  </si>
  <si>
    <t>Williamsport, PA</t>
  </si>
  <si>
    <t>Wilmington, NC</t>
  </si>
  <si>
    <t>Yakima, WA</t>
  </si>
  <si>
    <t>Yuba City, CA</t>
  </si>
  <si>
    <t>Yuma, AZ</t>
  </si>
  <si>
    <t>Annual Growth in FHFA House Price Index, percent</t>
  </si>
  <si>
    <t>2010Q4</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</si>
  <si>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</si>
  <si>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</si>
  <si>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</si>
  <si>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</si>
  <si>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</si>
  <si>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</si>
  <si>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</si>
  <si>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</si>
  <si>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</si>
  <si>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</si>
  <si>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</si>
  <si>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</si>
  <si>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</si>
  <si>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</si>
  <si>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</si>
  <si>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</si>
  <si>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</si>
  <si>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</si>
  <si>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</si>
  <si>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</si>
  <si>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</si>
  <si>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</si>
  <si>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</si>
  <si>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</si>
  <si>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</si>
  <si>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</si>
  <si>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</si>
  <si>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</si>
  <si>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</si>
  <si>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</si>
  <si>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</si>
  <si>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</si>
  <si>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</si>
  <si>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</si>
  <si>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</si>
  <si>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</si>
  <si>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</si>
  <si>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</si>
  <si>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</si>
  <si>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</si>
  <si>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</si>
  <si>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</si>
  <si>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</si>
  <si>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</si>
  <si>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</si>
  <si>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</si>
  <si>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</si>
  <si>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</si>
  <si>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</si>
  <si>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</si>
  <si>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</si>
  <si>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</si>
  <si>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United States</t>
  </si>
  <si>
    <t>2009Q1</t>
  </si>
  <si>
    <t>2009Q2</t>
  </si>
  <si>
    <t>2009Q3</t>
  </si>
  <si>
    <t>2009Q4</t>
  </si>
  <si>
    <t>2010Q1</t>
  </si>
  <si>
    <t>2010Q2</t>
  </si>
  <si>
    <t>2010Q3</t>
  </si>
  <si>
    <t>State</t>
  </si>
  <si>
    <t>2000</t>
  </si>
  <si>
    <t>2001</t>
  </si>
  <si>
    <t>2002</t>
  </si>
  <si>
    <t>2003</t>
  </si>
  <si>
    <t>2004</t>
  </si>
  <si>
    <t>2005</t>
  </si>
  <si>
    <t>2006</t>
  </si>
  <si>
    <t>2007</t>
  </si>
  <si>
    <t>2008</t>
  </si>
  <si>
    <t>2009</t>
  </si>
  <si>
    <t>2010</t>
  </si>
  <si>
    <t>MSA</t>
  </si>
  <si>
    <t>2011Q1</t>
  </si>
  <si>
    <t>2011Q2</t>
  </si>
  <si>
    <t>2011Q3</t>
  </si>
  <si>
    <t>2011Q4</t>
  </si>
  <si>
    <t>2011</t>
  </si>
  <si>
    <t>2012Q1</t>
  </si>
  <si>
    <t>Metro Area Unemployment Rates</t>
  </si>
  <si>
    <t>State House Price Growth</t>
  </si>
  <si>
    <t>Metro Area House Price Growth</t>
  </si>
  <si>
    <t>2012Q2</t>
  </si>
  <si>
    <t>2012Q3</t>
  </si>
  <si>
    <t>2012</t>
  </si>
  <si>
    <t>2012Q4</t>
  </si>
  <si>
    <t>2013Q1</t>
  </si>
  <si>
    <t>2013Q2</t>
  </si>
  <si>
    <t>2013Q3</t>
  </si>
  <si>
    <t>2013</t>
  </si>
  <si>
    <t>2013Q4</t>
  </si>
  <si>
    <t>2014Q1</t>
  </si>
  <si>
    <t>2014Q2</t>
  </si>
  <si>
    <t>2014Q3</t>
  </si>
  <si>
    <t>2014</t>
  </si>
  <si>
    <t>2014Q4</t>
  </si>
  <si>
    <t>Albany-Schenectady-Troy, NY</t>
  </si>
  <si>
    <t>Allentown-Bethlehem-Easton, PA-NJ</t>
  </si>
  <si>
    <t>Arecibo, PR</t>
  </si>
  <si>
    <t>Athens-Clarke County, GA</t>
  </si>
  <si>
    <t>Atlantic City-Hammonton, NJ</t>
  </si>
  <si>
    <t>Auburn-Opelika, AL</t>
  </si>
  <si>
    <t>Augusta-Richmond County, GA-SC</t>
  </si>
  <si>
    <t>Baltimore-Columbia-Towson, MD</t>
  </si>
  <si>
    <t>Beaumont-Port Arthur, TX</t>
  </si>
  <si>
    <t>Beckley, WV</t>
  </si>
  <si>
    <t>Blacksburg-Christiansburg-Radford, VA</t>
  </si>
  <si>
    <t>Boston-Cambridge-Newton, MA-NH</t>
  </si>
  <si>
    <t>Brownsville-Harlingen, TX</t>
  </si>
  <si>
    <t>Burlington-South Burlington, VT</t>
  </si>
  <si>
    <t>Canton-Massillon, OH</t>
  </si>
  <si>
    <t>Cape Coral-Fort Myers, FL</t>
  </si>
  <si>
    <t>Cape Girardeau, MO-IL</t>
  </si>
  <si>
    <t>Champaign-Urbana, IL</t>
  </si>
  <si>
    <t>Charleston-North Charleston, SC</t>
  </si>
  <si>
    <t>Charlotte-Concord-Gastonia, NC-SC</t>
  </si>
  <si>
    <t>Chattanooga, TN-GA</t>
  </si>
  <si>
    <t>Cincinnati, OH-KY-IN</t>
  </si>
  <si>
    <t>Clarksville, TN-KY</t>
  </si>
  <si>
    <t>College Station-Bryan, TX</t>
  </si>
  <si>
    <t>Columbus, GA-AL</t>
  </si>
  <si>
    <t>Crestview-Fort Walton Beach-Destin, FL</t>
  </si>
  <si>
    <t>Dallas-Fort Worth-Arlington, TX</t>
  </si>
  <si>
    <t>Daphne-Fairhope-Foley, AL</t>
  </si>
  <si>
    <t>Davenport-Moline-Rock Island, IA-IL</t>
  </si>
  <si>
    <t>Deltona-Daytona Beach-Ormond Beach, FL</t>
  </si>
  <si>
    <t>Des Moines-West Des Moines, IA</t>
  </si>
  <si>
    <t>Detroit-Warren-Dearborn, MI</t>
  </si>
  <si>
    <t>Duluth, MN-WI</t>
  </si>
  <si>
    <t>Durham-Chapel Hill, NC</t>
  </si>
  <si>
    <t>Elkhart-Goshen, IN</t>
  </si>
  <si>
    <t>Fargo, ND-MN</t>
  </si>
  <si>
    <t>Florence-Muscle Shoals, AL</t>
  </si>
  <si>
    <t>Fort Smith, AR-OK</t>
  </si>
  <si>
    <t>Gettysburg, PA</t>
  </si>
  <si>
    <t>Grand Forks, ND-MN</t>
  </si>
  <si>
    <t>Grand Island, NE</t>
  </si>
  <si>
    <t>Grants Pass, OR</t>
  </si>
  <si>
    <t>Greensboro-High Point, NC</t>
  </si>
  <si>
    <t>Hagerstown-Martinsburg, MD-WV</t>
  </si>
  <si>
    <t>Hammond, LA</t>
  </si>
  <si>
    <t>Hanford-Corcoran, CA</t>
  </si>
  <si>
    <t>Harrisburg-Carlisle, PA</t>
  </si>
  <si>
    <t>Hickory-Lenoir-Morganton, NC</t>
  </si>
  <si>
    <t>Homosassa Springs, FL</t>
  </si>
  <si>
    <t>Huntington-Ashland, WV-KY-OH</t>
  </si>
  <si>
    <t>Janesville-Beloit, WI</t>
  </si>
  <si>
    <t>Kalamazoo-Portage, MI</t>
  </si>
  <si>
    <t>Kansas City, MO-KS</t>
  </si>
  <si>
    <t>Kennewick-Richland, WA</t>
  </si>
  <si>
    <t>Killeen-Temple, TX</t>
  </si>
  <si>
    <t>La Crosse-Onalaska, WI-MN</t>
  </si>
  <si>
    <t>Lafayette-West Lafayette, IN</t>
  </si>
  <si>
    <t>Lake Havasu City-Kingman, AZ</t>
  </si>
  <si>
    <t>Lakeland-Winter Haven, FL</t>
  </si>
  <si>
    <t>Lansing-East Lansing, MI</t>
  </si>
  <si>
    <t>Lewiston, ID-WA</t>
  </si>
  <si>
    <t>Lewiston-Auburn, ME</t>
  </si>
  <si>
    <t>Lexington-Fayette, KY</t>
  </si>
  <si>
    <t>Little Rock-North Little Rock-Conway, AR</t>
  </si>
  <si>
    <t>Logan, UT-ID</t>
  </si>
  <si>
    <t>Los Angeles-Long Beach-Anaheim, CA</t>
  </si>
  <si>
    <t>Louisville/Jefferson County, KY-IN</t>
  </si>
  <si>
    <t>Manchester-Nashua, NH</t>
  </si>
  <si>
    <t>Manhattan, KS</t>
  </si>
  <si>
    <t>Mayagüez, PR</t>
  </si>
  <si>
    <t>McAllen-Edinburg-Mission, TX</t>
  </si>
  <si>
    <t>Memphis, TN-MS-AR</t>
  </si>
  <si>
    <t>Michigan City-La Porte, IN</t>
  </si>
  <si>
    <t>Midland, MI</t>
  </si>
  <si>
    <t>Minneapolis-St. Paul-Bloomington, MN-WI</t>
  </si>
  <si>
    <t>Mount Vernon-Anacortes, WA</t>
  </si>
  <si>
    <t>New Orleans-Metairie, LA</t>
  </si>
  <si>
    <t>Orlando-Kissimmee-Sanford, FL</t>
  </si>
  <si>
    <t>Oshkosh-Neenah, WI</t>
  </si>
  <si>
    <t>Oxnard-Thousand Oaks-Ventura, CA</t>
  </si>
  <si>
    <t>Palm Bay-Melbourne-Titusville, FL</t>
  </si>
  <si>
    <t>Parkersburg-Vienna, WV</t>
  </si>
  <si>
    <t>Pensacola-Ferry Pass-Brent, FL</t>
  </si>
  <si>
    <t>Philadelphia-Camden-Wilmington, PA-NJ-DE-MD</t>
  </si>
  <si>
    <t>Portland-South Portland, ME</t>
  </si>
  <si>
    <t>Portland-Vancouver-Hillsboro, OR-WA</t>
  </si>
  <si>
    <t>Providence-Warwick, RI-MA</t>
  </si>
  <si>
    <t>Riverside-San Bernardino-Ontario, CA</t>
  </si>
  <si>
    <t>San Antonio-New Braunfels, TX</t>
  </si>
  <si>
    <t>San Jose-Sunnyvale-Santa Clara, CA</t>
  </si>
  <si>
    <t>Santa Cruz-Watsonville, CA</t>
  </si>
  <si>
    <t>Santa Maria-Santa Barbara, CA</t>
  </si>
  <si>
    <t>Seattle-Tacoma-Bellevue, WA</t>
  </si>
  <si>
    <t>Sherman-Denison, TX</t>
  </si>
  <si>
    <t>Shreveport-Bossier City, LA</t>
  </si>
  <si>
    <t>Sierra Vista-Douglas, AZ</t>
  </si>
  <si>
    <t>Sioux City, IA-NE-SD</t>
  </si>
  <si>
    <t>South Bend-Mishawaka, IN-MI</t>
  </si>
  <si>
    <t>Spokane-Spokane Valley, WA</t>
  </si>
  <si>
    <t>St. Joseph, MO-KS</t>
  </si>
  <si>
    <t>St. Louis, MO-IL</t>
  </si>
  <si>
    <t>Tampa-St. Petersburg-Clearwater, FL</t>
  </si>
  <si>
    <t>Texarkana, TX-AR</t>
  </si>
  <si>
    <t>Urban Honolulu, HI</t>
  </si>
  <si>
    <t>Utica-Rome, NY</t>
  </si>
  <si>
    <t>Walla Walla, WA</t>
  </si>
  <si>
    <t>Washington-Arlington-Alexandria, DC-VA-MD-WV</t>
  </si>
  <si>
    <t>Waterloo-Cedar Falls, IA</t>
  </si>
  <si>
    <t>Watertown-Fort Drum, NY</t>
  </si>
  <si>
    <t>Weirton-Steubenville, WV-OH</t>
  </si>
  <si>
    <t>Wheeling, WV-OH</t>
  </si>
  <si>
    <t>Winchester, VA-WV</t>
  </si>
  <si>
    <t>Winston-Salem, NC</t>
  </si>
  <si>
    <t>York-Hanover, PA</t>
  </si>
  <si>
    <t>2015Q1</t>
  </si>
  <si>
    <t>2015Q2</t>
  </si>
  <si>
    <t>2015Q3</t>
  </si>
  <si>
    <t>2015</t>
  </si>
  <si>
    <t>2015Q4</t>
  </si>
  <si>
    <t>2016Q1</t>
  </si>
  <si>
    <t>2016Q2</t>
  </si>
  <si>
    <t>2016Q3</t>
  </si>
  <si>
    <t>ND</t>
  </si>
  <si>
    <t>2016</t>
  </si>
  <si>
    <t>2016Q4</t>
  </si>
  <si>
    <t>2017Q1</t>
  </si>
  <si>
    <t>2017Q2</t>
  </si>
  <si>
    <t>2017</t>
  </si>
  <si>
    <t>2017Q3</t>
  </si>
  <si>
    <t>2017Q4</t>
  </si>
  <si>
    <t>State Unemployment Rates</t>
  </si>
  <si>
    <t>2018Q1</t>
  </si>
  <si>
    <t>2018Q2</t>
  </si>
  <si>
    <t>2018</t>
  </si>
  <si>
    <t>2018Q3</t>
  </si>
  <si>
    <t>2018Q4</t>
  </si>
  <si>
    <t>Source: Bureau of Labor Statistics</t>
  </si>
  <si>
    <t>Source: Federal Housing Finance Agency</t>
  </si>
  <si>
    <t xml:space="preserve">State </t>
  </si>
  <si>
    <t>Enid, OK</t>
  </si>
  <si>
    <t>Twin Falls, ID</t>
  </si>
  <si>
    <t>2019Q1</t>
  </si>
  <si>
    <t>2019Q2</t>
  </si>
  <si>
    <t>2019Q3</t>
  </si>
  <si>
    <t>Albany, OR</t>
  </si>
  <si>
    <t>Atlanta-Sandy Springs-Roswell, GA</t>
  </si>
  <si>
    <t>Hartford-West Hartford-East Hartford, CT</t>
  </si>
  <si>
    <t>Miami-Fort Lauderdale-West Palm Beach, FL</t>
  </si>
  <si>
    <t>Sebring, FL</t>
  </si>
  <si>
    <t>Stockton-Lodi, CA</t>
  </si>
  <si>
    <t>2019</t>
  </si>
  <si>
    <t>2019Q4</t>
  </si>
  <si>
    <t>2020Q1</t>
  </si>
  <si>
    <t>2020Q2</t>
  </si>
  <si>
    <t>2020Q3</t>
  </si>
  <si>
    <t>2020</t>
  </si>
  <si>
    <t>2020Q4</t>
  </si>
  <si>
    <t>2021Q1</t>
  </si>
  <si>
    <t>2021Q2</t>
  </si>
  <si>
    <t xml:space="preserve"> State</t>
  </si>
  <si>
    <t>2021</t>
  </si>
  <si>
    <t>2021Q3</t>
  </si>
  <si>
    <t>2021Q4</t>
  </si>
  <si>
    <t>2022Q1</t>
  </si>
  <si>
    <t>Annual Averages</t>
  </si>
  <si>
    <t>Quarterly Averages</t>
  </si>
  <si>
    <t>2022Q2</t>
  </si>
  <si>
    <t>2022Q4</t>
  </si>
  <si>
    <t>2022</t>
  </si>
  <si>
    <t>2022Q3</t>
  </si>
  <si>
    <t>2023Q1</t>
  </si>
  <si>
    <t>2023Q2</t>
  </si>
  <si>
    <t>2023Q3</t>
  </si>
  <si>
    <t>Dayton-Kettering-Beavercreek, OH</t>
  </si>
  <si>
    <t>Panama City-Panama City Beach, FL</t>
  </si>
  <si>
    <t>This tab contains a table titled "Metro Area Unemployment Rates." For each metro area and the U.S., the table displays: 1) annual average unemployment rates from 2000 on and 2) average unemployment rate of most recent 12 months. Data source is the Bureau of Labor Statistics.</t>
  </si>
  <si>
    <t>This tab contains a table titled "Metro Area House Price Growth." For each metro area and the U.S., the table displays: 1) annual growth in FHFA house price index from 2000 on and 2) growth in average of most recent four quarters to previous four quarters. Data source is the Federal Housing Finance Agency.</t>
  </si>
  <si>
    <t>This tab contains a table titled "State House Price Growth." For each state and the U.S., the table displays: 1) annual growth in FHFA house price index from 2000 on and 2) growth in average of most recent four quarters to previous four quarters. Data source is the Federal Housing Finance Agency.</t>
  </si>
  <si>
    <t>This tab contains a table titled "State Unemployment Rates." For each state and the U.S., the table displays: 1) annual average unemployment rates from 2000 on, 2) quarterly average unemployment rates from 2009Q1 on, and 3) monthly unemployment rates from January 2011 on. Data source is the Bureau of Labor Statistics.</t>
  </si>
  <si>
    <t>2023</t>
  </si>
  <si>
    <t>2023Q4</t>
  </si>
  <si>
    <t>2024Q1</t>
  </si>
  <si>
    <t>Fayetteville-Springdale-Rogers, AR</t>
  </si>
  <si>
    <t>Gulfport-Biloxi, MS</t>
  </si>
  <si>
    <t>Nashville-Davidson--Murfreesboro--Franklin, TN</t>
  </si>
  <si>
    <t>Prescott Valley-Prescott, AZ</t>
  </si>
  <si>
    <t>Growth in Average of Most Recent 4 Quarters to Previous 4 Quarters, %</t>
  </si>
  <si>
    <t>Annual Average  Unemployment Rate, %</t>
  </si>
  <si>
    <t>Average Quarterly Unemployment Rate, %</t>
  </si>
  <si>
    <t xml:space="preserve">Monthly Unemployment Rate, %           </t>
  </si>
  <si>
    <t>Annual Growth in FHFA House Price Index, %</t>
  </si>
  <si>
    <t>2024Q2</t>
  </si>
  <si>
    <t>2024</t>
  </si>
  <si>
    <t>2024Q3</t>
  </si>
  <si>
    <t>2024Q4</t>
  </si>
  <si>
    <t>Anniston-Oxford, AL</t>
  </si>
  <si>
    <t>Austin-Round Rock-San Marcos, TX</t>
  </si>
  <si>
    <t>Bakersfield-Delano, CA</t>
  </si>
  <si>
    <t>Birmingham, AL</t>
  </si>
  <si>
    <t>Bremerton-Silverdale-Port Orchard, WA</t>
  </si>
  <si>
    <t>Brunswick-St. Simons, GA</t>
  </si>
  <si>
    <t>Buffalo-Cheektowaga, NY</t>
  </si>
  <si>
    <t>Chambersburg, PA</t>
  </si>
  <si>
    <t>Denver-Aurora-Centennial, CO</t>
  </si>
  <si>
    <t>Eugene-Springfield, OR</t>
  </si>
  <si>
    <t>Fairbanks-College, AK</t>
  </si>
  <si>
    <t>Fort Collins-Loveland, CO</t>
  </si>
  <si>
    <t>Greenville-Anderson-Greer, SC</t>
  </si>
  <si>
    <t>Hilton Head Island-Bluffton-Port Royal, SC</t>
  </si>
  <si>
    <t>Houma-Bayou Cane-Thibodaux, LA</t>
  </si>
  <si>
    <t>Kahului-Wailuku, HI</t>
  </si>
  <si>
    <t>Kingsport-Bristol, TN-VA</t>
  </si>
  <si>
    <t>Las Vegas-Henderson-North Las Vegas, NV</t>
  </si>
  <si>
    <t>Longview-Kelso, WA</t>
  </si>
  <si>
    <t>Macon-Bibb County, GA</t>
  </si>
  <si>
    <t>Mankato, MN</t>
  </si>
  <si>
    <t>Milwaukee-Waukesha, WI</t>
  </si>
  <si>
    <t>Muskegon-Norton Shores, MI</t>
  </si>
  <si>
    <t>Naples-Marco Island, FL</t>
  </si>
  <si>
    <t>Niles, MI</t>
  </si>
  <si>
    <t>North Port-Bradenton-Sarasota, FL</t>
  </si>
  <si>
    <t>Olympia-Lacey-Tumwater, WA</t>
  </si>
  <si>
    <t>Omaha, NE-IA</t>
  </si>
  <si>
    <t>Phoenix-Mesa-Chandler, AZ</t>
  </si>
  <si>
    <t>Provo-Orem-Lehi, UT</t>
  </si>
  <si>
    <t>Racine-Mount Pleasant, WI</t>
  </si>
  <si>
    <t>Raleigh-Cary, NC</t>
  </si>
  <si>
    <t>Sacramento-Roseville-Folsom, CA</t>
  </si>
  <si>
    <t>Salt Lake City-Murray, UT</t>
  </si>
  <si>
    <t>San Diego-Chula Vista-Carlsbad, CA</t>
  </si>
  <si>
    <t>San Francisco-Oakland-Fremont, CA</t>
  </si>
  <si>
    <t>San Juan-Bayamón-Caguas, PR</t>
  </si>
  <si>
    <t>San Luis Obispo-Paso Robles, CA</t>
  </si>
  <si>
    <t>Santa Rosa-Petaluma, CA</t>
  </si>
  <si>
    <t>Scranton--Wilkes-Barre, PA</t>
  </si>
  <si>
    <t>Sebastian-Vero Beach-West Vero Corridor, FL</t>
  </si>
  <si>
    <t>Staunton-Stuarts Draft, VA</t>
  </si>
  <si>
    <t>Trenton-Princeton, NJ</t>
  </si>
  <si>
    <t>Vallejo, CA</t>
  </si>
  <si>
    <t>Vineland, NJ</t>
  </si>
  <si>
    <t>Visalia, CA</t>
  </si>
  <si>
    <t>Wenatchee-East Wenatchee, WA</t>
  </si>
  <si>
    <t>2025Q1</t>
  </si>
  <si>
    <t>2025Q2</t>
  </si>
  <si>
    <t>Amherst Town-Northampton, MA</t>
  </si>
  <si>
    <t>Bend, OR</t>
  </si>
  <si>
    <t>Bozeman, MT</t>
  </si>
  <si>
    <t>Bridgeport-Stamford-Danbury, CT</t>
  </si>
  <si>
    <t>Chicago-Naperville-Elgin, IL-IN</t>
  </si>
  <si>
    <t>Cleveland, OH</t>
  </si>
  <si>
    <t>Eagle Pass, TX</t>
  </si>
  <si>
    <t>Elizabethtown, KY</t>
  </si>
  <si>
    <t>Evansville, IN</t>
  </si>
  <si>
    <t>Grand Rapids-Wyoming-Kentwood, MI</t>
  </si>
  <si>
    <t>Helena, MT</t>
  </si>
  <si>
    <t>Houston-Pasadena-The Woodlands, TX</t>
  </si>
  <si>
    <t>Indianapolis-Carmel-Greenwood, IN</t>
  </si>
  <si>
    <t>Joplin, MO-KS</t>
  </si>
  <si>
    <t>Kenosha, WI</t>
  </si>
  <si>
    <t>Kiryas Joel-Poughkeepsie-Newburgh, NY</t>
  </si>
  <si>
    <t>Lexington Park, MD</t>
  </si>
  <si>
    <t>Minot, ND</t>
  </si>
  <si>
    <t>Myrtle Beach-Conway-North Myrtle Beach, SC</t>
  </si>
  <si>
    <t>New Haven, CT</t>
  </si>
  <si>
    <t>New York-Newark-Jersey City, NY-NJ</t>
  </si>
  <si>
    <t>Norwich-New London-Willimantic, CT</t>
  </si>
  <si>
    <t>Ogden, UT</t>
  </si>
  <si>
    <t>Paducah, KY-IL</t>
  </si>
  <si>
    <t>Pinehurst-Southern Pines, NC</t>
  </si>
  <si>
    <t>Salisbury, MD</t>
  </si>
  <si>
    <t>Sandusky, OH</t>
  </si>
  <si>
    <t>Sioux Falls, SD-MN</t>
  </si>
  <si>
    <t>Slidell-Mandeville-Covington, LA</t>
  </si>
  <si>
    <t>Traverse City, MI</t>
  </si>
  <si>
    <t>Virginia Beach-Chesapeake-Norfolk, VA-NC</t>
  </si>
  <si>
    <t>Waterbury-Shelton, CT</t>
  </si>
  <si>
    <t>Wildwood-The Villages, FL</t>
  </si>
  <si>
    <t>Worcester, MA</t>
  </si>
  <si>
    <t>Youngstown-Warren, OH</t>
  </si>
  <si>
    <t>Average of Most Recent 12 Months, end month, %</t>
  </si>
  <si>
    <t>Aguadilla, PR</t>
  </si>
  <si>
    <t>September-25</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</si>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</sst>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mmm\-yy;@"/>
    <numFmt numFmtId="166" formatCode="[$-409]mmmm\-yy;@"/>
    <numFmt numFmtId="167" formatCode="00000"/>
  </numFmts>
  <fonts count="12" x14ac:knownFonts="1">
    <font>
      <sz val="11"/>
      <color theme="1"/>
      <name val="Calibri"/>
      <family val="2"/>
      <scheme val="minor"/>
    </font>
    <font>
      <b/>
      <sz val="11"/>
      <color theme="1"/>
      <name val="Calibri"/>
      <family val="2"/>
      <scheme val="minor"/>
    </font>
    <font>
      <sz val="8.8000000000000007"/>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sz val="14"/>
      <color theme="1"/>
      <name val="Calibri"/>
      <family val="2"/>
      <scheme val="minor"/>
    </font>
    <font>
      <b/>
      <sz val="12"/>
      <name val="Calibri"/>
      <family val="2"/>
      <scheme val="minor"/>
    </font>
    <font>
      <u/>
      <sz val="11"/>
      <color theme="10"/>
      <name val="Calibri"/>
      <family val="2"/>
      <scheme val="minor"/>
    </font>
    <font>
      <u/>
      <sz val="14"/>
      <color theme="10"/>
      <name val="Calibri"/>
      <family val="2"/>
      <scheme val="minor"/>
    </font>
    <font>
      <sz val="11"/>
      <color theme="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5" tint="0.79998168889431442"/>
        <bgColor theme="5" tint="0.79998168889431442"/>
      </patternFill>
    </fill>
    <fill>
      <patternFill patternType="solid">
        <fgColor theme="6" tint="0.59996337778862885"/>
        <bgColor indexed="64"/>
      </patternFill>
    </fill>
    <fill>
      <patternFill patternType="solid">
        <fgColor theme="6"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theme="5"/>
      </left>
      <right style="thin">
        <color indexed="64"/>
      </right>
      <top style="thin">
        <color indexed="64"/>
      </top>
      <bottom style="thin">
        <color indexed="64"/>
      </bottom>
      <diagonal/>
    </border>
    <border>
      <left style="thin">
        <color theme="5"/>
      </left>
      <right/>
      <top style="thin">
        <color indexed="64"/>
      </top>
      <bottom/>
      <diagonal/>
    </border>
    <border>
      <left style="thin">
        <color theme="5"/>
      </left>
      <right style="thin">
        <color indexed="64"/>
      </right>
      <top style="thin">
        <color indexed="64"/>
      </top>
      <bottom/>
      <diagonal/>
    </border>
    <border>
      <left style="thin">
        <color theme="5"/>
      </left>
      <right/>
      <top style="thin">
        <color indexed="64"/>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9" fillId="0" borderId="0" applyNumberFormat="0" applyFill="0" applyBorder="0" applyAlignment="0" applyProtection="0"/>
  </cellStyleXfs>
  <cellXfs count="123">
    <xf numFmtId="0" fontId="0" fillId="0" borderId="0" xfId="0"/>
    <xf numFmtId="0" fontId="1" fillId="0" borderId="0" xfId="0" applyFont="1" applyAlignment="1">
      <alignment horizontal="centerContinuous" wrapText="1"/>
    </xf>
    <xf numFmtId="0" fontId="1" fillId="0" borderId="0" xfId="0" applyFont="1" applyAlignment="1">
      <alignment horizontal="right"/>
    </xf>
    <xf numFmtId="164" fontId="0" fillId="0" borderId="0" xfId="0" applyNumberFormat="1"/>
    <xf numFmtId="0" fontId="2" fillId="0" borderId="0" xfId="0" applyFont="1" applyAlignment="1">
      <alignment vertical="top" wrapText="1"/>
    </xf>
    <xf numFmtId="0" fontId="0" fillId="0" borderId="5" xfId="0" applyBorder="1"/>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center" vertical="center"/>
    </xf>
    <xf numFmtId="164" fontId="1" fillId="0" borderId="0" xfId="0" applyNumberFormat="1" applyFont="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1" fillId="0" borderId="0" xfId="0" applyFont="1"/>
    <xf numFmtId="0" fontId="1" fillId="0" borderId="2" xfId="0" applyFont="1" applyBorder="1" applyAlignment="1">
      <alignment horizontal="left" vertical="center"/>
    </xf>
    <xf numFmtId="164" fontId="0" fillId="0" borderId="0" xfId="0" applyNumberFormat="1" applyAlignment="1">
      <alignment horizontal="right" vertical="center" indent="2"/>
    </xf>
    <xf numFmtId="164" fontId="0" fillId="0" borderId="1" xfId="0" applyNumberFormat="1" applyBorder="1" applyAlignment="1">
      <alignment horizontal="right" vertical="center" indent="2"/>
    </xf>
    <xf numFmtId="164" fontId="0" fillId="0" borderId="3" xfId="0" applyNumberFormat="1" applyBorder="1" applyAlignment="1">
      <alignment horizontal="right" vertical="center" indent="8"/>
    </xf>
    <xf numFmtId="164" fontId="0" fillId="0" borderId="3" xfId="0" applyNumberFormat="1" applyBorder="1" applyAlignment="1">
      <alignment horizontal="right" vertical="center" indent="2"/>
    </xf>
    <xf numFmtId="0" fontId="1" fillId="2" borderId="1" xfId="0" applyFont="1" applyFill="1" applyBorder="1" applyAlignment="1">
      <alignment horizontal="center" vertical="center"/>
    </xf>
    <xf numFmtId="0" fontId="0" fillId="0" borderId="0" xfId="0" applyAlignment="1">
      <alignment horizontal="center"/>
    </xf>
    <xf numFmtId="165" fontId="1" fillId="3" borderId="2" xfId="0" applyNumberFormat="1" applyFont="1" applyFill="1" applyBorder="1" applyAlignment="1">
      <alignment horizontal="center"/>
    </xf>
    <xf numFmtId="0" fontId="1" fillId="5" borderId="6"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7" xfId="0" applyFont="1" applyFill="1" applyBorder="1" applyAlignment="1">
      <alignment horizontal="center" vertical="center"/>
    </xf>
    <xf numFmtId="164" fontId="0" fillId="5" borderId="1" xfId="0" applyNumberFormat="1" applyFill="1" applyBorder="1" applyAlignment="1">
      <alignment horizontal="right" vertical="center" indent="2"/>
    </xf>
    <xf numFmtId="164" fontId="0" fillId="6" borderId="1" xfId="0" applyNumberFormat="1" applyFill="1" applyBorder="1" applyAlignment="1">
      <alignment horizontal="right" vertical="center" indent="2"/>
    </xf>
    <xf numFmtId="0" fontId="0" fillId="2" borderId="5" xfId="0" applyFill="1" applyBorder="1"/>
    <xf numFmtId="164" fontId="0" fillId="2" borderId="3" xfId="0" applyNumberFormat="1" applyFill="1" applyBorder="1" applyAlignment="1">
      <alignment horizontal="right" vertical="center" indent="8"/>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164" fontId="0" fillId="0" borderId="0" xfId="0" applyNumberFormat="1" applyAlignment="1">
      <alignment horizontal="center" vertical="center"/>
    </xf>
    <xf numFmtId="164" fontId="0" fillId="4" borderId="1" xfId="0" applyNumberFormat="1" applyFill="1" applyBorder="1" applyAlignment="1">
      <alignment horizontal="right" indent="2"/>
    </xf>
    <xf numFmtId="164" fontId="0" fillId="5" borderId="1" xfId="0" applyNumberFormat="1" applyFill="1" applyBorder="1" applyAlignment="1">
      <alignment horizontal="left" vertical="center"/>
    </xf>
    <xf numFmtId="164" fontId="0" fillId="0" borderId="1" xfId="0" applyNumberFormat="1" applyBorder="1" applyAlignment="1">
      <alignment horizontal="left" vertical="center"/>
    </xf>
    <xf numFmtId="164" fontId="0" fillId="6" borderId="1" xfId="0" applyNumberFormat="1" applyFill="1" applyBorder="1" applyAlignment="1">
      <alignment horizontal="left" vertical="center"/>
    </xf>
    <xf numFmtId="0" fontId="1" fillId="2" borderId="2" xfId="0" applyFont="1" applyFill="1" applyBorder="1" applyAlignment="1">
      <alignment horizontal="center" vertical="center"/>
    </xf>
    <xf numFmtId="0" fontId="0" fillId="0" borderId="2" xfId="0" applyBorder="1"/>
    <xf numFmtId="0" fontId="0" fillId="0" borderId="1" xfId="0" applyBorder="1"/>
    <xf numFmtId="0" fontId="3" fillId="0" borderId="0" xfId="0" applyFont="1" applyAlignment="1">
      <alignment horizontal="center" vertical="center"/>
    </xf>
    <xf numFmtId="164" fontId="0" fillId="4" borderId="1" xfId="0" applyNumberFormat="1" applyFill="1" applyBorder="1" applyAlignment="1">
      <alignment vertical="center"/>
    </xf>
    <xf numFmtId="164" fontId="0" fillId="0" borderId="1" xfId="0" applyNumberFormat="1" applyBorder="1" applyAlignment="1">
      <alignment vertical="center"/>
    </xf>
    <xf numFmtId="165" fontId="1" fillId="3" borderId="10" xfId="0" applyNumberFormat="1" applyFont="1" applyFill="1" applyBorder="1" applyAlignment="1">
      <alignment horizontal="center"/>
    </xf>
    <xf numFmtId="165" fontId="1" fillId="3" borderId="14" xfId="0" applyNumberFormat="1" applyFont="1" applyFill="1" applyBorder="1" applyAlignment="1">
      <alignment horizontal="center"/>
    </xf>
    <xf numFmtId="0" fontId="1" fillId="3" borderId="10" xfId="0" applyFont="1" applyFill="1" applyBorder="1" applyAlignment="1">
      <alignment horizontal="center"/>
    </xf>
    <xf numFmtId="165" fontId="1" fillId="3" borderId="15" xfId="0" applyNumberFormat="1" applyFont="1" applyFill="1" applyBorder="1" applyAlignment="1">
      <alignment horizontal="center"/>
    </xf>
    <xf numFmtId="164" fontId="0" fillId="4" borderId="10" xfId="0" applyNumberFormat="1" applyFill="1" applyBorder="1" applyAlignment="1">
      <alignment horizontal="right" vertical="center" indent="2"/>
    </xf>
    <xf numFmtId="164" fontId="0" fillId="4" borderId="10" xfId="0" applyNumberFormat="1" applyFill="1" applyBorder="1" applyAlignment="1">
      <alignment horizontal="right" indent="2"/>
    </xf>
    <xf numFmtId="164" fontId="0" fillId="4" borderId="10" xfId="0" applyNumberFormat="1" applyFill="1" applyBorder="1" applyAlignment="1">
      <alignment vertical="center"/>
    </xf>
    <xf numFmtId="164" fontId="0" fillId="4" borderId="14" xfId="0" applyNumberFormat="1" applyFill="1" applyBorder="1" applyAlignment="1">
      <alignment horizontal="right" indent="2"/>
    </xf>
    <xf numFmtId="164" fontId="0" fillId="4" borderId="15" xfId="0" applyNumberFormat="1" applyFill="1" applyBorder="1" applyAlignment="1">
      <alignment horizontal="right" indent="2"/>
    </xf>
    <xf numFmtId="164" fontId="0" fillId="0" borderId="10" xfId="0" applyNumberFormat="1" applyBorder="1" applyAlignment="1">
      <alignment horizontal="right" vertical="center" indent="2"/>
    </xf>
    <xf numFmtId="164" fontId="0" fillId="0" borderId="10" xfId="0" applyNumberFormat="1" applyBorder="1" applyAlignment="1">
      <alignment horizontal="right" indent="2"/>
    </xf>
    <xf numFmtId="164" fontId="0" fillId="0" borderId="10" xfId="0" applyNumberFormat="1" applyBorder="1" applyAlignment="1">
      <alignment vertical="center"/>
    </xf>
    <xf numFmtId="164" fontId="0" fillId="0" borderId="14" xfId="0" applyNumberFormat="1" applyBorder="1" applyAlignment="1">
      <alignment horizontal="right" indent="2"/>
    </xf>
    <xf numFmtId="164" fontId="0" fillId="0" borderId="15" xfId="0" applyNumberFormat="1" applyBorder="1" applyAlignment="1">
      <alignment horizontal="right" indent="2"/>
    </xf>
    <xf numFmtId="164" fontId="0" fillId="4" borderId="3" xfId="0" applyNumberFormat="1" applyFill="1" applyBorder="1" applyAlignment="1">
      <alignment horizontal="right" vertical="center" indent="2"/>
    </xf>
    <xf numFmtId="164" fontId="0" fillId="4" borderId="3" xfId="0" applyNumberFormat="1" applyFill="1" applyBorder="1" applyAlignment="1">
      <alignment horizontal="right" indent="2"/>
    </xf>
    <xf numFmtId="164" fontId="0" fillId="4" borderId="3" xfId="0" applyNumberFormat="1" applyFill="1" applyBorder="1" applyAlignment="1">
      <alignment vertical="center"/>
    </xf>
    <xf numFmtId="164" fontId="0" fillId="4" borderId="16" xfId="0" applyNumberFormat="1" applyFill="1" applyBorder="1" applyAlignment="1">
      <alignment horizontal="right" indent="2"/>
    </xf>
    <xf numFmtId="164" fontId="0" fillId="4" borderId="13" xfId="0" applyNumberFormat="1" applyFill="1" applyBorder="1" applyAlignment="1">
      <alignment horizontal="right" indent="2"/>
    </xf>
    <xf numFmtId="164" fontId="0" fillId="4" borderId="9" xfId="0" applyNumberFormat="1" applyFill="1" applyBorder="1" applyAlignment="1">
      <alignment horizontal="right" indent="2"/>
    </xf>
    <xf numFmtId="164" fontId="0" fillId="0" borderId="9" xfId="0" applyNumberFormat="1" applyBorder="1" applyAlignment="1">
      <alignment horizontal="right" indent="2"/>
    </xf>
    <xf numFmtId="0" fontId="0" fillId="0" borderId="0" xfId="0" applyAlignment="1">
      <alignment horizontal="center" vertical="center"/>
    </xf>
    <xf numFmtId="166" fontId="1" fillId="0" borderId="17" xfId="0" applyNumberFormat="1" applyFont="1" applyBorder="1" applyAlignment="1">
      <alignment horizontal="center"/>
    </xf>
    <xf numFmtId="0" fontId="0" fillId="0" borderId="18" xfId="0" applyBorder="1"/>
    <xf numFmtId="164" fontId="0" fillId="0" borderId="17" xfId="0" applyNumberFormat="1" applyBorder="1" applyAlignment="1">
      <alignment horizontal="right" vertical="center" indent="8"/>
    </xf>
    <xf numFmtId="167" fontId="1" fillId="5" borderId="2" xfId="0" applyNumberFormat="1" applyFont="1" applyFill="1" applyBorder="1" applyAlignment="1">
      <alignment horizontal="center" vertical="center"/>
    </xf>
    <xf numFmtId="0" fontId="4" fillId="2" borderId="5"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5" fillId="0" borderId="0" xfId="0" applyFont="1"/>
    <xf numFmtId="0" fontId="10" fillId="0" borderId="0" xfId="1" applyFont="1"/>
    <xf numFmtId="0" fontId="11" fillId="0" borderId="0" xfId="0" applyFont="1"/>
    <xf numFmtId="164" fontId="0" fillId="6" borderId="9" xfId="0" applyNumberFormat="1" applyFill="1" applyBorder="1" applyAlignment="1">
      <alignment horizontal="left" vertical="center"/>
    </xf>
    <xf numFmtId="164" fontId="0" fillId="6" borderId="9" xfId="0" applyNumberFormat="1" applyFill="1" applyBorder="1" applyAlignment="1">
      <alignment horizontal="right" vertical="center" indent="2"/>
    </xf>
    <xf numFmtId="165" fontId="1" fillId="3" borderId="1" xfId="0" applyNumberFormat="1" applyFont="1" applyFill="1" applyBorder="1" applyAlignment="1">
      <alignment horizontal="center"/>
    </xf>
    <xf numFmtId="0" fontId="7" fillId="0" borderId="0" xfId="0" applyFont="1"/>
    <xf numFmtId="164" fontId="0" fillId="5" borderId="1" xfId="0" applyNumberFormat="1" applyFill="1" applyBorder="1" applyAlignment="1">
      <alignment vertical="center"/>
    </xf>
    <xf numFmtId="164" fontId="0" fillId="6" borderId="1" xfId="0" applyNumberFormat="1" applyFill="1" applyBorder="1" applyAlignment="1">
      <alignment vertical="center"/>
    </xf>
    <xf numFmtId="164" fontId="0" fillId="4" borderId="10" xfId="0" applyNumberFormat="1" applyFill="1" applyBorder="1" applyAlignment="1">
      <alignment horizontal="center"/>
    </xf>
    <xf numFmtId="164" fontId="0" fillId="4" borderId="1" xfId="0" applyNumberFormat="1" applyFill="1" applyBorder="1" applyAlignment="1">
      <alignment horizontal="center"/>
    </xf>
    <xf numFmtId="164" fontId="0" fillId="0" borderId="10" xfId="0" applyNumberFormat="1" applyBorder="1" applyAlignment="1">
      <alignment horizontal="center"/>
    </xf>
    <xf numFmtId="164" fontId="0" fillId="0" borderId="1" xfId="0" applyNumberFormat="1" applyBorder="1" applyAlignment="1">
      <alignment horizontal="center"/>
    </xf>
    <xf numFmtId="164" fontId="0" fillId="4" borderId="3" xfId="0" applyNumberFormat="1" applyFill="1" applyBorder="1" applyAlignment="1">
      <alignment horizont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xf>
    <xf numFmtId="164" fontId="0" fillId="2" borderId="1" xfId="0" applyNumberFormat="1" applyFill="1" applyBorder="1" applyAlignment="1">
      <alignment horizontal="center" vertical="center"/>
    </xf>
    <xf numFmtId="164" fontId="0" fillId="0" borderId="1" xfId="0" applyNumberFormat="1" applyBorder="1" applyAlignment="1">
      <alignment horizontal="center" vertical="center"/>
    </xf>
    <xf numFmtId="165" fontId="1" fillId="0" borderId="0" xfId="0" applyNumberFormat="1" applyFont="1"/>
    <xf numFmtId="0" fontId="3" fillId="2" borderId="3" xfId="0" applyFont="1" applyFill="1" applyBorder="1" applyAlignment="1">
      <alignment horizontal="center" vertical="center"/>
    </xf>
    <xf numFmtId="0" fontId="7" fillId="2" borderId="4" xfId="0" applyFont="1" applyFill="1" applyBorder="1" applyAlignment="1">
      <alignment vertical="center"/>
    </xf>
    <xf numFmtId="0" fontId="7" fillId="0" borderId="4" xfId="0" applyFont="1" applyBorder="1" applyAlignment="1">
      <alignment vertical="center"/>
    </xf>
    <xf numFmtId="0" fontId="7" fillId="0" borderId="5" xfId="0" applyFont="1" applyBorder="1" applyAlignment="1">
      <alignment vertical="center"/>
    </xf>
    <xf numFmtId="0" fontId="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xf>
    <xf numFmtId="164" fontId="8" fillId="4" borderId="3" xfId="0" applyNumberFormat="1" applyFont="1" applyFill="1" applyBorder="1" applyAlignment="1" applyProtection="1">
      <alignment horizontal="center" vertical="center"/>
      <protection locked="0"/>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0" fillId="0" borderId="0" xfId="0"/>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1" fillId="0" borderId="0" xfId="0" applyFont="1" applyAlignment="1">
      <alignment horizontal="center" vertical="center"/>
    </xf>
    <xf numFmtId="0" fontId="4" fillId="5" borderId="3"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 fillId="0" borderId="17" xfId="0" applyFont="1" applyBorder="1" applyAlignment="1">
      <alignment horizontal="center" vertical="center"/>
    </xf>
    <xf numFmtId="0" fontId="3" fillId="2" borderId="10" xfId="0" applyFont="1" applyFill="1" applyBorder="1" applyAlignment="1">
      <alignment horizontal="center" vertical="center"/>
    </xf>
    <xf numFmtId="0" fontId="7" fillId="2" borderId="11" xfId="0" applyFont="1" applyFill="1" applyBorder="1"/>
    <xf numFmtId="0" fontId="7" fillId="2" borderId="8" xfId="0" applyFont="1" applyFill="1" applyBorder="1"/>
    <xf numFmtId="0" fontId="7" fillId="2" borderId="4" xfId="0" applyFont="1" applyFill="1" applyBorder="1"/>
    <xf numFmtId="0" fontId="7" fillId="2" borderId="5" xfId="0" applyFont="1" applyFill="1" applyBorder="1"/>
    <xf numFmtId="0" fontId="10" fillId="0" borderId="0" xfId="1" applyFont="1" applyAlignment="1">
      <alignment horizontal="left"/>
    </xf>
    <xf numFmtId="164" fontId="4" fillId="4" borderId="3" xfId="0" applyNumberFormat="1" applyFont="1" applyFill="1" applyBorder="1" applyAlignment="1">
      <alignment horizontal="center"/>
    </xf>
    <xf numFmtId="164" fontId="4" fillId="4" borderId="4" xfId="0" applyNumberFormat="1" applyFont="1" applyFill="1" applyBorder="1" applyAlignment="1">
      <alignment horizontal="center"/>
    </xf>
    <xf numFmtId="0" fontId="4" fillId="0" borderId="5" xfId="0" applyFont="1" applyBorder="1" applyAlignment="1">
      <alignment horizontal="center"/>
    </xf>
    <xf numFmtId="0" fontId="3" fillId="0" borderId="12" xfId="0" applyFont="1" applyBorder="1" applyAlignment="1">
      <alignment horizontal="center"/>
    </xf>
    <xf numFmtId="0" fontId="0" fillId="0" borderId="12" xfId="0" applyBorder="1" applyAlignment="1">
      <alignment horizontal="center"/>
    </xf>
  </cellXfs>
  <cellStyles count="2">
    <cellStyle name="Hyperlink" xfId="1" builtinId="8"/>
    <cellStyle name="Normal" xfId="0" builtinId="0"/>
  </cellStyles>
  <dxfs count="173">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alignment horizontal="right" vertical="center" textRotation="0" wrapText="0" indent="8"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theme="0"/>
          <bgColor indexed="65"/>
        </patternFill>
      </fill>
      <alignment horizontal="center" textRotation="0" wrapText="0" indent="0" justifyLastLine="0" shrinkToFit="0" readingOrder="0"/>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relative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relativeIndent="0" justifyLastLine="0" shrinkToFit="0" readingOrder="0"/>
      <border diagonalUp="0" diagonalDown="0" outline="0">
        <left style="thin">
          <color indexed="64"/>
        </left>
        <right style="thin">
          <color indexed="64"/>
        </right>
        <top/>
        <bottom/>
      </border>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border outline="0">
        <top style="thin">
          <color indexed="64"/>
        </top>
      </border>
    </dxf>
    <dxf>
      <alignment horizontal="center" vertical="bottom" textRotation="0" wrapText="0" relative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outline="0">
        <left/>
        <right style="thin">
          <color indexed="64"/>
        </right>
        <top style="thin">
          <color auto="1"/>
        </top>
        <bottom style="thin">
          <color auto="1"/>
        </bottom>
      </border>
    </dxf>
    <dxf>
      <numFmt numFmtId="164" formatCode="0.0"/>
      <fill>
        <patternFill patternType="solid">
          <fgColor indexed="64"/>
          <bgColor theme="6" tint="0.59999389629810485"/>
        </patternFill>
      </fill>
      <alignment horizontal="right" vertical="center" textRotation="0" wrapText="0" indent="2"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fill>
        <patternFill patternType="solid">
          <fgColor indexed="64"/>
          <bgColor theme="4" tint="0.79998168889431442"/>
        </patternFill>
      </fill>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border outline="0">
        <top style="thin">
          <color indexed="64"/>
        </top>
      </border>
    </dxf>
    <dxf>
      <border outline="0">
        <left style="thin">
          <color indexed="64"/>
        </left>
        <right style="thin">
          <color indexed="64"/>
        </right>
        <top style="thin">
          <color indexed="64"/>
        </top>
      </border>
    </dxf>
    <dxf>
      <alignment horizontal="right" vertical="center" textRotation="0" wrapText="0" indent="2"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right" vertical="center" textRotation="0" wrapText="0" indent="2"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numFmt numFmtId="164" formatCode="0.0"/>
      <alignment horizontal="right" vertical="center" textRotation="0" wrapText="0" indent="2" justifyLastLine="0" shrinkToFit="0" readingOrder="0"/>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outline="0">
        <left style="thin">
          <color indexed="64"/>
        </left>
        <right style="thin">
          <color indexed="64"/>
        </right>
        <bottom style="thin">
          <color indexed="64"/>
        </bottom>
      </border>
    </dxf>
    <dxf>
      <alignment horizontal="center" vertical="center" textRotation="0" wrapText="0" relative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4" formatCode="0.0"/>
      <alignment horizontal="right" vertical="center" textRotation="0" wrapText="0" indent="8"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numFmt numFmtId="164" formatCode="0.0"/>
      <alignment horizontal="right" vertical="center" textRotation="0" wrapText="0" indent="2"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numFmt numFmtId="0" formatCode="General"/>
      <alignment horizontal="left" vertical="center" textRotation="0" wrapText="0" indent="0" justifyLastLine="0" shrinkToFit="0" readingOrder="0"/>
      <border diagonalUp="0" diagonalDown="0" outline="0">
        <left style="thin">
          <color indexed="64"/>
        </left>
        <right style="thin">
          <color indexed="64"/>
        </right>
        <top/>
        <bottom/>
      </border>
    </dxf>
    <dxf>
      <fill>
        <patternFill>
          <fgColor theme="4"/>
        </patternFill>
      </fill>
    </dxf>
  </dxfs>
  <tableStyles count="2" defaultTableStyle="TableStyleMedium9" defaultPivotStyle="PivotStyleLight16">
    <tableStyle name="Table Style 1" pivot="0" count="0" xr9:uid="{00000000-0011-0000-FFFF-FFFF00000000}"/>
    <tableStyle name="Table Style 2" pivot="0" count="1" xr9:uid="{00000000-0011-0000-FFFF-FFFF01000000}">
      <tableStyleElement type="wholeTable" dxfId="17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3:AB397" totalsRowShown="0" headerRowDxfId="171" headerRowBorderDxfId="170" tableBorderDxfId="169">
  <autoFilter ref="B3:AB397" xr:uid="{00000000-0009-0000-0100-000002000000}"/>
  <tableColumns count="27">
    <tableColumn id="1" xr3:uid="{00000000-0010-0000-0000-000001000000}" name="MSA"/>
    <tableColumn id="2" xr3:uid="{00000000-0010-0000-0000-000002000000}" name="2000" dataDxfId="168"/>
    <tableColumn id="3" xr3:uid="{00000000-0010-0000-0000-000003000000}" name="2001" dataDxfId="167"/>
    <tableColumn id="4" xr3:uid="{00000000-0010-0000-0000-000004000000}" name="2002" dataDxfId="166"/>
    <tableColumn id="5" xr3:uid="{00000000-0010-0000-0000-000005000000}" name="2003" dataDxfId="165"/>
    <tableColumn id="6" xr3:uid="{00000000-0010-0000-0000-000006000000}" name="2004" dataDxfId="164"/>
    <tableColumn id="7" xr3:uid="{00000000-0010-0000-0000-000007000000}" name="2005" dataDxfId="163"/>
    <tableColumn id="8" xr3:uid="{00000000-0010-0000-0000-000008000000}" name="2006" dataDxfId="162"/>
    <tableColumn id="9" xr3:uid="{00000000-0010-0000-0000-000009000000}" name="2007" dataDxfId="161"/>
    <tableColumn id="10" xr3:uid="{00000000-0010-0000-0000-00000A000000}" name="2008" dataDxfId="160"/>
    <tableColumn id="11" xr3:uid="{00000000-0010-0000-0000-00000B000000}" name="2009" dataDxfId="159"/>
    <tableColumn id="16" xr3:uid="{00000000-0010-0000-0000-000010000000}" name="2010" dataDxfId="158"/>
    <tableColumn id="14" xr3:uid="{00000000-0010-0000-0000-00000E000000}" name="2011" dataDxfId="157"/>
    <tableColumn id="15" xr3:uid="{00000000-0010-0000-0000-00000F000000}" name="2012" dataDxfId="156"/>
    <tableColumn id="17" xr3:uid="{00000000-0010-0000-0000-000011000000}" name="2013" dataDxfId="155"/>
    <tableColumn id="18" xr3:uid="{00000000-0010-0000-0000-000012000000}" name="2014" dataDxfId="154"/>
    <tableColumn id="12" xr3:uid="{00000000-0010-0000-0000-00000C000000}" name="2015" dataDxfId="153"/>
    <tableColumn id="20" xr3:uid="{00000000-0010-0000-0000-000014000000}" name="2016" dataDxfId="152"/>
    <tableColumn id="21" xr3:uid="{00000000-0010-0000-0000-000015000000}" name="2017" dataDxfId="151"/>
    <tableColumn id="22" xr3:uid="{00000000-0010-0000-0000-000016000000}" name="2018" dataDxfId="150"/>
    <tableColumn id="23" xr3:uid="{3CF7B1AB-ABBF-442C-8BCA-2024FE1D344B}" name="2019" dataDxfId="149"/>
    <tableColumn id="24" xr3:uid="{C3D33152-D740-40F9-8438-0E1C3D4115AA}" name="2020" dataDxfId="148"/>
    <tableColumn id="25" xr3:uid="{820D5014-2C33-4AD5-A2D9-A8EF804A69B4}" name="2021" dataDxfId="147"/>
    <tableColumn id="26" xr3:uid="{BC7503E4-A43C-4641-9F0C-55B1E9ED12B9}" name="2022" dataDxfId="146"/>
    <tableColumn id="27" xr3:uid="{B3FE2027-5407-476B-9537-2FB27083925C}" name="2023" dataDxfId="145"/>
    <tableColumn id="19" xr3:uid="{00000000-0010-0000-0000-000013000000}" name="2024" dataDxfId="144"/>
    <tableColumn id="13" xr3:uid="{00000000-0010-0000-0000-00000D000000}" name="September-25" dataDxfId="14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11" displayName="Table11" ref="B3:AA56" totalsRowShown="0" headerRowDxfId="142" dataDxfId="140" headerRowBorderDxfId="141" tableBorderDxfId="139">
  <autoFilter ref="B3:AA56" xr:uid="{00000000-0009-0000-0100-00000B000000}"/>
  <tableColumns count="26">
    <tableColumn id="1" xr3:uid="{00000000-0010-0000-0100-000001000000}" name="State" dataDxfId="138"/>
    <tableColumn id="2" xr3:uid="{00000000-0010-0000-0100-000002000000}" name="2000" dataDxfId="137"/>
    <tableColumn id="3" xr3:uid="{00000000-0010-0000-0100-000003000000}" name="2001" dataDxfId="136"/>
    <tableColumn id="4" xr3:uid="{00000000-0010-0000-0100-000004000000}" name="2002" dataDxfId="135"/>
    <tableColumn id="5" xr3:uid="{00000000-0010-0000-0100-000005000000}" name="2003" dataDxfId="134"/>
    <tableColumn id="6" xr3:uid="{00000000-0010-0000-0100-000006000000}" name="2004" dataDxfId="133"/>
    <tableColumn id="7" xr3:uid="{00000000-0010-0000-0100-000007000000}" name="2005" dataDxfId="132"/>
    <tableColumn id="8" xr3:uid="{00000000-0010-0000-0100-000008000000}" name="2006" dataDxfId="131"/>
    <tableColumn id="9" xr3:uid="{00000000-0010-0000-0100-000009000000}" name="2007" dataDxfId="130"/>
    <tableColumn id="10" xr3:uid="{00000000-0010-0000-0100-00000A000000}" name="2008" dataDxfId="129"/>
    <tableColumn id="13" xr3:uid="{00000000-0010-0000-0100-00000D000000}" name="2009" dataDxfId="128"/>
    <tableColumn id="15" xr3:uid="{00000000-0010-0000-0100-00000F000000}" name="2010" dataDxfId="127"/>
    <tableColumn id="11" xr3:uid="{00000000-0010-0000-0100-00000B000000}" name="2011" dataDxfId="126"/>
    <tableColumn id="14" xr3:uid="{00000000-0010-0000-0100-00000E000000}" name="2012" dataDxfId="125"/>
    <tableColumn id="16" xr3:uid="{00000000-0010-0000-0100-000010000000}" name="2013" dataDxfId="124"/>
    <tableColumn id="17" xr3:uid="{00000000-0010-0000-0100-000011000000}" name="2014" dataDxfId="123"/>
    <tableColumn id="18" xr3:uid="{00000000-0010-0000-0100-000012000000}" name="2015" dataDxfId="122"/>
    <tableColumn id="19" xr3:uid="{00000000-0010-0000-0100-000013000000}" name="2016" dataDxfId="121"/>
    <tableColumn id="20" xr3:uid="{00000000-0010-0000-0100-000014000000}" name="2017" dataDxfId="120"/>
    <tableColumn id="21" xr3:uid="{00000000-0010-0000-0100-000015000000}" name="2018" dataDxfId="119"/>
    <tableColumn id="22" xr3:uid="{31D0396A-A74F-47E3-A0FA-0B45E92274F1}" name="2019" dataDxfId="118"/>
    <tableColumn id="23" xr3:uid="{5D6CA5D3-8754-4F9A-AFEE-DF3E0A59D1E0}" name="2020" dataDxfId="117"/>
    <tableColumn id="24" xr3:uid="{87E65CF4-6B0F-4EA5-BB78-46FF842400A6}" name="2021" dataDxfId="116"/>
    <tableColumn id="25" xr3:uid="{D0C1396F-84C5-412F-A14F-A087B57EB5E2}" name="2022" dataDxfId="115"/>
    <tableColumn id="26" xr3:uid="{BAB4D07B-3B5B-47B6-AA05-1237815B666E}" name="2023" dataDxfId="114"/>
    <tableColumn id="12" xr3:uid="{00000000-0010-0000-0100-00000C000000}" name="2024" dataDxfId="113"/>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2000000}" name="Table13" displayName="Table13" ref="AD3:CU56" totalsRowShown="0" headerRowDxfId="112" dataDxfId="110" headerRowBorderDxfId="111" tableBorderDxfId="109" totalsRowBorderDxfId="108">
  <autoFilter ref="AD3:CU56" xr:uid="{093BB9C5-A5F9-4869-8A6E-C481C84D87F4}"/>
  <tableColumns count="70">
    <tableColumn id="1" xr3:uid="{00000000-0010-0000-0200-000001000000}" name="2009Q1" dataDxfId="107"/>
    <tableColumn id="2" xr3:uid="{00000000-0010-0000-0200-000002000000}" name="2009Q2" dataDxfId="106"/>
    <tableColumn id="21" xr3:uid="{00000000-0010-0000-0200-000015000000}" name="2009Q3" dataDxfId="105"/>
    <tableColumn id="3" xr3:uid="{00000000-0010-0000-0200-000003000000}" name="2009Q4" dataDxfId="104"/>
    <tableColumn id="4" xr3:uid="{00000000-0010-0000-0200-000004000000}" name="2010Q1" dataDxfId="103"/>
    <tableColumn id="5" xr3:uid="{00000000-0010-0000-0200-000005000000}" name="2010Q2" dataDxfId="102"/>
    <tableColumn id="6" xr3:uid="{00000000-0010-0000-0200-000006000000}" name="2010Q3" dataDxfId="101"/>
    <tableColumn id="7" xr3:uid="{00000000-0010-0000-0200-000007000000}" name="2010Q4" dataDxfId="100"/>
    <tableColumn id="20" xr3:uid="{00000000-0010-0000-0200-000014000000}" name="2011Q1" dataDxfId="99"/>
    <tableColumn id="10" xr3:uid="{00000000-0010-0000-0200-00000A000000}" name="2011Q2" dataDxfId="98"/>
    <tableColumn id="11" xr3:uid="{00000000-0010-0000-0200-00000B000000}" name="2011Q3" dataDxfId="97"/>
    <tableColumn id="9" xr3:uid="{00000000-0010-0000-0200-000009000000}" name="2011Q4" dataDxfId="96"/>
    <tableColumn id="12" xr3:uid="{00000000-0010-0000-0200-00000C000000}" name="2012Q1" dataDxfId="95"/>
    <tableColumn id="13" xr3:uid="{00000000-0010-0000-0200-00000D000000}" name="2012Q2" dataDxfId="94"/>
    <tableColumn id="14" xr3:uid="{00000000-0010-0000-0200-00000E000000}" name="2012Q3" dataDxfId="93"/>
    <tableColumn id="15" xr3:uid="{00000000-0010-0000-0200-00000F000000}" name="2012Q4" dataDxfId="92"/>
    <tableColumn id="17" xr3:uid="{00000000-0010-0000-0200-000011000000}" name="2013Q1" dataDxfId="91"/>
    <tableColumn id="16" xr3:uid="{00000000-0010-0000-0200-000010000000}" name="2013Q2" dataDxfId="90"/>
    <tableColumn id="18" xr3:uid="{00000000-0010-0000-0200-000012000000}" name="2013Q3" dataDxfId="89"/>
    <tableColumn id="45" xr3:uid="{00000000-0010-0000-0200-00002D000000}" name="2013Q4" dataDxfId="88"/>
    <tableColumn id="22" xr3:uid="{00000000-0010-0000-0200-000016000000}" name="2014Q1" dataDxfId="87"/>
    <tableColumn id="50" xr3:uid="{4BD0A098-FEA1-45EF-A5FD-B1AF8E3683E1}" name="2014Q2"/>
    <tableColumn id="49" xr3:uid="{3F455881-E190-481B-9A35-EC02D7657640}" name="2014Q3"/>
    <tableColumn id="51" xr3:uid="{2323D6DD-03BF-4268-B937-A72A3B410975}" name="2014Q4"/>
    <tableColumn id="48" xr3:uid="{00000000-0010-0000-0200-000030000000}" name="State"/>
    <tableColumn id="25" xr3:uid="{00000000-0010-0000-0200-000019000000}" name="2015Q1" dataDxfId="86"/>
    <tableColumn id="26" xr3:uid="{00000000-0010-0000-0200-00001A000000}" name="2015Q2" dataDxfId="85"/>
    <tableColumn id="27" xr3:uid="{00000000-0010-0000-0200-00001B000000}" name="2015Q3" dataDxfId="84"/>
    <tableColumn id="28" xr3:uid="{00000000-0010-0000-0200-00001C000000}" name="2015Q4" dataDxfId="83"/>
    <tableColumn id="29" xr3:uid="{00000000-0010-0000-0200-00001D000000}" name="2016Q1" dataDxfId="82"/>
    <tableColumn id="30" xr3:uid="{00000000-0010-0000-0200-00001E000000}" name="2016Q2" dataDxfId="81"/>
    <tableColumn id="31" xr3:uid="{00000000-0010-0000-0200-00001F000000}" name="2016Q3" dataDxfId="80"/>
    <tableColumn id="32" xr3:uid="{00000000-0010-0000-0200-000020000000}" name="2016Q4" dataDxfId="79"/>
    <tableColumn id="33" xr3:uid="{00000000-0010-0000-0200-000021000000}" name="2017Q1" dataDxfId="78"/>
    <tableColumn id="34" xr3:uid="{00000000-0010-0000-0200-000022000000}" name="2017Q2" dataDxfId="77"/>
    <tableColumn id="36" xr3:uid="{00000000-0010-0000-0200-000024000000}" name="2017Q3" dataDxfId="76"/>
    <tableColumn id="35" xr3:uid="{00000000-0010-0000-0200-000023000000}" name="2017Q4" dataDxfId="75"/>
    <tableColumn id="37" xr3:uid="{00000000-0010-0000-0200-000025000000}" name="2018Q1" dataDxfId="74"/>
    <tableColumn id="38" xr3:uid="{00000000-0010-0000-0200-000026000000}" name="2018Q2" dataDxfId="73"/>
    <tableColumn id="40" xr3:uid="{00000000-0010-0000-0200-000028000000}" name="2018Q3" dataDxfId="72"/>
    <tableColumn id="39" xr3:uid="{00000000-0010-0000-0200-000027000000}" name="2018Q4" dataDxfId="71"/>
    <tableColumn id="41" xr3:uid="{00000000-0010-0000-0200-000029000000}" name="2019Q1" dataDxfId="70"/>
    <tableColumn id="44" xr3:uid="{00000000-0010-0000-0200-00002C000000}" name="2019Q2" dataDxfId="69"/>
    <tableColumn id="46" xr3:uid="{00000000-0010-0000-0200-00002E000000}" name="2019Q3"/>
    <tableColumn id="42" xr3:uid="{00000000-0010-0000-0200-00002A000000}" name="2019Q4"/>
    <tableColumn id="19" xr3:uid="{AD339471-5F0B-4A06-95DD-A67570A5697F}" name=" State"/>
    <tableColumn id="8" xr3:uid="{00000000-0010-0000-0200-000008000000}" name="2020Q1"/>
    <tableColumn id="47" xr3:uid="{00000000-0010-0000-0200-00002F000000}" name="2020Q2"/>
    <tableColumn id="53" xr3:uid="{F6918806-A32F-4785-9BA1-2FFCCCA5A27B}" name="2020Q3"/>
    <tableColumn id="52" xr3:uid="{4085E529-6DF8-494B-B82B-E1B866587581}" name="2020Q4"/>
    <tableColumn id="24" xr3:uid="{CD65C664-7462-4950-97AB-C65C8F512B92}" name="2021Q1"/>
    <tableColumn id="55" xr3:uid="{91A7D676-E6C8-4AAD-B253-C44771562E16}" name="2021Q2"/>
    <tableColumn id="54" xr3:uid="{5A5BAD10-6350-4CA7-9F45-5609DC291997}" name="2021Q3"/>
    <tableColumn id="23" xr3:uid="{41C13787-A170-4C11-9FFD-3464045173B0}" name="2021Q4"/>
    <tableColumn id="57" xr3:uid="{15FA0D86-DAB4-4227-AE70-448E83EFB8EF}" name="2022Q1"/>
    <tableColumn id="58" xr3:uid="{96F8756C-D3A2-4040-ADAB-8047E7768EC6}" name="2022Q2"/>
    <tableColumn id="56" xr3:uid="{54E9AA14-C3B1-4F57-BE1D-5D2E3C53F617}" name="2022Q3"/>
    <tableColumn id="61" xr3:uid="{D36C8238-B8FF-4F7A-A4A8-62E5B00060E0}" name="2022Q4"/>
    <tableColumn id="60" xr3:uid="{30852765-5B8B-4651-A15F-0307FFFFF3A0}" name="2023Q1"/>
    <tableColumn id="59" xr3:uid="{69C86C72-08F5-41F6-A015-CC2C0D3ABB4D}" name="2023Q2"/>
    <tableColumn id="63" xr3:uid="{3B0DD509-743D-42E9-9F9C-4995FB8CDAF8}" name="2023Q3"/>
    <tableColumn id="62" xr3:uid="{B1343521-3121-4DF6-874C-3FB1E6EFEA9D}" name="2023Q4"/>
    <tableColumn id="64" xr3:uid="{9C60BA9C-8894-4676-B513-9CFCB4105CAC}" name="2024Q1" dataDxfId="68"/>
    <tableColumn id="66" xr3:uid="{0542F8D1-D247-4722-A21D-419C8F39B468}" name="2024Q2" dataDxfId="67"/>
    <tableColumn id="65" xr3:uid="{1A9C8455-8EB4-4BA8-8745-4BFE6D9B32D6}" name="2024Q3" dataDxfId="66"/>
    <tableColumn id="67" xr3:uid="{4467456E-E59F-4B9B-9DB0-753967BCEAE1}" name="2024Q4" dataDxfId="65"/>
    <tableColumn id="69" xr3:uid="{4441AD55-C356-4B49-BCCC-79F558CCBBC3}" name="State " dataDxfId="64">
      <calculatedColumnFormula>Table13[[#This Row],[ State]]</calculatedColumnFormula>
    </tableColumn>
    <tableColumn id="68" xr3:uid="{E20A4F40-9573-4EFD-B40A-7A5432C490EC}" name="2025Q1" dataDxfId="63"/>
    <tableColumn id="70" xr3:uid="{C3352329-0503-4D6A-AEFE-63EB226396F6}" name="2025Q2" dataDxfId="0"/>
    <tableColumn id="43" xr3:uid="{00000000-0010-0000-0200-00002B000000}" name="2025Q3" dataDxfId="62"/>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B3:AB390" totalsRowShown="0" headerRowDxfId="61" dataDxfId="60" tableBorderDxfId="59">
  <autoFilter ref="B3:AB390" xr:uid="{00000000-0009-0000-0100-000001000000}"/>
  <tableColumns count="27">
    <tableColumn id="1" xr3:uid="{00000000-0010-0000-0300-000001000000}" name="MSA"/>
    <tableColumn id="2" xr3:uid="{00000000-0010-0000-0300-000002000000}" name="2000" dataDxfId="58"/>
    <tableColumn id="3" xr3:uid="{00000000-0010-0000-0300-000003000000}" name="2001" dataDxfId="57"/>
    <tableColumn id="4" xr3:uid="{00000000-0010-0000-0300-000004000000}" name="2002" dataDxfId="56"/>
    <tableColumn id="5" xr3:uid="{00000000-0010-0000-0300-000005000000}" name="2003" dataDxfId="55"/>
    <tableColumn id="6" xr3:uid="{00000000-0010-0000-0300-000006000000}" name="2004" dataDxfId="54"/>
    <tableColumn id="15" xr3:uid="{00000000-0010-0000-0300-00000F000000}" name="2005" dataDxfId="53"/>
    <tableColumn id="7" xr3:uid="{00000000-0010-0000-0300-000007000000}" name="2006" dataDxfId="52"/>
    <tableColumn id="8" xr3:uid="{00000000-0010-0000-0300-000008000000}" name="2007" dataDxfId="51"/>
    <tableColumn id="9" xr3:uid="{00000000-0010-0000-0300-000009000000}" name="2008" dataDxfId="50"/>
    <tableColumn id="10" xr3:uid="{00000000-0010-0000-0300-00000A000000}" name="2009" dataDxfId="49"/>
    <tableColumn id="11" xr3:uid="{00000000-0010-0000-0300-00000B000000}" name="2010" dataDxfId="48"/>
    <tableColumn id="16" xr3:uid="{00000000-0010-0000-0300-000010000000}" name="2011" dataDxfId="47"/>
    <tableColumn id="14" xr3:uid="{00000000-0010-0000-0300-00000E000000}" name="2012" dataDxfId="46"/>
    <tableColumn id="17" xr3:uid="{00000000-0010-0000-0300-000011000000}" name="2013" dataDxfId="45"/>
    <tableColumn id="18" xr3:uid="{00000000-0010-0000-0300-000012000000}" name="2014" dataDxfId="44"/>
    <tableColumn id="19" xr3:uid="{00000000-0010-0000-0300-000013000000}" name="2015" dataDxfId="43"/>
    <tableColumn id="20" xr3:uid="{00000000-0010-0000-0300-000014000000}" name="2016" dataDxfId="42"/>
    <tableColumn id="21" xr3:uid="{00000000-0010-0000-0300-000015000000}" name="2017" dataDxfId="41"/>
    <tableColumn id="22" xr3:uid="{00000000-0010-0000-0300-000016000000}" name="2018" dataDxfId="40"/>
    <tableColumn id="23" xr3:uid="{F605660A-6750-44B8-BAB4-F70CBE5D651D}" name="2019" dataDxfId="39"/>
    <tableColumn id="24" xr3:uid="{52B5F1F0-53DB-455F-8E37-B27E2B9B4793}" name="2020" dataDxfId="38"/>
    <tableColumn id="25" xr3:uid="{C78AF2A6-05DD-4942-B99F-73A0A6295F66}" name="2021" dataDxfId="37"/>
    <tableColumn id="26" xr3:uid="{AE295E7A-2C9B-4CE9-AA5D-FFC1BBAE1AF0}" name="2022" dataDxfId="36"/>
    <tableColumn id="27" xr3:uid="{14960CB8-DEBD-4E6C-8D94-142D5C9459AE}" name="2023" dataDxfId="35"/>
    <tableColumn id="12" xr3:uid="{00000000-0010-0000-0300-00000C000000}" name="2024" dataDxfId="34"/>
    <tableColumn id="13" xr3:uid="{00000000-0010-0000-0300-00000D000000}" name="2025Q3" dataDxfId="33"/>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 displayName="Table10" ref="B3:AB56" totalsRowShown="0" headerRowDxfId="32" dataDxfId="30" headerRowBorderDxfId="31" tableBorderDxfId="29" totalsRowBorderDxfId="28">
  <autoFilter ref="B3:AB56" xr:uid="{00000000-0009-0000-0100-00000A000000}"/>
  <tableColumns count="27">
    <tableColumn id="1" xr3:uid="{00000000-0010-0000-0400-000001000000}" name="State" dataDxfId="27"/>
    <tableColumn id="2" xr3:uid="{00000000-0010-0000-0400-000002000000}" name="2000" dataDxfId="26"/>
    <tableColumn id="3" xr3:uid="{00000000-0010-0000-0400-000003000000}" name="2001" dataDxfId="25"/>
    <tableColumn id="4" xr3:uid="{00000000-0010-0000-0400-000004000000}" name="2002" dataDxfId="24"/>
    <tableColumn id="16" xr3:uid="{00000000-0010-0000-0400-000010000000}" name="2003" dataDxfId="23"/>
    <tableColumn id="5" xr3:uid="{00000000-0010-0000-0400-000005000000}" name="2004" dataDxfId="22"/>
    <tableColumn id="6" xr3:uid="{00000000-0010-0000-0400-000006000000}" name="2005" dataDxfId="21"/>
    <tableColumn id="7" xr3:uid="{00000000-0010-0000-0400-000007000000}" name="2006" dataDxfId="20"/>
    <tableColumn id="8" xr3:uid="{00000000-0010-0000-0400-000008000000}" name="2007" dataDxfId="19"/>
    <tableColumn id="9" xr3:uid="{00000000-0010-0000-0400-000009000000}" name="2008" dataDxfId="18"/>
    <tableColumn id="10" xr3:uid="{00000000-0010-0000-0400-00000A000000}" name="2009" dataDxfId="17"/>
    <tableColumn id="11" xr3:uid="{00000000-0010-0000-0400-00000B000000}" name="2010" dataDxfId="16"/>
    <tableColumn id="15" xr3:uid="{00000000-0010-0000-0400-00000F000000}" name="2011" dataDxfId="15"/>
    <tableColumn id="14" xr3:uid="{00000000-0010-0000-0400-00000E000000}" name="2012" dataDxfId="14"/>
    <tableColumn id="17" xr3:uid="{00000000-0010-0000-0400-000011000000}" name="2013" dataDxfId="13"/>
    <tableColumn id="18" xr3:uid="{00000000-0010-0000-0400-000012000000}" name="2014" dataDxfId="12"/>
    <tableColumn id="19" xr3:uid="{00000000-0010-0000-0400-000013000000}" name="2015" dataDxfId="11"/>
    <tableColumn id="20" xr3:uid="{00000000-0010-0000-0400-000014000000}" name="2016" dataDxfId="10"/>
    <tableColumn id="21" xr3:uid="{00000000-0010-0000-0400-000015000000}" name="2017" dataDxfId="9"/>
    <tableColumn id="22" xr3:uid="{00000000-0010-0000-0400-000016000000}" name="2018" dataDxfId="8"/>
    <tableColumn id="23" xr3:uid="{426A1C67-AD9D-40EE-8718-EE405FBA05AF}" name="2019" dataDxfId="7"/>
    <tableColumn id="24" xr3:uid="{D904B498-4314-40FB-B4AA-B3FB7EB9AAEA}" name="2020" dataDxfId="6"/>
    <tableColumn id="25" xr3:uid="{08C531E6-0AEE-41A7-BBBB-D8F84B866827}" name="2021" dataDxfId="5"/>
    <tableColumn id="26" xr3:uid="{77F3CB8C-A1A5-4B15-B9D7-4841CEE7CF70}" name="2022" dataDxfId="4"/>
    <tableColumn id="27" xr3:uid="{5D393824-AD82-455E-BE0C-3AE15166C0AF}" name="2023" dataDxfId="3"/>
    <tableColumn id="12" xr3:uid="{00000000-0010-0000-0400-00000C000000}" name="2024" dataDxfId="2"/>
    <tableColumn id="13" xr3:uid="{00000000-0010-0000-0400-00000D000000}" name="2025Q3" dataDxfId="1"/>
  </tableColumns>
  <tableStyleInfo name="TableStyleLight2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8"/>
  <sheetViews>
    <sheetView tabSelected="1" zoomScale="79" zoomScaleNormal="79" workbookViewId="0">
      <pane ySplit="3" topLeftCell="A4" activePane="bottomLeft" state="frozen"/>
      <selection pane="bottomLeft" activeCell="E7" sqref="E7"/>
    </sheetView>
  </sheetViews>
  <sheetFormatPr defaultRowHeight="14.4" x14ac:dyDescent="0.3"/>
  <cols>
    <col min="1" max="1" width="1.6640625" customWidth="1"/>
    <col min="2" max="2" width="45" customWidth="1"/>
    <col min="18" max="27" width="8.88671875" customWidth="1"/>
    <col min="28" max="28" width="27.21875" customWidth="1"/>
  </cols>
  <sheetData>
    <row r="1" spans="1:29" ht="18" x14ac:dyDescent="0.3">
      <c r="A1" s="73" t="s">
        <v>455</v>
      </c>
      <c r="B1" s="95" t="s">
        <v>263</v>
      </c>
      <c r="C1" s="96"/>
      <c r="D1" s="96"/>
      <c r="E1" s="96"/>
      <c r="F1" s="96"/>
      <c r="G1" s="96"/>
      <c r="H1" s="96"/>
      <c r="I1" s="96"/>
      <c r="J1" s="96"/>
      <c r="K1" s="96"/>
      <c r="L1" s="96"/>
      <c r="M1" s="96"/>
      <c r="N1" s="96"/>
      <c r="O1" s="96"/>
      <c r="P1" s="96"/>
      <c r="Q1" s="96"/>
      <c r="R1" s="96"/>
      <c r="S1" s="96"/>
      <c r="T1" s="96"/>
      <c r="U1" s="96"/>
      <c r="V1" s="96"/>
      <c r="W1" s="96"/>
      <c r="X1" s="96"/>
      <c r="Y1" s="96"/>
      <c r="Z1" s="96"/>
      <c r="AA1" s="96"/>
      <c r="AB1" s="40"/>
    </row>
    <row r="2" spans="1:29" ht="31.2" x14ac:dyDescent="0.3">
      <c r="B2" s="91" t="s">
        <v>467</v>
      </c>
      <c r="C2" s="92"/>
      <c r="D2" s="92"/>
      <c r="E2" s="92"/>
      <c r="F2" s="92"/>
      <c r="G2" s="92"/>
      <c r="H2" s="92"/>
      <c r="I2" s="92"/>
      <c r="J2" s="92"/>
      <c r="K2" s="92"/>
      <c r="L2" s="92"/>
      <c r="M2" s="92"/>
      <c r="N2" s="92"/>
      <c r="O2" s="92"/>
      <c r="P2" s="92"/>
      <c r="Q2" s="92"/>
      <c r="R2" s="92"/>
      <c r="S2" s="93"/>
      <c r="T2" s="93"/>
      <c r="U2" s="93"/>
      <c r="V2" s="93"/>
      <c r="W2" s="93"/>
      <c r="X2" s="93"/>
      <c r="Y2" s="93"/>
      <c r="Z2" s="93"/>
      <c r="AA2" s="94"/>
      <c r="AB2" s="69" t="s">
        <v>559</v>
      </c>
      <c r="AC2" s="1"/>
    </row>
    <row r="3" spans="1:29" x14ac:dyDescent="0.3">
      <c r="B3" s="8" t="s">
        <v>256</v>
      </c>
      <c r="C3" s="15" t="s">
        <v>245</v>
      </c>
      <c r="D3" s="15" t="s">
        <v>246</v>
      </c>
      <c r="E3" s="15" t="s">
        <v>247</v>
      </c>
      <c r="F3" s="15" t="s">
        <v>248</v>
      </c>
      <c r="G3" s="15" t="s">
        <v>249</v>
      </c>
      <c r="H3" s="15" t="s">
        <v>250</v>
      </c>
      <c r="I3" s="15" t="s">
        <v>251</v>
      </c>
      <c r="J3" s="15" t="s">
        <v>252</v>
      </c>
      <c r="K3" s="15" t="s">
        <v>253</v>
      </c>
      <c r="L3" s="15" t="s">
        <v>254</v>
      </c>
      <c r="M3" s="15" t="s">
        <v>255</v>
      </c>
      <c r="N3" s="15" t="s">
        <v>261</v>
      </c>
      <c r="O3" s="15" t="s">
        <v>268</v>
      </c>
      <c r="P3" s="15" t="s">
        <v>273</v>
      </c>
      <c r="Q3" s="15" t="s">
        <v>278</v>
      </c>
      <c r="R3" s="15" t="s">
        <v>397</v>
      </c>
      <c r="S3" s="13" t="s">
        <v>403</v>
      </c>
      <c r="T3" s="13" t="s">
        <v>407</v>
      </c>
      <c r="U3" s="13" t="s">
        <v>413</v>
      </c>
      <c r="V3" s="13" t="s">
        <v>430</v>
      </c>
      <c r="W3" s="13" t="s">
        <v>435</v>
      </c>
      <c r="X3" s="13" t="s">
        <v>440</v>
      </c>
      <c r="Y3" s="13" t="s">
        <v>448</v>
      </c>
      <c r="Z3" s="13" t="s">
        <v>459</v>
      </c>
      <c r="AA3" s="13" t="s">
        <v>472</v>
      </c>
      <c r="AB3" s="65" t="s">
        <v>561</v>
      </c>
      <c r="AC3" s="2"/>
    </row>
    <row r="4" spans="1:29" x14ac:dyDescent="0.3">
      <c r="B4" s="66" t="s">
        <v>0</v>
      </c>
      <c r="C4" s="16">
        <v>4.1899915293259697</v>
      </c>
      <c r="D4" s="16">
        <v>4.456337637289602</v>
      </c>
      <c r="E4" s="16">
        <v>5.0845717165202027</v>
      </c>
      <c r="F4" s="16">
        <v>5.3625982969141628</v>
      </c>
      <c r="G4" s="16">
        <v>4.720801856378622</v>
      </c>
      <c r="H4" s="16">
        <v>4.2674176733860154</v>
      </c>
      <c r="I4" s="16">
        <v>4.0571751401780727</v>
      </c>
      <c r="J4" s="16">
        <v>3.5876451409647023</v>
      </c>
      <c r="K4" s="16">
        <v>3.8374774088796952</v>
      </c>
      <c r="L4" s="16">
        <v>5.8304285588279505</v>
      </c>
      <c r="M4" s="16">
        <v>7.0433947580108578</v>
      </c>
      <c r="N4" s="16">
        <v>7.0111412282233028</v>
      </c>
      <c r="O4" s="16">
        <v>5.7884094612166219</v>
      </c>
      <c r="P4" s="16">
        <v>5.4629101741932855</v>
      </c>
      <c r="Q4" s="16">
        <v>4.3969401037154849</v>
      </c>
      <c r="R4" s="16">
        <v>3.8610021646332005</v>
      </c>
      <c r="S4" s="16">
        <v>3.9374586103786853</v>
      </c>
      <c r="T4" s="16">
        <v>3.6975670904995273</v>
      </c>
      <c r="U4" s="16">
        <v>3.3235659242398778</v>
      </c>
      <c r="V4" s="16">
        <v>2.9870666830900676</v>
      </c>
      <c r="W4" s="16">
        <v>5.5921106014281801</v>
      </c>
      <c r="X4" s="16">
        <v>4.5244268152230696</v>
      </c>
      <c r="Y4" s="16">
        <v>3.4609599078367275</v>
      </c>
      <c r="Z4" s="16">
        <v>3.4742381401507449</v>
      </c>
      <c r="AA4" s="16">
        <v>3.4578086460862099</v>
      </c>
      <c r="AB4" s="67">
        <v>3.4207173098412826</v>
      </c>
      <c r="AC4" s="3"/>
    </row>
    <row r="5" spans="1:29" x14ac:dyDescent="0.3">
      <c r="B5" s="66" t="s">
        <v>560</v>
      </c>
      <c r="C5" s="16">
        <v>13.372762780281525</v>
      </c>
      <c r="D5" s="16">
        <v>15.268794580934749</v>
      </c>
      <c r="E5" s="16">
        <v>15.702981333352223</v>
      </c>
      <c r="F5" s="16">
        <v>14.751927958574376</v>
      </c>
      <c r="G5" s="16">
        <v>12.6661130983632</v>
      </c>
      <c r="H5" s="16">
        <v>13.452263236022549</v>
      </c>
      <c r="I5" s="16">
        <v>12.638978888510549</v>
      </c>
      <c r="J5" s="16">
        <v>12.535840140445426</v>
      </c>
      <c r="K5" s="16">
        <v>12.582929207824925</v>
      </c>
      <c r="L5" s="16">
        <v>16.604975123959449</v>
      </c>
      <c r="M5" s="16">
        <v>20.198138731421974</v>
      </c>
      <c r="N5" s="16">
        <v>20.208740229700673</v>
      </c>
      <c r="O5" s="16">
        <v>18.895232809917573</v>
      </c>
      <c r="P5" s="16">
        <v>19.133432166251026</v>
      </c>
      <c r="Q5" s="16">
        <v>17.797434886226327</v>
      </c>
      <c r="R5" s="16">
        <v>14.97647877500585</v>
      </c>
      <c r="S5" s="16">
        <v>14.620192576628424</v>
      </c>
      <c r="T5" s="16">
        <v>13.960349327229675</v>
      </c>
      <c r="U5" s="16">
        <v>11.515528611430126</v>
      </c>
      <c r="V5" s="16">
        <v>10.224793494795396</v>
      </c>
      <c r="W5" s="16">
        <v>9.2752858621464149</v>
      </c>
      <c r="X5" s="16">
        <v>8.9614788061002209</v>
      </c>
      <c r="Y5" s="16">
        <v>7.4068478094577497</v>
      </c>
      <c r="Z5" s="16">
        <v>7.3701705876171548</v>
      </c>
      <c r="AA5" s="16">
        <v>7.0091296312873625</v>
      </c>
      <c r="AB5" s="67">
        <v>7.0154475182569493</v>
      </c>
      <c r="AC5" s="3"/>
    </row>
    <row r="6" spans="1:29" ht="17.25" customHeight="1" x14ac:dyDescent="0.3">
      <c r="B6" s="66" t="s">
        <v>1</v>
      </c>
      <c r="C6" s="16">
        <v>4.4102954867493498</v>
      </c>
      <c r="D6" s="16">
        <v>4.6886088291427797</v>
      </c>
      <c r="E6" s="16">
        <v>6.1174498902699179</v>
      </c>
      <c r="F6" s="16">
        <v>6.32103063439913</v>
      </c>
      <c r="G6" s="16">
        <v>6.2447865643761169</v>
      </c>
      <c r="H6" s="16">
        <v>5.9016243457738122</v>
      </c>
      <c r="I6" s="16">
        <v>5.3165247849604125</v>
      </c>
      <c r="J6" s="16">
        <v>5.3981047227443275</v>
      </c>
      <c r="K6" s="16">
        <v>6.3227793093853322</v>
      </c>
      <c r="L6" s="16">
        <v>10.152769491363365</v>
      </c>
      <c r="M6" s="16">
        <v>10.317388023754276</v>
      </c>
      <c r="N6" s="16">
        <v>8.9842847490723265</v>
      </c>
      <c r="O6" s="16">
        <v>7.4405042269724433</v>
      </c>
      <c r="P6" s="16">
        <v>7.5689472051029369</v>
      </c>
      <c r="Q6" s="16">
        <v>5.9117321755407755</v>
      </c>
      <c r="R6" s="16">
        <v>4.9933369433313848</v>
      </c>
      <c r="S6" s="16">
        <v>5.0986283237254453</v>
      </c>
      <c r="T6" s="16">
        <v>4.9719500919942377</v>
      </c>
      <c r="U6" s="16">
        <v>4.5518092816697671</v>
      </c>
      <c r="V6" s="16">
        <v>4.2262925039876924</v>
      </c>
      <c r="W6" s="16">
        <v>8.0279097843366998</v>
      </c>
      <c r="X6" s="16">
        <v>5.3115806238014507</v>
      </c>
      <c r="Y6" s="16">
        <v>3.9194768092642747</v>
      </c>
      <c r="Z6" s="16">
        <v>3.7319634533618049</v>
      </c>
      <c r="AA6" s="16">
        <v>4.4080090259726301</v>
      </c>
      <c r="AB6" s="67">
        <v>4.9757378115233815</v>
      </c>
      <c r="AC6" s="3"/>
    </row>
    <row r="7" spans="1:29" x14ac:dyDescent="0.3">
      <c r="B7" s="66" t="s">
        <v>2</v>
      </c>
      <c r="C7" s="16">
        <v>4.7434863902257396</v>
      </c>
      <c r="D7" s="16">
        <v>4.9865651172602021</v>
      </c>
      <c r="E7" s="16">
        <v>5.5223199135749077</v>
      </c>
      <c r="F7" s="16">
        <v>5.0490133032260331</v>
      </c>
      <c r="G7" s="16">
        <v>5.2833436486998728</v>
      </c>
      <c r="H7" s="16">
        <v>5.6314384779760456</v>
      </c>
      <c r="I7" s="16">
        <v>5.2701145584204969</v>
      </c>
      <c r="J7" s="16">
        <v>5.1364869282023902</v>
      </c>
      <c r="K7" s="16">
        <v>6.4722892422418781</v>
      </c>
      <c r="L7" s="16">
        <v>9.6355916072649883</v>
      </c>
      <c r="M7" s="16">
        <v>11.602903704441324</v>
      </c>
      <c r="N7" s="16">
        <v>11.1224186816564</v>
      </c>
      <c r="O7" s="16">
        <v>10.187075441041539</v>
      </c>
      <c r="P7" s="16">
        <v>9.3442196543334948</v>
      </c>
      <c r="Q7" s="16">
        <v>8.3798928113599764</v>
      </c>
      <c r="R7" s="16">
        <v>7.1040696576722118</v>
      </c>
      <c r="S7" s="16">
        <v>6.3903428791424481</v>
      </c>
      <c r="T7" s="16">
        <v>5.5824579420691869</v>
      </c>
      <c r="U7" s="16">
        <v>4.9312487471919493</v>
      </c>
      <c r="V7" s="16">
        <v>4.4178645231070686</v>
      </c>
      <c r="W7" s="16">
        <v>7.3885491269068719</v>
      </c>
      <c r="X7" s="16">
        <v>5.2840131172121696</v>
      </c>
      <c r="Y7" s="16">
        <v>3.955811566041795</v>
      </c>
      <c r="Z7" s="16">
        <v>3.8693265607811274</v>
      </c>
      <c r="AA7" s="16">
        <v>4.1586688087752428</v>
      </c>
      <c r="AB7" s="67">
        <v>4.1948554616123612</v>
      </c>
      <c r="AC7" s="3"/>
    </row>
    <row r="8" spans="1:29" x14ac:dyDescent="0.3">
      <c r="B8" s="66" t="s">
        <v>424</v>
      </c>
      <c r="C8" s="16">
        <v>6.6719347573136876</v>
      </c>
      <c r="D8" s="16">
        <v>7.6154838771829896</v>
      </c>
      <c r="E8" s="16">
        <v>8.9219854355564916</v>
      </c>
      <c r="F8" s="16">
        <v>9.9419773300952006</v>
      </c>
      <c r="G8" s="16">
        <v>9.1499813332522848</v>
      </c>
      <c r="H8" s="16">
        <v>7.5022167186995903</v>
      </c>
      <c r="I8" s="16">
        <v>6.6154906688078086</v>
      </c>
      <c r="J8" s="16">
        <v>6.3419287856554867</v>
      </c>
      <c r="K8" s="16">
        <v>7.4919454142389403</v>
      </c>
      <c r="L8" s="16">
        <v>13.178694660209775</v>
      </c>
      <c r="M8" s="16">
        <v>12.740380052560949</v>
      </c>
      <c r="N8" s="16">
        <v>11.3085018092859</v>
      </c>
      <c r="O8" s="16">
        <v>10.592726556175325</v>
      </c>
      <c r="P8" s="16">
        <v>9.5133803954619829</v>
      </c>
      <c r="Q8" s="16">
        <v>7.9559731300481182</v>
      </c>
      <c r="R8" s="16">
        <v>6.5279535108210425</v>
      </c>
      <c r="S8" s="16">
        <v>5.6370804882136598</v>
      </c>
      <c r="T8" s="16">
        <v>4.6735096315068176</v>
      </c>
      <c r="U8" s="16">
        <v>4.5911950750029096</v>
      </c>
      <c r="V8" s="16">
        <v>4.2770651024087902</v>
      </c>
      <c r="W8" s="16">
        <v>7.7352467925222976</v>
      </c>
      <c r="X8" s="16">
        <v>5.5529224871392122</v>
      </c>
      <c r="Y8" s="16">
        <v>4.3405190677508747</v>
      </c>
      <c r="Z8" s="16">
        <v>4.0957464086638051</v>
      </c>
      <c r="AA8" s="16">
        <v>4.6132685037105245</v>
      </c>
      <c r="AB8" s="67">
        <v>5.0478028113637778</v>
      </c>
      <c r="AC8" s="3"/>
    </row>
    <row r="9" spans="1:29" x14ac:dyDescent="0.3">
      <c r="B9" s="66" t="s">
        <v>280</v>
      </c>
      <c r="C9" s="16">
        <v>3.4172769687118354</v>
      </c>
      <c r="D9" s="16">
        <v>3.4702243836813351</v>
      </c>
      <c r="E9" s="16">
        <v>4.1627117387331269</v>
      </c>
      <c r="F9" s="16">
        <v>4.3802237101130146</v>
      </c>
      <c r="G9" s="16">
        <v>4.33553519922354</v>
      </c>
      <c r="H9" s="16">
        <v>3.9833319373672751</v>
      </c>
      <c r="I9" s="16">
        <v>3.8794778916675727</v>
      </c>
      <c r="J9" s="16">
        <v>3.9101542586765579</v>
      </c>
      <c r="K9" s="16">
        <v>4.9102551249500621</v>
      </c>
      <c r="L9" s="16">
        <v>7.0523128312750369</v>
      </c>
      <c r="M9" s="16">
        <v>7.4395682481379151</v>
      </c>
      <c r="N9" s="16">
        <v>7.219702583725347</v>
      </c>
      <c r="O9" s="16">
        <v>7.4427882946206978</v>
      </c>
      <c r="P9" s="16">
        <v>6.4442527229314823</v>
      </c>
      <c r="Q9" s="16">
        <v>5.0882976516580971</v>
      </c>
      <c r="R9" s="16">
        <v>4.4622008632490404</v>
      </c>
      <c r="S9" s="16">
        <v>4.1914832532304001</v>
      </c>
      <c r="T9" s="16">
        <v>4.2652737867985575</v>
      </c>
      <c r="U9" s="16">
        <v>3.7433540945373474</v>
      </c>
      <c r="V9" s="16">
        <v>3.5202008225565304</v>
      </c>
      <c r="W9" s="16">
        <v>6.9445835979475801</v>
      </c>
      <c r="X9" s="16">
        <v>4.38472188297375</v>
      </c>
      <c r="Y9" s="16">
        <v>3.0491156953247875</v>
      </c>
      <c r="Z9" s="16">
        <v>3.1197317672788074</v>
      </c>
      <c r="AA9" s="16">
        <v>3.3422145248176598</v>
      </c>
      <c r="AB9" s="67">
        <v>3.2705164164878231</v>
      </c>
      <c r="AC9" s="3"/>
    </row>
    <row r="10" spans="1:29" x14ac:dyDescent="0.3">
      <c r="B10" s="66" t="s">
        <v>3</v>
      </c>
      <c r="C10" s="16">
        <v>4.1697244727258376</v>
      </c>
      <c r="D10" s="16">
        <v>4.3129913386794572</v>
      </c>
      <c r="E10" s="16">
        <v>5.0533337327764247</v>
      </c>
      <c r="F10" s="16">
        <v>5.4732403292200251</v>
      </c>
      <c r="G10" s="16">
        <v>5.181677017469017</v>
      </c>
      <c r="H10" s="16">
        <v>4.9187156914744152</v>
      </c>
      <c r="I10" s="16">
        <v>3.9928055392676276</v>
      </c>
      <c r="J10" s="16">
        <v>3.5124417034887476</v>
      </c>
      <c r="K10" s="16">
        <v>4.4860602388839705</v>
      </c>
      <c r="L10" s="16">
        <v>7.2875779619618797</v>
      </c>
      <c r="M10" s="16">
        <v>7.733908441910998</v>
      </c>
      <c r="N10" s="16">
        <v>7.1901866813908342</v>
      </c>
      <c r="O10" s="16">
        <v>6.9334739182598533</v>
      </c>
      <c r="P10" s="16">
        <v>6.7522090352978328</v>
      </c>
      <c r="Q10" s="16">
        <v>6.4002384557647698</v>
      </c>
      <c r="R10" s="16">
        <v>6.2142431508422629</v>
      </c>
      <c r="S10" s="16">
        <v>6.0538781028620097</v>
      </c>
      <c r="T10" s="16">
        <v>5.5760967597968403</v>
      </c>
      <c r="U10" s="16">
        <v>4.6017379827443978</v>
      </c>
      <c r="V10" s="16">
        <v>4.6186025978970902</v>
      </c>
      <c r="W10" s="16">
        <v>7.5863295414022476</v>
      </c>
      <c r="X10" s="16">
        <v>6.5251155116719133</v>
      </c>
      <c r="Y10" s="16">
        <v>3.6882236018376675</v>
      </c>
      <c r="Z10" s="16">
        <v>3.4079938307849926</v>
      </c>
      <c r="AA10" s="16">
        <v>3.8579061178570426</v>
      </c>
      <c r="AB10" s="67">
        <v>4.018968525201859</v>
      </c>
      <c r="AC10" s="3"/>
    </row>
    <row r="11" spans="1:29" x14ac:dyDescent="0.3">
      <c r="B11" s="66" t="s">
        <v>4</v>
      </c>
      <c r="C11" s="16">
        <v>5.3515771368559246</v>
      </c>
      <c r="D11" s="16">
        <v>5.933707018622683</v>
      </c>
      <c r="E11" s="16">
        <v>6.0341458813881435</v>
      </c>
      <c r="F11" s="16">
        <v>6.483917372381125</v>
      </c>
      <c r="G11" s="16">
        <v>5.4941192105987575</v>
      </c>
      <c r="H11" s="16">
        <v>6.0085117692877095</v>
      </c>
      <c r="I11" s="16">
        <v>3.8538645710679149</v>
      </c>
      <c r="J11" s="16">
        <v>4.0937288492016677</v>
      </c>
      <c r="K11" s="16">
        <v>4.4699086319011005</v>
      </c>
      <c r="L11" s="16">
        <v>6.4302667921188927</v>
      </c>
      <c r="M11" s="16">
        <v>7.1854804140508151</v>
      </c>
      <c r="N11" s="16">
        <v>7.2613967656159604</v>
      </c>
      <c r="O11" s="16">
        <v>6.7857783200145994</v>
      </c>
      <c r="P11" s="16">
        <v>6.5912957430644692</v>
      </c>
      <c r="Q11" s="16">
        <v>6.5952962412201721</v>
      </c>
      <c r="R11" s="16">
        <v>6.4892430743919274</v>
      </c>
      <c r="S11" s="16">
        <v>6.0427156019842752</v>
      </c>
      <c r="T11" s="16">
        <v>5.5151478478943643</v>
      </c>
      <c r="U11" s="16">
        <v>5.1230010255667748</v>
      </c>
      <c r="V11" s="16">
        <v>4.7800530943932573</v>
      </c>
      <c r="W11" s="16">
        <v>6.5120513317624322</v>
      </c>
      <c r="X11" s="16">
        <v>4.0865987981857126</v>
      </c>
      <c r="Y11" s="16">
        <v>3.1768068989423397</v>
      </c>
      <c r="Z11" s="16">
        <v>3.4493855284394224</v>
      </c>
      <c r="AA11" s="16">
        <v>4.0911809734314453</v>
      </c>
      <c r="AB11" s="67">
        <v>4.1598215693205773</v>
      </c>
      <c r="AC11" s="3"/>
    </row>
    <row r="12" spans="1:29" x14ac:dyDescent="0.3">
      <c r="B12" s="66" t="s">
        <v>281</v>
      </c>
      <c r="C12" s="16">
        <v>3.745089694904415</v>
      </c>
      <c r="D12" s="16">
        <v>4.3688884438263846</v>
      </c>
      <c r="E12" s="16">
        <v>5.4455879604802906</v>
      </c>
      <c r="F12" s="16">
        <v>5.6768255538001151</v>
      </c>
      <c r="G12" s="16">
        <v>5.2295489039245524</v>
      </c>
      <c r="H12" s="16">
        <v>4.8984933336782603</v>
      </c>
      <c r="I12" s="16">
        <v>4.7079854137979744</v>
      </c>
      <c r="J12" s="16">
        <v>4.5589473751292093</v>
      </c>
      <c r="K12" s="16">
        <v>5.633090610665846</v>
      </c>
      <c r="L12" s="16">
        <v>8.6290317191993697</v>
      </c>
      <c r="M12" s="16">
        <v>8.9504628695982937</v>
      </c>
      <c r="N12" s="16">
        <v>8.4687549215402829</v>
      </c>
      <c r="O12" s="16">
        <v>8.2808598532613686</v>
      </c>
      <c r="P12" s="16">
        <v>7.5068609584134922</v>
      </c>
      <c r="Q12" s="16">
        <v>6.2156640017952354</v>
      </c>
      <c r="R12" s="16">
        <v>5.4593138528604399</v>
      </c>
      <c r="S12" s="16">
        <v>5.2844110711812498</v>
      </c>
      <c r="T12" s="16">
        <v>5.0531829079430901</v>
      </c>
      <c r="U12" s="16">
        <v>4.6668613518738873</v>
      </c>
      <c r="V12" s="16">
        <v>4.4050503690706071</v>
      </c>
      <c r="W12" s="16">
        <v>9.1482432579234967</v>
      </c>
      <c r="X12" s="16">
        <v>6.0909187085334873</v>
      </c>
      <c r="Y12" s="16">
        <v>4.158296387618253</v>
      </c>
      <c r="Z12" s="16">
        <v>3.9706611202473949</v>
      </c>
      <c r="AA12" s="16">
        <v>3.8858212511066021</v>
      </c>
      <c r="AB12" s="67">
        <v>4.1237619009145332</v>
      </c>
      <c r="AC12" s="3"/>
    </row>
    <row r="13" spans="1:29" x14ac:dyDescent="0.3">
      <c r="B13" s="66" t="s">
        <v>5</v>
      </c>
      <c r="C13" s="16">
        <v>4.7218310170430371</v>
      </c>
      <c r="D13" s="16">
        <v>5.663016692719907</v>
      </c>
      <c r="E13" s="16">
        <v>5.8704508443955721</v>
      </c>
      <c r="F13" s="16">
        <v>5.4488679707306193</v>
      </c>
      <c r="G13" s="16">
        <v>5.3086365927429853</v>
      </c>
      <c r="H13" s="16">
        <v>5.1944504368702802</v>
      </c>
      <c r="I13" s="16">
        <v>4.6207283643462951</v>
      </c>
      <c r="J13" s="16">
        <v>4.3799607096812121</v>
      </c>
      <c r="K13" s="16">
        <v>5.2589759451102154</v>
      </c>
      <c r="L13" s="16">
        <v>7.1169432041703278</v>
      </c>
      <c r="M13" s="16">
        <v>7.6721110005018751</v>
      </c>
      <c r="N13" s="16">
        <v>7.0719556250491635</v>
      </c>
      <c r="O13" s="16">
        <v>7.1974161482781076</v>
      </c>
      <c r="P13" s="16">
        <v>6.6750471579432071</v>
      </c>
      <c r="Q13" s="16">
        <v>5.8239835672559295</v>
      </c>
      <c r="R13" s="16">
        <v>5.2630306882397591</v>
      </c>
      <c r="S13" s="16">
        <v>5.3884845661037177</v>
      </c>
      <c r="T13" s="16">
        <v>5.0636425228141295</v>
      </c>
      <c r="U13" s="16">
        <v>4.4510020221433075</v>
      </c>
      <c r="V13" s="16">
        <v>4.5708132692679779</v>
      </c>
      <c r="W13" s="16">
        <v>8.7167913633324297</v>
      </c>
      <c r="X13" s="16">
        <v>5.7851656650779777</v>
      </c>
      <c r="Y13" s="16">
        <v>4.3535609120847498</v>
      </c>
      <c r="Z13" s="16">
        <v>3.6617919514410349</v>
      </c>
      <c r="AA13" s="16">
        <v>3.5314490703023047</v>
      </c>
      <c r="AB13" s="67">
        <v>3.7760554865588158</v>
      </c>
      <c r="AC13" s="3"/>
    </row>
    <row r="14" spans="1:29" x14ac:dyDescent="0.3">
      <c r="B14" s="66" t="s">
        <v>6</v>
      </c>
      <c r="C14" s="16">
        <v>3.8565158596993974</v>
      </c>
      <c r="D14" s="16">
        <v>3.8591918658236852</v>
      </c>
      <c r="E14" s="16">
        <v>4.5804898085544927</v>
      </c>
      <c r="F14" s="16">
        <v>4.87606221020968</v>
      </c>
      <c r="G14" s="16">
        <v>4.2804036268132144</v>
      </c>
      <c r="H14" s="16">
        <v>4.0200320174326425</v>
      </c>
      <c r="I14" s="16">
        <v>3.7636417867558194</v>
      </c>
      <c r="J14" s="16">
        <v>3.3583521082376473</v>
      </c>
      <c r="K14" s="16">
        <v>3.559974634488567</v>
      </c>
      <c r="L14" s="16">
        <v>5.2707831833073246</v>
      </c>
      <c r="M14" s="16">
        <v>5.7336019544376402</v>
      </c>
      <c r="N14" s="16">
        <v>5.5973433245198176</v>
      </c>
      <c r="O14" s="16">
        <v>4.8146773533907803</v>
      </c>
      <c r="P14" s="16">
        <v>4.6654134936030847</v>
      </c>
      <c r="Q14" s="16">
        <v>3.7059463381522075</v>
      </c>
      <c r="R14" s="16">
        <v>3.10277345213651</v>
      </c>
      <c r="S14" s="16">
        <v>3.2327526850194626</v>
      </c>
      <c r="T14" s="16">
        <v>3.1038238430120599</v>
      </c>
      <c r="U14" s="16">
        <v>2.8489215934955525</v>
      </c>
      <c r="V14" s="16">
        <v>2.6352855091071774</v>
      </c>
      <c r="W14" s="16">
        <v>5.0864664987912676</v>
      </c>
      <c r="X14" s="16">
        <v>4.0104626877137122</v>
      </c>
      <c r="Y14" s="16">
        <v>3.1224054597219024</v>
      </c>
      <c r="Z14" s="16">
        <v>3.1326096616945676</v>
      </c>
      <c r="AA14" s="16">
        <v>3.138471219697867</v>
      </c>
      <c r="AB14" s="67">
        <v>3.090968536383969</v>
      </c>
      <c r="AC14" s="3"/>
    </row>
    <row r="15" spans="1:29" x14ac:dyDescent="0.3">
      <c r="B15" s="66" t="s">
        <v>7</v>
      </c>
      <c r="C15" s="16">
        <v>1.8707707919394299</v>
      </c>
      <c r="D15" s="16">
        <v>2.2727572773271074</v>
      </c>
      <c r="E15" s="16">
        <v>2.7273360960105597</v>
      </c>
      <c r="F15" s="16">
        <v>2.9942013014471227</v>
      </c>
      <c r="G15" s="16">
        <v>3.0934692725122774</v>
      </c>
      <c r="H15" s="16">
        <v>3.1536064258625247</v>
      </c>
      <c r="I15" s="16">
        <v>2.6970107594962478</v>
      </c>
      <c r="J15" s="16">
        <v>2.9101997042816401</v>
      </c>
      <c r="K15" s="16">
        <v>3.2523585363577325</v>
      </c>
      <c r="L15" s="16">
        <v>5.0852718388440978</v>
      </c>
      <c r="M15" s="16">
        <v>4.5746673621676504</v>
      </c>
      <c r="N15" s="16">
        <v>4.2023136121167051</v>
      </c>
      <c r="O15" s="16">
        <v>3.7213108107417452</v>
      </c>
      <c r="P15" s="16">
        <v>3.4828308261717771</v>
      </c>
      <c r="Q15" s="16">
        <v>3.012162449400555</v>
      </c>
      <c r="R15" s="16">
        <v>2.577181120092555</v>
      </c>
      <c r="S15" s="16">
        <v>2.6067846537357298</v>
      </c>
      <c r="T15" s="16">
        <v>2.2181753937331901</v>
      </c>
      <c r="U15" s="16">
        <v>1.8510704095769024</v>
      </c>
      <c r="V15" s="16">
        <v>2.0378024876067076</v>
      </c>
      <c r="W15" s="16">
        <v>3.9449627391289148</v>
      </c>
      <c r="X15" s="16">
        <v>3.0406513628960496</v>
      </c>
      <c r="Y15" s="16">
        <v>2.2702406787130047</v>
      </c>
      <c r="Z15" s="16">
        <v>2.3447668928912599</v>
      </c>
      <c r="AA15" s="16">
        <v>2.3841272583949751</v>
      </c>
      <c r="AB15" s="67">
        <v>2.8318317487838143</v>
      </c>
      <c r="AC15" s="3"/>
    </row>
    <row r="16" spans="1:29" x14ac:dyDescent="0.3">
      <c r="B16" s="66" t="s">
        <v>524</v>
      </c>
      <c r="C16" s="16">
        <v>2.2640391475265051</v>
      </c>
      <c r="D16" s="16">
        <v>2.7667813694945775</v>
      </c>
      <c r="E16" s="16">
        <v>3.5374675776918023</v>
      </c>
      <c r="F16" s="16">
        <v>4.1966025130596671</v>
      </c>
      <c r="G16" s="16">
        <v>4.04503090576394</v>
      </c>
      <c r="H16" s="16">
        <v>3.9872155850453348</v>
      </c>
      <c r="I16" s="16">
        <v>3.9079352237601599</v>
      </c>
      <c r="J16" s="16">
        <v>3.7720260076674172</v>
      </c>
      <c r="K16" s="16">
        <v>4.3743588141262322</v>
      </c>
      <c r="L16" s="16">
        <v>6.4676320542445627</v>
      </c>
      <c r="M16" s="16">
        <v>6.8170487312237071</v>
      </c>
      <c r="N16" s="16">
        <v>6.1557482441632132</v>
      </c>
      <c r="O16" s="16">
        <v>5.826442560024339</v>
      </c>
      <c r="P16" s="16">
        <v>6.0053680605870978</v>
      </c>
      <c r="Q16" s="16">
        <v>5.2683397115529775</v>
      </c>
      <c r="R16" s="16">
        <v>4.48616690529047</v>
      </c>
      <c r="S16" s="16">
        <v>3.9740181808385571</v>
      </c>
      <c r="T16" s="16">
        <v>3.6704372745049598</v>
      </c>
      <c r="U16" s="16">
        <v>3.2385021563651972</v>
      </c>
      <c r="V16" s="16">
        <v>2.9351177668078803</v>
      </c>
      <c r="W16" s="16">
        <v>7.7382657122895422</v>
      </c>
      <c r="X16" s="16">
        <v>4.7827681441346046</v>
      </c>
      <c r="Y16" s="16">
        <v>3.4740715706126477</v>
      </c>
      <c r="Z16" s="16">
        <v>3.2347414467248701</v>
      </c>
      <c r="AA16" s="16">
        <v>3.7673321447596573</v>
      </c>
      <c r="AB16" s="67">
        <v>4.1331373473249027</v>
      </c>
      <c r="AC16" s="3"/>
    </row>
    <row r="17" spans="2:29" x14ac:dyDescent="0.3">
      <c r="B17" s="66" t="s">
        <v>8</v>
      </c>
      <c r="C17" s="16">
        <v>5.3660356722354479</v>
      </c>
      <c r="D17" s="16">
        <v>5.2441506386718428</v>
      </c>
      <c r="E17" s="16">
        <v>6.1181363541044824</v>
      </c>
      <c r="F17" s="16">
        <v>6.627715722505517</v>
      </c>
      <c r="G17" s="16">
        <v>6.338025259018897</v>
      </c>
      <c r="H17" s="16">
        <v>5.9132631843967545</v>
      </c>
      <c r="I17" s="16">
        <v>5.7318275003579924</v>
      </c>
      <c r="J17" s="16">
        <v>5.451191547664747</v>
      </c>
      <c r="K17" s="16">
        <v>5.716384386067773</v>
      </c>
      <c r="L17" s="16">
        <v>7.0929508889782324</v>
      </c>
      <c r="M17" s="16">
        <v>7.3044317246455979</v>
      </c>
      <c r="N17" s="16">
        <v>6.6706897931441151</v>
      </c>
      <c r="O17" s="16">
        <v>6.0586700823953281</v>
      </c>
      <c r="P17" s="16">
        <v>5.8319141155988721</v>
      </c>
      <c r="Q17" s="16">
        <v>5.7184408039881651</v>
      </c>
      <c r="R17" s="16">
        <v>5.4482636041336781</v>
      </c>
      <c r="S17" s="16">
        <v>5.9590610076007176</v>
      </c>
      <c r="T17" s="16">
        <v>6.1114787207979351</v>
      </c>
      <c r="U17" s="16">
        <v>5.5880373606621223</v>
      </c>
      <c r="V17" s="16">
        <v>5.0413265873737947</v>
      </c>
      <c r="W17" s="16">
        <v>8.1553960222724839</v>
      </c>
      <c r="X17" s="16">
        <v>6.162211101628408</v>
      </c>
      <c r="Y17" s="16">
        <v>3.8805453945986077</v>
      </c>
      <c r="Z17" s="16">
        <v>3.8084667327223651</v>
      </c>
      <c r="AA17" s="16">
        <v>4.1588123593342194</v>
      </c>
      <c r="AB17" s="67">
        <v>4.1919930036081974</v>
      </c>
      <c r="AC17" s="3"/>
    </row>
    <row r="18" spans="2:29" x14ac:dyDescent="0.3">
      <c r="B18" s="66" t="s">
        <v>9</v>
      </c>
      <c r="C18" s="16">
        <v>2.4280379222302502</v>
      </c>
      <c r="D18" s="16">
        <v>3.0241124941609452</v>
      </c>
      <c r="E18" s="16">
        <v>3.6107843227387</v>
      </c>
      <c r="F18" s="16">
        <v>4.0776007264629506</v>
      </c>
      <c r="G18" s="16">
        <v>4.1949992280439279</v>
      </c>
      <c r="H18" s="16">
        <v>4.4002829898875184</v>
      </c>
      <c r="I18" s="16">
        <v>4.6897487754411227</v>
      </c>
      <c r="J18" s="16">
        <v>4.8690670695213525</v>
      </c>
      <c r="K18" s="16">
        <v>5.7283695632971527</v>
      </c>
      <c r="L18" s="16">
        <v>8.7163850100049221</v>
      </c>
      <c r="M18" s="16">
        <v>8.207604566886852</v>
      </c>
      <c r="N18" s="16">
        <v>6.6437063740235232</v>
      </c>
      <c r="O18" s="16">
        <v>5.9104807109082751</v>
      </c>
      <c r="P18" s="16">
        <v>5.8040013601255698</v>
      </c>
      <c r="Q18" s="16">
        <v>4.8489339950002845</v>
      </c>
      <c r="R18" s="16">
        <v>3.7077807955728725</v>
      </c>
      <c r="S18" s="16">
        <v>3.5855758486940674</v>
      </c>
      <c r="T18" s="16">
        <v>3.4128478829251598</v>
      </c>
      <c r="U18" s="16">
        <v>3.0051684181067748</v>
      </c>
      <c r="V18" s="16">
        <v>2.85396814281264</v>
      </c>
      <c r="W18" s="16">
        <v>6.6926626295897425</v>
      </c>
      <c r="X18" s="16">
        <v>4.1193832790117275</v>
      </c>
      <c r="Y18" s="16">
        <v>3.4255472599695826</v>
      </c>
      <c r="Z18" s="16">
        <v>3.1991577174844301</v>
      </c>
      <c r="AA18" s="16">
        <v>3.7463367551860696</v>
      </c>
      <c r="AB18" s="67">
        <v>4.4083336488728158</v>
      </c>
      <c r="AC18" s="3"/>
    </row>
    <row r="19" spans="2:29" x14ac:dyDescent="0.3">
      <c r="B19" s="66" t="s">
        <v>475</v>
      </c>
      <c r="C19" s="16">
        <v>5.1366437511087879</v>
      </c>
      <c r="D19" s="16">
        <v>5.5088770244370853</v>
      </c>
      <c r="E19" s="16">
        <v>5.9470279687587153</v>
      </c>
      <c r="F19" s="16">
        <v>5.8884854930842856</v>
      </c>
      <c r="G19" s="16">
        <v>5.3784949842787695</v>
      </c>
      <c r="H19" s="16">
        <v>4.4745837442906522</v>
      </c>
      <c r="I19" s="16">
        <v>4.0325330196720222</v>
      </c>
      <c r="J19" s="16">
        <v>4.0150508647227774</v>
      </c>
      <c r="K19" s="16">
        <v>5.9405231734750448</v>
      </c>
      <c r="L19" s="16">
        <v>9.8406968320810968</v>
      </c>
      <c r="M19" s="16">
        <v>11.185779352086652</v>
      </c>
      <c r="N19" s="16">
        <v>10.279711867833424</v>
      </c>
      <c r="O19" s="16">
        <v>9.1096255118258878</v>
      </c>
      <c r="P19" s="16">
        <v>8.9460786218885193</v>
      </c>
      <c r="Q19" s="16">
        <v>7.974349064051097</v>
      </c>
      <c r="R19" s="16">
        <v>7.0196814431419501</v>
      </c>
      <c r="S19" s="16">
        <v>6.1128293683145571</v>
      </c>
      <c r="T19" s="16">
        <v>4.7664926641587009</v>
      </c>
      <c r="U19" s="16">
        <v>4.3398699774860745</v>
      </c>
      <c r="V19" s="16">
        <v>3.5464945797846377</v>
      </c>
      <c r="W19" s="16">
        <v>7.163939591486308</v>
      </c>
      <c r="X19" s="16">
        <v>3.731966236735758</v>
      </c>
      <c r="Y19" s="16">
        <v>2.7207583837978149</v>
      </c>
      <c r="Z19" s="16">
        <v>2.5599641455557349</v>
      </c>
      <c r="AA19" s="16">
        <v>3.2278782743464101</v>
      </c>
      <c r="AB19" s="67">
        <v>3.4555336796177389</v>
      </c>
      <c r="AC19" s="3"/>
    </row>
    <row r="20" spans="2:29" x14ac:dyDescent="0.3">
      <c r="B20" s="66" t="s">
        <v>10</v>
      </c>
      <c r="C20" s="16">
        <v>2.8537920535259351</v>
      </c>
      <c r="D20" s="16">
        <v>4.0256406565686795</v>
      </c>
      <c r="E20" s="16">
        <v>5.2907148466609621</v>
      </c>
      <c r="F20" s="16">
        <v>5.4216316385461649</v>
      </c>
      <c r="G20" s="16">
        <v>4.6388536042130628</v>
      </c>
      <c r="H20" s="16">
        <v>4.4168886753112648</v>
      </c>
      <c r="I20" s="16">
        <v>4.4790569256791875</v>
      </c>
      <c r="J20" s="16">
        <v>4.578955263852043</v>
      </c>
      <c r="K20" s="16">
        <v>4.6220177470295152</v>
      </c>
      <c r="L20" s="16">
        <v>8.4002954736415152</v>
      </c>
      <c r="M20" s="16">
        <v>7.5897218081157671</v>
      </c>
      <c r="N20" s="16">
        <v>6.6248011018607347</v>
      </c>
      <c r="O20" s="16">
        <v>6.0909103876752155</v>
      </c>
      <c r="P20" s="16">
        <v>5.86448334004114</v>
      </c>
      <c r="Q20" s="16">
        <v>4.589443229858122</v>
      </c>
      <c r="R20" s="16">
        <v>3.7770382136413501</v>
      </c>
      <c r="S20" s="16">
        <v>3.3392350369343076</v>
      </c>
      <c r="T20" s="16">
        <v>2.8957965211842502</v>
      </c>
      <c r="U20" s="16">
        <v>2.713550404506675</v>
      </c>
      <c r="V20" s="16">
        <v>2.7662521320399822</v>
      </c>
      <c r="W20" s="16">
        <v>5.3683454499961458</v>
      </c>
      <c r="X20" s="16">
        <v>3.0397642898673576</v>
      </c>
      <c r="Y20" s="16">
        <v>2.3514155991649051</v>
      </c>
      <c r="Z20" s="16">
        <v>2.3232033572160402</v>
      </c>
      <c r="AA20" s="16">
        <v>2.4853543095915125</v>
      </c>
      <c r="AB20" s="67">
        <v>2.695639797995955</v>
      </c>
      <c r="AC20" s="3"/>
    </row>
    <row r="21" spans="2:29" x14ac:dyDescent="0.3">
      <c r="B21" s="66" t="s">
        <v>282</v>
      </c>
      <c r="C21" s="16">
        <v>11.145627074633699</v>
      </c>
      <c r="D21" s="16">
        <v>12.490809819868151</v>
      </c>
      <c r="E21" s="16">
        <v>14.745931440807276</v>
      </c>
      <c r="F21" s="16">
        <v>13.314254264233675</v>
      </c>
      <c r="G21" s="16">
        <v>11.334451835508149</v>
      </c>
      <c r="H21" s="16">
        <v>12.263624651820374</v>
      </c>
      <c r="I21" s="16">
        <v>11.573415481290651</v>
      </c>
      <c r="J21" s="16">
        <v>11.838379441921102</v>
      </c>
      <c r="K21" s="16">
        <v>12.075256352476151</v>
      </c>
      <c r="L21" s="16">
        <v>15.398254381980049</v>
      </c>
      <c r="M21" s="16">
        <v>17.512659451279173</v>
      </c>
      <c r="N21" s="16">
        <v>17.431877338553825</v>
      </c>
      <c r="O21" s="16">
        <v>15.95121914178425</v>
      </c>
      <c r="P21" s="16">
        <v>15.922862639925901</v>
      </c>
      <c r="Q21" s="16">
        <v>15.9551360753712</v>
      </c>
      <c r="R21" s="16">
        <v>14.505832710847351</v>
      </c>
      <c r="S21" s="16">
        <v>12.700656501419225</v>
      </c>
      <c r="T21" s="16">
        <v>11.659379322658998</v>
      </c>
      <c r="U21" s="16">
        <v>10.229070906643463</v>
      </c>
      <c r="V21" s="16">
        <v>9.3633671004681567</v>
      </c>
      <c r="W21" s="16">
        <v>8.0684822267981495</v>
      </c>
      <c r="X21" s="16">
        <v>7.662188902082228</v>
      </c>
      <c r="Y21" s="16">
        <v>7.3423899470570024</v>
      </c>
      <c r="Z21" s="16">
        <v>6.323352648964355</v>
      </c>
      <c r="AA21" s="16">
        <v>5.4910760147080495</v>
      </c>
      <c r="AB21" s="67">
        <v>5.7836404943702293</v>
      </c>
      <c r="AC21" s="3"/>
    </row>
    <row r="22" spans="2:29" x14ac:dyDescent="0.3">
      <c r="B22" s="66" t="s">
        <v>11</v>
      </c>
      <c r="C22" s="16">
        <v>3.1609031637689897</v>
      </c>
      <c r="D22" s="16">
        <v>4.27710241236153</v>
      </c>
      <c r="E22" s="16">
        <v>5.06707515669454</v>
      </c>
      <c r="F22" s="16">
        <v>4.6909606030945854</v>
      </c>
      <c r="G22" s="16">
        <v>4.2724392146548293</v>
      </c>
      <c r="H22" s="16">
        <v>4.3183421885252775</v>
      </c>
      <c r="I22" s="16">
        <v>3.7116051419876324</v>
      </c>
      <c r="J22" s="16">
        <v>3.5615059893772152</v>
      </c>
      <c r="K22" s="16">
        <v>4.6007179530410482</v>
      </c>
      <c r="L22" s="16">
        <v>8.7098655432243106</v>
      </c>
      <c r="M22" s="16">
        <v>8.765455361173867</v>
      </c>
      <c r="N22" s="16">
        <v>8.2931031474516974</v>
      </c>
      <c r="O22" s="16">
        <v>7.7083923526381906</v>
      </c>
      <c r="P22" s="16">
        <v>5.9957221375793273</v>
      </c>
      <c r="Q22" s="16">
        <v>4.7258040022641499</v>
      </c>
      <c r="R22" s="16">
        <v>4.4737111927986</v>
      </c>
      <c r="S22" s="16">
        <v>4.096625727282988</v>
      </c>
      <c r="T22" s="16">
        <v>3.6729581564774048</v>
      </c>
      <c r="U22" s="16">
        <v>3.2235242991394726</v>
      </c>
      <c r="V22" s="16">
        <v>3.1731530481479648</v>
      </c>
      <c r="W22" s="16">
        <v>7.9895114614821701</v>
      </c>
      <c r="X22" s="16">
        <v>4.3082897368103152</v>
      </c>
      <c r="Y22" s="16">
        <v>3.1158282940074353</v>
      </c>
      <c r="Z22" s="16">
        <v>2.8510675609205123</v>
      </c>
      <c r="AA22" s="16">
        <v>3.9600773520917949</v>
      </c>
      <c r="AB22" s="67">
        <v>5.0854242656271351</v>
      </c>
      <c r="AC22" s="3"/>
    </row>
    <row r="23" spans="2:29" x14ac:dyDescent="0.3">
      <c r="B23" s="66" t="s">
        <v>283</v>
      </c>
      <c r="C23" s="16">
        <v>3.2230947852724574</v>
      </c>
      <c r="D23" s="16">
        <v>3.5795732483921201</v>
      </c>
      <c r="E23" s="16">
        <v>3.8772910224610948</v>
      </c>
      <c r="F23" s="16">
        <v>3.6517065506938526</v>
      </c>
      <c r="G23" s="16">
        <v>3.8908932494200972</v>
      </c>
      <c r="H23" s="16">
        <v>4.2689167332356828</v>
      </c>
      <c r="I23" s="16">
        <v>3.955241155565985</v>
      </c>
      <c r="J23" s="16">
        <v>3.7136644308953297</v>
      </c>
      <c r="K23" s="16">
        <v>5.0757822408519226</v>
      </c>
      <c r="L23" s="16">
        <v>7.5751183439940828</v>
      </c>
      <c r="M23" s="16">
        <v>8.9732704520618647</v>
      </c>
      <c r="N23" s="16">
        <v>8.8752735390335822</v>
      </c>
      <c r="O23" s="16">
        <v>8.1604236340460741</v>
      </c>
      <c r="P23" s="16">
        <v>7.3144940371875506</v>
      </c>
      <c r="Q23" s="16">
        <v>6.57137296028412</v>
      </c>
      <c r="R23" s="16">
        <v>5.7423554027029846</v>
      </c>
      <c r="S23" s="16">
        <v>4.9882573557655174</v>
      </c>
      <c r="T23" s="16">
        <v>4.2976197305104655</v>
      </c>
      <c r="U23" s="16">
        <v>3.6110068537885027</v>
      </c>
      <c r="V23" s="16">
        <v>3.2954590160132522</v>
      </c>
      <c r="W23" s="16">
        <v>5.4385552833303699</v>
      </c>
      <c r="X23" s="16">
        <v>3.2892629812306424</v>
      </c>
      <c r="Y23" s="16">
        <v>3.0075549264557626</v>
      </c>
      <c r="Z23" s="16">
        <v>3.0017924050412774</v>
      </c>
      <c r="AA23" s="16">
        <v>3.3351311149660603</v>
      </c>
      <c r="AB23" s="67">
        <v>3.2411835879839859</v>
      </c>
      <c r="AC23" s="3"/>
    </row>
    <row r="24" spans="2:29" x14ac:dyDescent="0.3">
      <c r="B24" s="66" t="s">
        <v>425</v>
      </c>
      <c r="C24" s="16">
        <v>3.097013051605535</v>
      </c>
      <c r="D24" s="16">
        <v>3.6069171322121676</v>
      </c>
      <c r="E24" s="16">
        <v>5.0127130799624151</v>
      </c>
      <c r="F24" s="16">
        <v>4.8507610697124592</v>
      </c>
      <c r="G24" s="16">
        <v>4.7436919157934447</v>
      </c>
      <c r="H24" s="16">
        <v>5.3054563615447821</v>
      </c>
      <c r="I24" s="16">
        <v>4.6222044226884877</v>
      </c>
      <c r="J24" s="16">
        <v>4.4620253078956633</v>
      </c>
      <c r="K24" s="16">
        <v>6.3241145613351772</v>
      </c>
      <c r="L24" s="16">
        <v>9.9181094728167167</v>
      </c>
      <c r="M24" s="16">
        <v>10.140954828709225</v>
      </c>
      <c r="N24" s="16">
        <v>9.7050630299797902</v>
      </c>
      <c r="O24" s="16">
        <v>8.6388612067513471</v>
      </c>
      <c r="P24" s="16">
        <v>7.7181501303810647</v>
      </c>
      <c r="Q24" s="16">
        <v>6.7857337560861852</v>
      </c>
      <c r="R24" s="16">
        <v>5.7707409190810148</v>
      </c>
      <c r="S24" s="16">
        <v>5.2041238875847524</v>
      </c>
      <c r="T24" s="16">
        <v>4.5893120593638574</v>
      </c>
      <c r="U24" s="16">
        <v>3.8419782759656398</v>
      </c>
      <c r="V24" s="16">
        <v>3.4352126853395597</v>
      </c>
      <c r="W24" s="16">
        <v>6.873610454586335</v>
      </c>
      <c r="X24" s="16">
        <v>3.9183929312531873</v>
      </c>
      <c r="Y24" s="16">
        <v>3.0296205305031352</v>
      </c>
      <c r="Z24" s="16">
        <v>3.2155955064478374</v>
      </c>
      <c r="AA24" s="16">
        <v>3.4480882152556198</v>
      </c>
      <c r="AB24" s="67">
        <v>3.4558665684192778</v>
      </c>
      <c r="AC24" s="3"/>
    </row>
    <row r="25" spans="2:29" x14ac:dyDescent="0.3">
      <c r="B25" s="66" t="s">
        <v>284</v>
      </c>
      <c r="C25" s="16">
        <v>5.18620317806774</v>
      </c>
      <c r="D25" s="16">
        <v>5.2626835175580995</v>
      </c>
      <c r="E25" s="16">
        <v>6.5382457785097996</v>
      </c>
      <c r="F25" s="16">
        <v>6.7678806136259402</v>
      </c>
      <c r="G25" s="16">
        <v>6.0021131294949566</v>
      </c>
      <c r="H25" s="16">
        <v>5.6665960301735927</v>
      </c>
      <c r="I25" s="16">
        <v>6.0861142425044878</v>
      </c>
      <c r="J25" s="16">
        <v>5.9529838881346846</v>
      </c>
      <c r="K25" s="16">
        <v>7.2214936478774501</v>
      </c>
      <c r="L25" s="16">
        <v>11.396293780222084</v>
      </c>
      <c r="M25" s="16">
        <v>12.998857141222574</v>
      </c>
      <c r="N25" s="16">
        <v>13.216933093406274</v>
      </c>
      <c r="O25" s="16">
        <v>13.615891818853051</v>
      </c>
      <c r="P25" s="16">
        <v>12.6689493501718</v>
      </c>
      <c r="Q25" s="16">
        <v>10.93255777482735</v>
      </c>
      <c r="R25" s="16">
        <v>9.8941373334342551</v>
      </c>
      <c r="S25" s="16">
        <v>7.5827740684559384</v>
      </c>
      <c r="T25" s="16">
        <v>7.1664030019054472</v>
      </c>
      <c r="U25" s="16">
        <v>6.0499134461494881</v>
      </c>
      <c r="V25" s="16">
        <v>5.1609436782947196</v>
      </c>
      <c r="W25" s="16">
        <v>15.410130406173089</v>
      </c>
      <c r="X25" s="16">
        <v>9.3102416618068276</v>
      </c>
      <c r="Y25" s="16">
        <v>5.4563118649407247</v>
      </c>
      <c r="Z25" s="16">
        <v>5.83811636831404</v>
      </c>
      <c r="AA25" s="16">
        <v>6.1919637053707755</v>
      </c>
      <c r="AB25" s="67">
        <v>6.6094772999351532</v>
      </c>
      <c r="AC25" s="3"/>
    </row>
    <row r="26" spans="2:29" x14ac:dyDescent="0.3">
      <c r="B26" s="66" t="s">
        <v>285</v>
      </c>
      <c r="C26" s="16">
        <v>4.2902031497783</v>
      </c>
      <c r="D26" s="16">
        <v>4.3267298574624027</v>
      </c>
      <c r="E26" s="16">
        <v>4.8023197217679501</v>
      </c>
      <c r="F26" s="16">
        <v>4.9361101940055097</v>
      </c>
      <c r="G26" s="16">
        <v>4.7003007515277098</v>
      </c>
      <c r="H26" s="16">
        <v>3.9728380480119601</v>
      </c>
      <c r="I26" s="16">
        <v>3.62520485282446</v>
      </c>
      <c r="J26" s="16">
        <v>3.941569895362345</v>
      </c>
      <c r="K26" s="16">
        <v>5.7445199644422935</v>
      </c>
      <c r="L26" s="16">
        <v>8.6180430991050265</v>
      </c>
      <c r="M26" s="16">
        <v>9.5441781951781959</v>
      </c>
      <c r="N26" s="16">
        <v>8.6545789409335168</v>
      </c>
      <c r="O26" s="16">
        <v>7.405127432664635</v>
      </c>
      <c r="P26" s="16">
        <v>6.4086254997274876</v>
      </c>
      <c r="Q26" s="16">
        <v>5.9268626737390449</v>
      </c>
      <c r="R26" s="16">
        <v>5.5408182136569648</v>
      </c>
      <c r="S26" s="16">
        <v>5.1903069762818177</v>
      </c>
      <c r="T26" s="16">
        <v>4.0717230777528624</v>
      </c>
      <c r="U26" s="16">
        <v>3.6431803853998828</v>
      </c>
      <c r="V26" s="16">
        <v>2.9362702850080127</v>
      </c>
      <c r="W26" s="16">
        <v>5.894653021833415</v>
      </c>
      <c r="X26" s="16">
        <v>2.9370504291069928</v>
      </c>
      <c r="Y26" s="16">
        <v>2.3355673689737797</v>
      </c>
      <c r="Z26" s="16">
        <v>2.278206651093575</v>
      </c>
      <c r="AA26" s="16">
        <v>2.9510807538060129</v>
      </c>
      <c r="AB26" s="67">
        <v>2.9881059943009149</v>
      </c>
      <c r="AC26" s="3"/>
    </row>
    <row r="27" spans="2:29" x14ac:dyDescent="0.3">
      <c r="B27" s="66" t="s">
        <v>286</v>
      </c>
      <c r="C27" s="16">
        <v>3.9612820497305377</v>
      </c>
      <c r="D27" s="16">
        <v>4.6038153693512047</v>
      </c>
      <c r="E27" s="16">
        <v>5.1453755859986199</v>
      </c>
      <c r="F27" s="16">
        <v>5.1186832246856628</v>
      </c>
      <c r="G27" s="16">
        <v>5.4235649861976851</v>
      </c>
      <c r="H27" s="16">
        <v>6.0877878197170023</v>
      </c>
      <c r="I27" s="16">
        <v>5.8453042367886852</v>
      </c>
      <c r="J27" s="16">
        <v>5.4337697537258576</v>
      </c>
      <c r="K27" s="16">
        <v>6.4378427791046375</v>
      </c>
      <c r="L27" s="16">
        <v>9.1550549723099302</v>
      </c>
      <c r="M27" s="16">
        <v>9.595939769415466</v>
      </c>
      <c r="N27" s="16">
        <v>9.6228902982013675</v>
      </c>
      <c r="O27" s="16">
        <v>9.0722429518614014</v>
      </c>
      <c r="P27" s="16">
        <v>8.2797763666302746</v>
      </c>
      <c r="Q27" s="16">
        <v>7.3055169673681819</v>
      </c>
      <c r="R27" s="16">
        <v>6.3938911847512454</v>
      </c>
      <c r="S27" s="16">
        <v>5.75744125598177</v>
      </c>
      <c r="T27" s="16">
        <v>4.9784948208575175</v>
      </c>
      <c r="U27" s="16">
        <v>4.236493437816315</v>
      </c>
      <c r="V27" s="16">
        <v>3.7441637006110953</v>
      </c>
      <c r="W27" s="16">
        <v>5.8101033316877393</v>
      </c>
      <c r="X27" s="16">
        <v>3.97820462052493</v>
      </c>
      <c r="Y27" s="16">
        <v>3.5903819676895599</v>
      </c>
      <c r="Z27" s="16">
        <v>3.7233244753421628</v>
      </c>
      <c r="AA27" s="16">
        <v>4.3764459622376304</v>
      </c>
      <c r="AB27" s="67">
        <v>4.3344899801165395</v>
      </c>
      <c r="AC27" s="3"/>
    </row>
    <row r="28" spans="2:29" x14ac:dyDescent="0.3">
      <c r="B28" s="66" t="s">
        <v>476</v>
      </c>
      <c r="C28" s="16">
        <v>3.0556799175349973</v>
      </c>
      <c r="D28" s="16">
        <v>4.2982404500224352</v>
      </c>
      <c r="E28" s="16">
        <v>5.8863877405593401</v>
      </c>
      <c r="F28" s="16">
        <v>6.0417434818259101</v>
      </c>
      <c r="G28" s="16">
        <v>5.10615872195467</v>
      </c>
      <c r="H28" s="16">
        <v>4.6086341374333646</v>
      </c>
      <c r="I28" s="16">
        <v>4.2047181631787875</v>
      </c>
      <c r="J28" s="16">
        <v>3.7032507515824049</v>
      </c>
      <c r="K28" s="16">
        <v>4.3662939301539794</v>
      </c>
      <c r="L28" s="16">
        <v>6.9238525831730575</v>
      </c>
      <c r="M28" s="16">
        <v>7.0795745682125624</v>
      </c>
      <c r="N28" s="16">
        <v>6.8504798437418124</v>
      </c>
      <c r="O28" s="16">
        <v>5.6602470264458553</v>
      </c>
      <c r="P28" s="16">
        <v>5.2261245191035073</v>
      </c>
      <c r="Q28" s="16">
        <v>4.2763943517967595</v>
      </c>
      <c r="R28" s="16">
        <v>3.3904092048398975</v>
      </c>
      <c r="S28" s="16">
        <v>3.3349763821736498</v>
      </c>
      <c r="T28" s="16">
        <v>3.2128499375890573</v>
      </c>
      <c r="U28" s="16">
        <v>3.0074249476677428</v>
      </c>
      <c r="V28" s="16">
        <v>2.7400168843081474</v>
      </c>
      <c r="W28" s="16">
        <v>6.3247034261114701</v>
      </c>
      <c r="X28" s="16">
        <v>4.161755029521915</v>
      </c>
      <c r="Y28" s="16">
        <v>3.0172297777496149</v>
      </c>
      <c r="Z28" s="16">
        <v>3.4532798787934298</v>
      </c>
      <c r="AA28" s="16">
        <v>3.5253761149861575</v>
      </c>
      <c r="AB28" s="67">
        <v>3.4714203954692562</v>
      </c>
      <c r="AC28" s="3"/>
    </row>
    <row r="29" spans="2:29" x14ac:dyDescent="0.3">
      <c r="B29" s="66" t="s">
        <v>477</v>
      </c>
      <c r="C29" s="16">
        <v>8.1921981896841558</v>
      </c>
      <c r="D29" s="16">
        <v>8.6012289065255949</v>
      </c>
      <c r="E29" s="16">
        <v>9.8604536172221788</v>
      </c>
      <c r="F29" s="16">
        <v>10.421397548916724</v>
      </c>
      <c r="G29" s="16">
        <v>9.8894457531631925</v>
      </c>
      <c r="H29" s="16">
        <v>8.3722570429529384</v>
      </c>
      <c r="I29" s="16">
        <v>7.5531775650812181</v>
      </c>
      <c r="J29" s="16">
        <v>8.1056748117884467</v>
      </c>
      <c r="K29" s="16">
        <v>9.8480827367208903</v>
      </c>
      <c r="L29" s="16">
        <v>14.531534224645249</v>
      </c>
      <c r="M29" s="16">
        <v>15.791990953804849</v>
      </c>
      <c r="N29" s="16">
        <v>14.847155376037849</v>
      </c>
      <c r="O29" s="16">
        <v>13.213509488761675</v>
      </c>
      <c r="P29" s="16">
        <v>11.849994898506276</v>
      </c>
      <c r="Q29" s="16">
        <v>10.536480270285574</v>
      </c>
      <c r="R29" s="16">
        <v>10.221949430301425</v>
      </c>
      <c r="S29" s="16">
        <v>10.429010233665499</v>
      </c>
      <c r="T29" s="16">
        <v>9.2492591263032153</v>
      </c>
      <c r="U29" s="16">
        <v>8.0940508879935305</v>
      </c>
      <c r="V29" s="16">
        <v>7.8133350274392495</v>
      </c>
      <c r="W29" s="16">
        <v>12.757309692593044</v>
      </c>
      <c r="X29" s="16">
        <v>9.948617598780281</v>
      </c>
      <c r="Y29" s="16">
        <v>7.0482120133535133</v>
      </c>
      <c r="Z29" s="16">
        <v>8.1573868421729259</v>
      </c>
      <c r="AA29" s="16">
        <v>8.6552602140552093</v>
      </c>
      <c r="AB29" s="67">
        <v>8.7167420040346055</v>
      </c>
      <c r="AC29" s="3"/>
    </row>
    <row r="30" spans="2:29" x14ac:dyDescent="0.3">
      <c r="B30" s="66" t="s">
        <v>287</v>
      </c>
      <c r="C30" s="16">
        <v>3.8145858115890925</v>
      </c>
      <c r="D30" s="16">
        <v>4.3887721867115177</v>
      </c>
      <c r="E30" s="16">
        <v>4.7568201876105025</v>
      </c>
      <c r="F30" s="16">
        <v>4.8082702903605226</v>
      </c>
      <c r="G30" s="16">
        <v>4.6523186223118103</v>
      </c>
      <c r="H30" s="16">
        <v>4.4301162142585877</v>
      </c>
      <c r="I30" s="16">
        <v>4.0707405050082848</v>
      </c>
      <c r="J30" s="16">
        <v>3.6090046740760227</v>
      </c>
      <c r="K30" s="16">
        <v>4.5356669340683551</v>
      </c>
      <c r="L30" s="16">
        <v>7.5179480459373398</v>
      </c>
      <c r="M30" s="16">
        <v>8.2280421367741177</v>
      </c>
      <c r="N30" s="16">
        <v>7.6092408570339405</v>
      </c>
      <c r="O30" s="16">
        <v>7.1428811977169397</v>
      </c>
      <c r="P30" s="16">
        <v>6.8101626571411122</v>
      </c>
      <c r="Q30" s="16">
        <v>5.9383902425765571</v>
      </c>
      <c r="R30" s="16">
        <v>5.20347815598143</v>
      </c>
      <c r="S30" s="16">
        <v>4.4618952584915927</v>
      </c>
      <c r="T30" s="16">
        <v>4.2440667541097721</v>
      </c>
      <c r="U30" s="16">
        <v>3.9287680331797024</v>
      </c>
      <c r="V30" s="16">
        <v>3.4575874040378802</v>
      </c>
      <c r="W30" s="16">
        <v>6.440167514168353</v>
      </c>
      <c r="X30" s="16">
        <v>5.0324205419810681</v>
      </c>
      <c r="Y30" s="16">
        <v>2.9872980651858874</v>
      </c>
      <c r="Z30" s="16">
        <v>2.2203205933999723</v>
      </c>
      <c r="AA30" s="16">
        <v>3.0527756084115723</v>
      </c>
      <c r="AB30" s="67">
        <v>3.2056940809386139</v>
      </c>
      <c r="AC30" s="3"/>
    </row>
    <row r="31" spans="2:29" x14ac:dyDescent="0.3">
      <c r="B31" s="66" t="s">
        <v>12</v>
      </c>
      <c r="C31" s="16">
        <v>3.6443209082584276</v>
      </c>
      <c r="D31" s="16">
        <v>4.0345958511047426</v>
      </c>
      <c r="E31" s="16">
        <v>4.6918027703352303</v>
      </c>
      <c r="F31" s="16">
        <v>6.0947489151946712</v>
      </c>
      <c r="G31" s="16">
        <v>5.5328966495132752</v>
      </c>
      <c r="H31" s="16">
        <v>5.1135277585850876</v>
      </c>
      <c r="I31" s="16">
        <v>5.1031197637517147</v>
      </c>
      <c r="J31" s="16">
        <v>5.1680792519576979</v>
      </c>
      <c r="K31" s="16">
        <v>5.6608101627631049</v>
      </c>
      <c r="L31" s="16">
        <v>8.4201582871146403</v>
      </c>
      <c r="M31" s="16">
        <v>8.7197189030552682</v>
      </c>
      <c r="N31" s="16">
        <v>8.150556732654211</v>
      </c>
      <c r="O31" s="16">
        <v>7.4873465165072073</v>
      </c>
      <c r="P31" s="16">
        <v>6.869268016176723</v>
      </c>
      <c r="Q31" s="16">
        <v>6.0512065144462497</v>
      </c>
      <c r="R31" s="16">
        <v>4.7593582888288726</v>
      </c>
      <c r="S31" s="16">
        <v>4.3254755052915526</v>
      </c>
      <c r="T31" s="16">
        <v>3.8487587059194301</v>
      </c>
      <c r="U31" s="16">
        <v>3.5749122054457523</v>
      </c>
      <c r="V31" s="16">
        <v>3.1527858110714697</v>
      </c>
      <c r="W31" s="16">
        <v>5.1318694213809977</v>
      </c>
      <c r="X31" s="16">
        <v>4.9767293617070223</v>
      </c>
      <c r="Y31" s="16">
        <v>3.0532875381574973</v>
      </c>
      <c r="Z31" s="16">
        <v>2.8104156346618026</v>
      </c>
      <c r="AA31" s="16">
        <v>3.3253105918560255</v>
      </c>
      <c r="AB31" s="67">
        <v>3.637052916291061</v>
      </c>
      <c r="AC31" s="3"/>
    </row>
    <row r="32" spans="2:29" x14ac:dyDescent="0.3">
      <c r="B32" s="66" t="s">
        <v>13</v>
      </c>
      <c r="C32" s="16">
        <v>3.4812993735127948</v>
      </c>
      <c r="D32" s="16">
        <v>3.9346855775025347</v>
      </c>
      <c r="E32" s="16">
        <v>4.6717830511323628</v>
      </c>
      <c r="F32" s="16">
        <v>5.2206550261961127</v>
      </c>
      <c r="G32" s="16">
        <v>4.9447321778323925</v>
      </c>
      <c r="H32" s="16">
        <v>4.8650869503464627</v>
      </c>
      <c r="I32" s="16">
        <v>4.9110590910420076</v>
      </c>
      <c r="J32" s="16">
        <v>4.7805002185854555</v>
      </c>
      <c r="K32" s="16">
        <v>5.7973273721450678</v>
      </c>
      <c r="L32" s="16">
        <v>8.4265520552202027</v>
      </c>
      <c r="M32" s="16">
        <v>9.7000666214691904</v>
      </c>
      <c r="N32" s="16">
        <v>9.0633903271520744</v>
      </c>
      <c r="O32" s="16">
        <v>8.3300631193318075</v>
      </c>
      <c r="P32" s="16">
        <v>8.1979500723143826</v>
      </c>
      <c r="Q32" s="16">
        <v>7.1884757586412924</v>
      </c>
      <c r="R32" s="16">
        <v>6.1069652049917647</v>
      </c>
      <c r="S32" s="16">
        <v>5.123587678318672</v>
      </c>
      <c r="T32" s="16">
        <v>4.8183391243997953</v>
      </c>
      <c r="U32" s="16">
        <v>4.4812027317572554</v>
      </c>
      <c r="V32" s="16">
        <v>4.0706968910959898</v>
      </c>
      <c r="W32" s="16">
        <v>10.744418383433922</v>
      </c>
      <c r="X32" s="16">
        <v>6.3259410707088053</v>
      </c>
      <c r="Y32" s="16">
        <v>4.6889112661749248</v>
      </c>
      <c r="Z32" s="16">
        <v>4.4465760339850346</v>
      </c>
      <c r="AA32" s="16">
        <v>4.8015608348303127</v>
      </c>
      <c r="AB32" s="67">
        <v>5.1486264295447404</v>
      </c>
      <c r="AC32" s="3"/>
    </row>
    <row r="33" spans="2:29" x14ac:dyDescent="0.3">
      <c r="B33" s="66" t="s">
        <v>14</v>
      </c>
      <c r="C33" s="16">
        <v>4.9429058523394724</v>
      </c>
      <c r="D33" s="16">
        <v>5.4291890876811877</v>
      </c>
      <c r="E33" s="16">
        <v>5.7713360207274373</v>
      </c>
      <c r="F33" s="16">
        <v>6.2801902619194472</v>
      </c>
      <c r="G33" s="16">
        <v>5.9883435008976704</v>
      </c>
      <c r="H33" s="16">
        <v>6.8491475610197528</v>
      </c>
      <c r="I33" s="16">
        <v>4.1931135449413128</v>
      </c>
      <c r="J33" s="16">
        <v>4.0332008860447202</v>
      </c>
      <c r="K33" s="16">
        <v>4.5572121793998992</v>
      </c>
      <c r="L33" s="16">
        <v>6.2984132508543844</v>
      </c>
      <c r="M33" s="16">
        <v>7.3241887264952599</v>
      </c>
      <c r="N33" s="16">
        <v>7.3053767740151025</v>
      </c>
      <c r="O33" s="16">
        <v>6.5231876142414027</v>
      </c>
      <c r="P33" s="16">
        <v>5.9830970170412199</v>
      </c>
      <c r="Q33" s="16">
        <v>5.7281612061902072</v>
      </c>
      <c r="R33" s="16">
        <v>5.4670562982210607</v>
      </c>
      <c r="S33" s="16">
        <v>5.4677997812741355</v>
      </c>
      <c r="T33" s="16">
        <v>4.6866658211318999</v>
      </c>
      <c r="U33" s="16">
        <v>4.5314930814892502</v>
      </c>
      <c r="V33" s="16">
        <v>4.4373967586396255</v>
      </c>
      <c r="W33" s="16">
        <v>8.1244528514975478</v>
      </c>
      <c r="X33" s="16">
        <v>5.2065782826688096</v>
      </c>
      <c r="Y33" s="16">
        <v>3.5077559465224901</v>
      </c>
      <c r="Z33" s="16">
        <v>3.5514006753789529</v>
      </c>
      <c r="AA33" s="16">
        <v>4.0741553504760546</v>
      </c>
      <c r="AB33" s="67">
        <v>4.2249866331204347</v>
      </c>
      <c r="AC33" s="3"/>
    </row>
    <row r="34" spans="2:29" x14ac:dyDescent="0.3">
      <c r="B34" s="66" t="s">
        <v>15</v>
      </c>
      <c r="C34" s="16">
        <v>4.2959848039460224</v>
      </c>
      <c r="D34" s="16">
        <v>5.3957157161699651</v>
      </c>
      <c r="E34" s="16">
        <v>6.04770638905</v>
      </c>
      <c r="F34" s="16">
        <v>7.0790738494961349</v>
      </c>
      <c r="G34" s="16">
        <v>6.7433008746833654</v>
      </c>
      <c r="H34" s="16">
        <v>6.6231297340590807</v>
      </c>
      <c r="I34" s="16">
        <v>7.0428186462387172</v>
      </c>
      <c r="J34" s="16">
        <v>6.9563395661558527</v>
      </c>
      <c r="K34" s="16">
        <v>7.4922700654076504</v>
      </c>
      <c r="L34" s="16">
        <v>11.883117662273776</v>
      </c>
      <c r="M34" s="16">
        <v>11.840408662469251</v>
      </c>
      <c r="N34" s="16">
        <v>9.5493452543460524</v>
      </c>
      <c r="O34" s="16">
        <v>8.3066529083453471</v>
      </c>
      <c r="P34" s="16">
        <v>7.8493510209047113</v>
      </c>
      <c r="Q34" s="16">
        <v>6.3146955964240803</v>
      </c>
      <c r="R34" s="16">
        <v>5.0787513482008526</v>
      </c>
      <c r="S34" s="16">
        <v>4.7789441357405575</v>
      </c>
      <c r="T34" s="16">
        <v>4.8320471692918501</v>
      </c>
      <c r="U34" s="16">
        <v>4.2502858960588625</v>
      </c>
      <c r="V34" s="16">
        <v>4.1818016576974255</v>
      </c>
      <c r="W34" s="16">
        <v>10.132640830419172</v>
      </c>
      <c r="X34" s="16">
        <v>6.3878891710487551</v>
      </c>
      <c r="Y34" s="16">
        <v>4.7059701772847546</v>
      </c>
      <c r="Z34" s="16">
        <v>4.348440389133243</v>
      </c>
      <c r="AA34" s="16">
        <v>5.1975794780550704</v>
      </c>
      <c r="AB34" s="67">
        <v>5.994759828166365</v>
      </c>
      <c r="AC34" s="3"/>
    </row>
    <row r="35" spans="2:29" x14ac:dyDescent="0.3">
      <c r="B35" s="66" t="s">
        <v>16</v>
      </c>
      <c r="C35" s="16">
        <v>4.1967213388710451</v>
      </c>
      <c r="D35" s="16">
        <v>5.4485202332695497</v>
      </c>
      <c r="E35" s="16">
        <v>6.6256820539907277</v>
      </c>
      <c r="F35" s="16">
        <v>7.4959660935426324</v>
      </c>
      <c r="G35" s="16">
        <v>7.280006805451575</v>
      </c>
      <c r="H35" s="16">
        <v>7.0307073879836075</v>
      </c>
      <c r="I35" s="16">
        <v>7.0120001083682553</v>
      </c>
      <c r="J35" s="16">
        <v>6.8338948509723849</v>
      </c>
      <c r="K35" s="16">
        <v>7.6537150436254944</v>
      </c>
      <c r="L35" s="16">
        <v>12.068604291087025</v>
      </c>
      <c r="M35" s="16">
        <v>11.6857354558495</v>
      </c>
      <c r="N35" s="16">
        <v>9.5920084465147646</v>
      </c>
      <c r="O35" s="16">
        <v>8.6898696870958894</v>
      </c>
      <c r="P35" s="16">
        <v>8.6850221475822824</v>
      </c>
      <c r="Q35" s="16">
        <v>7.1728560415876652</v>
      </c>
      <c r="R35" s="16">
        <v>5.7610594097853278</v>
      </c>
      <c r="S35" s="16">
        <v>5.5252371756673355</v>
      </c>
      <c r="T35" s="16">
        <v>5.5357596804153575</v>
      </c>
      <c r="U35" s="16">
        <v>4.8931836510287878</v>
      </c>
      <c r="V35" s="16">
        <v>4.7848123239985876</v>
      </c>
      <c r="W35" s="16">
        <v>9.7059693094890509</v>
      </c>
      <c r="X35" s="16">
        <v>5.9914730192029326</v>
      </c>
      <c r="Y35" s="16">
        <v>5.1303848630561699</v>
      </c>
      <c r="Z35" s="16">
        <v>4.9749969343993898</v>
      </c>
      <c r="AA35" s="16">
        <v>5.5379795888442471</v>
      </c>
      <c r="AB35" s="67">
        <v>6.4026280510937079</v>
      </c>
      <c r="AC35" s="3"/>
    </row>
    <row r="36" spans="2:29" x14ac:dyDescent="0.3">
      <c r="B36" s="66" t="s">
        <v>288</v>
      </c>
      <c r="C36" s="16">
        <v>6.5346079567899498</v>
      </c>
      <c r="D36" s="16">
        <v>7.1758476857795506</v>
      </c>
      <c r="E36" s="16">
        <v>7.9302702687154154</v>
      </c>
      <c r="F36" s="16">
        <v>8.7126721603846171</v>
      </c>
      <c r="G36" s="16">
        <v>8.1943695396182239</v>
      </c>
      <c r="H36" s="16">
        <v>7.7722147570180269</v>
      </c>
      <c r="I36" s="16">
        <v>5.9598891749578877</v>
      </c>
      <c r="J36" s="16">
        <v>5.3316965258434621</v>
      </c>
      <c r="K36" s="16">
        <v>6.406239691048297</v>
      </c>
      <c r="L36" s="16">
        <v>9.5013261748851683</v>
      </c>
      <c r="M36" s="16">
        <v>11.3204793659913</v>
      </c>
      <c r="N36" s="16">
        <v>11.547926265468199</v>
      </c>
      <c r="O36" s="16">
        <v>10.4981503980431</v>
      </c>
      <c r="P36" s="16">
        <v>10.437455692868244</v>
      </c>
      <c r="Q36" s="16">
        <v>8.0304212353581299</v>
      </c>
      <c r="R36" s="16">
        <v>6.6999739667720872</v>
      </c>
      <c r="S36" s="16">
        <v>6.5275393246275222</v>
      </c>
      <c r="T36" s="16">
        <v>6.8334684962035031</v>
      </c>
      <c r="U36" s="16">
        <v>5.8215071893654375</v>
      </c>
      <c r="V36" s="16">
        <v>5.2348391311355851</v>
      </c>
      <c r="W36" s="16">
        <v>10.750935811497204</v>
      </c>
      <c r="X36" s="16">
        <v>8.7864564496881865</v>
      </c>
      <c r="Y36" s="16">
        <v>5.6526186378502654</v>
      </c>
      <c r="Z36" s="16">
        <v>5.5346155554829348</v>
      </c>
      <c r="AA36" s="16">
        <v>5.4000793421696942</v>
      </c>
      <c r="AB36" s="67">
        <v>5.1981755935079885</v>
      </c>
      <c r="AC36" s="3"/>
    </row>
    <row r="37" spans="2:29" x14ac:dyDescent="0.3">
      <c r="B37" s="66" t="s">
        <v>289</v>
      </c>
      <c r="C37" s="16">
        <v>6.5856809320760581</v>
      </c>
      <c r="D37" s="16">
        <v>5.6557775198120206</v>
      </c>
      <c r="E37" s="16">
        <v>6.5356613839471605</v>
      </c>
      <c r="F37" s="16">
        <v>6.892196150597095</v>
      </c>
      <c r="G37" s="16">
        <v>5.6412522826905409</v>
      </c>
      <c r="H37" s="16">
        <v>5.0598598428553618</v>
      </c>
      <c r="I37" s="16">
        <v>4.7667235018573653</v>
      </c>
      <c r="J37" s="16">
        <v>4.6862298963436997</v>
      </c>
      <c r="K37" s="16">
        <v>4.3638646848043177</v>
      </c>
      <c r="L37" s="16">
        <v>7.8579770681660754</v>
      </c>
      <c r="M37" s="16">
        <v>8.5383559354422403</v>
      </c>
      <c r="N37" s="16">
        <v>7.479192050425552</v>
      </c>
      <c r="O37" s="16">
        <v>7.4508149789399667</v>
      </c>
      <c r="P37" s="16">
        <v>7.6577007026368822</v>
      </c>
      <c r="Q37" s="16">
        <v>7.4323156922255489</v>
      </c>
      <c r="R37" s="16">
        <v>7.5765937501753804</v>
      </c>
      <c r="S37" s="16">
        <v>7.3244793727235749</v>
      </c>
      <c r="T37" s="16">
        <v>5.6393160582181157</v>
      </c>
      <c r="U37" s="16">
        <v>5.4444704722807771</v>
      </c>
      <c r="V37" s="16">
        <v>4.9696691934598398</v>
      </c>
      <c r="W37" s="16">
        <v>9.1951295981904675</v>
      </c>
      <c r="X37" s="16">
        <v>5.650362450663537</v>
      </c>
      <c r="Y37" s="16">
        <v>3.9426357973038026</v>
      </c>
      <c r="Z37" s="16">
        <v>3.8605340628565923</v>
      </c>
      <c r="AA37" s="16">
        <v>3.9992666598874052</v>
      </c>
      <c r="AB37" s="67">
        <v>3.9995912206071669</v>
      </c>
      <c r="AC37" s="3"/>
    </row>
    <row r="38" spans="2:29" x14ac:dyDescent="0.3">
      <c r="B38" s="66" t="s">
        <v>17</v>
      </c>
      <c r="C38" s="16">
        <v>5.5225594259736601</v>
      </c>
      <c r="D38" s="16">
        <v>6.5466085261256222</v>
      </c>
      <c r="E38" s="16">
        <v>6.7318871142726646</v>
      </c>
      <c r="F38" s="16">
        <v>6.857835729830942</v>
      </c>
      <c r="G38" s="16">
        <v>6.0647898957247577</v>
      </c>
      <c r="H38" s="16">
        <v>5.4808485260221147</v>
      </c>
      <c r="I38" s="16">
        <v>5.0585134214909129</v>
      </c>
      <c r="J38" s="16">
        <v>4.7776598547843072</v>
      </c>
      <c r="K38" s="16">
        <v>5.3062119754891652</v>
      </c>
      <c r="L38" s="16">
        <v>8.3093698907763418</v>
      </c>
      <c r="M38" s="16">
        <v>8.8372260763859245</v>
      </c>
      <c r="N38" s="16">
        <v>8.8252027225225778</v>
      </c>
      <c r="O38" s="16">
        <v>8.4045539619534217</v>
      </c>
      <c r="P38" s="16">
        <v>7.0987627338344605</v>
      </c>
      <c r="Q38" s="16">
        <v>6.3646547755636274</v>
      </c>
      <c r="R38" s="16">
        <v>5.9877589411534951</v>
      </c>
      <c r="S38" s="16">
        <v>5.7269132161993594</v>
      </c>
      <c r="T38" s="16">
        <v>4.8861266770286873</v>
      </c>
      <c r="U38" s="16">
        <v>4.8047042036902647</v>
      </c>
      <c r="V38" s="16">
        <v>5.0338194221764194</v>
      </c>
      <c r="W38" s="16">
        <v>8.9742297791945678</v>
      </c>
      <c r="X38" s="16">
        <v>5.4396429181514776</v>
      </c>
      <c r="Y38" s="16">
        <v>4.0680237408383322</v>
      </c>
      <c r="Z38" s="16">
        <v>4.0170180322859022</v>
      </c>
      <c r="AA38" s="16">
        <v>4.5428292695116097</v>
      </c>
      <c r="AB38" s="67">
        <v>4.3444517455875573</v>
      </c>
      <c r="AC38" s="3"/>
    </row>
    <row r="39" spans="2:29" x14ac:dyDescent="0.3">
      <c r="B39" s="66" t="s">
        <v>525</v>
      </c>
      <c r="C39" s="16">
        <v>5.6173812501435023</v>
      </c>
      <c r="D39" s="16">
        <v>6.6414396467298751</v>
      </c>
      <c r="E39" s="16">
        <v>7.7098489732430897</v>
      </c>
      <c r="F39" s="16">
        <v>7.7949333106503023</v>
      </c>
      <c r="G39" s="16">
        <v>6.9341087081636568</v>
      </c>
      <c r="H39" s="16">
        <v>5.9052539848159835</v>
      </c>
      <c r="I39" s="16">
        <v>4.9166475311966327</v>
      </c>
      <c r="J39" s="16">
        <v>5.2717586452185099</v>
      </c>
      <c r="K39" s="16">
        <v>8.2346009432045477</v>
      </c>
      <c r="L39" s="16">
        <v>14.378706409303176</v>
      </c>
      <c r="M39" s="16">
        <v>13.924607972054975</v>
      </c>
      <c r="N39" s="16">
        <v>12.448696828715375</v>
      </c>
      <c r="O39" s="16">
        <v>11.355425704302448</v>
      </c>
      <c r="P39" s="16">
        <v>9.7015701505574974</v>
      </c>
      <c r="Q39" s="16">
        <v>7.8847369370128426</v>
      </c>
      <c r="R39" s="16">
        <v>6.0707627263488551</v>
      </c>
      <c r="S39" s="16">
        <v>5.0441285423086004</v>
      </c>
      <c r="T39" s="16">
        <v>4.3894426666796003</v>
      </c>
      <c r="U39" s="16">
        <v>4.2701089244802244</v>
      </c>
      <c r="V39" s="16">
        <v>4.032915044820335</v>
      </c>
      <c r="W39" s="16">
        <v>7.9280042796991737</v>
      </c>
      <c r="X39" s="16">
        <v>5.3894259795061528</v>
      </c>
      <c r="Y39" s="16">
        <v>4.0933523594592298</v>
      </c>
      <c r="Z39" s="16">
        <v>3.9171879327832153</v>
      </c>
      <c r="AA39" s="16">
        <v>4.2372696470518925</v>
      </c>
      <c r="AB39" s="67">
        <v>4.4598061793989912</v>
      </c>
      <c r="AC39" s="3"/>
    </row>
    <row r="40" spans="2:29" x14ac:dyDescent="0.3">
      <c r="B40" s="66" t="s">
        <v>18</v>
      </c>
      <c r="C40" s="16">
        <v>4.1775913033899421</v>
      </c>
      <c r="D40" s="16">
        <v>3.7275409646126549</v>
      </c>
      <c r="E40" s="16">
        <v>3.7119496856292771</v>
      </c>
      <c r="F40" s="16">
        <v>3.731032549512705</v>
      </c>
      <c r="G40" s="16">
        <v>3.6527082677858727</v>
      </c>
      <c r="H40" s="16">
        <v>3.3420628002690922</v>
      </c>
      <c r="I40" s="16">
        <v>2.778503697323305</v>
      </c>
      <c r="J40" s="16">
        <v>2.60441407379898</v>
      </c>
      <c r="K40" s="16">
        <v>3.5716406189062848</v>
      </c>
      <c r="L40" s="16">
        <v>5.2469538153505448</v>
      </c>
      <c r="M40" s="16">
        <v>5.7694593978639901</v>
      </c>
      <c r="N40" s="16">
        <v>5.2033915329695084</v>
      </c>
      <c r="O40" s="16">
        <v>4.4449231506107081</v>
      </c>
      <c r="P40" s="16">
        <v>4.2416294873684919</v>
      </c>
      <c r="Q40" s="16">
        <v>3.7145561770591398</v>
      </c>
      <c r="R40" s="16">
        <v>3.4389941288414798</v>
      </c>
      <c r="S40" s="16">
        <v>3.7681018845952252</v>
      </c>
      <c r="T40" s="16">
        <v>3.5792289113945923</v>
      </c>
      <c r="U40" s="16">
        <v>3.347463322699765</v>
      </c>
      <c r="V40" s="16">
        <v>3.2195887826940526</v>
      </c>
      <c r="W40" s="16">
        <v>5.3857016579128851</v>
      </c>
      <c r="X40" s="16">
        <v>3.1492845987875175</v>
      </c>
      <c r="Y40" s="16">
        <v>2.3972766194832875</v>
      </c>
      <c r="Z40" s="16">
        <v>2.4205316164946122</v>
      </c>
      <c r="AA40" s="16">
        <v>2.8130877057599273</v>
      </c>
      <c r="AB40" s="67">
        <v>2.8024921151893536</v>
      </c>
      <c r="AC40" s="3"/>
    </row>
    <row r="41" spans="2:29" x14ac:dyDescent="0.3">
      <c r="B41" s="66" t="s">
        <v>19</v>
      </c>
      <c r="C41" s="16">
        <v>3.5576071602266173</v>
      </c>
      <c r="D41" s="16">
        <v>4.2178534931513578</v>
      </c>
      <c r="E41" s="16">
        <v>5.7902677603736974</v>
      </c>
      <c r="F41" s="16">
        <v>5.8372668090625828</v>
      </c>
      <c r="G41" s="16">
        <v>5.4468906895033768</v>
      </c>
      <c r="H41" s="16">
        <v>4.8658562489797834</v>
      </c>
      <c r="I41" s="16">
        <v>4.5406062105952802</v>
      </c>
      <c r="J41" s="16">
        <v>4.3990558191188329</v>
      </c>
      <c r="K41" s="16">
        <v>5.4737823251435618</v>
      </c>
      <c r="L41" s="16">
        <v>8.2844181640243129</v>
      </c>
      <c r="M41" s="16">
        <v>8.7298017387638502</v>
      </c>
      <c r="N41" s="16">
        <v>8.4777123754856945</v>
      </c>
      <c r="O41" s="16">
        <v>8.6665773038515521</v>
      </c>
      <c r="P41" s="16">
        <v>7.8186841568556975</v>
      </c>
      <c r="Q41" s="16">
        <v>6.5578735388706075</v>
      </c>
      <c r="R41" s="16">
        <v>5.8875319439959428</v>
      </c>
      <c r="S41" s="16">
        <v>5.3735731911964848</v>
      </c>
      <c r="T41" s="16">
        <v>5.3548856189493295</v>
      </c>
      <c r="U41" s="16">
        <v>4.6450717932068297</v>
      </c>
      <c r="V41" s="16">
        <v>4.3356597139318049</v>
      </c>
      <c r="W41" s="16">
        <v>8.0499509774378577</v>
      </c>
      <c r="X41" s="16">
        <v>5.0238560824670175</v>
      </c>
      <c r="Y41" s="16">
        <v>3.6574523469675624</v>
      </c>
      <c r="Z41" s="16">
        <v>3.6158226966159104</v>
      </c>
      <c r="AA41" s="16">
        <v>3.9044641255082624</v>
      </c>
      <c r="AB41" s="67">
        <v>3.9341411316603243</v>
      </c>
      <c r="AC41" s="3"/>
    </row>
    <row r="42" spans="2:29" x14ac:dyDescent="0.3">
      <c r="B42" s="66" t="s">
        <v>478</v>
      </c>
      <c r="C42" s="16">
        <v>3.939605790047255</v>
      </c>
      <c r="D42" s="16">
        <v>4.2156011479743123</v>
      </c>
      <c r="E42" s="16">
        <v>5.0068184485635197</v>
      </c>
      <c r="F42" s="16">
        <v>5.1236893234774277</v>
      </c>
      <c r="G42" s="16">
        <v>4.8552118063718179</v>
      </c>
      <c r="H42" s="16">
        <v>4.0830727894839471</v>
      </c>
      <c r="I42" s="16">
        <v>3.7150492951583454</v>
      </c>
      <c r="J42" s="16">
        <v>3.652039940294407</v>
      </c>
      <c r="K42" s="16">
        <v>5.2717655570180799</v>
      </c>
      <c r="L42" s="16">
        <v>9.0500583521390894</v>
      </c>
      <c r="M42" s="16">
        <v>9.6411011560369069</v>
      </c>
      <c r="N42" s="16">
        <v>8.6828951734300333</v>
      </c>
      <c r="O42" s="16">
        <v>7.1815412356852875</v>
      </c>
      <c r="P42" s="16">
        <v>6.422038632961538</v>
      </c>
      <c r="Q42" s="16">
        <v>5.9563661438771494</v>
      </c>
      <c r="R42" s="16">
        <v>5.4753011254264159</v>
      </c>
      <c r="S42" s="16">
        <v>5.4529543544744996</v>
      </c>
      <c r="T42" s="16">
        <v>4.1680599794803808</v>
      </c>
      <c r="U42" s="16">
        <v>3.5327829210072625</v>
      </c>
      <c r="V42" s="16">
        <v>2.8992824692690347</v>
      </c>
      <c r="W42" s="16">
        <v>5.979282516736907</v>
      </c>
      <c r="X42" s="16">
        <v>3.0935701839620373</v>
      </c>
      <c r="Y42" s="16">
        <v>2.3037779501428748</v>
      </c>
      <c r="Z42" s="16">
        <v>2.2579529453098925</v>
      </c>
      <c r="AA42" s="16">
        <v>2.8596406251417226</v>
      </c>
      <c r="AB42" s="67">
        <v>2.9788121525340809</v>
      </c>
      <c r="AC42" s="3"/>
    </row>
    <row r="43" spans="2:29" x14ac:dyDescent="0.3">
      <c r="B43" s="66" t="s">
        <v>20</v>
      </c>
      <c r="C43" s="16">
        <v>2.4947259284533576</v>
      </c>
      <c r="D43" s="16">
        <v>2.5252536842505928</v>
      </c>
      <c r="E43" s="16">
        <v>3.0400773883944625</v>
      </c>
      <c r="F43" s="16">
        <v>3.0568997260507724</v>
      </c>
      <c r="G43" s="16">
        <v>2.9851091416923876</v>
      </c>
      <c r="H43" s="16">
        <v>3.0028575446335077</v>
      </c>
      <c r="I43" s="16">
        <v>2.7609512598350752</v>
      </c>
      <c r="J43" s="16">
        <v>2.7805220786558822</v>
      </c>
      <c r="K43" s="16">
        <v>2.8973586935035121</v>
      </c>
      <c r="L43" s="16">
        <v>3.5306393601701922</v>
      </c>
      <c r="M43" s="16">
        <v>3.7541358224526498</v>
      </c>
      <c r="N43" s="16">
        <v>3.3430807537601974</v>
      </c>
      <c r="O43" s="16">
        <v>2.9379157918241123</v>
      </c>
      <c r="P43" s="16">
        <v>2.7212642562038551</v>
      </c>
      <c r="Q43" s="16">
        <v>2.6930579971102375</v>
      </c>
      <c r="R43" s="16">
        <v>2.5961732308514476</v>
      </c>
      <c r="S43" s="16">
        <v>2.6174764997983448</v>
      </c>
      <c r="T43" s="16">
        <v>2.4974342027490626</v>
      </c>
      <c r="U43" s="16">
        <v>2.4888888537550051</v>
      </c>
      <c r="V43" s="16">
        <v>2.2419557040965072</v>
      </c>
      <c r="W43" s="16">
        <v>4.2414277630339523</v>
      </c>
      <c r="X43" s="16">
        <v>2.725630893682955</v>
      </c>
      <c r="Y43" s="16">
        <v>2.012422294497255</v>
      </c>
      <c r="Z43" s="16">
        <v>2.0197811884352679</v>
      </c>
      <c r="AA43" s="16">
        <v>2.3271475047761703</v>
      </c>
      <c r="AB43" s="67">
        <v>2.3788600541558398</v>
      </c>
      <c r="AC43" s="3"/>
    </row>
    <row r="44" spans="2:29" x14ac:dyDescent="0.3">
      <c r="B44" s="66" t="s">
        <v>290</v>
      </c>
      <c r="C44" s="16">
        <v>3.3124411414680752</v>
      </c>
      <c r="D44" s="16">
        <v>4.4648613400186772</v>
      </c>
      <c r="E44" s="16">
        <v>4.8418646301065502</v>
      </c>
      <c r="F44" s="16">
        <v>4.6156621124255057</v>
      </c>
      <c r="G44" s="16">
        <v>4.4265174194353074</v>
      </c>
      <c r="H44" s="16">
        <v>3.9479042768996249</v>
      </c>
      <c r="I44" s="16">
        <v>3.4214727887354699</v>
      </c>
      <c r="J44" s="16">
        <v>3.9775536015302877</v>
      </c>
      <c r="K44" s="16">
        <v>4.97523794362617</v>
      </c>
      <c r="L44" s="16">
        <v>8.3153370497715748</v>
      </c>
      <c r="M44" s="16">
        <v>7.853692208959604</v>
      </c>
      <c r="N44" s="16">
        <v>6.7914814188019275</v>
      </c>
      <c r="O44" s="16">
        <v>6.2389618750406326</v>
      </c>
      <c r="P44" s="16">
        <v>6.0867943361849397</v>
      </c>
      <c r="Q44" s="16">
        <v>5.3124641793995808</v>
      </c>
      <c r="R44" s="16">
        <v>4.5345618135313899</v>
      </c>
      <c r="S44" s="16">
        <v>4.8268338320736026</v>
      </c>
      <c r="T44" s="16">
        <v>4.2803437333387082</v>
      </c>
      <c r="U44" s="16">
        <v>3.2312337001612197</v>
      </c>
      <c r="V44" s="16">
        <v>3.0404128452788255</v>
      </c>
      <c r="W44" s="16">
        <v>6.1264066533702994</v>
      </c>
      <c r="X44" s="16">
        <v>3.3912389600124548</v>
      </c>
      <c r="Y44" s="16">
        <v>2.8022124318155099</v>
      </c>
      <c r="Z44" s="16">
        <v>2.769199973197205</v>
      </c>
      <c r="AA44" s="16">
        <v>3.0795961092674746</v>
      </c>
      <c r="AB44" s="67">
        <v>3.9249190530939249</v>
      </c>
      <c r="AC44" s="3"/>
    </row>
    <row r="45" spans="2:29" x14ac:dyDescent="0.3">
      <c r="B45" s="66" t="s">
        <v>22</v>
      </c>
      <c r="C45" s="16">
        <v>3.1765345119951349</v>
      </c>
      <c r="D45" s="16">
        <v>3.2224706681136777</v>
      </c>
      <c r="E45" s="16">
        <v>3.6015879001431097</v>
      </c>
      <c r="F45" s="16">
        <v>4.042893940458252</v>
      </c>
      <c r="G45" s="16">
        <v>4.3223703588442444</v>
      </c>
      <c r="H45" s="16">
        <v>4.0264251156026294</v>
      </c>
      <c r="I45" s="16">
        <v>3.4386511046970076</v>
      </c>
      <c r="J45" s="16">
        <v>3.7689446918673006</v>
      </c>
      <c r="K45" s="16">
        <v>5.1180807587703372</v>
      </c>
      <c r="L45" s="16">
        <v>7.1060308375340693</v>
      </c>
      <c r="M45" s="16">
        <v>7.0851539074920025</v>
      </c>
      <c r="N45" s="16">
        <v>6.6225182022623406</v>
      </c>
      <c r="O45" s="16">
        <v>6.4165999007281131</v>
      </c>
      <c r="P45" s="16">
        <v>6.520260096801648</v>
      </c>
      <c r="Q45" s="16">
        <v>5.4336787335423624</v>
      </c>
      <c r="R45" s="16">
        <v>4.7414928680952473</v>
      </c>
      <c r="S45" s="16">
        <v>4.843711705117248</v>
      </c>
      <c r="T45" s="16">
        <v>3.9332407670620002</v>
      </c>
      <c r="U45" s="16">
        <v>4.0542828919477749</v>
      </c>
      <c r="V45" s="16">
        <v>3.477411250622735</v>
      </c>
      <c r="W45" s="16">
        <v>6.5027512660315931</v>
      </c>
      <c r="X45" s="16">
        <v>4.5045880992496246</v>
      </c>
      <c r="Y45" s="16">
        <v>3.5501949389519227</v>
      </c>
      <c r="Z45" s="16">
        <v>3.6882105610195874</v>
      </c>
      <c r="AA45" s="16">
        <v>3.8767647872022497</v>
      </c>
      <c r="AB45" s="67">
        <v>3.6086671463354367</v>
      </c>
      <c r="AC45" s="3"/>
    </row>
    <row r="46" spans="2:29" x14ac:dyDescent="0.3">
      <c r="B46" s="66" t="s">
        <v>21</v>
      </c>
      <c r="C46" s="16">
        <v>2.7259626023169696</v>
      </c>
      <c r="D46" s="16">
        <v>3.8311840484958974</v>
      </c>
      <c r="E46" s="16">
        <v>4.5258672946474352</v>
      </c>
      <c r="F46" s="16">
        <v>4.3630004849197128</v>
      </c>
      <c r="G46" s="16">
        <v>4.6230797554287069</v>
      </c>
      <c r="H46" s="16">
        <v>4.9852995301178753</v>
      </c>
      <c r="I46" s="16">
        <v>4.4317050930639477</v>
      </c>
      <c r="J46" s="16">
        <v>3.93904209131881</v>
      </c>
      <c r="K46" s="16">
        <v>4.8294421911117</v>
      </c>
      <c r="L46" s="16">
        <v>6.7854867816880979</v>
      </c>
      <c r="M46" s="16">
        <v>8.0748976902863951</v>
      </c>
      <c r="N46" s="16">
        <v>7.859626016142748</v>
      </c>
      <c r="O46" s="16">
        <v>7.619522283502465</v>
      </c>
      <c r="P46" s="16">
        <v>7.1092234506296492</v>
      </c>
      <c r="Q46" s="16">
        <v>6.0056926919914355</v>
      </c>
      <c r="R46" s="16">
        <v>5.0800860426896852</v>
      </c>
      <c r="S46" s="16">
        <v>4.326611810410963</v>
      </c>
      <c r="T46" s="16">
        <v>3.3745460320186798</v>
      </c>
      <c r="U46" s="16">
        <v>3.3132014037545199</v>
      </c>
      <c r="V46" s="16">
        <v>3.0559494490786525</v>
      </c>
      <c r="W46" s="16">
        <v>5.4615183836903052</v>
      </c>
      <c r="X46" s="16">
        <v>3.0528211952301629</v>
      </c>
      <c r="Y46" s="16">
        <v>2.6474193277817046</v>
      </c>
      <c r="Z46" s="16">
        <v>3.0443334761875698</v>
      </c>
      <c r="AA46" s="16">
        <v>3.8336372641547722</v>
      </c>
      <c r="AB46" s="67">
        <v>3.6574117123006729</v>
      </c>
      <c r="AC46" s="3"/>
    </row>
    <row r="47" spans="2:29" x14ac:dyDescent="0.3">
      <c r="B47" s="66" t="s">
        <v>23</v>
      </c>
      <c r="C47" s="16">
        <v>3.712763987964625</v>
      </c>
      <c r="D47" s="16">
        <v>4.3056742706539852</v>
      </c>
      <c r="E47" s="16">
        <v>5.277197379660155</v>
      </c>
      <c r="F47" s="16">
        <v>5.293456167674008</v>
      </c>
      <c r="G47" s="16">
        <v>4.5254455374241971</v>
      </c>
      <c r="H47" s="16">
        <v>3.6690326649450151</v>
      </c>
      <c r="I47" s="16">
        <v>3.0002582878877422</v>
      </c>
      <c r="J47" s="16">
        <v>2.8766560775088474</v>
      </c>
      <c r="K47" s="16">
        <v>5.2872660113661452</v>
      </c>
      <c r="L47" s="16">
        <v>9.8716146900366901</v>
      </c>
      <c r="M47" s="16">
        <v>9.3819153410484208</v>
      </c>
      <c r="N47" s="16">
        <v>8.4629161697355624</v>
      </c>
      <c r="O47" s="16">
        <v>7.3924778282532797</v>
      </c>
      <c r="P47" s="16">
        <v>6.7072383068028127</v>
      </c>
      <c r="Q47" s="16">
        <v>4.2890192103022446</v>
      </c>
      <c r="R47" s="16">
        <v>3.8256635586790777</v>
      </c>
      <c r="S47" s="16">
        <v>3.5055202103013303</v>
      </c>
      <c r="T47" s="16">
        <v>3.0105501652415474</v>
      </c>
      <c r="U47" s="16">
        <v>2.6598468441581877</v>
      </c>
      <c r="V47" s="16">
        <v>2.6507863234819</v>
      </c>
      <c r="W47" s="16">
        <v>5.6124218487097206</v>
      </c>
      <c r="X47" s="16">
        <v>3.4169112162282196</v>
      </c>
      <c r="Y47" s="16">
        <v>2.618775378174675</v>
      </c>
      <c r="Z47" s="16">
        <v>2.9960615122523251</v>
      </c>
      <c r="AA47" s="16">
        <v>3.4889500657040049</v>
      </c>
      <c r="AB47" s="67">
        <v>3.5145082193188841</v>
      </c>
      <c r="AC47" s="3"/>
    </row>
    <row r="48" spans="2:29" x14ac:dyDescent="0.3">
      <c r="B48" s="66" t="s">
        <v>291</v>
      </c>
      <c r="C48" s="16">
        <v>2.6229160798696372</v>
      </c>
      <c r="D48" s="16">
        <v>3.6566551800361253</v>
      </c>
      <c r="E48" s="16">
        <v>5.1835114875911419</v>
      </c>
      <c r="F48" s="16">
        <v>5.5914017896457517</v>
      </c>
      <c r="G48" s="16">
        <v>4.8624177222048397</v>
      </c>
      <c r="H48" s="16">
        <v>4.4702298896761956</v>
      </c>
      <c r="I48" s="16">
        <v>4.35188431001525</v>
      </c>
      <c r="J48" s="16">
        <v>4.1087062506984156</v>
      </c>
      <c r="K48" s="16">
        <v>4.8340218389861773</v>
      </c>
      <c r="L48" s="16">
        <v>7.4846202762029446</v>
      </c>
      <c r="M48" s="16">
        <v>7.3504030801999773</v>
      </c>
      <c r="N48" s="16">
        <v>6.5053768999910853</v>
      </c>
      <c r="O48" s="16">
        <v>6.0516596745924067</v>
      </c>
      <c r="P48" s="16">
        <v>5.9948634915380055</v>
      </c>
      <c r="Q48" s="16">
        <v>5.1547522087770625</v>
      </c>
      <c r="R48" s="16">
        <v>4.2712190787100077</v>
      </c>
      <c r="S48" s="16">
        <v>3.5642607979798449</v>
      </c>
      <c r="T48" s="16">
        <v>3.4092186497312724</v>
      </c>
      <c r="U48" s="16">
        <v>3.0788829311537227</v>
      </c>
      <c r="V48" s="16">
        <v>2.699832052571185</v>
      </c>
      <c r="W48" s="16">
        <v>8.8171776943865048</v>
      </c>
      <c r="X48" s="16">
        <v>4.8236028055440556</v>
      </c>
      <c r="Y48" s="16">
        <v>3.2515208279878802</v>
      </c>
      <c r="Z48" s="16">
        <v>3.162578381181075</v>
      </c>
      <c r="AA48" s="16">
        <v>3.6824489252295254</v>
      </c>
      <c r="AB48" s="67">
        <v>4.1661810043607872</v>
      </c>
      <c r="AC48" s="3"/>
    </row>
    <row r="49" spans="2:29" x14ac:dyDescent="0.3">
      <c r="B49" s="66" t="s">
        <v>24</v>
      </c>
      <c r="C49" s="16">
        <v>2.3888316047413873</v>
      </c>
      <c r="D49" s="16">
        <v>3.6940137527152972</v>
      </c>
      <c r="E49" s="16">
        <v>5.799874852002147</v>
      </c>
      <c r="F49" s="16">
        <v>5.7498973751049629</v>
      </c>
      <c r="G49" s="16">
        <v>4.9008764055778276</v>
      </c>
      <c r="H49" s="16">
        <v>4.4288497487068801</v>
      </c>
      <c r="I49" s="16">
        <v>3.6807852190832797</v>
      </c>
      <c r="J49" s="16">
        <v>3.2260708887525871</v>
      </c>
      <c r="K49" s="16">
        <v>4.1657768251433298</v>
      </c>
      <c r="L49" s="16">
        <v>6.6954460194458898</v>
      </c>
      <c r="M49" s="16">
        <v>7.4023489776872022</v>
      </c>
      <c r="N49" s="16">
        <v>6.7581471848230077</v>
      </c>
      <c r="O49" s="16">
        <v>6.3272797927804278</v>
      </c>
      <c r="P49" s="16">
        <v>5.4009115472346449</v>
      </c>
      <c r="Q49" s="16">
        <v>4.0617348631693853</v>
      </c>
      <c r="R49" s="16">
        <v>3.0023831444136997</v>
      </c>
      <c r="S49" s="16">
        <v>2.6825392694179273</v>
      </c>
      <c r="T49" s="16">
        <v>2.3525940588594922</v>
      </c>
      <c r="U49" s="16">
        <v>2.7655532378477847</v>
      </c>
      <c r="V49" s="16">
        <v>2.3923398358743597</v>
      </c>
      <c r="W49" s="16">
        <v>5.9860650191593177</v>
      </c>
      <c r="X49" s="16">
        <v>4.6550074218199304</v>
      </c>
      <c r="Y49" s="16">
        <v>2.7048462581200772</v>
      </c>
      <c r="Z49" s="16">
        <v>3.1470151929819998</v>
      </c>
      <c r="AA49" s="16">
        <v>4.1869314313527655</v>
      </c>
      <c r="AB49" s="67">
        <v>4.5162442023926159</v>
      </c>
      <c r="AC49" s="3"/>
    </row>
    <row r="50" spans="2:29" x14ac:dyDescent="0.3">
      <c r="B50" s="66" t="s">
        <v>25</v>
      </c>
      <c r="C50" s="16">
        <v>3.8793590625456575</v>
      </c>
      <c r="D50" s="16">
        <v>5.0409404862801823</v>
      </c>
      <c r="E50" s="16">
        <v>5.7071436097301351</v>
      </c>
      <c r="F50" s="16">
        <v>6.1124745573847479</v>
      </c>
      <c r="G50" s="16">
        <v>5.1857977437008724</v>
      </c>
      <c r="H50" s="16">
        <v>5.4018294689864819</v>
      </c>
      <c r="I50" s="16">
        <v>5.4030737646782949</v>
      </c>
      <c r="J50" s="16">
        <v>4.7530105777510148</v>
      </c>
      <c r="K50" s="16">
        <v>5.9806406900173528</v>
      </c>
      <c r="L50" s="16">
        <v>11.264810111668126</v>
      </c>
      <c r="M50" s="16">
        <v>10.03926498541076</v>
      </c>
      <c r="N50" s="16">
        <v>8.7944109977525322</v>
      </c>
      <c r="O50" s="16">
        <v>7.4368415421238296</v>
      </c>
      <c r="P50" s="16">
        <v>7.2031774991896258</v>
      </c>
      <c r="Q50" s="16">
        <v>5.8843630897835446</v>
      </c>
      <c r="R50" s="16">
        <v>4.7097890073224447</v>
      </c>
      <c r="S50" s="16">
        <v>3.939292039567885</v>
      </c>
      <c r="T50" s="16">
        <v>3.9103787233468479</v>
      </c>
      <c r="U50" s="16">
        <v>3.5361555690027826</v>
      </c>
      <c r="V50" s="16">
        <v>3.6280783821080922</v>
      </c>
      <c r="W50" s="16">
        <v>6.0828985720698423</v>
      </c>
      <c r="X50" s="16">
        <v>3.9163528209109928</v>
      </c>
      <c r="Y50" s="16">
        <v>3.6736264886451049</v>
      </c>
      <c r="Z50" s="16">
        <v>4.0286896436658397</v>
      </c>
      <c r="AA50" s="16">
        <v>4.7334675761048004</v>
      </c>
      <c r="AB50" s="67">
        <v>4.7639499856288152</v>
      </c>
      <c r="AC50" s="3"/>
    </row>
    <row r="51" spans="2:29" x14ac:dyDescent="0.3">
      <c r="B51" s="66" t="s">
        <v>526</v>
      </c>
      <c r="C51" s="16">
        <v>3.6391026241384674</v>
      </c>
      <c r="D51" s="16">
        <v>3.4179878468478853</v>
      </c>
      <c r="E51" s="16">
        <v>3.4823508506454526</v>
      </c>
      <c r="F51" s="16">
        <v>3.617591662997325</v>
      </c>
      <c r="G51" s="16">
        <v>3.47747714084369</v>
      </c>
      <c r="H51" s="16">
        <v>2.9852347629074449</v>
      </c>
      <c r="I51" s="16">
        <v>2.357662855022487</v>
      </c>
      <c r="J51" s="16">
        <v>2.4964900219608026</v>
      </c>
      <c r="K51" s="16">
        <v>3.9333726504714748</v>
      </c>
      <c r="L51" s="16">
        <v>7.21693606130607</v>
      </c>
      <c r="M51" s="16">
        <v>6.6587982870783264</v>
      </c>
      <c r="N51" s="16">
        <v>5.7193698415100744</v>
      </c>
      <c r="O51" s="16">
        <v>4.9405250490134929</v>
      </c>
      <c r="P51" s="16">
        <v>4.0421848307370674</v>
      </c>
      <c r="Q51" s="16">
        <v>3.4689807699255928</v>
      </c>
      <c r="R51" s="16">
        <v>3.0760075727699951</v>
      </c>
      <c r="S51" s="16">
        <v>2.9682405590020324</v>
      </c>
      <c r="T51" s="16">
        <v>2.8709606881778278</v>
      </c>
      <c r="U51" s="16">
        <v>2.6059151124067221</v>
      </c>
      <c r="V51" s="16">
        <v>2.3723326523390202</v>
      </c>
      <c r="W51" s="16">
        <v>5.2149116154975568</v>
      </c>
      <c r="X51" s="16">
        <v>2.5528753831491802</v>
      </c>
      <c r="Y51" s="16">
        <v>1.9771374168427225</v>
      </c>
      <c r="Z51" s="16">
        <v>2.0793296069598273</v>
      </c>
      <c r="AA51" s="16">
        <v>2.2837224217289354</v>
      </c>
      <c r="AB51" s="67">
        <v>2.2487932288183772</v>
      </c>
      <c r="AC51" s="3"/>
    </row>
    <row r="52" spans="2:29" x14ac:dyDescent="0.3">
      <c r="B52" s="66" t="s">
        <v>479</v>
      </c>
      <c r="C52" s="16">
        <v>5.4303535993512675</v>
      </c>
      <c r="D52" s="16">
        <v>6.0500493523531151</v>
      </c>
      <c r="E52" s="16">
        <v>6.5544423205101925</v>
      </c>
      <c r="F52" s="16">
        <v>6.8215476076227297</v>
      </c>
      <c r="G52" s="16">
        <v>5.9816749096218071</v>
      </c>
      <c r="H52" s="16">
        <v>5.5557389096220078</v>
      </c>
      <c r="I52" s="16">
        <v>5.2072516626701599</v>
      </c>
      <c r="J52" s="16">
        <v>5.018019608059598</v>
      </c>
      <c r="K52" s="16">
        <v>5.3062732602267095</v>
      </c>
      <c r="L52" s="16">
        <v>7.5610700956128172</v>
      </c>
      <c r="M52" s="16">
        <v>8.0221607936483998</v>
      </c>
      <c r="N52" s="16">
        <v>8.2601661075226556</v>
      </c>
      <c r="O52" s="16">
        <v>8.1534996786128175</v>
      </c>
      <c r="P52" s="16">
        <v>6.8916047646927261</v>
      </c>
      <c r="Q52" s="16">
        <v>5.9405231904851146</v>
      </c>
      <c r="R52" s="16">
        <v>5.593348444273305</v>
      </c>
      <c r="S52" s="16">
        <v>5.7496059419016081</v>
      </c>
      <c r="T52" s="16">
        <v>5.044777244368353</v>
      </c>
      <c r="U52" s="16">
        <v>4.9611685605506226</v>
      </c>
      <c r="V52" s="16">
        <v>4.9071524795214545</v>
      </c>
      <c r="W52" s="16">
        <v>7.76066004668942</v>
      </c>
      <c r="X52" s="16">
        <v>4.9465667629347951</v>
      </c>
      <c r="Y52" s="16">
        <v>3.9941778657071776</v>
      </c>
      <c r="Z52" s="16">
        <v>4.0481849040634099</v>
      </c>
      <c r="AA52" s="16">
        <v>4.5180873791248324</v>
      </c>
      <c r="AB52" s="67">
        <v>4.2307274031325566</v>
      </c>
      <c r="AC52" s="3"/>
    </row>
    <row r="53" spans="2:29" x14ac:dyDescent="0.3">
      <c r="B53" s="66" t="s">
        <v>527</v>
      </c>
      <c r="C53" s="16">
        <v>1.90431646840201</v>
      </c>
      <c r="D53" s="16">
        <v>2.77223241113031</v>
      </c>
      <c r="E53" s="16">
        <v>4.0713127243146596</v>
      </c>
      <c r="F53" s="16">
        <v>4.9178307738060631</v>
      </c>
      <c r="G53" s="16">
        <v>4.5188673698486177</v>
      </c>
      <c r="H53" s="16">
        <v>4.3502397592751549</v>
      </c>
      <c r="I53" s="16">
        <v>3.8867263011559023</v>
      </c>
      <c r="J53" s="16">
        <v>3.9541394961199448</v>
      </c>
      <c r="K53" s="16">
        <v>5.0974303707324449</v>
      </c>
      <c r="L53" s="16">
        <v>7.7689297317908625</v>
      </c>
      <c r="M53" s="16">
        <v>8.7183889672012533</v>
      </c>
      <c r="N53" s="16">
        <v>8.3478386553157069</v>
      </c>
      <c r="O53" s="16">
        <v>7.7832418745463858</v>
      </c>
      <c r="P53" s="16">
        <v>7.3613806596363549</v>
      </c>
      <c r="Q53" s="16">
        <v>6.1602243592851398</v>
      </c>
      <c r="R53" s="16">
        <v>5.2404102237436474</v>
      </c>
      <c r="S53" s="16">
        <v>4.3601541958856025</v>
      </c>
      <c r="T53" s="16">
        <v>4.0168344675321981</v>
      </c>
      <c r="U53" s="16">
        <v>3.553503148094272</v>
      </c>
      <c r="V53" s="16">
        <v>3.2919538810194027</v>
      </c>
      <c r="W53" s="16">
        <v>7.6640875722455206</v>
      </c>
      <c r="X53" s="16">
        <v>6.0222682294355652</v>
      </c>
      <c r="Y53" s="16">
        <v>3.7912908859932273</v>
      </c>
      <c r="Z53" s="16">
        <v>3.0838131191796951</v>
      </c>
      <c r="AA53" s="16">
        <v>3.0600814983225124</v>
      </c>
      <c r="AB53" s="67">
        <v>3.3827994390229645</v>
      </c>
      <c r="AC53" s="3"/>
    </row>
    <row r="54" spans="2:29" x14ac:dyDescent="0.3">
      <c r="B54" s="66" t="s">
        <v>292</v>
      </c>
      <c r="C54" s="16">
        <v>7.0468064744226275</v>
      </c>
      <c r="D54" s="16">
        <v>7.8082591954761602</v>
      </c>
      <c r="E54" s="16">
        <v>9.0151584649495327</v>
      </c>
      <c r="F54" s="16">
        <v>9.6109433649254949</v>
      </c>
      <c r="G54" s="16">
        <v>8.7433636979989515</v>
      </c>
      <c r="H54" s="16">
        <v>7.7127776733775075</v>
      </c>
      <c r="I54" s="16">
        <v>6.668778145390152</v>
      </c>
      <c r="J54" s="16">
        <v>5.9637081077604224</v>
      </c>
      <c r="K54" s="16">
        <v>6.6747513212658056</v>
      </c>
      <c r="L54" s="16">
        <v>9.7405770924975119</v>
      </c>
      <c r="M54" s="16">
        <v>11.271916936749726</v>
      </c>
      <c r="N54" s="16">
        <v>11.880461795345575</v>
      </c>
      <c r="O54" s="16">
        <v>10.25767350358255</v>
      </c>
      <c r="P54" s="16">
        <v>10.05632881506379</v>
      </c>
      <c r="Q54" s="16">
        <v>8.4273538561761505</v>
      </c>
      <c r="R54" s="16">
        <v>7.1255023952155803</v>
      </c>
      <c r="S54" s="16">
        <v>7.0645552729038172</v>
      </c>
      <c r="T54" s="16">
        <v>6.83225833893969</v>
      </c>
      <c r="U54" s="16">
        <v>6.057583820760307</v>
      </c>
      <c r="V54" s="16">
        <v>5.3647828094463454</v>
      </c>
      <c r="W54" s="16">
        <v>9.9524160358370377</v>
      </c>
      <c r="X54" s="16">
        <v>7.8115213734968929</v>
      </c>
      <c r="Y54" s="16">
        <v>5.5926484933603673</v>
      </c>
      <c r="Z54" s="16">
        <v>5.3084554540435223</v>
      </c>
      <c r="AA54" s="16">
        <v>5.2323954265871624</v>
      </c>
      <c r="AB54" s="67">
        <v>6.2511306902174555</v>
      </c>
      <c r="AC54" s="3"/>
    </row>
    <row r="55" spans="2:29" x14ac:dyDescent="0.3">
      <c r="B55" s="66" t="s">
        <v>480</v>
      </c>
      <c r="C55" s="16">
        <v>3.6825224726550676</v>
      </c>
      <c r="D55" s="16">
        <v>3.8373844426251926</v>
      </c>
      <c r="E55" s="16">
        <v>4.3309937670876852</v>
      </c>
      <c r="F55" s="16">
        <v>4.2490844802315699</v>
      </c>
      <c r="G55" s="16">
        <v>4.2387854954152449</v>
      </c>
      <c r="H55" s="16">
        <v>4.6656800826269276</v>
      </c>
      <c r="I55" s="16">
        <v>4.0592265960904141</v>
      </c>
      <c r="J55" s="16">
        <v>3.7932725931178353</v>
      </c>
      <c r="K55" s="16">
        <v>5.4924050201165029</v>
      </c>
      <c r="L55" s="16">
        <v>8.9549774303070819</v>
      </c>
      <c r="M55" s="16">
        <v>10.323836296022275</v>
      </c>
      <c r="N55" s="16">
        <v>10.650117088229274</v>
      </c>
      <c r="O55" s="16">
        <v>9.7170624262909762</v>
      </c>
      <c r="P55" s="16">
        <v>8.7940818950352675</v>
      </c>
      <c r="Q55" s="16">
        <v>7.8055312856385397</v>
      </c>
      <c r="R55" s="16">
        <v>6.3914593812501099</v>
      </c>
      <c r="S55" s="16">
        <v>5.5983881969204896</v>
      </c>
      <c r="T55" s="16">
        <v>4.9152520193301577</v>
      </c>
      <c r="U55" s="16">
        <v>3.8330496503238072</v>
      </c>
      <c r="V55" s="16">
        <v>3.5877584899804402</v>
      </c>
      <c r="W55" s="16">
        <v>6.5347640039418486</v>
      </c>
      <c r="X55" s="16">
        <v>3.7421121229519025</v>
      </c>
      <c r="Y55" s="16">
        <v>3.0270980598778499</v>
      </c>
      <c r="Z55" s="16">
        <v>2.8955709703365251</v>
      </c>
      <c r="AA55" s="16">
        <v>3.1053030327288424</v>
      </c>
      <c r="AB55" s="67">
        <v>3.1027475655663186</v>
      </c>
      <c r="AC55" s="3"/>
    </row>
    <row r="56" spans="2:29" x14ac:dyDescent="0.3">
      <c r="B56" s="66" t="s">
        <v>481</v>
      </c>
      <c r="C56" s="16">
        <v>4.2502161388730375</v>
      </c>
      <c r="D56" s="16">
        <v>4.8224256121946629</v>
      </c>
      <c r="E56" s="16">
        <v>5.6345949355863851</v>
      </c>
      <c r="F56" s="16">
        <v>5.9694748863597997</v>
      </c>
      <c r="G56" s="16">
        <v>5.8741718923849193</v>
      </c>
      <c r="H56" s="16">
        <v>5.2719478230648242</v>
      </c>
      <c r="I56" s="16">
        <v>4.9908951382306901</v>
      </c>
      <c r="J56" s="16">
        <v>4.7144334458739259</v>
      </c>
      <c r="K56" s="16">
        <v>5.8594576669599121</v>
      </c>
      <c r="L56" s="16">
        <v>8.4785420560063294</v>
      </c>
      <c r="M56" s="16">
        <v>8.7288663463547138</v>
      </c>
      <c r="N56" s="16">
        <v>8.278346279074718</v>
      </c>
      <c r="O56" s="16">
        <v>8.6446465077363683</v>
      </c>
      <c r="P56" s="16">
        <v>7.803783211737306</v>
      </c>
      <c r="Q56" s="16">
        <v>6.3149666877528974</v>
      </c>
      <c r="R56" s="16">
        <v>5.4965861769184423</v>
      </c>
      <c r="S56" s="16">
        <v>5.0312457760889027</v>
      </c>
      <c r="T56" s="16">
        <v>5.188494955196945</v>
      </c>
      <c r="U56" s="16">
        <v>4.3933132068321523</v>
      </c>
      <c r="V56" s="16">
        <v>4.1010907923469873</v>
      </c>
      <c r="W56" s="16">
        <v>9.0946286737071595</v>
      </c>
      <c r="X56" s="16">
        <v>5.3584813984426543</v>
      </c>
      <c r="Y56" s="16">
        <v>3.5689590683016879</v>
      </c>
      <c r="Z56" s="16">
        <v>3.5889946417625374</v>
      </c>
      <c r="AA56" s="16">
        <v>3.9162061709258529</v>
      </c>
      <c r="AB56" s="67">
        <v>3.9289596374972007</v>
      </c>
      <c r="AC56" s="3"/>
    </row>
    <row r="57" spans="2:29" x14ac:dyDescent="0.3">
      <c r="B57" s="66" t="s">
        <v>26</v>
      </c>
      <c r="C57" s="16">
        <v>3.1789609907850553</v>
      </c>
      <c r="D57" s="16">
        <v>5.4783474925892781</v>
      </c>
      <c r="E57" s="16">
        <v>7.0728181710665972</v>
      </c>
      <c r="F57" s="16">
        <v>7.0171907354812078</v>
      </c>
      <c r="G57" s="16">
        <v>6.1877938009110451</v>
      </c>
      <c r="H57" s="16">
        <v>5.9668700456001149</v>
      </c>
      <c r="I57" s="16">
        <v>5.4413827657869875</v>
      </c>
      <c r="J57" s="16">
        <v>5.0701357779267981</v>
      </c>
      <c r="K57" s="16">
        <v>6.1762988355654382</v>
      </c>
      <c r="L57" s="16">
        <v>11.926775637977151</v>
      </c>
      <c r="M57" s="16">
        <v>10.823146826703676</v>
      </c>
      <c r="N57" s="16">
        <v>9.7293481823517123</v>
      </c>
      <c r="O57" s="16">
        <v>8.8152077955436496</v>
      </c>
      <c r="P57" s="16">
        <v>7.0637170443764301</v>
      </c>
      <c r="Q57" s="16">
        <v>5.5031185137202154</v>
      </c>
      <c r="R57" s="16">
        <v>5.2943433608112045</v>
      </c>
      <c r="S57" s="16">
        <v>4.8266132292301824</v>
      </c>
      <c r="T57" s="16">
        <v>4.3442023251708282</v>
      </c>
      <c r="U57" s="16">
        <v>3.8614668846756253</v>
      </c>
      <c r="V57" s="16">
        <v>3.825050955186617</v>
      </c>
      <c r="W57" s="16">
        <v>7.2632400357269731</v>
      </c>
      <c r="X57" s="16">
        <v>4.928811008004228</v>
      </c>
      <c r="Y57" s="16">
        <v>3.7735963241181576</v>
      </c>
      <c r="Z57" s="16">
        <v>3.485214599521405</v>
      </c>
      <c r="AA57" s="16">
        <v>3.5797982769921379</v>
      </c>
      <c r="AB57" s="67">
        <v>3.6234836640686781</v>
      </c>
      <c r="AC57" s="3"/>
    </row>
    <row r="58" spans="2:29" x14ac:dyDescent="0.3">
      <c r="B58" s="66" t="s">
        <v>293</v>
      </c>
      <c r="C58" s="16">
        <v>2.4501923593492876</v>
      </c>
      <c r="D58" s="16">
        <v>2.9459050897498051</v>
      </c>
      <c r="E58" s="16">
        <v>3.6660893748463002</v>
      </c>
      <c r="F58" s="16">
        <v>4.1141960196564851</v>
      </c>
      <c r="G58" s="16">
        <v>3.3979738510092297</v>
      </c>
      <c r="H58" s="16">
        <v>3.3131057034802471</v>
      </c>
      <c r="I58" s="16">
        <v>3.5311264649153449</v>
      </c>
      <c r="J58" s="16">
        <v>3.5336178940763072</v>
      </c>
      <c r="K58" s="16">
        <v>4.0652702218874301</v>
      </c>
      <c r="L58" s="16">
        <v>5.8165236439594628</v>
      </c>
      <c r="M58" s="16">
        <v>5.1652271196903898</v>
      </c>
      <c r="N58" s="16">
        <v>4.421490058536067</v>
      </c>
      <c r="O58" s="16">
        <v>3.8561520977252477</v>
      </c>
      <c r="P58" s="16">
        <v>3.6345210912314472</v>
      </c>
      <c r="Q58" s="16">
        <v>3.2373647708704678</v>
      </c>
      <c r="R58" s="16">
        <v>2.8553230851065399</v>
      </c>
      <c r="S58" s="16">
        <v>2.622060281245</v>
      </c>
      <c r="T58" s="16">
        <v>2.4982414797252277</v>
      </c>
      <c r="U58" s="16">
        <v>2.1078108958228476</v>
      </c>
      <c r="V58" s="16">
        <v>1.7599305727387025</v>
      </c>
      <c r="W58" s="16">
        <v>4.9241011702899922</v>
      </c>
      <c r="X58" s="16">
        <v>3.219474396056933</v>
      </c>
      <c r="Y58" s="16">
        <v>2.0180780904694071</v>
      </c>
      <c r="Z58" s="16">
        <v>1.6098843500200501</v>
      </c>
      <c r="AA58" s="16">
        <v>2.0077280226719125</v>
      </c>
      <c r="AB58" s="67">
        <v>2.2680276705682529</v>
      </c>
      <c r="AC58" s="3"/>
    </row>
    <row r="59" spans="2:29" x14ac:dyDescent="0.3">
      <c r="B59" s="66" t="s">
        <v>294</v>
      </c>
      <c r="C59" s="16">
        <v>4.4936953159686848</v>
      </c>
      <c r="D59" s="16">
        <v>4.5520771423117576</v>
      </c>
      <c r="E59" s="16">
        <v>6.2096388303465719</v>
      </c>
      <c r="F59" s="16">
        <v>7.0740632415063658</v>
      </c>
      <c r="G59" s="16">
        <v>6.9234749197227474</v>
      </c>
      <c r="H59" s="16">
        <v>6.593235501488012</v>
      </c>
      <c r="I59" s="16">
        <v>5.8753979857340157</v>
      </c>
      <c r="J59" s="16">
        <v>5.8670002239581827</v>
      </c>
      <c r="K59" s="16">
        <v>6.9798802903748696</v>
      </c>
      <c r="L59" s="16">
        <v>11.686775882434725</v>
      </c>
      <c r="M59" s="16">
        <v>11.213174825677198</v>
      </c>
      <c r="N59" s="16">
        <v>9.3397105579221407</v>
      </c>
      <c r="O59" s="16">
        <v>7.5317494692829694</v>
      </c>
      <c r="P59" s="16">
        <v>7.5152235799636955</v>
      </c>
      <c r="Q59" s="16">
        <v>5.8464182900412798</v>
      </c>
      <c r="R59" s="16">
        <v>5.3733686335090098</v>
      </c>
      <c r="S59" s="16">
        <v>5.6933267228563773</v>
      </c>
      <c r="T59" s="16">
        <v>5.3117111155194898</v>
      </c>
      <c r="U59" s="16">
        <v>4.9855065602299424</v>
      </c>
      <c r="V59" s="16">
        <v>4.6369444812305325</v>
      </c>
      <c r="W59" s="16">
        <v>8.308385232329119</v>
      </c>
      <c r="X59" s="16">
        <v>5.4734003307602928</v>
      </c>
      <c r="Y59" s="16">
        <v>4.1088298824331249</v>
      </c>
      <c r="Z59" s="16">
        <v>3.9106929294078698</v>
      </c>
      <c r="AA59" s="16">
        <v>4.5161437725636651</v>
      </c>
      <c r="AB59" s="67">
        <v>4.9809732840985177</v>
      </c>
      <c r="AC59" s="3"/>
    </row>
    <row r="60" spans="2:29" x14ac:dyDescent="0.3">
      <c r="B60" s="66" t="s">
        <v>295</v>
      </c>
      <c r="C60" s="16">
        <v>3.2719419295632446</v>
      </c>
      <c r="D60" s="16">
        <v>3.8725585947130026</v>
      </c>
      <c r="E60" s="16">
        <v>4.9780626131697323</v>
      </c>
      <c r="F60" s="16">
        <v>4.7834969570385004</v>
      </c>
      <c r="G60" s="16">
        <v>4.1069192538863248</v>
      </c>
      <c r="H60" s="16">
        <v>3.2447662197354847</v>
      </c>
      <c r="I60" s="16">
        <v>2.9702698416792854</v>
      </c>
      <c r="J60" s="16">
        <v>4.7104927307910129</v>
      </c>
      <c r="K60" s="16">
        <v>8.3623069200992255</v>
      </c>
      <c r="L60" s="16">
        <v>12.108112134806449</v>
      </c>
      <c r="M60" s="16">
        <v>12.531468521349126</v>
      </c>
      <c r="N60" s="16">
        <v>11.034370376475024</v>
      </c>
      <c r="O60" s="16">
        <v>9.1486086587991373</v>
      </c>
      <c r="P60" s="16">
        <v>7.6209560204701177</v>
      </c>
      <c r="Q60" s="16">
        <v>6.2916440283480046</v>
      </c>
      <c r="R60" s="16">
        <v>5.1785043397075698</v>
      </c>
      <c r="S60" s="16">
        <v>4.7441020831950924</v>
      </c>
      <c r="T60" s="16">
        <v>4.2147351173748175</v>
      </c>
      <c r="U60" s="16">
        <v>3.5625749775419573</v>
      </c>
      <c r="V60" s="16">
        <v>3.271264531602855</v>
      </c>
      <c r="W60" s="16">
        <v>7.8705540689344948</v>
      </c>
      <c r="X60" s="16">
        <v>4.4201892888506977</v>
      </c>
      <c r="Y60" s="16">
        <v>3.3919709759873027</v>
      </c>
      <c r="Z60" s="16">
        <v>3.2975025626248127</v>
      </c>
      <c r="AA60" s="16">
        <v>3.5455735987135251</v>
      </c>
      <c r="AB60" s="67">
        <v>3.941009132338515</v>
      </c>
      <c r="AC60" s="3"/>
    </row>
    <row r="61" spans="2:29" x14ac:dyDescent="0.3">
      <c r="B61" s="66" t="s">
        <v>296</v>
      </c>
      <c r="C61" s="16">
        <v>3.4206281963230047</v>
      </c>
      <c r="D61" s="16">
        <v>4.3624363226663752</v>
      </c>
      <c r="E61" s="16">
        <v>4.7860003369037196</v>
      </c>
      <c r="F61" s="16">
        <v>4.9248156048135723</v>
      </c>
      <c r="G61" s="16">
        <v>5.0644392925750976</v>
      </c>
      <c r="H61" s="16">
        <v>5.0021732539864949</v>
      </c>
      <c r="I61" s="16">
        <v>4.5965931674250529</v>
      </c>
      <c r="J61" s="16">
        <v>4.6853149307930941</v>
      </c>
      <c r="K61" s="16">
        <v>5.6626981594631802</v>
      </c>
      <c r="L61" s="16">
        <v>7.7817639654488815</v>
      </c>
      <c r="M61" s="16">
        <v>7.7917054921854305</v>
      </c>
      <c r="N61" s="16">
        <v>7.4516012670744942</v>
      </c>
      <c r="O61" s="16">
        <v>6.219306530056202</v>
      </c>
      <c r="P61" s="16">
        <v>6.3267932676325298</v>
      </c>
      <c r="Q61" s="16">
        <v>5.9010085799987202</v>
      </c>
      <c r="R61" s="16">
        <v>4.7593140237867146</v>
      </c>
      <c r="S61" s="16">
        <v>4.6501624396082404</v>
      </c>
      <c r="T61" s="16">
        <v>3.8058249119729424</v>
      </c>
      <c r="U61" s="16">
        <v>3.1146786440471299</v>
      </c>
      <c r="V61" s="16">
        <v>3.0928708794329851</v>
      </c>
      <c r="W61" s="16">
        <v>5.4525401807192679</v>
      </c>
      <c r="X61" s="16">
        <v>3.629308053842125</v>
      </c>
      <c r="Y61" s="16">
        <v>2.4848744629736625</v>
      </c>
      <c r="Z61" s="16">
        <v>2.8926603367350854</v>
      </c>
      <c r="AA61" s="16">
        <v>3.4548912622836756</v>
      </c>
      <c r="AB61" s="67">
        <v>3.6278511409213352</v>
      </c>
      <c r="AC61" s="3"/>
    </row>
    <row r="62" spans="2:29" x14ac:dyDescent="0.3">
      <c r="B62" s="66" t="s">
        <v>27</v>
      </c>
      <c r="C62" s="16">
        <v>3.4644580188070773</v>
      </c>
      <c r="D62" s="16">
        <v>4.9255774451352705</v>
      </c>
      <c r="E62" s="16">
        <v>5.676334305163345</v>
      </c>
      <c r="F62" s="16">
        <v>5.7205239740733846</v>
      </c>
      <c r="G62" s="16">
        <v>4.9790326113990622</v>
      </c>
      <c r="H62" s="16">
        <v>4.6641547362407803</v>
      </c>
      <c r="I62" s="16">
        <v>4.6808394170281149</v>
      </c>
      <c r="J62" s="16">
        <v>5.0911773168196799</v>
      </c>
      <c r="K62" s="16">
        <v>7.3076857816347252</v>
      </c>
      <c r="L62" s="16">
        <v>10.81216985358942</v>
      </c>
      <c r="M62" s="16">
        <v>13.140518125772726</v>
      </c>
      <c r="N62" s="16">
        <v>13.136343210756525</v>
      </c>
      <c r="O62" s="16">
        <v>12.0951929087314</v>
      </c>
      <c r="P62" s="16">
        <v>10.765255586183976</v>
      </c>
      <c r="Q62" s="16">
        <v>8.9387503299115103</v>
      </c>
      <c r="R62" s="16">
        <v>7.3335779184937726</v>
      </c>
      <c r="S62" s="16">
        <v>5.8181957773889703</v>
      </c>
      <c r="T62" s="16">
        <v>4.7053777268895676</v>
      </c>
      <c r="U62" s="16">
        <v>4.290766280428512</v>
      </c>
      <c r="V62" s="16">
        <v>3.8786125326129675</v>
      </c>
      <c r="W62" s="16">
        <v>8.1457007263863943</v>
      </c>
      <c r="X62" s="16">
        <v>4.2885673221174301</v>
      </c>
      <c r="Y62" s="16">
        <v>4.1703768436014874</v>
      </c>
      <c r="Z62" s="16">
        <v>4.3937525642779782</v>
      </c>
      <c r="AA62" s="16">
        <v>4.682842550664815</v>
      </c>
      <c r="AB62" s="67">
        <v>4.5499894619574652</v>
      </c>
      <c r="AC62" s="3"/>
    </row>
    <row r="63" spans="2:29" x14ac:dyDescent="0.3">
      <c r="B63" s="66" t="s">
        <v>28</v>
      </c>
      <c r="C63" s="16">
        <v>3.8826406294610671</v>
      </c>
      <c r="D63" s="16">
        <v>3.7683839630896871</v>
      </c>
      <c r="E63" s="16">
        <v>4.0772563257120602</v>
      </c>
      <c r="F63" s="16">
        <v>4.400846455088713</v>
      </c>
      <c r="G63" s="16">
        <v>3.6841970296701754</v>
      </c>
      <c r="H63" s="16">
        <v>3.4382378643119922</v>
      </c>
      <c r="I63" s="16">
        <v>2.8964919116827348</v>
      </c>
      <c r="J63" s="16">
        <v>2.5304882300729523</v>
      </c>
      <c r="K63" s="16">
        <v>2.7552305557186725</v>
      </c>
      <c r="L63" s="16">
        <v>6.5408802180588728</v>
      </c>
      <c r="M63" s="16">
        <v>7.4413566270101423</v>
      </c>
      <c r="N63" s="16">
        <v>6.3698468473071879</v>
      </c>
      <c r="O63" s="16">
        <v>5.1914329253177307</v>
      </c>
      <c r="P63" s="16">
        <v>4.5515204662707198</v>
      </c>
      <c r="Q63" s="16">
        <v>4.2521796733634147</v>
      </c>
      <c r="R63" s="16">
        <v>4.8782669898667974</v>
      </c>
      <c r="S63" s="16">
        <v>6.6592824922128724</v>
      </c>
      <c r="T63" s="16">
        <v>5.1075568025907145</v>
      </c>
      <c r="U63" s="16">
        <v>4.4293068312193551</v>
      </c>
      <c r="V63" s="16">
        <v>3.7458975011980247</v>
      </c>
      <c r="W63" s="16">
        <v>7.4792839240371034</v>
      </c>
      <c r="X63" s="16">
        <v>5.6956692124014507</v>
      </c>
      <c r="Y63" s="16">
        <v>3.6969417303669725</v>
      </c>
      <c r="Z63" s="16">
        <v>2.9888587122128074</v>
      </c>
      <c r="AA63" s="16">
        <v>3.267153577584045</v>
      </c>
      <c r="AB63" s="67">
        <v>3.3909211563311215</v>
      </c>
      <c r="AC63" s="3"/>
    </row>
    <row r="64" spans="2:29" x14ac:dyDescent="0.3">
      <c r="B64" s="66" t="s">
        <v>29</v>
      </c>
      <c r="C64" s="16">
        <v>2.3192521264234776</v>
      </c>
      <c r="D64" s="16">
        <v>3.1919824719186227</v>
      </c>
      <c r="E64" s="16">
        <v>4.4887376579257099</v>
      </c>
      <c r="F64" s="16">
        <v>4.8278154018157373</v>
      </c>
      <c r="G64" s="16">
        <v>4.6874009523746825</v>
      </c>
      <c r="H64" s="16">
        <v>4.3865383488356855</v>
      </c>
      <c r="I64" s="16">
        <v>3.6931196986237125</v>
      </c>
      <c r="J64" s="16">
        <v>3.7397552189471228</v>
      </c>
      <c r="K64" s="16">
        <v>4.05293272050036</v>
      </c>
      <c r="L64" s="16">
        <v>6.2292274321550147</v>
      </c>
      <c r="M64" s="16">
        <v>6.0949884885068748</v>
      </c>
      <c r="N64" s="16">
        <v>5.744528614110525</v>
      </c>
      <c r="O64" s="16">
        <v>5.2103288799068652</v>
      </c>
      <c r="P64" s="16">
        <v>5.0289073216839597</v>
      </c>
      <c r="Q64" s="16">
        <v>4.4692532091906507</v>
      </c>
      <c r="R64" s="16">
        <v>3.8032658859049104</v>
      </c>
      <c r="S64" s="16">
        <v>3.5693463154156024</v>
      </c>
      <c r="T64" s="16">
        <v>3.2239361901864174</v>
      </c>
      <c r="U64" s="16">
        <v>2.7457801018930024</v>
      </c>
      <c r="V64" s="16">
        <v>2.7367623309959823</v>
      </c>
      <c r="W64" s="16">
        <v>5.8988541668458518</v>
      </c>
      <c r="X64" s="16">
        <v>4.3069393894937349</v>
      </c>
      <c r="Y64" s="16">
        <v>3.026505726495885</v>
      </c>
      <c r="Z64" s="16">
        <v>3.2932967080881199</v>
      </c>
      <c r="AA64" s="16">
        <v>3.3420729601999324</v>
      </c>
      <c r="AB64" s="67">
        <v>3.8017380268304191</v>
      </c>
      <c r="AC64" s="3"/>
    </row>
    <row r="65" spans="2:29" x14ac:dyDescent="0.3">
      <c r="B65" s="66" t="s">
        <v>482</v>
      </c>
      <c r="C65" s="16">
        <v>3.7859490375569376</v>
      </c>
      <c r="D65" s="16">
        <v>4.5996505206580771</v>
      </c>
      <c r="E65" s="16">
        <v>4.6693222908084175</v>
      </c>
      <c r="F65" s="16">
        <v>4.3502631799396179</v>
      </c>
      <c r="G65" s="16">
        <v>3.661061785309025</v>
      </c>
      <c r="H65" s="16">
        <v>3.4533399028275951</v>
      </c>
      <c r="I65" s="16">
        <v>3.3910342514709324</v>
      </c>
      <c r="J65" s="16">
        <v>3.553575374544125</v>
      </c>
      <c r="K65" s="16">
        <v>4.371056221572255</v>
      </c>
      <c r="L65" s="16">
        <v>8.0588698534488401</v>
      </c>
      <c r="M65" s="16">
        <v>8.1952677808029026</v>
      </c>
      <c r="N65" s="16">
        <v>7.1304578426417695</v>
      </c>
      <c r="O65" s="16">
        <v>6.7916171934678156</v>
      </c>
      <c r="P65" s="16">
        <v>6.3298143441057526</v>
      </c>
      <c r="Q65" s="16">
        <v>5.5342680669088704</v>
      </c>
      <c r="R65" s="16">
        <v>5.0590894900684127</v>
      </c>
      <c r="S65" s="16">
        <v>5.1413666755836074</v>
      </c>
      <c r="T65" s="16">
        <v>4.5436291046472697</v>
      </c>
      <c r="U65" s="16">
        <v>3.8300356029058502</v>
      </c>
      <c r="V65" s="16">
        <v>3.7710076016492753</v>
      </c>
      <c r="W65" s="16">
        <v>7.4485220350888399</v>
      </c>
      <c r="X65" s="16">
        <v>4.8651979684819997</v>
      </c>
      <c r="Y65" s="16">
        <v>3.5308018478547725</v>
      </c>
      <c r="Z65" s="16">
        <v>3.1348924782734451</v>
      </c>
      <c r="AA65" s="16">
        <v>3.0988698162673698</v>
      </c>
      <c r="AB65" s="67">
        <v>3.4319055441183024</v>
      </c>
      <c r="AC65" s="3"/>
    </row>
    <row r="66" spans="2:29" x14ac:dyDescent="0.3">
      <c r="B66" s="66" t="s">
        <v>297</v>
      </c>
      <c r="C66" s="16">
        <v>3.3710910427992351</v>
      </c>
      <c r="D66" s="16">
        <v>3.6415015446757577</v>
      </c>
      <c r="E66" s="16">
        <v>4.0902013335999774</v>
      </c>
      <c r="F66" s="16">
        <v>4.5116295322049149</v>
      </c>
      <c r="G66" s="16">
        <v>4.3943529571817175</v>
      </c>
      <c r="H66" s="16">
        <v>4.0670234486017502</v>
      </c>
      <c r="I66" s="16">
        <v>3.7456414470461796</v>
      </c>
      <c r="J66" s="16">
        <v>4.2356785080735424</v>
      </c>
      <c r="K66" s="16">
        <v>5.7628811544655978</v>
      </c>
      <c r="L66" s="16">
        <v>8.2458162021156891</v>
      </c>
      <c r="M66" s="16">
        <v>8.255794325460144</v>
      </c>
      <c r="N66" s="16">
        <v>7.6078985242447823</v>
      </c>
      <c r="O66" s="16">
        <v>7.1082976723158149</v>
      </c>
      <c r="P66" s="16">
        <v>7.1447922937859083</v>
      </c>
      <c r="Q66" s="16">
        <v>5.7656304124931648</v>
      </c>
      <c r="R66" s="16">
        <v>5.0082879461898973</v>
      </c>
      <c r="S66" s="16">
        <v>5.0443745989065043</v>
      </c>
      <c r="T66" s="16">
        <v>4.299870139997747</v>
      </c>
      <c r="U66" s="16">
        <v>4.4142871582717724</v>
      </c>
      <c r="V66" s="16">
        <v>3.6689139051515176</v>
      </c>
      <c r="W66" s="16">
        <v>6.4696627898627268</v>
      </c>
      <c r="X66" s="16">
        <v>4.9175380214310245</v>
      </c>
      <c r="Y66" s="16">
        <v>3.890666942217035</v>
      </c>
      <c r="Z66" s="16">
        <v>4.1988144018112878</v>
      </c>
      <c r="AA66" s="16">
        <v>4.195095798377853</v>
      </c>
      <c r="AB66" s="67">
        <v>3.6878937259297531</v>
      </c>
      <c r="AC66" s="3"/>
    </row>
    <row r="67" spans="2:29" x14ac:dyDescent="0.3">
      <c r="B67" s="66" t="s">
        <v>30</v>
      </c>
      <c r="C67" s="16">
        <v>5.291090326813082</v>
      </c>
      <c r="D67" s="16">
        <v>4.9615909519294554</v>
      </c>
      <c r="E67" s="16">
        <v>5.8203497029471825</v>
      </c>
      <c r="F67" s="16">
        <v>5.6614759524275042</v>
      </c>
      <c r="G67" s="16">
        <v>4.9162149082771247</v>
      </c>
      <c r="H67" s="16">
        <v>4.8825093180824997</v>
      </c>
      <c r="I67" s="16">
        <v>4.346585855288545</v>
      </c>
      <c r="J67" s="16">
        <v>4.0647785337266207</v>
      </c>
      <c r="K67" s="16">
        <v>3.7818555657566728</v>
      </c>
      <c r="L67" s="16">
        <v>6.7486046779061946</v>
      </c>
      <c r="M67" s="16">
        <v>7.507114565933537</v>
      </c>
      <c r="N67" s="16">
        <v>7.0451984931567679</v>
      </c>
      <c r="O67" s="16">
        <v>6.8369312417487071</v>
      </c>
      <c r="P67" s="16">
        <v>6.3593398198914057</v>
      </c>
      <c r="Q67" s="16">
        <v>6.198860707367432</v>
      </c>
      <c r="R67" s="16">
        <v>6.281432622542658</v>
      </c>
      <c r="S67" s="16">
        <v>6.1642630444232802</v>
      </c>
      <c r="T67" s="16">
        <v>5.3786675581686705</v>
      </c>
      <c r="U67" s="16">
        <v>5.31596293983519</v>
      </c>
      <c r="V67" s="16">
        <v>4.8822845875379777</v>
      </c>
      <c r="W67" s="16">
        <v>9.1424041956714053</v>
      </c>
      <c r="X67" s="16">
        <v>5.4693088291845902</v>
      </c>
      <c r="Y67" s="16">
        <v>3.8366371230870477</v>
      </c>
      <c r="Z67" s="16">
        <v>3.7155269830972149</v>
      </c>
      <c r="AA67" s="16">
        <v>4.0039871665990976</v>
      </c>
      <c r="AB67" s="67">
        <v>3.9055614625061108</v>
      </c>
      <c r="AC67" s="3"/>
    </row>
    <row r="68" spans="2:29" x14ac:dyDescent="0.3">
      <c r="B68" s="66" t="s">
        <v>298</v>
      </c>
      <c r="C68" s="16">
        <v>3.2631364058744872</v>
      </c>
      <c r="D68" s="16">
        <v>4.1544758905113621</v>
      </c>
      <c r="E68" s="16">
        <v>4.6359543038300544</v>
      </c>
      <c r="F68" s="16">
        <v>5.3002784952657924</v>
      </c>
      <c r="G68" s="16">
        <v>5.444689237391545</v>
      </c>
      <c r="H68" s="16">
        <v>5.402884379732539</v>
      </c>
      <c r="I68" s="16">
        <v>5.079385711079885</v>
      </c>
      <c r="J68" s="16">
        <v>4.4198861903661699</v>
      </c>
      <c r="K68" s="16">
        <v>5.6661866685052003</v>
      </c>
      <c r="L68" s="16">
        <v>9.106572945268482</v>
      </c>
      <c r="M68" s="16">
        <v>9.1831356346164679</v>
      </c>
      <c r="N68" s="16">
        <v>8.6080863084028927</v>
      </c>
      <c r="O68" s="16">
        <v>7.4512931788471954</v>
      </c>
      <c r="P68" s="16">
        <v>6.1444995603141823</v>
      </c>
      <c r="Q68" s="16">
        <v>5.371024829888877</v>
      </c>
      <c r="R68" s="16">
        <v>5.0908339041924373</v>
      </c>
      <c r="S68" s="16">
        <v>4.1873418112215397</v>
      </c>
      <c r="T68" s="16">
        <v>3.5436726211958125</v>
      </c>
      <c r="U68" s="16">
        <v>2.8126512308022154</v>
      </c>
      <c r="V68" s="16">
        <v>2.3026239621473601</v>
      </c>
      <c r="W68" s="16">
        <v>5.8406667613724776</v>
      </c>
      <c r="X68" s="16">
        <v>3.5359545291927525</v>
      </c>
      <c r="Y68" s="16">
        <v>2.8089552669065121</v>
      </c>
      <c r="Z68" s="16">
        <v>2.5286966720160651</v>
      </c>
      <c r="AA68" s="16">
        <v>3.5327600792452873</v>
      </c>
      <c r="AB68" s="67">
        <v>3.6143140276302588</v>
      </c>
      <c r="AC68" s="3"/>
    </row>
    <row r="69" spans="2:29" x14ac:dyDescent="0.3">
      <c r="B69" s="66" t="s">
        <v>299</v>
      </c>
      <c r="C69" s="16">
        <v>3.5254199798602199</v>
      </c>
      <c r="D69" s="16">
        <v>5.1417437423263603</v>
      </c>
      <c r="E69" s="16">
        <v>6.2087457671627275</v>
      </c>
      <c r="F69" s="16">
        <v>6.4644860176451475</v>
      </c>
      <c r="G69" s="16">
        <v>5.8780491908384223</v>
      </c>
      <c r="H69" s="16">
        <v>5.3820023778949206</v>
      </c>
      <c r="I69" s="16">
        <v>4.9466772804214418</v>
      </c>
      <c r="J69" s="16">
        <v>5.041057652199135</v>
      </c>
      <c r="K69" s="16">
        <v>6.3710575580773554</v>
      </c>
      <c r="L69" s="16">
        <v>12.068639736122774</v>
      </c>
      <c r="M69" s="16">
        <v>11.698064049238701</v>
      </c>
      <c r="N69" s="16">
        <v>10.699320229002225</v>
      </c>
      <c r="O69" s="16">
        <v>9.5178494680572978</v>
      </c>
      <c r="P69" s="16">
        <v>7.6621669888131523</v>
      </c>
      <c r="Q69" s="16">
        <v>6.0035813452639877</v>
      </c>
      <c r="R69" s="16">
        <v>5.4093977709466099</v>
      </c>
      <c r="S69" s="16">
        <v>4.8448613852257729</v>
      </c>
      <c r="T69" s="16">
        <v>4.3339794677934105</v>
      </c>
      <c r="U69" s="16">
        <v>3.7733679213004048</v>
      </c>
      <c r="V69" s="16">
        <v>3.5760374008659102</v>
      </c>
      <c r="W69" s="16">
        <v>7.2322363944780426</v>
      </c>
      <c r="X69" s="16">
        <v>4.6977307017062877</v>
      </c>
      <c r="Y69" s="16">
        <v>3.5054862223482024</v>
      </c>
      <c r="Z69" s="16">
        <v>3.34248360175885</v>
      </c>
      <c r="AA69" s="16">
        <v>3.6350406685473025</v>
      </c>
      <c r="AB69" s="67">
        <v>3.6987390608147002</v>
      </c>
      <c r="AC69" s="3"/>
    </row>
    <row r="70" spans="2:29" x14ac:dyDescent="0.3">
      <c r="B70" s="66" t="s">
        <v>31</v>
      </c>
      <c r="C70" s="16">
        <v>2.0912735381328775</v>
      </c>
      <c r="D70" s="16">
        <v>2.5685569341253052</v>
      </c>
      <c r="E70" s="16">
        <v>3.3833943402962627</v>
      </c>
      <c r="F70" s="16">
        <v>3.6650383115651248</v>
      </c>
      <c r="G70" s="16">
        <v>3.3209907293136625</v>
      </c>
      <c r="H70" s="16">
        <v>3.0462243228543651</v>
      </c>
      <c r="I70" s="16">
        <v>2.6142383884519451</v>
      </c>
      <c r="J70" s="16">
        <v>2.4845622569887524</v>
      </c>
      <c r="K70" s="16">
        <v>3.4005948488153797</v>
      </c>
      <c r="L70" s="16">
        <v>5.7027965764487698</v>
      </c>
      <c r="M70" s="16">
        <v>5.9004983485350948</v>
      </c>
      <c r="N70" s="16">
        <v>5.4419669760756619</v>
      </c>
      <c r="O70" s="16">
        <v>5.0713956184526898</v>
      </c>
      <c r="P70" s="16">
        <v>4.6850617729592123</v>
      </c>
      <c r="Q70" s="16">
        <v>4.3387686984752873</v>
      </c>
      <c r="R70" s="16">
        <v>3.7511517541535877</v>
      </c>
      <c r="S70" s="16">
        <v>3.49527452889394</v>
      </c>
      <c r="T70" s="16">
        <v>3.1770631541662873</v>
      </c>
      <c r="U70" s="16">
        <v>2.690478643262495</v>
      </c>
      <c r="V70" s="16">
        <v>2.4220378593691025</v>
      </c>
      <c r="W70" s="16">
        <v>5.9838874929808306</v>
      </c>
      <c r="X70" s="16">
        <v>3.3310507058203052</v>
      </c>
      <c r="Y70" s="16">
        <v>2.5022598424853424</v>
      </c>
      <c r="Z70" s="16">
        <v>2.4511395480861822</v>
      </c>
      <c r="AA70" s="16">
        <v>2.5185987132685326</v>
      </c>
      <c r="AB70" s="67">
        <v>2.8266359445066236</v>
      </c>
      <c r="AC70" s="3"/>
    </row>
    <row r="71" spans="2:29" x14ac:dyDescent="0.3">
      <c r="B71" s="66" t="s">
        <v>300</v>
      </c>
      <c r="C71" s="16">
        <v>3.2668930316305147</v>
      </c>
      <c r="D71" s="16">
        <v>3.6986783015338527</v>
      </c>
      <c r="E71" s="16">
        <v>4.3096527213687104</v>
      </c>
      <c r="F71" s="16">
        <v>4.3450090090258398</v>
      </c>
      <c r="G71" s="16">
        <v>4.4106651375631927</v>
      </c>
      <c r="H71" s="16">
        <v>4.7554626622803173</v>
      </c>
      <c r="I71" s="16">
        <v>4.4243279828231499</v>
      </c>
      <c r="J71" s="16">
        <v>4.072071491012772</v>
      </c>
      <c r="K71" s="16">
        <v>5.8631015791644003</v>
      </c>
      <c r="L71" s="16">
        <v>9.4013890754329701</v>
      </c>
      <c r="M71" s="16">
        <v>8.8740488018107673</v>
      </c>
      <c r="N71" s="16">
        <v>8.2411912530805242</v>
      </c>
      <c r="O71" s="16">
        <v>7.4062995341517777</v>
      </c>
      <c r="P71" s="16">
        <v>7.2693357011902728</v>
      </c>
      <c r="Q71" s="16">
        <v>6.4093509351289129</v>
      </c>
      <c r="R71" s="16">
        <v>5.4344054527498749</v>
      </c>
      <c r="S71" s="16">
        <v>4.8762202310131428</v>
      </c>
      <c r="T71" s="16">
        <v>3.9359628068996422</v>
      </c>
      <c r="U71" s="16">
        <v>3.5206253944442598</v>
      </c>
      <c r="V71" s="16">
        <v>3.3067966836123253</v>
      </c>
      <c r="W71" s="16">
        <v>6.5405476012518422</v>
      </c>
      <c r="X71" s="16">
        <v>3.9265272844909576</v>
      </c>
      <c r="Y71" s="16">
        <v>3.2513978299994379</v>
      </c>
      <c r="Z71" s="16">
        <v>3.0334657976890576</v>
      </c>
      <c r="AA71" s="16">
        <v>3.1857676981963872</v>
      </c>
      <c r="AB71" s="67">
        <v>3.3936401906118832</v>
      </c>
      <c r="AC71" s="3"/>
    </row>
    <row r="72" spans="2:29" x14ac:dyDescent="0.3">
      <c r="B72" s="66" t="s">
        <v>32</v>
      </c>
      <c r="C72" s="16">
        <v>3.7205409130407752</v>
      </c>
      <c r="D72" s="16">
        <v>4.1211700815837773</v>
      </c>
      <c r="E72" s="16">
        <v>4.1832256547657627</v>
      </c>
      <c r="F72" s="16">
        <v>4.495978847669555</v>
      </c>
      <c r="G72" s="16">
        <v>4.4631245758315323</v>
      </c>
      <c r="H72" s="16">
        <v>4.1215662029254805</v>
      </c>
      <c r="I72" s="16">
        <v>3.7610912114572645</v>
      </c>
      <c r="J72" s="16">
        <v>3.4690905371573826</v>
      </c>
      <c r="K72" s="16">
        <v>3.8354066061131773</v>
      </c>
      <c r="L72" s="16">
        <v>6.4353718280612675</v>
      </c>
      <c r="M72" s="16">
        <v>7.1233173066022601</v>
      </c>
      <c r="N72" s="16">
        <v>6.4889670324684428</v>
      </c>
      <c r="O72" s="16">
        <v>5.8884281077565674</v>
      </c>
      <c r="P72" s="16">
        <v>4.8082820118029099</v>
      </c>
      <c r="Q72" s="16">
        <v>4.5623772346188147</v>
      </c>
      <c r="R72" s="16">
        <v>3.9286496130396751</v>
      </c>
      <c r="S72" s="16">
        <v>4.1328642550604995</v>
      </c>
      <c r="T72" s="16">
        <v>3.836674151112045</v>
      </c>
      <c r="U72" s="16">
        <v>3.9083287478269524</v>
      </c>
      <c r="V72" s="16">
        <v>3.5743578105959024</v>
      </c>
      <c r="W72" s="16">
        <v>5.1925675983724622</v>
      </c>
      <c r="X72" s="16">
        <v>4.1112431258016056</v>
      </c>
      <c r="Y72" s="16">
        <v>3.4690525705240001</v>
      </c>
      <c r="Z72" s="16">
        <v>2.9996698384752074</v>
      </c>
      <c r="AA72" s="16">
        <v>3.3862216925519975</v>
      </c>
      <c r="AB72" s="67">
        <v>3.4340344418072264</v>
      </c>
      <c r="AC72" s="3"/>
    </row>
    <row r="73" spans="2:29" x14ac:dyDescent="0.3">
      <c r="B73" s="66" t="s">
        <v>528</v>
      </c>
      <c r="C73" s="16">
        <v>4.4237363393254325</v>
      </c>
      <c r="D73" s="16">
        <v>5.5619168651402955</v>
      </c>
      <c r="E73" s="16">
        <v>6.9082136648926351</v>
      </c>
      <c r="F73" s="16">
        <v>6.8103121583519703</v>
      </c>
      <c r="G73" s="16">
        <v>6.2972431694734503</v>
      </c>
      <c r="H73" s="16">
        <v>5.9590879169611126</v>
      </c>
      <c r="I73" s="16">
        <v>4.6367637755075126</v>
      </c>
      <c r="J73" s="16">
        <v>5.0154296873021877</v>
      </c>
      <c r="K73" s="16">
        <v>6.304181740936488</v>
      </c>
      <c r="L73" s="16">
        <v>9.9330143836774081</v>
      </c>
      <c r="M73" s="16">
        <v>10.506854002454913</v>
      </c>
      <c r="N73" s="16">
        <v>10.008782017435403</v>
      </c>
      <c r="O73" s="16">
        <v>9.1751991626604177</v>
      </c>
      <c r="P73" s="16">
        <v>9.1261358261330265</v>
      </c>
      <c r="Q73" s="16">
        <v>7.2331596979352923</v>
      </c>
      <c r="R73" s="16">
        <v>5.9889880362805101</v>
      </c>
      <c r="S73" s="16">
        <v>5.8503751092573335</v>
      </c>
      <c r="T73" s="16">
        <v>4.8959381486231628</v>
      </c>
      <c r="U73" s="16">
        <v>4.1429224966854497</v>
      </c>
      <c r="V73" s="16">
        <v>3.8558030908323424</v>
      </c>
      <c r="W73" s="16">
        <v>9.8135060676148402</v>
      </c>
      <c r="X73" s="16">
        <v>6.250299025805873</v>
      </c>
      <c r="Y73" s="16">
        <v>4.5929720144597805</v>
      </c>
      <c r="Z73" s="16">
        <v>4.4084079381527204</v>
      </c>
      <c r="AA73" s="16">
        <v>5.1358373408532074</v>
      </c>
      <c r="AB73" s="67">
        <v>4.9679670672907621</v>
      </c>
      <c r="AC73" s="3"/>
    </row>
    <row r="74" spans="2:29" x14ac:dyDescent="0.3">
      <c r="B74" s="66" t="s">
        <v>33</v>
      </c>
      <c r="C74" s="16">
        <v>6.139672156041267</v>
      </c>
      <c r="D74" s="16">
        <v>6.5883338995283456</v>
      </c>
      <c r="E74" s="16">
        <v>7.4345016130119079</v>
      </c>
      <c r="F74" s="16">
        <v>7.6553256171690647</v>
      </c>
      <c r="G74" s="16">
        <v>7.3597154437046095</v>
      </c>
      <c r="H74" s="16">
        <v>6.7309813003928305</v>
      </c>
      <c r="I74" s="16">
        <v>6.2174059849152457</v>
      </c>
      <c r="J74" s="16">
        <v>6.5953351036154597</v>
      </c>
      <c r="K74" s="16">
        <v>8.4767521782746691</v>
      </c>
      <c r="L74" s="16">
        <v>12.697264230964276</v>
      </c>
      <c r="M74" s="16">
        <v>14.001762868007875</v>
      </c>
      <c r="N74" s="16">
        <v>13.659449916249949</v>
      </c>
      <c r="O74" s="16">
        <v>12.206199618149473</v>
      </c>
      <c r="P74" s="16">
        <v>10.393326303728564</v>
      </c>
      <c r="Q74" s="16">
        <v>8.7425561422736138</v>
      </c>
      <c r="R74" s="16">
        <v>7.2140825387817857</v>
      </c>
      <c r="S74" s="16">
        <v>6.7479261863225606</v>
      </c>
      <c r="T74" s="16">
        <v>5.9121412419353003</v>
      </c>
      <c r="U74" s="16">
        <v>5.1473285606383028</v>
      </c>
      <c r="V74" s="16">
        <v>5.1965291415938406</v>
      </c>
      <c r="W74" s="16">
        <v>9.5103356210637919</v>
      </c>
      <c r="X74" s="16">
        <v>6.934650048303995</v>
      </c>
      <c r="Y74" s="16">
        <v>4.5645393416694526</v>
      </c>
      <c r="Z74" s="16">
        <v>5.1906930958504578</v>
      </c>
      <c r="AA74" s="16">
        <v>5.9152224642603022</v>
      </c>
      <c r="AB74" s="67">
        <v>5.9586602204415344</v>
      </c>
      <c r="AC74" s="3"/>
    </row>
    <row r="75" spans="2:29" x14ac:dyDescent="0.3">
      <c r="B75" s="66" t="s">
        <v>301</v>
      </c>
      <c r="C75" s="16">
        <v>3.7714394748065629</v>
      </c>
      <c r="D75" s="16">
        <v>4.1779448142103028</v>
      </c>
      <c r="E75" s="16">
        <v>5.32943501632991</v>
      </c>
      <c r="F75" s="16">
        <v>5.5024831998176902</v>
      </c>
      <c r="G75" s="16">
        <v>5.4977609065893471</v>
      </c>
      <c r="H75" s="16">
        <v>5.456576746627543</v>
      </c>
      <c r="I75" s="16">
        <v>5.23486183360599</v>
      </c>
      <c r="J75" s="16">
        <v>5.0203864292302072</v>
      </c>
      <c r="K75" s="16">
        <v>5.9537556129545193</v>
      </c>
      <c r="L75" s="16">
        <v>9.6006157266349987</v>
      </c>
      <c r="M75" s="16">
        <v>9.7624982019476896</v>
      </c>
      <c r="N75" s="16">
        <v>8.8238634599455867</v>
      </c>
      <c r="O75" s="16">
        <v>7.4655051920166704</v>
      </c>
      <c r="P75" s="16">
        <v>7.2056842516322446</v>
      </c>
      <c r="Q75" s="16">
        <v>5.5299135160372304</v>
      </c>
      <c r="R75" s="16">
        <v>4.5337743561989177</v>
      </c>
      <c r="S75" s="16">
        <v>4.3876925927810309</v>
      </c>
      <c r="T75" s="16">
        <v>4.241222658928713</v>
      </c>
      <c r="U75" s="16">
        <v>3.9221857389443051</v>
      </c>
      <c r="V75" s="16">
        <v>3.6898364553811973</v>
      </c>
      <c r="W75" s="16">
        <v>7.0428988878203596</v>
      </c>
      <c r="X75" s="16">
        <v>4.4894148695983249</v>
      </c>
      <c r="Y75" s="16">
        <v>3.487666684170498</v>
      </c>
      <c r="Z75" s="16">
        <v>3.4554950269287423</v>
      </c>
      <c r="AA75" s="16">
        <v>4.1876678388907971</v>
      </c>
      <c r="AB75" s="67">
        <v>4.5352230681500396</v>
      </c>
      <c r="AC75" s="3"/>
    </row>
    <row r="76" spans="2:29" x14ac:dyDescent="0.3">
      <c r="B76" s="66" t="s">
        <v>302</v>
      </c>
      <c r="C76" s="16">
        <v>4.0854568216805003</v>
      </c>
      <c r="D76" s="16">
        <v>5.1389060108993743</v>
      </c>
      <c r="E76" s="16">
        <v>5.4900529067286854</v>
      </c>
      <c r="F76" s="16">
        <v>5.5519294512316684</v>
      </c>
      <c r="G76" s="16">
        <v>5.1874702698109303</v>
      </c>
      <c r="H76" s="16">
        <v>5.6473628490880019</v>
      </c>
      <c r="I76" s="16">
        <v>5.4241744094783275</v>
      </c>
      <c r="J76" s="16">
        <v>5.2486781847869803</v>
      </c>
      <c r="K76" s="16">
        <v>7.0131555534404022</v>
      </c>
      <c r="L76" s="16">
        <v>10.406433679845541</v>
      </c>
      <c r="M76" s="16">
        <v>9.8982353516381103</v>
      </c>
      <c r="N76" s="16">
        <v>9.4324390891659391</v>
      </c>
      <c r="O76" s="16">
        <v>8.3282386865736253</v>
      </c>
      <c r="P76" s="16">
        <v>8.0865842534185717</v>
      </c>
      <c r="Q76" s="16">
        <v>6.9887134259323149</v>
      </c>
      <c r="R76" s="16">
        <v>5.9264758512548399</v>
      </c>
      <c r="S76" s="16">
        <v>5.1450122584123177</v>
      </c>
      <c r="T76" s="16">
        <v>4.387481833194057</v>
      </c>
      <c r="U76" s="16">
        <v>3.9749165162019748</v>
      </c>
      <c r="V76" s="16">
        <v>3.8951087014696526</v>
      </c>
      <c r="W76" s="16">
        <v>7.1229029274609044</v>
      </c>
      <c r="X76" s="16">
        <v>4.5997235634358828</v>
      </c>
      <c r="Y76" s="16">
        <v>3.8229633562806002</v>
      </c>
      <c r="Z76" s="16">
        <v>3.8453387120637501</v>
      </c>
      <c r="AA76" s="16">
        <v>4.094116625071325</v>
      </c>
      <c r="AB76" s="67">
        <v>4.2477239157530091</v>
      </c>
      <c r="AC76" s="3"/>
    </row>
    <row r="77" spans="2:29" x14ac:dyDescent="0.3">
      <c r="B77" s="66" t="s">
        <v>529</v>
      </c>
      <c r="C77" s="16">
        <v>2.8416666666666677</v>
      </c>
      <c r="D77" s="16">
        <v>3.5999999999999996</v>
      </c>
      <c r="E77" s="16">
        <v>4.841666666666665</v>
      </c>
      <c r="F77" s="16">
        <v>5.4333333333333353</v>
      </c>
      <c r="G77" s="16">
        <v>5.25</v>
      </c>
      <c r="H77" s="16">
        <v>5.1166666666666671</v>
      </c>
      <c r="I77" s="16">
        <v>4.9916666666666654</v>
      </c>
      <c r="J77" s="16">
        <v>5.7000000000000011</v>
      </c>
      <c r="K77" s="16">
        <v>6.2416666666666671</v>
      </c>
      <c r="L77" s="16">
        <v>7.8750000000000027</v>
      </c>
      <c r="M77" s="16">
        <v>8.1583333333333332</v>
      </c>
      <c r="N77" s="16">
        <v>7.2750000000000004</v>
      </c>
      <c r="O77" s="16">
        <v>6.5833333333333321</v>
      </c>
      <c r="P77" s="16">
        <v>6.7666666666666657</v>
      </c>
      <c r="Q77" s="16">
        <v>6.0666666666666655</v>
      </c>
      <c r="R77" s="16">
        <v>5.0666666666666682</v>
      </c>
      <c r="S77" s="16">
        <v>5.4083333333333332</v>
      </c>
      <c r="T77" s="16">
        <v>5.5083333333333329</v>
      </c>
      <c r="U77" s="16">
        <v>4.6583333333333323</v>
      </c>
      <c r="V77" s="16">
        <v>4.0833333333333321</v>
      </c>
      <c r="W77" s="16">
        <v>9.7666666666666693</v>
      </c>
      <c r="X77" s="16">
        <v>5.8083333333333353</v>
      </c>
      <c r="Y77" s="16">
        <v>4.5583333333333353</v>
      </c>
      <c r="Z77" s="16">
        <v>3.69166666666667</v>
      </c>
      <c r="AA77" s="16">
        <v>3.8</v>
      </c>
      <c r="AB77" s="67">
        <v>4.1166666666666663</v>
      </c>
      <c r="AC77" s="3"/>
    </row>
    <row r="78" spans="2:29" x14ac:dyDescent="0.3">
      <c r="B78" s="66" t="s">
        <v>34</v>
      </c>
      <c r="C78" s="16">
        <v>3.607750500386385</v>
      </c>
      <c r="D78" s="16">
        <v>4.205716969901637</v>
      </c>
      <c r="E78" s="16">
        <v>4.9559803548315475</v>
      </c>
      <c r="F78" s="16">
        <v>5.2066258775563377</v>
      </c>
      <c r="G78" s="16">
        <v>5.0470793414618225</v>
      </c>
      <c r="H78" s="16">
        <v>5.2814390674102372</v>
      </c>
      <c r="I78" s="16">
        <v>5.1205570185673963</v>
      </c>
      <c r="J78" s="16">
        <v>4.5131593357095721</v>
      </c>
      <c r="K78" s="16">
        <v>6.5229291142767352</v>
      </c>
      <c r="L78" s="16">
        <v>9.8124226337240685</v>
      </c>
      <c r="M78" s="16">
        <v>9.7606880678470631</v>
      </c>
      <c r="N78" s="16">
        <v>9.2759882393751383</v>
      </c>
      <c r="O78" s="16">
        <v>7.7811225101268624</v>
      </c>
      <c r="P78" s="16">
        <v>7.2719704133644285</v>
      </c>
      <c r="Q78" s="16">
        <v>6.2842827242885129</v>
      </c>
      <c r="R78" s="16">
        <v>5.3370378727447392</v>
      </c>
      <c r="S78" s="16">
        <v>4.6313033739198621</v>
      </c>
      <c r="T78" s="16">
        <v>3.790686447080978</v>
      </c>
      <c r="U78" s="16">
        <v>3.6840537713691477</v>
      </c>
      <c r="V78" s="16">
        <v>3.4843777321430522</v>
      </c>
      <c r="W78" s="16">
        <v>6.6503323314121499</v>
      </c>
      <c r="X78" s="16">
        <v>4.3113252924844323</v>
      </c>
      <c r="Y78" s="16">
        <v>3.6197202165555376</v>
      </c>
      <c r="Z78" s="16">
        <v>3.5105151063614777</v>
      </c>
      <c r="AA78" s="16">
        <v>3.7050635130624325</v>
      </c>
      <c r="AB78" s="67">
        <v>3.9048693426248682</v>
      </c>
      <c r="AC78" s="3"/>
    </row>
    <row r="79" spans="2:29" x14ac:dyDescent="0.3">
      <c r="B79" s="66" t="s">
        <v>35</v>
      </c>
      <c r="C79" s="16">
        <v>6.2436739111781847</v>
      </c>
      <c r="D79" s="16">
        <v>7.0607940503046294</v>
      </c>
      <c r="E79" s="16">
        <v>7.2933126784282729</v>
      </c>
      <c r="F79" s="16">
        <v>6.7338296881470976</v>
      </c>
      <c r="G79" s="16">
        <v>5.7996522072084016</v>
      </c>
      <c r="H79" s="16">
        <v>4.4879966080533302</v>
      </c>
      <c r="I79" s="16">
        <v>3.7181687260269896</v>
      </c>
      <c r="J79" s="16">
        <v>3.2266516036376127</v>
      </c>
      <c r="K79" s="16">
        <v>5.6948964744673205</v>
      </c>
      <c r="L79" s="16">
        <v>10.42213823283215</v>
      </c>
      <c r="M79" s="16">
        <v>11.121635918274075</v>
      </c>
      <c r="N79" s="16">
        <v>10.270904539987685</v>
      </c>
      <c r="O79" s="16">
        <v>9.1119488423136605</v>
      </c>
      <c r="P79" s="16">
        <v>8.2201494613186696</v>
      </c>
      <c r="Q79" s="16">
        <v>5.3150557850279521</v>
      </c>
      <c r="R79" s="16">
        <v>4.7453139954688801</v>
      </c>
      <c r="S79" s="16">
        <v>4.4895222978135294</v>
      </c>
      <c r="T79" s="16">
        <v>3.8247619593768825</v>
      </c>
      <c r="U79" s="16">
        <v>3.485369921331305</v>
      </c>
      <c r="V79" s="16">
        <v>3.5041333082201707</v>
      </c>
      <c r="W79" s="16">
        <v>7.1006539168052347</v>
      </c>
      <c r="X79" s="16">
        <v>4.2852966062609408</v>
      </c>
      <c r="Y79" s="16">
        <v>3.4503086416481423</v>
      </c>
      <c r="Z79" s="16">
        <v>3.7496384339127653</v>
      </c>
      <c r="AA79" s="16">
        <v>4.3895568123593973</v>
      </c>
      <c r="AB79" s="67">
        <v>4.4683586529260859</v>
      </c>
      <c r="AC79" s="3"/>
    </row>
    <row r="80" spans="2:29" x14ac:dyDescent="0.3">
      <c r="B80" s="66" t="s">
        <v>303</v>
      </c>
      <c r="C80" s="16">
        <v>3.8301775043476098</v>
      </c>
      <c r="D80" s="16">
        <v>3.8708595945229378</v>
      </c>
      <c r="E80" s="16">
        <v>4.5232060433416574</v>
      </c>
      <c r="F80" s="16">
        <v>5.0301315211320468</v>
      </c>
      <c r="G80" s="16">
        <v>4.503310798775745</v>
      </c>
      <c r="H80" s="16">
        <v>4.306624468672533</v>
      </c>
      <c r="I80" s="16">
        <v>4.1529494278962451</v>
      </c>
      <c r="J80" s="16">
        <v>3.7533059545201026</v>
      </c>
      <c r="K80" s="16">
        <v>4.0180756290363426</v>
      </c>
      <c r="L80" s="16">
        <v>5.7315112659148646</v>
      </c>
      <c r="M80" s="16">
        <v>6.6578740013418445</v>
      </c>
      <c r="N80" s="16">
        <v>6.567136410001897</v>
      </c>
      <c r="O80" s="16">
        <v>5.4969488514107372</v>
      </c>
      <c r="P80" s="16">
        <v>5.1594476138552068</v>
      </c>
      <c r="Q80" s="16">
        <v>4.1715099768052575</v>
      </c>
      <c r="R80" s="16">
        <v>3.4660705045062348</v>
      </c>
      <c r="S80" s="16">
        <v>3.8495789194907148</v>
      </c>
      <c r="T80" s="16">
        <v>3.5060255932869699</v>
      </c>
      <c r="U80" s="16">
        <v>3.2064491141022149</v>
      </c>
      <c r="V80" s="16">
        <v>2.9641279785024826</v>
      </c>
      <c r="W80" s="16">
        <v>5.7562519569252597</v>
      </c>
      <c r="X80" s="16">
        <v>4.4548229747272243</v>
      </c>
      <c r="Y80" s="16">
        <v>3.4221441154141421</v>
      </c>
      <c r="Z80" s="16">
        <v>3.4451943269891623</v>
      </c>
      <c r="AA80" s="16">
        <v>3.4569219329193324</v>
      </c>
      <c r="AB80" s="67">
        <v>3.4768626483755778</v>
      </c>
      <c r="AC80" s="3"/>
    </row>
    <row r="81" spans="2:29" x14ac:dyDescent="0.3">
      <c r="B81" s="66" t="s">
        <v>36</v>
      </c>
      <c r="C81" s="16">
        <v>2.8960146502540525</v>
      </c>
      <c r="D81" s="16">
        <v>4.200655248785905</v>
      </c>
      <c r="E81" s="16">
        <v>6.1747006690681774</v>
      </c>
      <c r="F81" s="16">
        <v>6.2754863935694303</v>
      </c>
      <c r="G81" s="16">
        <v>5.7361662699556106</v>
      </c>
      <c r="H81" s="16">
        <v>5.2958696102223568</v>
      </c>
      <c r="I81" s="16">
        <v>4.5522570904848969</v>
      </c>
      <c r="J81" s="16">
        <v>4.1606644084595654</v>
      </c>
      <c r="K81" s="16">
        <v>5.6648385189487973</v>
      </c>
      <c r="L81" s="16">
        <v>8.5760486627454711</v>
      </c>
      <c r="M81" s="16">
        <v>9.7505456612682782</v>
      </c>
      <c r="N81" s="16">
        <v>9.4183871736757805</v>
      </c>
      <c r="O81" s="16">
        <v>8.9555177188798574</v>
      </c>
      <c r="P81" s="16">
        <v>7.7431154575576304</v>
      </c>
      <c r="Q81" s="16">
        <v>5.9282312701675597</v>
      </c>
      <c r="R81" s="16">
        <v>4.3720667867458296</v>
      </c>
      <c r="S81" s="16">
        <v>3.50453648396185</v>
      </c>
      <c r="T81" s="16">
        <v>2.9425721316973599</v>
      </c>
      <c r="U81" s="16">
        <v>3.5375590021360352</v>
      </c>
      <c r="V81" s="16">
        <v>3.0884380344573574</v>
      </c>
      <c r="W81" s="16">
        <v>6.5980719084238331</v>
      </c>
      <c r="X81" s="16">
        <v>5.5954051631102573</v>
      </c>
      <c r="Y81" s="16">
        <v>3.2226914965927498</v>
      </c>
      <c r="Z81" s="16">
        <v>3.3724221687929323</v>
      </c>
      <c r="AA81" s="16">
        <v>4.2589999448928699</v>
      </c>
      <c r="AB81" s="67">
        <v>4.6022595578752288</v>
      </c>
      <c r="AC81" s="3"/>
    </row>
    <row r="82" spans="2:29" x14ac:dyDescent="0.3">
      <c r="B82" s="66" t="s">
        <v>37</v>
      </c>
      <c r="C82" s="16">
        <v>2.3626446148469</v>
      </c>
      <c r="D82" s="16">
        <v>3.1815699183854576</v>
      </c>
      <c r="E82" s="16">
        <v>3.5959731752403874</v>
      </c>
      <c r="F82" s="16">
        <v>3.7219326489300451</v>
      </c>
      <c r="G82" s="16">
        <v>4.0189172183354103</v>
      </c>
      <c r="H82" s="16">
        <v>3.742302465628855</v>
      </c>
      <c r="I82" s="16">
        <v>3.4656579193219024</v>
      </c>
      <c r="J82" s="16">
        <v>3.8114052896033601</v>
      </c>
      <c r="K82" s="16">
        <v>4.6223315845852024</v>
      </c>
      <c r="L82" s="16">
        <v>6.5097415468365574</v>
      </c>
      <c r="M82" s="16">
        <v>6.690299346154915</v>
      </c>
      <c r="N82" s="16">
        <v>6.1474125554084553</v>
      </c>
      <c r="O82" s="16">
        <v>4.9371267353555677</v>
      </c>
      <c r="P82" s="16">
        <v>4.802740001708842</v>
      </c>
      <c r="Q82" s="16">
        <v>4.3693815759289478</v>
      </c>
      <c r="R82" s="16">
        <v>3.8125674657574802</v>
      </c>
      <c r="S82" s="16">
        <v>3.4848853016318952</v>
      </c>
      <c r="T82" s="16">
        <v>2.7401964386219078</v>
      </c>
      <c r="U82" s="16">
        <v>2.40107278222131</v>
      </c>
      <c r="V82" s="16">
        <v>2.4364006229368349</v>
      </c>
      <c r="W82" s="16">
        <v>4.436778375981393</v>
      </c>
      <c r="X82" s="16">
        <v>2.9006796264190724</v>
      </c>
      <c r="Y82" s="16">
        <v>2.1037037221238224</v>
      </c>
      <c r="Z82" s="16">
        <v>2.6662197281589175</v>
      </c>
      <c r="AA82" s="16">
        <v>3.1541576477176854</v>
      </c>
      <c r="AB82" s="67">
        <v>3.3767204825977388</v>
      </c>
      <c r="AC82" s="3"/>
    </row>
    <row r="83" spans="2:29" x14ac:dyDescent="0.3">
      <c r="B83" s="66" t="s">
        <v>38</v>
      </c>
      <c r="C83" s="16">
        <v>3.228304583752855</v>
      </c>
      <c r="D83" s="16">
        <v>4.2017753766528205</v>
      </c>
      <c r="E83" s="16">
        <v>4.8563265128912745</v>
      </c>
      <c r="F83" s="16">
        <v>5.540628789063395</v>
      </c>
      <c r="G83" s="16">
        <v>5.8191659267317375</v>
      </c>
      <c r="H83" s="16">
        <v>5.7500866284353283</v>
      </c>
      <c r="I83" s="16">
        <v>5.5009735293632955</v>
      </c>
      <c r="J83" s="16">
        <v>4.9126006397412372</v>
      </c>
      <c r="K83" s="16">
        <v>5.9549470724491425</v>
      </c>
      <c r="L83" s="16">
        <v>8.8694480464932521</v>
      </c>
      <c r="M83" s="16">
        <v>9.2510232858058554</v>
      </c>
      <c r="N83" s="16">
        <v>8.9413332590357548</v>
      </c>
      <c r="O83" s="16">
        <v>7.8770852269022678</v>
      </c>
      <c r="P83" s="16">
        <v>6.5036680907680999</v>
      </c>
      <c r="Q83" s="16">
        <v>5.6431604569851705</v>
      </c>
      <c r="R83" s="16">
        <v>5.3969830332729991</v>
      </c>
      <c r="S83" s="16">
        <v>4.6182090673932681</v>
      </c>
      <c r="T83" s="16">
        <v>4.0877602269553606</v>
      </c>
      <c r="U83" s="16">
        <v>3.2968660162162502</v>
      </c>
      <c r="V83" s="16">
        <v>2.6347540894684651</v>
      </c>
      <c r="W83" s="16">
        <v>5.2197427433262522</v>
      </c>
      <c r="X83" s="16">
        <v>3.6931544549080972</v>
      </c>
      <c r="Y83" s="16">
        <v>3.0681441962447749</v>
      </c>
      <c r="Z83" s="16">
        <v>2.8630335148714376</v>
      </c>
      <c r="AA83" s="16">
        <v>4.0561265979441998</v>
      </c>
      <c r="AB83" s="67">
        <v>4.150873698325106</v>
      </c>
      <c r="AC83" s="3"/>
    </row>
    <row r="84" spans="2:29" x14ac:dyDescent="0.3">
      <c r="B84" s="66" t="s">
        <v>304</v>
      </c>
      <c r="C84" s="16">
        <v>4.6288029985678847</v>
      </c>
      <c r="D84" s="16">
        <v>4.9893403356179</v>
      </c>
      <c r="E84" s="16">
        <v>5.6198115586784354</v>
      </c>
      <c r="F84" s="16">
        <v>5.6084835132499373</v>
      </c>
      <c r="G84" s="16">
        <v>5.6872870492647802</v>
      </c>
      <c r="H84" s="16">
        <v>5.9802940532049575</v>
      </c>
      <c r="I84" s="16">
        <v>5.4041228610578766</v>
      </c>
      <c r="J84" s="16">
        <v>5.2967392114325005</v>
      </c>
      <c r="K84" s="16">
        <v>6.6522561100606223</v>
      </c>
      <c r="L84" s="16">
        <v>9.3219760501527666</v>
      </c>
      <c r="M84" s="16">
        <v>9.8613435966664014</v>
      </c>
      <c r="N84" s="16">
        <v>9.6609307583161268</v>
      </c>
      <c r="O84" s="16">
        <v>9.2625119513692251</v>
      </c>
      <c r="P84" s="16">
        <v>8.5925415317462992</v>
      </c>
      <c r="Q84" s="16">
        <v>7.7842373742838955</v>
      </c>
      <c r="R84" s="16">
        <v>7.0238315001127285</v>
      </c>
      <c r="S84" s="16">
        <v>6.2571290272767328</v>
      </c>
      <c r="T84" s="16">
        <v>5.3938954377692747</v>
      </c>
      <c r="U84" s="16">
        <v>4.6437094223150099</v>
      </c>
      <c r="V84" s="16">
        <v>4.1692857554661549</v>
      </c>
      <c r="W84" s="16">
        <v>6.6965265360171156</v>
      </c>
      <c r="X84" s="16">
        <v>4.3453077947779404</v>
      </c>
      <c r="Y84" s="16">
        <v>3.62724789651375</v>
      </c>
      <c r="Z84" s="16">
        <v>3.6594733044467898</v>
      </c>
      <c r="AA84" s="16">
        <v>4.0131789365224302</v>
      </c>
      <c r="AB84" s="67">
        <v>4.0853827579708231</v>
      </c>
      <c r="AC84" s="3"/>
    </row>
    <row r="85" spans="2:29" x14ac:dyDescent="0.3">
      <c r="B85" s="66" t="s">
        <v>39</v>
      </c>
      <c r="C85" s="16">
        <v>2.6134479167245326</v>
      </c>
      <c r="D85" s="16">
        <v>4.0134813939150371</v>
      </c>
      <c r="E85" s="16">
        <v>4.7260356937130625</v>
      </c>
      <c r="F85" s="16">
        <v>4.6795012833539946</v>
      </c>
      <c r="G85" s="16">
        <v>4.4995614626254632</v>
      </c>
      <c r="H85" s="16">
        <v>4.7735815727005999</v>
      </c>
      <c r="I85" s="16">
        <v>4.1992049438070609</v>
      </c>
      <c r="J85" s="16">
        <v>3.6475688285712424</v>
      </c>
      <c r="K85" s="16">
        <v>4.6703944033342752</v>
      </c>
      <c r="L85" s="16">
        <v>9.4566700753128696</v>
      </c>
      <c r="M85" s="16">
        <v>9.1745094507078999</v>
      </c>
      <c r="N85" s="16">
        <v>7.4396909448883903</v>
      </c>
      <c r="O85" s="16">
        <v>6.2969222599095129</v>
      </c>
      <c r="P85" s="16">
        <v>5.8454532025135251</v>
      </c>
      <c r="Q85" s="16">
        <v>4.3733279519719872</v>
      </c>
      <c r="R85" s="16">
        <v>3.6053436742358702</v>
      </c>
      <c r="S85" s="16">
        <v>3.7071606297558253</v>
      </c>
      <c r="T85" s="16">
        <v>2.996408909807085</v>
      </c>
      <c r="U85" s="16">
        <v>2.8892161750780572</v>
      </c>
      <c r="V85" s="16">
        <v>2.736873311482225</v>
      </c>
      <c r="W85" s="16">
        <v>7.4645136445044242</v>
      </c>
      <c r="X85" s="16">
        <v>3.4621224632710175</v>
      </c>
      <c r="Y85" s="16">
        <v>2.6949180907117625</v>
      </c>
      <c r="Z85" s="16">
        <v>3.18322169755232</v>
      </c>
      <c r="AA85" s="16">
        <v>4.0555990339540173</v>
      </c>
      <c r="AB85" s="67">
        <v>3.8341349266601594</v>
      </c>
      <c r="AC85" s="3"/>
    </row>
    <row r="86" spans="2:29" x14ac:dyDescent="0.3">
      <c r="B86" s="66" t="s">
        <v>40</v>
      </c>
      <c r="C86" s="16">
        <v>3.5164965523497598</v>
      </c>
      <c r="D86" s="16">
        <v>3.6782871843702547</v>
      </c>
      <c r="E86" s="16">
        <v>5.2372257291924926</v>
      </c>
      <c r="F86" s="16">
        <v>5.6468229455192125</v>
      </c>
      <c r="G86" s="16">
        <v>5.7506219023951877</v>
      </c>
      <c r="H86" s="16">
        <v>5.5002413973212372</v>
      </c>
      <c r="I86" s="16">
        <v>4.8545080184066673</v>
      </c>
      <c r="J86" s="16">
        <v>4.8491755726647021</v>
      </c>
      <c r="K86" s="16">
        <v>5.803134998565568</v>
      </c>
      <c r="L86" s="16">
        <v>8.8087845528754762</v>
      </c>
      <c r="M86" s="16">
        <v>8.831244688826251</v>
      </c>
      <c r="N86" s="16">
        <v>7.8065012568850829</v>
      </c>
      <c r="O86" s="16">
        <v>6.4912512651814929</v>
      </c>
      <c r="P86" s="16">
        <v>6.4267651909467354</v>
      </c>
      <c r="Q86" s="16">
        <v>4.95970729488708</v>
      </c>
      <c r="R86" s="16">
        <v>4.207230195319255</v>
      </c>
      <c r="S86" s="16">
        <v>4.2209996695962957</v>
      </c>
      <c r="T86" s="16">
        <v>4.0701115020937229</v>
      </c>
      <c r="U86" s="16">
        <v>3.8325161903365172</v>
      </c>
      <c r="V86" s="16">
        <v>3.5817802975805475</v>
      </c>
      <c r="W86" s="16">
        <v>7.145352364673788</v>
      </c>
      <c r="X86" s="16">
        <v>4.7669108935507847</v>
      </c>
      <c r="Y86" s="16">
        <v>3.4031645842243248</v>
      </c>
      <c r="Z86" s="16">
        <v>3.2702133649835274</v>
      </c>
      <c r="AA86" s="16">
        <v>3.959697579675177</v>
      </c>
      <c r="AB86" s="67">
        <v>4.4125519535209587</v>
      </c>
      <c r="AC86" s="3"/>
    </row>
    <row r="87" spans="2:29" x14ac:dyDescent="0.3">
      <c r="B87" s="66" t="s">
        <v>41</v>
      </c>
      <c r="C87" s="16">
        <v>5.4264057600676026</v>
      </c>
      <c r="D87" s="16">
        <v>5.4367436306932628</v>
      </c>
      <c r="E87" s="16">
        <v>6.2499470424893477</v>
      </c>
      <c r="F87" s="16">
        <v>6.696186124082721</v>
      </c>
      <c r="G87" s="16">
        <v>6.4352266655147927</v>
      </c>
      <c r="H87" s="16">
        <v>5.6931658084204102</v>
      </c>
      <c r="I87" s="16">
        <v>5.0063373694723357</v>
      </c>
      <c r="J87" s="16">
        <v>4.386189437669505</v>
      </c>
      <c r="K87" s="16">
        <v>4.6529551823780722</v>
      </c>
      <c r="L87" s="16">
        <v>7.036316761248373</v>
      </c>
      <c r="M87" s="16">
        <v>8.6330361117850529</v>
      </c>
      <c r="N87" s="16">
        <v>8.5789680877781347</v>
      </c>
      <c r="O87" s="16">
        <v>6.7088113491658872</v>
      </c>
      <c r="P87" s="16">
        <v>6.3467990355918626</v>
      </c>
      <c r="Q87" s="16">
        <v>5.38089591092794</v>
      </c>
      <c r="R87" s="16">
        <v>5.1830818228641125</v>
      </c>
      <c r="S87" s="16">
        <v>5.9782044196590451</v>
      </c>
      <c r="T87" s="16">
        <v>5.90455414889857</v>
      </c>
      <c r="U87" s="16">
        <v>5.0329578478453376</v>
      </c>
      <c r="V87" s="16">
        <v>4.3307609792646451</v>
      </c>
      <c r="W87" s="16">
        <v>9.2152498309435202</v>
      </c>
      <c r="X87" s="16">
        <v>7.113489040172702</v>
      </c>
      <c r="Y87" s="16">
        <v>4.9115309794867521</v>
      </c>
      <c r="Z87" s="16">
        <v>4.3329245487231294</v>
      </c>
      <c r="AA87" s="16">
        <v>4.3645093657295746</v>
      </c>
      <c r="AB87" s="67">
        <v>4.3299885916445247</v>
      </c>
      <c r="AC87" s="3"/>
    </row>
    <row r="88" spans="2:29" x14ac:dyDescent="0.3">
      <c r="B88" s="66" t="s">
        <v>42</v>
      </c>
      <c r="C88" s="16">
        <v>3.9346888857198423</v>
      </c>
      <c r="D88" s="16">
        <v>4.4359525198185796</v>
      </c>
      <c r="E88" s="16">
        <v>5.2381117993241721</v>
      </c>
      <c r="F88" s="16">
        <v>5.7269064159809053</v>
      </c>
      <c r="G88" s="16">
        <v>5.4481125498598111</v>
      </c>
      <c r="H88" s="16">
        <v>4.890663772872605</v>
      </c>
      <c r="I88" s="16">
        <v>4.729724017854787</v>
      </c>
      <c r="J88" s="16">
        <v>4.1466841627178272</v>
      </c>
      <c r="K88" s="16">
        <v>4.5359021493116201</v>
      </c>
      <c r="L88" s="16">
        <v>7.4877414241415474</v>
      </c>
      <c r="M88" s="16">
        <v>7.0417236551071802</v>
      </c>
      <c r="N88" s="16">
        <v>6.3536163263550751</v>
      </c>
      <c r="O88" s="16">
        <v>5.9168360680998795</v>
      </c>
      <c r="P88" s="16">
        <v>5.6144178092289545</v>
      </c>
      <c r="Q88" s="16">
        <v>4.9595903825535848</v>
      </c>
      <c r="R88" s="16">
        <v>4.0917925461410025</v>
      </c>
      <c r="S88" s="16">
        <v>4.0108682779700073</v>
      </c>
      <c r="T88" s="16">
        <v>3.3030725833609424</v>
      </c>
      <c r="U88" s="16">
        <v>3.17702481290205</v>
      </c>
      <c r="V88" s="16">
        <v>3.0682975379787196</v>
      </c>
      <c r="W88" s="16">
        <v>5.7245851444898497</v>
      </c>
      <c r="X88" s="16">
        <v>4.0426967414679948</v>
      </c>
      <c r="Y88" s="16">
        <v>3.4671039422698025</v>
      </c>
      <c r="Z88" s="16">
        <v>3.1626559207130978</v>
      </c>
      <c r="AA88" s="16">
        <v>3.6080033064136874</v>
      </c>
      <c r="AB88" s="67">
        <v>3.9292478245008269</v>
      </c>
      <c r="AC88" s="3"/>
    </row>
    <row r="89" spans="2:29" x14ac:dyDescent="0.3">
      <c r="B89" s="66" t="s">
        <v>305</v>
      </c>
      <c r="C89" s="16">
        <v>3.6753273093649623</v>
      </c>
      <c r="D89" s="16">
        <v>4.1222469215032902</v>
      </c>
      <c r="E89" s="16">
        <v>4.4307596051870402</v>
      </c>
      <c r="F89" s="16">
        <v>3.8426497483561652</v>
      </c>
      <c r="G89" s="16">
        <v>3.3720422982334375</v>
      </c>
      <c r="H89" s="16">
        <v>2.8293018323643127</v>
      </c>
      <c r="I89" s="16">
        <v>2.4077264872861401</v>
      </c>
      <c r="J89" s="16">
        <v>2.9681340673171301</v>
      </c>
      <c r="K89" s="16">
        <v>4.7242337571899498</v>
      </c>
      <c r="L89" s="16">
        <v>7.1473457014703348</v>
      </c>
      <c r="M89" s="16">
        <v>8.6497677000161364</v>
      </c>
      <c r="N89" s="16">
        <v>8.1083978573381632</v>
      </c>
      <c r="O89" s="16">
        <v>7.1030566677047471</v>
      </c>
      <c r="P89" s="16">
        <v>6.0750777700510721</v>
      </c>
      <c r="Q89" s="16">
        <v>5.4184267080582202</v>
      </c>
      <c r="R89" s="16">
        <v>4.6028428707473648</v>
      </c>
      <c r="S89" s="16">
        <v>4.0704831973758679</v>
      </c>
      <c r="T89" s="16">
        <v>3.5145353606398899</v>
      </c>
      <c r="U89" s="16">
        <v>3.0500756177896902</v>
      </c>
      <c r="V89" s="16">
        <v>2.7608904974105677</v>
      </c>
      <c r="W89" s="16">
        <v>5.7763365616293552</v>
      </c>
      <c r="X89" s="16">
        <v>3.4830781404668878</v>
      </c>
      <c r="Y89" s="16">
        <v>2.5468638319153398</v>
      </c>
      <c r="Z89" s="16">
        <v>2.6717244560688425</v>
      </c>
      <c r="AA89" s="16">
        <v>3.0982406222047651</v>
      </c>
      <c r="AB89" s="67">
        <v>3.4401935571165256</v>
      </c>
      <c r="AC89" s="3"/>
    </row>
    <row r="90" spans="2:29" x14ac:dyDescent="0.3">
      <c r="B90" s="66" t="s">
        <v>306</v>
      </c>
      <c r="C90" s="16">
        <v>3.5933267917461</v>
      </c>
      <c r="D90" s="16">
        <v>4.6518629216605198</v>
      </c>
      <c r="E90" s="16">
        <v>6.4929376623198678</v>
      </c>
      <c r="F90" s="16">
        <v>6.6754840339705899</v>
      </c>
      <c r="G90" s="16">
        <v>5.8220521983053253</v>
      </c>
      <c r="H90" s="16">
        <v>5.2806811255350299</v>
      </c>
      <c r="I90" s="16">
        <v>4.8413977296580555</v>
      </c>
      <c r="J90" s="16">
        <v>4.3166626463186422</v>
      </c>
      <c r="K90" s="16">
        <v>4.9547436748413851</v>
      </c>
      <c r="L90" s="16">
        <v>7.8178312995112247</v>
      </c>
      <c r="M90" s="16">
        <v>8.1680485613209086</v>
      </c>
      <c r="N90" s="16">
        <v>7.8525480725122421</v>
      </c>
      <c r="O90" s="16">
        <v>6.5532347548759171</v>
      </c>
      <c r="P90" s="16">
        <v>6.1515281807184277</v>
      </c>
      <c r="Q90" s="16">
        <v>5.0944488692241379</v>
      </c>
      <c r="R90" s="16">
        <v>4.080870843170108</v>
      </c>
      <c r="S90" s="16">
        <v>3.9149106690759923</v>
      </c>
      <c r="T90" s="16">
        <v>3.7376137996525975</v>
      </c>
      <c r="U90" s="16">
        <v>3.5769006391272598</v>
      </c>
      <c r="V90" s="16">
        <v>3.2898158665934023</v>
      </c>
      <c r="W90" s="16">
        <v>7.1742945364867428</v>
      </c>
      <c r="X90" s="16">
        <v>5.0818509629913526</v>
      </c>
      <c r="Y90" s="16">
        <v>3.5865143913361379</v>
      </c>
      <c r="Z90" s="16">
        <v>3.7797008524482125</v>
      </c>
      <c r="AA90" s="16">
        <v>3.9035241738257671</v>
      </c>
      <c r="AB90" s="67">
        <v>3.865323158485678</v>
      </c>
      <c r="AC90" s="3"/>
    </row>
    <row r="91" spans="2:29" x14ac:dyDescent="0.3">
      <c r="B91" s="66" t="s">
        <v>43</v>
      </c>
      <c r="C91" s="16">
        <v>3.4512680826564228</v>
      </c>
      <c r="D91" s="16">
        <v>4.3163549419262299</v>
      </c>
      <c r="E91" s="16">
        <v>4.4052747074661553</v>
      </c>
      <c r="F91" s="16">
        <v>4.1449367600467326</v>
      </c>
      <c r="G91" s="16">
        <v>4.1458686830939877</v>
      </c>
      <c r="H91" s="16">
        <v>4.7067734106658277</v>
      </c>
      <c r="I91" s="16">
        <v>4.3655247971363744</v>
      </c>
      <c r="J91" s="16">
        <v>4.5777034003746806</v>
      </c>
      <c r="K91" s="16">
        <v>7.7456774521884473</v>
      </c>
      <c r="L91" s="16">
        <v>12.810088765707375</v>
      </c>
      <c r="M91" s="16">
        <v>12.210748784277975</v>
      </c>
      <c r="N91" s="16">
        <v>12.117324770921176</v>
      </c>
      <c r="O91" s="16">
        <v>11.020404728963374</v>
      </c>
      <c r="P91" s="16">
        <v>9.91909776210899</v>
      </c>
      <c r="Q91" s="16">
        <v>8.2989698378037513</v>
      </c>
      <c r="R91" s="16">
        <v>6.7224383385887148</v>
      </c>
      <c r="S91" s="16">
        <v>5.6900303241353409</v>
      </c>
      <c r="T91" s="16">
        <v>5.0024400263084727</v>
      </c>
      <c r="U91" s="16">
        <v>4.3640908980381976</v>
      </c>
      <c r="V91" s="16">
        <v>4.2167046164729376</v>
      </c>
      <c r="W91" s="16">
        <v>6.4636612921295731</v>
      </c>
      <c r="X91" s="16">
        <v>3.5962814626180672</v>
      </c>
      <c r="Y91" s="16">
        <v>3.4796189150573298</v>
      </c>
      <c r="Z91" s="16">
        <v>3.5047566048778522</v>
      </c>
      <c r="AA91" s="16">
        <v>4.0332846400153599</v>
      </c>
      <c r="AB91" s="67">
        <v>4.0563998112156083</v>
      </c>
      <c r="AC91" s="3"/>
    </row>
    <row r="92" spans="2:29" x14ac:dyDescent="0.3">
      <c r="B92" s="66" t="s">
        <v>307</v>
      </c>
      <c r="C92" s="16">
        <v>3.7395592615840645</v>
      </c>
      <c r="D92" s="16">
        <v>4.2863435351867922</v>
      </c>
      <c r="E92" s="16">
        <v>4.9931002160938682</v>
      </c>
      <c r="F92" s="16">
        <v>4.9183706214836524</v>
      </c>
      <c r="G92" s="16">
        <v>5.0535254375408876</v>
      </c>
      <c r="H92" s="16">
        <v>3.9709829394442098</v>
      </c>
      <c r="I92" s="16">
        <v>3.2181841320035174</v>
      </c>
      <c r="J92" s="16">
        <v>3.1765989080683723</v>
      </c>
      <c r="K92" s="16">
        <v>4.85813569808351</v>
      </c>
      <c r="L92" s="16">
        <v>8.6320503402009994</v>
      </c>
      <c r="M92" s="16">
        <v>9.8844184356840188</v>
      </c>
      <c r="N92" s="16">
        <v>8.9418966450339745</v>
      </c>
      <c r="O92" s="16">
        <v>7.7501241729833747</v>
      </c>
      <c r="P92" s="16">
        <v>6.7647825207755048</v>
      </c>
      <c r="Q92" s="16">
        <v>6.1137121641206145</v>
      </c>
      <c r="R92" s="16">
        <v>5.5438530273859552</v>
      </c>
      <c r="S92" s="16">
        <v>4.8722789409370471</v>
      </c>
      <c r="T92" s="16">
        <v>3.8243412527287601</v>
      </c>
      <c r="U92" s="16">
        <v>3.3532799162177098</v>
      </c>
      <c r="V92" s="16">
        <v>2.6891899086349751</v>
      </c>
      <c r="W92" s="16">
        <v>5.7009822762217146</v>
      </c>
      <c r="X92" s="16">
        <v>2.7119810296944626</v>
      </c>
      <c r="Y92" s="16">
        <v>2.1507094038433499</v>
      </c>
      <c r="Z92" s="16">
        <v>2.1563190215951225</v>
      </c>
      <c r="AA92" s="16">
        <v>2.7305902258939647</v>
      </c>
      <c r="AB92" s="67">
        <v>2.8481571785781803</v>
      </c>
      <c r="AC92" s="3"/>
    </row>
    <row r="93" spans="2:29" x14ac:dyDescent="0.3">
      <c r="B93" s="66" t="s">
        <v>308</v>
      </c>
      <c r="C93" s="16">
        <v>3.9678101793793226</v>
      </c>
      <c r="D93" s="16">
        <v>4.4124747579604024</v>
      </c>
      <c r="E93" s="16">
        <v>5.0509638858019699</v>
      </c>
      <c r="F93" s="16">
        <v>5.4642778582294973</v>
      </c>
      <c r="G93" s="16">
        <v>5.0654639992438373</v>
      </c>
      <c r="H93" s="16">
        <v>4.5162529514169298</v>
      </c>
      <c r="I93" s="16">
        <v>4.1384874641850953</v>
      </c>
      <c r="J93" s="16">
        <v>4.2840613780703052</v>
      </c>
      <c r="K93" s="16">
        <v>5.1755321061568056</v>
      </c>
      <c r="L93" s="16">
        <v>8.2526877064588628</v>
      </c>
      <c r="M93" s="16">
        <v>8.275831576680984</v>
      </c>
      <c r="N93" s="16">
        <v>7.408666562481538</v>
      </c>
      <c r="O93" s="16">
        <v>6.9274699453265569</v>
      </c>
      <c r="P93" s="16">
        <v>6.945328818646928</v>
      </c>
      <c r="Q93" s="16">
        <v>6.1413102310681351</v>
      </c>
      <c r="R93" s="16">
        <v>5.5268751393693005</v>
      </c>
      <c r="S93" s="16">
        <v>5.364705797219175</v>
      </c>
      <c r="T93" s="16">
        <v>4.3922620908199255</v>
      </c>
      <c r="U93" s="16">
        <v>4.1995571903924773</v>
      </c>
      <c r="V93" s="16">
        <v>4.0539663777590098</v>
      </c>
      <c r="W93" s="16">
        <v>7.7641497735747702</v>
      </c>
      <c r="X93" s="16">
        <v>5.1593506033524363</v>
      </c>
      <c r="Y93" s="16">
        <v>3.8658425480979677</v>
      </c>
      <c r="Z93" s="16">
        <v>4.2527227751502679</v>
      </c>
      <c r="AA93" s="16">
        <v>4.6231666074926148</v>
      </c>
      <c r="AB93" s="67">
        <v>4.7716131439692839</v>
      </c>
      <c r="AC93" s="3"/>
    </row>
    <row r="94" spans="2:29" x14ac:dyDescent="0.3">
      <c r="B94" s="66" t="s">
        <v>453</v>
      </c>
      <c r="C94" s="16">
        <v>4.1874214710365543</v>
      </c>
      <c r="D94" s="16">
        <v>4.6092403455311821</v>
      </c>
      <c r="E94" s="16">
        <v>6.0024443867526625</v>
      </c>
      <c r="F94" s="16">
        <v>6.4506519866271441</v>
      </c>
      <c r="G94" s="16">
        <v>6.5045066232926576</v>
      </c>
      <c r="H94" s="16">
        <v>6.2618329641274348</v>
      </c>
      <c r="I94" s="16">
        <v>5.8145447273668349</v>
      </c>
      <c r="J94" s="16">
        <v>5.9194892156585066</v>
      </c>
      <c r="K94" s="16">
        <v>7.2311779420661004</v>
      </c>
      <c r="L94" s="16">
        <v>11.397279619873176</v>
      </c>
      <c r="M94" s="16">
        <v>10.722251593185174</v>
      </c>
      <c r="N94" s="16">
        <v>9.2838710995629974</v>
      </c>
      <c r="O94" s="16">
        <v>7.8279963125411847</v>
      </c>
      <c r="P94" s="16">
        <v>7.7909287515064554</v>
      </c>
      <c r="Q94" s="16">
        <v>5.872860169209865</v>
      </c>
      <c r="R94" s="16">
        <v>4.8392524496865201</v>
      </c>
      <c r="S94" s="16">
        <v>4.7633543565612229</v>
      </c>
      <c r="T94" s="16">
        <v>4.6152637696170098</v>
      </c>
      <c r="U94" s="16">
        <v>4.2992310922160053</v>
      </c>
      <c r="V94" s="16">
        <v>4.0389401646542273</v>
      </c>
      <c r="W94" s="16">
        <v>8.0071461252012028</v>
      </c>
      <c r="X94" s="16">
        <v>5.2659826978400996</v>
      </c>
      <c r="Y94" s="16">
        <v>3.8642819104881627</v>
      </c>
      <c r="Z94" s="16">
        <v>3.7037056282058023</v>
      </c>
      <c r="AA94" s="16">
        <v>4.3299012814000024</v>
      </c>
      <c r="AB94" s="67">
        <v>4.9151554437386524</v>
      </c>
      <c r="AC94" s="3"/>
    </row>
    <row r="95" spans="2:29" x14ac:dyDescent="0.3">
      <c r="B95" s="66" t="s">
        <v>44</v>
      </c>
      <c r="C95" s="16">
        <v>4.4484248374257245</v>
      </c>
      <c r="D95" s="16">
        <v>5.3036056033920103</v>
      </c>
      <c r="E95" s="16">
        <v>6.427688011736862</v>
      </c>
      <c r="F95" s="16">
        <v>6.5168693621577178</v>
      </c>
      <c r="G95" s="16">
        <v>6.0689795573079319</v>
      </c>
      <c r="H95" s="16">
        <v>4.7200872842789678</v>
      </c>
      <c r="I95" s="16">
        <v>4.1909764434166776</v>
      </c>
      <c r="J95" s="16">
        <v>3.7205644289761626</v>
      </c>
      <c r="K95" s="16">
        <v>5.7669909916454642</v>
      </c>
      <c r="L95" s="16">
        <v>10.105037350529665</v>
      </c>
      <c r="M95" s="16">
        <v>10.948331721723051</v>
      </c>
      <c r="N95" s="16">
        <v>9.6544611067848471</v>
      </c>
      <c r="O95" s="16">
        <v>8.2690243099470475</v>
      </c>
      <c r="P95" s="16">
        <v>7.2952811548720948</v>
      </c>
      <c r="Q95" s="16">
        <v>6.892912748259068</v>
      </c>
      <c r="R95" s="16">
        <v>6.2769406293006398</v>
      </c>
      <c r="S95" s="16">
        <v>5.8773029277477562</v>
      </c>
      <c r="T95" s="16">
        <v>4.4742126845947698</v>
      </c>
      <c r="U95" s="16">
        <v>3.7188621823511099</v>
      </c>
      <c r="V95" s="16">
        <v>2.954372793631598</v>
      </c>
      <c r="W95" s="16">
        <v>5.1297979555616875</v>
      </c>
      <c r="X95" s="16">
        <v>2.6830266754746175</v>
      </c>
      <c r="Y95" s="16">
        <v>2.1434003228679175</v>
      </c>
      <c r="Z95" s="16">
        <v>2.07045574001239</v>
      </c>
      <c r="AA95" s="16">
        <v>2.6016349943003023</v>
      </c>
      <c r="AB95" s="67">
        <v>2.7030731606131941</v>
      </c>
      <c r="AC95" s="3"/>
    </row>
    <row r="96" spans="2:29" x14ac:dyDescent="0.3">
      <c r="B96" s="66" t="s">
        <v>45</v>
      </c>
      <c r="C96" s="16">
        <v>5.0010884068286874</v>
      </c>
      <c r="D96" s="16">
        <v>6.0385698358546174</v>
      </c>
      <c r="E96" s="16">
        <v>7.5459775773091948</v>
      </c>
      <c r="F96" s="16">
        <v>7.6107849650666077</v>
      </c>
      <c r="G96" s="16">
        <v>6.7303105212146495</v>
      </c>
      <c r="H96" s="16">
        <v>5.9712742920240025</v>
      </c>
      <c r="I96" s="16">
        <v>5.34059983873217</v>
      </c>
      <c r="J96" s="16">
        <v>5.6685949620830947</v>
      </c>
      <c r="K96" s="16">
        <v>7.0942304009477928</v>
      </c>
      <c r="L96" s="16">
        <v>11.264655267828083</v>
      </c>
      <c r="M96" s="16">
        <v>11.1761863995313</v>
      </c>
      <c r="N96" s="16">
        <v>9.9881099427236375</v>
      </c>
      <c r="O96" s="16">
        <v>9.951540171460886</v>
      </c>
      <c r="P96" s="16">
        <v>11.213389099764125</v>
      </c>
      <c r="Q96" s="16">
        <v>8.4257288037109426</v>
      </c>
      <c r="R96" s="16">
        <v>6.9077870858793471</v>
      </c>
      <c r="S96" s="16">
        <v>6.6103207462028273</v>
      </c>
      <c r="T96" s="16">
        <v>5.5715333782717096</v>
      </c>
      <c r="U96" s="16">
        <v>5.7251706538184681</v>
      </c>
      <c r="V96" s="16">
        <v>5.1681040477794751</v>
      </c>
      <c r="W96" s="16">
        <v>9.83803649672247</v>
      </c>
      <c r="X96" s="16">
        <v>7.7444281776905104</v>
      </c>
      <c r="Y96" s="16">
        <v>5.7566817901136647</v>
      </c>
      <c r="Z96" s="16">
        <v>6.0566428966865473</v>
      </c>
      <c r="AA96" s="16">
        <v>5.8386333112381479</v>
      </c>
      <c r="AB96" s="67">
        <v>5.4989132025856797</v>
      </c>
      <c r="AC96" s="3"/>
    </row>
    <row r="97" spans="2:29" x14ac:dyDescent="0.3">
      <c r="B97" s="66" t="s">
        <v>309</v>
      </c>
      <c r="C97" s="16">
        <v>3.4369916914621799</v>
      </c>
      <c r="D97" s="16">
        <v>4.466350662047792</v>
      </c>
      <c r="E97" s="16">
        <v>5.7173902277391777</v>
      </c>
      <c r="F97" s="16">
        <v>5.4153975491260375</v>
      </c>
      <c r="G97" s="16">
        <v>4.7442613322306579</v>
      </c>
      <c r="H97" s="16">
        <v>3.8066078308390625</v>
      </c>
      <c r="I97" s="16">
        <v>3.4866466961512352</v>
      </c>
      <c r="J97" s="16">
        <v>4.4276074691063698</v>
      </c>
      <c r="K97" s="16">
        <v>7.1336065358617553</v>
      </c>
      <c r="L97" s="16">
        <v>11.075959796540376</v>
      </c>
      <c r="M97" s="16">
        <v>12.319595427304149</v>
      </c>
      <c r="N97" s="16">
        <v>11.456900965316748</v>
      </c>
      <c r="O97" s="16">
        <v>9.8962959302775619</v>
      </c>
      <c r="P97" s="16">
        <v>8.5995224249711057</v>
      </c>
      <c r="Q97" s="16">
        <v>7.2262816638620677</v>
      </c>
      <c r="R97" s="16">
        <v>5.9726294271591369</v>
      </c>
      <c r="S97" s="16">
        <v>5.2701158948566498</v>
      </c>
      <c r="T97" s="16">
        <v>4.6009217370222775</v>
      </c>
      <c r="U97" s="16">
        <v>3.9487114034815223</v>
      </c>
      <c r="V97" s="16">
        <v>3.6386273830805149</v>
      </c>
      <c r="W97" s="16">
        <v>8.1083553411653071</v>
      </c>
      <c r="X97" s="16">
        <v>4.8557179281367695</v>
      </c>
      <c r="Y97" s="16">
        <v>3.3877778297611125</v>
      </c>
      <c r="Z97" s="16">
        <v>3.4419096163677176</v>
      </c>
      <c r="AA97" s="16">
        <v>3.86759582502276</v>
      </c>
      <c r="AB97" s="67">
        <v>4.2274381532664149</v>
      </c>
      <c r="AC97" s="3"/>
    </row>
    <row r="98" spans="2:29" x14ac:dyDescent="0.3">
      <c r="B98" s="66" t="s">
        <v>483</v>
      </c>
      <c r="C98" s="16">
        <v>2.5612275864252978</v>
      </c>
      <c r="D98" s="16">
        <v>3.8156656265173603</v>
      </c>
      <c r="E98" s="16">
        <v>5.9764625556126703</v>
      </c>
      <c r="F98" s="16">
        <v>6.4438753192575167</v>
      </c>
      <c r="G98" s="16">
        <v>5.8089656268344356</v>
      </c>
      <c r="H98" s="16">
        <v>5.1886539955408653</v>
      </c>
      <c r="I98" s="16">
        <v>4.322784042778685</v>
      </c>
      <c r="J98" s="16">
        <v>3.7456354347084524</v>
      </c>
      <c r="K98" s="16">
        <v>4.952390749287142</v>
      </c>
      <c r="L98" s="16">
        <v>8.1587920666067877</v>
      </c>
      <c r="M98" s="16">
        <v>9.077224069420101</v>
      </c>
      <c r="N98" s="16">
        <v>8.6341492944741489</v>
      </c>
      <c r="O98" s="16">
        <v>7.8331648920020047</v>
      </c>
      <c r="P98" s="16">
        <v>6.495081446691545</v>
      </c>
      <c r="Q98" s="16">
        <v>4.7756720382812574</v>
      </c>
      <c r="R98" s="16">
        <v>3.5204080872608103</v>
      </c>
      <c r="S98" s="16">
        <v>2.9050131300025352</v>
      </c>
      <c r="T98" s="16">
        <v>2.4808305424714727</v>
      </c>
      <c r="U98" s="16">
        <v>2.883978408727963</v>
      </c>
      <c r="V98" s="16">
        <v>2.5274401302896852</v>
      </c>
      <c r="W98" s="16">
        <v>6.9377131583524649</v>
      </c>
      <c r="X98" s="16">
        <v>5.4740863074641428</v>
      </c>
      <c r="Y98" s="16">
        <v>2.9822930704512576</v>
      </c>
      <c r="Z98" s="16">
        <v>3.2421414931017378</v>
      </c>
      <c r="AA98" s="16">
        <v>4.2116140677616674</v>
      </c>
      <c r="AB98" s="67">
        <v>4.5491719514667359</v>
      </c>
      <c r="AC98" s="3"/>
    </row>
    <row r="99" spans="2:29" x14ac:dyDescent="0.3">
      <c r="B99" s="66" t="s">
        <v>310</v>
      </c>
      <c r="C99" s="16">
        <v>2.3411836136686728</v>
      </c>
      <c r="D99" s="16">
        <v>2.8750878877762576</v>
      </c>
      <c r="E99" s="16">
        <v>3.6331806327720448</v>
      </c>
      <c r="F99" s="16">
        <v>4.0729316413386822</v>
      </c>
      <c r="G99" s="16">
        <v>4.3974679040513927</v>
      </c>
      <c r="H99" s="16">
        <v>4.0629275932832121</v>
      </c>
      <c r="I99" s="16">
        <v>3.4603652780822873</v>
      </c>
      <c r="J99" s="16">
        <v>3.5966910645320125</v>
      </c>
      <c r="K99" s="16">
        <v>4.1234295408813955</v>
      </c>
      <c r="L99" s="16">
        <v>6.1997657512296849</v>
      </c>
      <c r="M99" s="16">
        <v>5.9432444618720774</v>
      </c>
      <c r="N99" s="16">
        <v>5.5985557145163103</v>
      </c>
      <c r="O99" s="16">
        <v>5.0444362894845973</v>
      </c>
      <c r="P99" s="16">
        <v>4.6667599251501946</v>
      </c>
      <c r="Q99" s="16">
        <v>4.1200415931468628</v>
      </c>
      <c r="R99" s="16">
        <v>3.5671771547864175</v>
      </c>
      <c r="S99" s="16">
        <v>3.2883300463873026</v>
      </c>
      <c r="T99" s="16">
        <v>2.8729867287708872</v>
      </c>
      <c r="U99" s="16">
        <v>2.45064423785935</v>
      </c>
      <c r="V99" s="16">
        <v>2.6068011643361748</v>
      </c>
      <c r="W99" s="16">
        <v>5.3683749280710975</v>
      </c>
      <c r="X99" s="16">
        <v>3.7877003409845047</v>
      </c>
      <c r="Y99" s="16">
        <v>2.66448650644179</v>
      </c>
      <c r="Z99" s="16">
        <v>2.7467937410006873</v>
      </c>
      <c r="AA99" s="16">
        <v>2.9586337561698777</v>
      </c>
      <c r="AB99" s="67">
        <v>3.5076804128964199</v>
      </c>
      <c r="AC99" s="3"/>
    </row>
    <row r="100" spans="2:29" x14ac:dyDescent="0.3">
      <c r="B100" s="66" t="s">
        <v>311</v>
      </c>
      <c r="C100" s="16">
        <v>3.4749999999999996</v>
      </c>
      <c r="D100" s="16">
        <v>4.9999999999999973</v>
      </c>
      <c r="E100" s="16">
        <v>6.2333333333333325</v>
      </c>
      <c r="F100" s="16">
        <v>7.1666666666666679</v>
      </c>
      <c r="G100" s="16">
        <v>7.1666666666666679</v>
      </c>
      <c r="H100" s="16">
        <v>7.0333333333333341</v>
      </c>
      <c r="I100" s="16">
        <v>7</v>
      </c>
      <c r="J100" s="16">
        <v>7.3083333333333336</v>
      </c>
      <c r="K100" s="16">
        <v>8.5833333333333428</v>
      </c>
      <c r="L100" s="16">
        <v>14.566666666666674</v>
      </c>
      <c r="M100" s="16">
        <v>14.058333333333325</v>
      </c>
      <c r="N100" s="16">
        <v>11.074999999999999</v>
      </c>
      <c r="O100" s="16">
        <v>10.008333333333326</v>
      </c>
      <c r="P100" s="16">
        <v>9.6583333333333332</v>
      </c>
      <c r="Q100" s="16">
        <v>8.1</v>
      </c>
      <c r="R100" s="16">
        <v>5.8833333333333329</v>
      </c>
      <c r="S100" s="16">
        <v>5.3083333333333327</v>
      </c>
      <c r="T100" s="16">
        <v>4.5249999999999995</v>
      </c>
      <c r="U100" s="16">
        <v>4.3083333333333345</v>
      </c>
      <c r="V100" s="16">
        <v>4.2416666666666671</v>
      </c>
      <c r="W100" s="16">
        <v>11.633333333333319</v>
      </c>
      <c r="X100" s="16">
        <v>6.1000000000000032</v>
      </c>
      <c r="Y100" s="16">
        <v>3.8166666666666673</v>
      </c>
      <c r="Z100" s="16">
        <v>3.574999999999998</v>
      </c>
      <c r="AA100" s="16">
        <v>4.4833333333333352</v>
      </c>
      <c r="AB100" s="67">
        <v>4.958333333333333</v>
      </c>
      <c r="AC100" s="3"/>
    </row>
    <row r="101" spans="2:29" x14ac:dyDescent="0.3">
      <c r="B101" s="66" t="s">
        <v>46</v>
      </c>
      <c r="C101" s="16">
        <v>4.6556883278068151</v>
      </c>
      <c r="D101" s="16">
        <v>4.8220333401545936</v>
      </c>
      <c r="E101" s="16">
        <v>4.9063682963947048</v>
      </c>
      <c r="F101" s="16">
        <v>5.0493472012878033</v>
      </c>
      <c r="G101" s="16">
        <v>4.7610464100937904</v>
      </c>
      <c r="H101" s="16">
        <v>3.8711185247686153</v>
      </c>
      <c r="I101" s="16">
        <v>3.5421724500853502</v>
      </c>
      <c r="J101" s="16">
        <v>3.6647427314839303</v>
      </c>
      <c r="K101" s="16">
        <v>5.5642626544090952</v>
      </c>
      <c r="L101" s="16">
        <v>8.6171316779507308</v>
      </c>
      <c r="M101" s="16">
        <v>9.4227457903772098</v>
      </c>
      <c r="N101" s="16">
        <v>8.8052152639804824</v>
      </c>
      <c r="O101" s="16">
        <v>7.8489674632718121</v>
      </c>
      <c r="P101" s="16">
        <v>7.1444619612477425</v>
      </c>
      <c r="Q101" s="16">
        <v>6.8297120777727276</v>
      </c>
      <c r="R101" s="16">
        <v>6.2493408124691747</v>
      </c>
      <c r="S101" s="16">
        <v>5.6957704070791646</v>
      </c>
      <c r="T101" s="16">
        <v>4.432584856443885</v>
      </c>
      <c r="U101" s="16">
        <v>3.9619567921973076</v>
      </c>
      <c r="V101" s="16">
        <v>3.1881162851388725</v>
      </c>
      <c r="W101" s="16">
        <v>5.5246645474584479</v>
      </c>
      <c r="X101" s="16">
        <v>3.1521196334122323</v>
      </c>
      <c r="Y101" s="16">
        <v>2.4387039393859502</v>
      </c>
      <c r="Z101" s="16">
        <v>2.4681211623611423</v>
      </c>
      <c r="AA101" s="16">
        <v>3.0959350173973323</v>
      </c>
      <c r="AB101" s="67">
        <v>3.1764635844622937</v>
      </c>
      <c r="AC101" s="3"/>
    </row>
    <row r="102" spans="2:29" x14ac:dyDescent="0.3">
      <c r="B102" s="66" t="s">
        <v>47</v>
      </c>
      <c r="C102" s="16">
        <v>3.7156423447961697</v>
      </c>
      <c r="D102" s="16">
        <v>3.6557466747650174</v>
      </c>
      <c r="E102" s="16">
        <v>4.0128508737669151</v>
      </c>
      <c r="F102" s="16">
        <v>4.2670251162773472</v>
      </c>
      <c r="G102" s="16">
        <v>3.5272228438493927</v>
      </c>
      <c r="H102" s="16">
        <v>3.5989543543480425</v>
      </c>
      <c r="I102" s="16">
        <v>3.217062417645665</v>
      </c>
      <c r="J102" s="16">
        <v>3.3236726429126695</v>
      </c>
      <c r="K102" s="16">
        <v>4.8142009210576795</v>
      </c>
      <c r="L102" s="16">
        <v>8.0285249923397473</v>
      </c>
      <c r="M102" s="16">
        <v>8.7739415830656249</v>
      </c>
      <c r="N102" s="16">
        <v>8.1311299290527028</v>
      </c>
      <c r="O102" s="16">
        <v>7.6724732758680894</v>
      </c>
      <c r="P102" s="16">
        <v>7.1640969977257711</v>
      </c>
      <c r="Q102" s="16">
        <v>6.3028863748509547</v>
      </c>
      <c r="R102" s="16">
        <v>5.3276894090903806</v>
      </c>
      <c r="S102" s="16">
        <v>4.65103815495441</v>
      </c>
      <c r="T102" s="16">
        <v>4.5206908379679573</v>
      </c>
      <c r="U102" s="16">
        <v>3.850377565998345</v>
      </c>
      <c r="V102" s="16">
        <v>3.739609262507205</v>
      </c>
      <c r="W102" s="16">
        <v>7.8836008355047875</v>
      </c>
      <c r="X102" s="16">
        <v>5.9899029253706768</v>
      </c>
      <c r="Y102" s="16">
        <v>4.5966408664407279</v>
      </c>
      <c r="Z102" s="16">
        <v>4.1370384156671332</v>
      </c>
      <c r="AA102" s="16">
        <v>4.0261898105995133</v>
      </c>
      <c r="AB102" s="67">
        <v>4.3111715249600886</v>
      </c>
      <c r="AC102" s="3"/>
    </row>
    <row r="103" spans="2:29" x14ac:dyDescent="0.3">
      <c r="B103" s="66" t="s">
        <v>48</v>
      </c>
      <c r="C103" s="16">
        <v>3.2619431182503673</v>
      </c>
      <c r="D103" s="16">
        <v>4.149635725269845</v>
      </c>
      <c r="E103" s="16">
        <v>4.0440574679002044</v>
      </c>
      <c r="F103" s="16">
        <v>4.2950086647350876</v>
      </c>
      <c r="G103" s="16">
        <v>4.3655110036029248</v>
      </c>
      <c r="H103" s="16">
        <v>4.3672932287018877</v>
      </c>
      <c r="I103" s="16">
        <v>3.6846251981555276</v>
      </c>
      <c r="J103" s="16">
        <v>3.9877479995103071</v>
      </c>
      <c r="K103" s="16">
        <v>4.3352718961008847</v>
      </c>
      <c r="L103" s="16">
        <v>6.677186459853675</v>
      </c>
      <c r="M103" s="16">
        <v>5.8519314565145946</v>
      </c>
      <c r="N103" s="16">
        <v>5.101717637610788</v>
      </c>
      <c r="O103" s="16">
        <v>4.5151253787422032</v>
      </c>
      <c r="P103" s="16">
        <v>4.5276873572730425</v>
      </c>
      <c r="Q103" s="16">
        <v>4.1381390166412819</v>
      </c>
      <c r="R103" s="16">
        <v>3.6458990850223074</v>
      </c>
      <c r="S103" s="16">
        <v>3.6816540548795595</v>
      </c>
      <c r="T103" s="16">
        <v>3.0848328824044899</v>
      </c>
      <c r="U103" s="16">
        <v>2.5651176912984752</v>
      </c>
      <c r="V103" s="16">
        <v>2.6654403245417675</v>
      </c>
      <c r="W103" s="16">
        <v>5.9674170499450128</v>
      </c>
      <c r="X103" s="16">
        <v>4.1789757681597255</v>
      </c>
      <c r="Y103" s="16">
        <v>3.0446258329383804</v>
      </c>
      <c r="Z103" s="16">
        <v>2.9884963800310675</v>
      </c>
      <c r="AA103" s="16">
        <v>3.2657924673904124</v>
      </c>
      <c r="AB103" s="67">
        <v>3.5921985668187975</v>
      </c>
      <c r="AC103" s="3"/>
    </row>
    <row r="104" spans="2:29" x14ac:dyDescent="0.3">
      <c r="B104" s="66" t="s">
        <v>312</v>
      </c>
      <c r="C104" s="16">
        <v>4.3818189488235175</v>
      </c>
      <c r="D104" s="16">
        <v>5.5634808783931877</v>
      </c>
      <c r="E104" s="16">
        <v>5.6624403947647597</v>
      </c>
      <c r="F104" s="16">
        <v>6.096763592364292</v>
      </c>
      <c r="G104" s="16">
        <v>5.8389297291909346</v>
      </c>
      <c r="H104" s="16">
        <v>5.1862185303425177</v>
      </c>
      <c r="I104" s="16">
        <v>5.0873288800322998</v>
      </c>
      <c r="J104" s="16">
        <v>5.4899264762509148</v>
      </c>
      <c r="K104" s="16">
        <v>6.2103330644791992</v>
      </c>
      <c r="L104" s="16">
        <v>8.8871997178899385</v>
      </c>
      <c r="M104" s="16">
        <v>8.1243513933687872</v>
      </c>
      <c r="N104" s="16">
        <v>7.4536314785697453</v>
      </c>
      <c r="O104" s="16">
        <v>6.6523589976587907</v>
      </c>
      <c r="P104" s="16">
        <v>6.2069216837953443</v>
      </c>
      <c r="Q104" s="16">
        <v>5.2565135947969743</v>
      </c>
      <c r="R104" s="16">
        <v>5.02917851452231</v>
      </c>
      <c r="S104" s="16">
        <v>5.6234506010003003</v>
      </c>
      <c r="T104" s="16">
        <v>4.6450016496740174</v>
      </c>
      <c r="U104" s="16">
        <v>3.9433034591570921</v>
      </c>
      <c r="V104" s="16">
        <v>4.1528377046302625</v>
      </c>
      <c r="W104" s="16">
        <v>7.7235115068060844</v>
      </c>
      <c r="X104" s="16">
        <v>4.2351434260272978</v>
      </c>
      <c r="Y104" s="16">
        <v>3.27858487971048</v>
      </c>
      <c r="Z104" s="16">
        <v>3.4453106244306126</v>
      </c>
      <c r="AA104" s="16">
        <v>3.5542630017199954</v>
      </c>
      <c r="AB104" s="67">
        <v>3.9573824575147847</v>
      </c>
      <c r="AC104" s="3"/>
    </row>
    <row r="105" spans="2:29" x14ac:dyDescent="0.3">
      <c r="B105" s="66" t="s">
        <v>313</v>
      </c>
      <c r="C105" s="16">
        <v>2.9394644016943055</v>
      </c>
      <c r="D105" s="16">
        <v>4.1898566882661425</v>
      </c>
      <c r="E105" s="16">
        <v>5.4202078773313556</v>
      </c>
      <c r="F105" s="16">
        <v>5.2006022052249721</v>
      </c>
      <c r="G105" s="16">
        <v>4.3651398642107226</v>
      </c>
      <c r="H105" s="16">
        <v>4.2681121012596828</v>
      </c>
      <c r="I105" s="16">
        <v>3.9016968124255822</v>
      </c>
      <c r="J105" s="16">
        <v>3.8771861676805699</v>
      </c>
      <c r="K105" s="16">
        <v>4.5890905269788522</v>
      </c>
      <c r="L105" s="16">
        <v>7.8648932802304632</v>
      </c>
      <c r="M105" s="16">
        <v>8.0930510355385969</v>
      </c>
      <c r="N105" s="16">
        <v>8.0248715742923622</v>
      </c>
      <c r="O105" s="16">
        <v>7.6143183015930971</v>
      </c>
      <c r="P105" s="16">
        <v>6.0964250460699896</v>
      </c>
      <c r="Q105" s="16">
        <v>4.9869121111239494</v>
      </c>
      <c r="R105" s="16">
        <v>4.9389580904515249</v>
      </c>
      <c r="S105" s="16">
        <v>4.4978553239623427</v>
      </c>
      <c r="T105" s="16">
        <v>4.0066791519259679</v>
      </c>
      <c r="U105" s="16">
        <v>3.5917549166592972</v>
      </c>
      <c r="V105" s="16">
        <v>3.5050281109333898</v>
      </c>
      <c r="W105" s="16">
        <v>6.2118434696108844</v>
      </c>
      <c r="X105" s="16">
        <v>4.1637274771083321</v>
      </c>
      <c r="Y105" s="16">
        <v>3.2462931056588276</v>
      </c>
      <c r="Z105" s="16">
        <v>3.1247333743560652</v>
      </c>
      <c r="AA105" s="16">
        <v>3.203068322357125</v>
      </c>
      <c r="AB105" s="67">
        <v>3.2595227085053136</v>
      </c>
      <c r="AC105" s="3"/>
    </row>
    <row r="106" spans="2:29" x14ac:dyDescent="0.3">
      <c r="B106" s="66" t="s">
        <v>530</v>
      </c>
      <c r="C106" s="16">
        <v>15.062967101936149</v>
      </c>
      <c r="D106" s="16">
        <v>17.551772699639226</v>
      </c>
      <c r="E106" s="16">
        <v>19.653421060624702</v>
      </c>
      <c r="F106" s="16">
        <v>17.702140107895449</v>
      </c>
      <c r="G106" s="16">
        <v>14.916028113319701</v>
      </c>
      <c r="H106" s="16">
        <v>13.476887096462125</v>
      </c>
      <c r="I106" s="16">
        <v>13.0068327819345</v>
      </c>
      <c r="J106" s="16">
        <v>11.502454318175301</v>
      </c>
      <c r="K106" s="16">
        <v>10.653808800974225</v>
      </c>
      <c r="L106" s="16">
        <v>14.337624413000174</v>
      </c>
      <c r="M106" s="16">
        <v>15.283463307894751</v>
      </c>
      <c r="N106" s="16">
        <v>14.487556485833</v>
      </c>
      <c r="O106" s="16">
        <v>12.4687126397485</v>
      </c>
      <c r="P106" s="16">
        <v>12.5896919550541</v>
      </c>
      <c r="Q106" s="16">
        <v>11.056286833060451</v>
      </c>
      <c r="R106" s="16">
        <v>10.703495145227802</v>
      </c>
      <c r="S106" s="16">
        <v>11.130602018079275</v>
      </c>
      <c r="T106" s="16">
        <v>9.3237294566715683</v>
      </c>
      <c r="U106" s="16">
        <v>8.1287227726545854</v>
      </c>
      <c r="V106" s="16">
        <v>7.6184730004223997</v>
      </c>
      <c r="W106" s="16">
        <v>15.245700552308284</v>
      </c>
      <c r="X106" s="16">
        <v>12.35465618334397</v>
      </c>
      <c r="Y106" s="16">
        <v>7.9764606356220096</v>
      </c>
      <c r="Z106" s="16">
        <v>7.4973704731701343</v>
      </c>
      <c r="AA106" s="16">
        <v>7.8672155551299232</v>
      </c>
      <c r="AB106" s="67">
        <v>8.9425443667519406</v>
      </c>
      <c r="AC106" s="3"/>
    </row>
    <row r="107" spans="2:29" x14ac:dyDescent="0.3">
      <c r="B107" s="66" t="s">
        <v>49</v>
      </c>
      <c r="C107" s="16">
        <v>3.5359283392249199</v>
      </c>
      <c r="D107" s="16">
        <v>4.4841984888177873</v>
      </c>
      <c r="E107" s="16">
        <v>5.2112245441287719</v>
      </c>
      <c r="F107" s="16">
        <v>5.2856731345477801</v>
      </c>
      <c r="G107" s="16">
        <v>4.7842183214092797</v>
      </c>
      <c r="H107" s="16">
        <v>4.5534393865179075</v>
      </c>
      <c r="I107" s="16">
        <v>4.3822878071626201</v>
      </c>
      <c r="J107" s="16">
        <v>4.5479577352855127</v>
      </c>
      <c r="K107" s="16">
        <v>4.5903278856073353</v>
      </c>
      <c r="L107" s="16">
        <v>7.6171928553819077</v>
      </c>
      <c r="M107" s="16">
        <v>7.2633798437746409</v>
      </c>
      <c r="N107" s="16">
        <v>6.7244091786410376</v>
      </c>
      <c r="O107" s="16">
        <v>6.0571841936076982</v>
      </c>
      <c r="P107" s="16">
        <v>5.9882665140962699</v>
      </c>
      <c r="Q107" s="16">
        <v>4.7515319731941998</v>
      </c>
      <c r="R107" s="16">
        <v>4.0334421273670902</v>
      </c>
      <c r="S107" s="16">
        <v>3.662005820136875</v>
      </c>
      <c r="T107" s="16">
        <v>3.1253212343312127</v>
      </c>
      <c r="U107" s="16">
        <v>2.8749376192730924</v>
      </c>
      <c r="V107" s="16">
        <v>3.2011842804685777</v>
      </c>
      <c r="W107" s="16">
        <v>6.0104159194280067</v>
      </c>
      <c r="X107" s="16">
        <v>3.5367422063184821</v>
      </c>
      <c r="Y107" s="16">
        <v>2.7379804199051998</v>
      </c>
      <c r="Z107" s="16">
        <v>2.7970045820854272</v>
      </c>
      <c r="AA107" s="16">
        <v>2.8827958258302324</v>
      </c>
      <c r="AB107" s="67">
        <v>3.0899084099325091</v>
      </c>
      <c r="AC107" s="3"/>
    </row>
    <row r="108" spans="2:29" x14ac:dyDescent="0.3">
      <c r="B108" s="66" t="s">
        <v>50</v>
      </c>
      <c r="C108" s="16">
        <v>17.330840064195826</v>
      </c>
      <c r="D108" s="16">
        <v>16.041478802714273</v>
      </c>
      <c r="E108" s="16">
        <v>15.118131449787224</v>
      </c>
      <c r="F108" s="16">
        <v>15.77822528289585</v>
      </c>
      <c r="G108" s="16">
        <v>17.04103114359425</v>
      </c>
      <c r="H108" s="16">
        <v>15.932319157779276</v>
      </c>
      <c r="I108" s="16">
        <v>15.383619276879775</v>
      </c>
      <c r="J108" s="16">
        <v>17.926992135429924</v>
      </c>
      <c r="K108" s="16">
        <v>22.485581892496377</v>
      </c>
      <c r="L108" s="16">
        <v>28.14522866659285</v>
      </c>
      <c r="M108" s="16">
        <v>29.044010203188698</v>
      </c>
      <c r="N108" s="16">
        <v>28.865988350100125</v>
      </c>
      <c r="O108" s="16">
        <v>27.449827775796649</v>
      </c>
      <c r="P108" s="16">
        <v>25.226158089821496</v>
      </c>
      <c r="Q108" s="16">
        <v>24.333534046467548</v>
      </c>
      <c r="R108" s="16">
        <v>24.518088974387002</v>
      </c>
      <c r="S108" s="16">
        <v>24.508224058585174</v>
      </c>
      <c r="T108" s="16">
        <v>19.916476356573497</v>
      </c>
      <c r="U108" s="16">
        <v>19.005065952504626</v>
      </c>
      <c r="V108" s="16">
        <v>21.037782196295826</v>
      </c>
      <c r="W108" s="16">
        <v>23.043720262268248</v>
      </c>
      <c r="X108" s="16">
        <v>18.006068063141349</v>
      </c>
      <c r="Y108" s="16">
        <v>15.308141650747</v>
      </c>
      <c r="Z108" s="16">
        <v>17.540019272656203</v>
      </c>
      <c r="AA108" s="16">
        <v>18.362520427196824</v>
      </c>
      <c r="AB108" s="67">
        <v>18.839617994777942</v>
      </c>
      <c r="AC108" s="3"/>
    </row>
    <row r="109" spans="2:29" x14ac:dyDescent="0.3">
      <c r="B109" s="66" t="s">
        <v>51</v>
      </c>
      <c r="C109" s="16">
        <v>6.7934796861986371</v>
      </c>
      <c r="D109" s="16">
        <v>7.2414836426750799</v>
      </c>
      <c r="E109" s="16">
        <v>8.1770293079764649</v>
      </c>
      <c r="F109" s="16">
        <v>8.8495035356439473</v>
      </c>
      <c r="G109" s="16">
        <v>7.5732298593825549</v>
      </c>
      <c r="H109" s="16">
        <v>7.1352080174702426</v>
      </c>
      <c r="I109" s="16">
        <v>6.7778080498057349</v>
      </c>
      <c r="J109" s="16">
        <v>5.8672087922623026</v>
      </c>
      <c r="K109" s="16">
        <v>6.1546762518654976</v>
      </c>
      <c r="L109" s="16">
        <v>8.8277073496529042</v>
      </c>
      <c r="M109" s="16">
        <v>9.2957209224157111</v>
      </c>
      <c r="N109" s="16">
        <v>9.8431684058193518</v>
      </c>
      <c r="O109" s="16">
        <v>8.5138682104872494</v>
      </c>
      <c r="P109" s="16">
        <v>7.9735530966612354</v>
      </c>
      <c r="Q109" s="16">
        <v>6.5044217800470596</v>
      </c>
      <c r="R109" s="16">
        <v>5.2051514730303099</v>
      </c>
      <c r="S109" s="16">
        <v>4.8397454184691782</v>
      </c>
      <c r="T109" s="16">
        <v>4.5393276814365473</v>
      </c>
      <c r="U109" s="16">
        <v>4.1451327020329298</v>
      </c>
      <c r="V109" s="16">
        <v>3.7227809604525328</v>
      </c>
      <c r="W109" s="16">
        <v>8.0881071916866656</v>
      </c>
      <c r="X109" s="16">
        <v>5.993004094083755</v>
      </c>
      <c r="Y109" s="16">
        <v>4.1706041073607727</v>
      </c>
      <c r="Z109" s="16">
        <v>4.2529897834198422</v>
      </c>
      <c r="AA109" s="16">
        <v>4.1735384138911078</v>
      </c>
      <c r="AB109" s="67">
        <v>4.2741399110624565</v>
      </c>
      <c r="AC109" s="3"/>
    </row>
    <row r="110" spans="2:29" x14ac:dyDescent="0.3">
      <c r="B110" s="66" t="s">
        <v>531</v>
      </c>
      <c r="C110" s="16">
        <v>4.3053130449826273</v>
      </c>
      <c r="D110" s="16">
        <v>5.0785283337903824</v>
      </c>
      <c r="E110" s="16">
        <v>5.8175705442223649</v>
      </c>
      <c r="F110" s="16">
        <v>5.5241857974865676</v>
      </c>
      <c r="G110" s="16">
        <v>5.4567499625481606</v>
      </c>
      <c r="H110" s="16">
        <v>5.8554861673187766</v>
      </c>
      <c r="I110" s="16">
        <v>5.42854184783417</v>
      </c>
      <c r="J110" s="16">
        <v>5.0525543708045504</v>
      </c>
      <c r="K110" s="16">
        <v>6.3597802372537151</v>
      </c>
      <c r="L110" s="16">
        <v>10.761382901633175</v>
      </c>
      <c r="M110" s="16">
        <v>9.9534354470834074</v>
      </c>
      <c r="N110" s="16">
        <v>9.2514670831671051</v>
      </c>
      <c r="O110" s="16">
        <v>8.2736943990704148</v>
      </c>
      <c r="P110" s="16">
        <v>7.6399663377836395</v>
      </c>
      <c r="Q110" s="16">
        <v>6.23153732437983</v>
      </c>
      <c r="R110" s="16">
        <v>4.9195012528985842</v>
      </c>
      <c r="S110" s="16">
        <v>4.407641720954107</v>
      </c>
      <c r="T110" s="16">
        <v>4.4463519280863331</v>
      </c>
      <c r="U110" s="16">
        <v>3.9419550595392803</v>
      </c>
      <c r="V110" s="16">
        <v>3.9268770596429525</v>
      </c>
      <c r="W110" s="16">
        <v>6.8220463627119203</v>
      </c>
      <c r="X110" s="16">
        <v>4.5299382023012527</v>
      </c>
      <c r="Y110" s="16">
        <v>4.2827239106904473</v>
      </c>
      <c r="Z110" s="16">
        <v>4.31732573450057</v>
      </c>
      <c r="AA110" s="16">
        <v>5.1678384429361284</v>
      </c>
      <c r="AB110" s="67">
        <v>5.3389612548495426</v>
      </c>
      <c r="AC110" s="3"/>
    </row>
    <row r="111" spans="2:29" x14ac:dyDescent="0.3">
      <c r="B111" s="66" t="s">
        <v>314</v>
      </c>
      <c r="C111" s="16">
        <v>2.6174264080290524</v>
      </c>
      <c r="D111" s="16">
        <v>4.6307485876685552</v>
      </c>
      <c r="E111" s="16">
        <v>4.7095882543727479</v>
      </c>
      <c r="F111" s="16">
        <v>4.6272115849165072</v>
      </c>
      <c r="G111" s="16">
        <v>4.335601291200943</v>
      </c>
      <c r="H111" s="16">
        <v>4.5678492916559419</v>
      </c>
      <c r="I111" s="16">
        <v>4.7043704196595852</v>
      </c>
      <c r="J111" s="16">
        <v>4.6667063571596632</v>
      </c>
      <c r="K111" s="16">
        <v>8.6603578856941308</v>
      </c>
      <c r="L111" s="16">
        <v>17.675012411210126</v>
      </c>
      <c r="M111" s="16">
        <v>12.837647257193924</v>
      </c>
      <c r="N111" s="16">
        <v>10.520261190948599</v>
      </c>
      <c r="O111" s="16">
        <v>8.8125619950624952</v>
      </c>
      <c r="P111" s="16">
        <v>7.0930152798957993</v>
      </c>
      <c r="Q111" s="16">
        <v>5.0718528506303873</v>
      </c>
      <c r="R111" s="16">
        <v>3.8633650860533222</v>
      </c>
      <c r="S111" s="16">
        <v>3.7769965888379673</v>
      </c>
      <c r="T111" s="16">
        <v>2.7787571914683298</v>
      </c>
      <c r="U111" s="16">
        <v>2.8477149978579472</v>
      </c>
      <c r="V111" s="16">
        <v>3.3852288435208004</v>
      </c>
      <c r="W111" s="16">
        <v>8.5780340419752719</v>
      </c>
      <c r="X111" s="16">
        <v>3.0615288269305552</v>
      </c>
      <c r="Y111" s="16">
        <v>2.8413686007071428</v>
      </c>
      <c r="Z111" s="16">
        <v>4.5243618006962398</v>
      </c>
      <c r="AA111" s="16">
        <v>4.9208755039727627</v>
      </c>
      <c r="AB111" s="67">
        <v>4.2876793231064436</v>
      </c>
      <c r="AC111" s="3"/>
    </row>
    <row r="112" spans="2:29" x14ac:dyDescent="0.3">
      <c r="B112" s="66" t="s">
        <v>52</v>
      </c>
      <c r="C112" s="16">
        <v>4.2807619478595997</v>
      </c>
      <c r="D112" s="16">
        <v>4.9490786675225431</v>
      </c>
      <c r="E112" s="16">
        <v>6.4799195995980021</v>
      </c>
      <c r="F112" s="16">
        <v>6.5140017432007253</v>
      </c>
      <c r="G112" s="16">
        <v>6.0935666871033796</v>
      </c>
      <c r="H112" s="16">
        <v>5.3340655627336977</v>
      </c>
      <c r="I112" s="16">
        <v>4.847063175535002</v>
      </c>
      <c r="J112" s="16">
        <v>4.48158866687396</v>
      </c>
      <c r="K112" s="16">
        <v>5.5407890903809633</v>
      </c>
      <c r="L112" s="16">
        <v>9.0648935799504127</v>
      </c>
      <c r="M112" s="16">
        <v>8.5800390883353899</v>
      </c>
      <c r="N112" s="16">
        <v>7.9089626548558769</v>
      </c>
      <c r="O112" s="16">
        <v>8.559189816199515</v>
      </c>
      <c r="P112" s="16">
        <v>8.0945845151160682</v>
      </c>
      <c r="Q112" s="16">
        <v>6.2875458438211798</v>
      </c>
      <c r="R112" s="16">
        <v>5.8740443222875491</v>
      </c>
      <c r="S112" s="16">
        <v>5.5244851998909104</v>
      </c>
      <c r="T112" s="16">
        <v>5.2365101437676103</v>
      </c>
      <c r="U112" s="16">
        <v>4.4038466763624102</v>
      </c>
      <c r="V112" s="16">
        <v>3.8544082338108026</v>
      </c>
      <c r="W112" s="16">
        <v>8.178394474887682</v>
      </c>
      <c r="X112" s="16">
        <v>5.0981956602271321</v>
      </c>
      <c r="Y112" s="16">
        <v>3.5356807820992651</v>
      </c>
      <c r="Z112" s="16">
        <v>3.6555744436488276</v>
      </c>
      <c r="AA112" s="16">
        <v>3.7738942496602825</v>
      </c>
      <c r="AB112" s="67">
        <v>3.7438098818082843</v>
      </c>
      <c r="AC112" s="3"/>
    </row>
    <row r="113" spans="2:29" x14ac:dyDescent="0.3">
      <c r="B113" s="66" t="s">
        <v>419</v>
      </c>
      <c r="C113" s="16">
        <v>2.7431066637456025</v>
      </c>
      <c r="D113" s="16">
        <v>3.0213470679850474</v>
      </c>
      <c r="E113" s="16">
        <v>3.4590038804747127</v>
      </c>
      <c r="F113" s="16">
        <v>4.0496551942797225</v>
      </c>
      <c r="G113" s="16">
        <v>3.5305081207898326</v>
      </c>
      <c r="H113" s="16">
        <v>3.4704993757200846</v>
      </c>
      <c r="I113" s="16">
        <v>2.9541281048749246</v>
      </c>
      <c r="J113" s="16">
        <v>2.8303753154099822</v>
      </c>
      <c r="K113" s="16">
        <v>2.480916854758775</v>
      </c>
      <c r="L113" s="16">
        <v>4.4653990009557596</v>
      </c>
      <c r="M113" s="16">
        <v>5.2356884734980724</v>
      </c>
      <c r="N113" s="16">
        <v>4.1875206053110299</v>
      </c>
      <c r="O113" s="16">
        <v>3.9229512540701101</v>
      </c>
      <c r="P113" s="16">
        <v>3.9952518345271004</v>
      </c>
      <c r="Q113" s="16">
        <v>3.4887603894364698</v>
      </c>
      <c r="R113" s="16">
        <v>3.797386920348762</v>
      </c>
      <c r="S113" s="16">
        <v>4.071154701725777</v>
      </c>
      <c r="T113" s="16">
        <v>3.5365682367648876</v>
      </c>
      <c r="U113" s="16">
        <v>2.8392784696979376</v>
      </c>
      <c r="V113" s="16">
        <v>2.7765792897816102</v>
      </c>
      <c r="W113" s="16">
        <v>5.3768320288994778</v>
      </c>
      <c r="X113" s="16">
        <v>3.4651611336525652</v>
      </c>
      <c r="Y113" s="16">
        <v>2.7543254525354524</v>
      </c>
      <c r="Z113" s="16">
        <v>3.0189711061948672</v>
      </c>
      <c r="AA113" s="16">
        <v>3.2637859259684725</v>
      </c>
      <c r="AB113" s="67">
        <v>3.0149383000529926</v>
      </c>
      <c r="AC113" s="3"/>
    </row>
    <row r="114" spans="2:29" x14ac:dyDescent="0.3">
      <c r="B114" s="66" t="s">
        <v>53</v>
      </c>
      <c r="C114" s="16">
        <v>4.572428176710714</v>
      </c>
      <c r="D114" s="16">
        <v>5.5188337208611955</v>
      </c>
      <c r="E114" s="16">
        <v>6.6352859800582102</v>
      </c>
      <c r="F114" s="16">
        <v>6.6196827532172726</v>
      </c>
      <c r="G114" s="16">
        <v>6.0479866200530576</v>
      </c>
      <c r="H114" s="16">
        <v>5.4023844409361121</v>
      </c>
      <c r="I114" s="16">
        <v>5.2051071006553897</v>
      </c>
      <c r="J114" s="16">
        <v>5.0443718956292125</v>
      </c>
      <c r="K114" s="16">
        <v>5.7134053486652272</v>
      </c>
      <c r="L114" s="16">
        <v>8.8718638279979096</v>
      </c>
      <c r="M114" s="16">
        <v>8.9318292121159129</v>
      </c>
      <c r="N114" s="16">
        <v>7.9092263546108086</v>
      </c>
      <c r="O114" s="16">
        <v>7.5533371094631425</v>
      </c>
      <c r="P114" s="16">
        <v>7.1261477081797722</v>
      </c>
      <c r="Q114" s="16">
        <v>6.2942742188830128</v>
      </c>
      <c r="R114" s="16">
        <v>5.6140292670413174</v>
      </c>
      <c r="S114" s="16">
        <v>6.4163226358797276</v>
      </c>
      <c r="T114" s="16">
        <v>5.8092173014188617</v>
      </c>
      <c r="U114" s="16">
        <v>4.8151619693474732</v>
      </c>
      <c r="V114" s="16">
        <v>4.4493613431304295</v>
      </c>
      <c r="W114" s="16">
        <v>9.5495227113862118</v>
      </c>
      <c r="X114" s="16">
        <v>6.7238802570778198</v>
      </c>
      <c r="Y114" s="16">
        <v>4.6722857161497302</v>
      </c>
      <c r="Z114" s="16">
        <v>4.091100173697015</v>
      </c>
      <c r="AA114" s="16">
        <v>3.8442380958069653</v>
      </c>
      <c r="AB114" s="67">
        <v>4.10822505083945</v>
      </c>
      <c r="AC114" s="3"/>
    </row>
    <row r="115" spans="2:29" x14ac:dyDescent="0.3">
      <c r="B115" s="66" t="s">
        <v>484</v>
      </c>
      <c r="C115" s="16">
        <v>5.4681553174210205</v>
      </c>
      <c r="D115" s="16">
        <v>6.7605124042918074</v>
      </c>
      <c r="E115" s="16">
        <v>7.0304366504923426</v>
      </c>
      <c r="F115" s="16">
        <v>7.9002926638732172</v>
      </c>
      <c r="G115" s="16">
        <v>7.2864339120693096</v>
      </c>
      <c r="H115" s="16">
        <v>6.1403552337228628</v>
      </c>
      <c r="I115" s="16">
        <v>5.4910692478433623</v>
      </c>
      <c r="J115" s="16">
        <v>5.2157966061178476</v>
      </c>
      <c r="K115" s="16">
        <v>6.5139002838582201</v>
      </c>
      <c r="L115" s="16">
        <v>11.599475761880074</v>
      </c>
      <c r="M115" s="16">
        <v>10.929421549643948</v>
      </c>
      <c r="N115" s="16">
        <v>9.6145522984902989</v>
      </c>
      <c r="O115" s="16">
        <v>8.7798178149199977</v>
      </c>
      <c r="P115" s="16">
        <v>7.886900396633945</v>
      </c>
      <c r="Q115" s="16">
        <v>6.7627254530941396</v>
      </c>
      <c r="R115" s="16">
        <v>5.6576262261093353</v>
      </c>
      <c r="S115" s="16">
        <v>4.9790758577329921</v>
      </c>
      <c r="T115" s="16">
        <v>4.3311886872813874</v>
      </c>
      <c r="U115" s="16">
        <v>4.2858428111695828</v>
      </c>
      <c r="V115" s="16">
        <v>3.9617990826575427</v>
      </c>
      <c r="W115" s="16">
        <v>7.7744079112936628</v>
      </c>
      <c r="X115" s="16">
        <v>5.3769800440914404</v>
      </c>
      <c r="Y115" s="16">
        <v>4.2143481561503524</v>
      </c>
      <c r="Z115" s="16">
        <v>3.9102804490034027</v>
      </c>
      <c r="AA115" s="16">
        <v>4.2258625093213222</v>
      </c>
      <c r="AB115" s="67">
        <v>4.6163769341414396</v>
      </c>
      <c r="AC115" s="3"/>
    </row>
    <row r="116" spans="2:29" x14ac:dyDescent="0.3">
      <c r="B116" s="66" t="s">
        <v>532</v>
      </c>
      <c r="C116" s="16">
        <v>3.1925662770203824</v>
      </c>
      <c r="D116" s="16">
        <v>3.6797149430198726</v>
      </c>
      <c r="E116" s="16">
        <v>4.3532969454630051</v>
      </c>
      <c r="F116" s="16">
        <v>4.5031664661887501</v>
      </c>
      <c r="G116" s="16">
        <v>4.851049751050172</v>
      </c>
      <c r="H116" s="16">
        <v>5.0164181607284881</v>
      </c>
      <c r="I116" s="16">
        <v>4.6162855118083677</v>
      </c>
      <c r="J116" s="16">
        <v>4.5264518679147479</v>
      </c>
      <c r="K116" s="16">
        <v>5.0703748576494476</v>
      </c>
      <c r="L116" s="16">
        <v>7.9816797204348822</v>
      </c>
      <c r="M116" s="16">
        <v>8.2657485413154976</v>
      </c>
      <c r="N116" s="16">
        <v>7.5018753959052349</v>
      </c>
      <c r="O116" s="16">
        <v>7.2690673107687429</v>
      </c>
      <c r="P116" s="16">
        <v>6.7365406851373173</v>
      </c>
      <c r="Q116" s="16">
        <v>5.2156730207447373</v>
      </c>
      <c r="R116" s="16">
        <v>4.1758709448605478</v>
      </c>
      <c r="S116" s="16">
        <v>4.094204983887475</v>
      </c>
      <c r="T116" s="16">
        <v>3.2316493848915577</v>
      </c>
      <c r="U116" s="16">
        <v>3.1369633962516321</v>
      </c>
      <c r="V116" s="16">
        <v>3.0403057710861652</v>
      </c>
      <c r="W116" s="16">
        <v>6.8654255437616127</v>
      </c>
      <c r="X116" s="16">
        <v>3.6525921021994026</v>
      </c>
      <c r="Y116" s="16">
        <v>2.9616890003663676</v>
      </c>
      <c r="Z116" s="16">
        <v>3.1977435629310773</v>
      </c>
      <c r="AA116" s="16">
        <v>3.8763293849772253</v>
      </c>
      <c r="AB116" s="67">
        <v>3.6819278189166762</v>
      </c>
      <c r="AC116" s="3"/>
    </row>
    <row r="117" spans="2:29" x14ac:dyDescent="0.3">
      <c r="B117" s="66" t="s">
        <v>485</v>
      </c>
      <c r="C117" s="16">
        <v>6.0402693983822306</v>
      </c>
      <c r="D117" s="16">
        <v>5.8806968627434246</v>
      </c>
      <c r="E117" s="16">
        <v>6.4466885578636752</v>
      </c>
      <c r="F117" s="16">
        <v>6.8736500731749821</v>
      </c>
      <c r="G117" s="16">
        <v>6.403372494681248</v>
      </c>
      <c r="H117" s="16">
        <v>5.8331760494121649</v>
      </c>
      <c r="I117" s="16">
        <v>5.6679275271318019</v>
      </c>
      <c r="J117" s="16">
        <v>5.4643748697783749</v>
      </c>
      <c r="K117" s="16">
        <v>5.8761726270643386</v>
      </c>
      <c r="L117" s="16">
        <v>7.1423174423577915</v>
      </c>
      <c r="M117" s="16">
        <v>6.7540889904973902</v>
      </c>
      <c r="N117" s="16">
        <v>6.4640859523960419</v>
      </c>
      <c r="O117" s="16">
        <v>6.0687298084992403</v>
      </c>
      <c r="P117" s="16">
        <v>5.810575572885643</v>
      </c>
      <c r="Q117" s="16">
        <v>5.6562294033584868</v>
      </c>
      <c r="R117" s="16">
        <v>5.2764102961238502</v>
      </c>
      <c r="S117" s="16">
        <v>5.6970997474977274</v>
      </c>
      <c r="T117" s="16">
        <v>5.8046257466684299</v>
      </c>
      <c r="U117" s="16">
        <v>5.3274931952393727</v>
      </c>
      <c r="V117" s="16">
        <v>4.8397195754432047</v>
      </c>
      <c r="W117" s="16">
        <v>6.7182973421193335</v>
      </c>
      <c r="X117" s="16">
        <v>5.1013430753894156</v>
      </c>
      <c r="Y117" s="16">
        <v>3.80592956039566</v>
      </c>
      <c r="Z117" s="16">
        <v>3.7441660077798775</v>
      </c>
      <c r="AA117" s="16">
        <v>4.0035973764324524</v>
      </c>
      <c r="AB117" s="67">
        <v>4.0054804197155187</v>
      </c>
      <c r="AC117" s="3"/>
    </row>
    <row r="118" spans="2:29" x14ac:dyDescent="0.3">
      <c r="B118" s="66" t="s">
        <v>315</v>
      </c>
      <c r="C118" s="16">
        <v>2.3790933910066374</v>
      </c>
      <c r="D118" s="16">
        <v>2.3855693446471324</v>
      </c>
      <c r="E118" s="16">
        <v>2.8116176403335498</v>
      </c>
      <c r="F118" s="16">
        <v>2.95726278030192</v>
      </c>
      <c r="G118" s="16">
        <v>2.9167724534515522</v>
      </c>
      <c r="H118" s="16">
        <v>2.8716340603271049</v>
      </c>
      <c r="I118" s="16">
        <v>2.6959387215699877</v>
      </c>
      <c r="J118" s="16">
        <v>2.7487619757797552</v>
      </c>
      <c r="K118" s="16">
        <v>2.9201705972545553</v>
      </c>
      <c r="L118" s="16">
        <v>4.1066463698108748</v>
      </c>
      <c r="M118" s="16">
        <v>3.9928487608823273</v>
      </c>
      <c r="N118" s="16">
        <v>3.8278896016229376</v>
      </c>
      <c r="O118" s="16">
        <v>3.4032823063457847</v>
      </c>
      <c r="P118" s="16">
        <v>3.1852451272177902</v>
      </c>
      <c r="Q118" s="16">
        <v>2.7195807319804599</v>
      </c>
      <c r="R118" s="16">
        <v>2.4908584033841903</v>
      </c>
      <c r="S118" s="16">
        <v>2.4623418447849801</v>
      </c>
      <c r="T118" s="16">
        <v>2.3354818863210474</v>
      </c>
      <c r="U118" s="16">
        <v>2.27961327862949</v>
      </c>
      <c r="V118" s="16">
        <v>2.1246634900004473</v>
      </c>
      <c r="W118" s="16">
        <v>4.2230605614567018</v>
      </c>
      <c r="X118" s="16">
        <v>2.5450254209276251</v>
      </c>
      <c r="Y118" s="16">
        <v>1.8187665372655148</v>
      </c>
      <c r="Z118" s="16">
        <v>1.9075573710030651</v>
      </c>
      <c r="AA118" s="16">
        <v>2.2887111924210326</v>
      </c>
      <c r="AB118" s="67">
        <v>2.5078885773056405</v>
      </c>
      <c r="AC118" s="3"/>
    </row>
    <row r="119" spans="2:29" x14ac:dyDescent="0.3">
      <c r="B119" s="66" t="s">
        <v>54</v>
      </c>
      <c r="C119" s="16">
        <v>5.8128348174092253</v>
      </c>
      <c r="D119" s="16">
        <v>5.3887872285249472</v>
      </c>
      <c r="E119" s="16">
        <v>6.0969634827456574</v>
      </c>
      <c r="F119" s="16">
        <v>6.8045661326356823</v>
      </c>
      <c r="G119" s="16">
        <v>5.9534513404386278</v>
      </c>
      <c r="H119" s="16">
        <v>5.418681496599663</v>
      </c>
      <c r="I119" s="16">
        <v>4.3377509120365554</v>
      </c>
      <c r="J119" s="16">
        <v>3.1991384756162096</v>
      </c>
      <c r="K119" s="16">
        <v>3.8745796245282023</v>
      </c>
      <c r="L119" s="16">
        <v>7.4297591781317784</v>
      </c>
      <c r="M119" s="16">
        <v>9.0499674520668165</v>
      </c>
      <c r="N119" s="16">
        <v>7.533569995866138</v>
      </c>
      <c r="O119" s="16">
        <v>6.9203506024451595</v>
      </c>
      <c r="P119" s="16">
        <v>6.7574278523035254</v>
      </c>
      <c r="Q119" s="16">
        <v>6.2967062344108822</v>
      </c>
      <c r="R119" s="16">
        <v>6.9753931899175745</v>
      </c>
      <c r="S119" s="16">
        <v>9.4194625223768682</v>
      </c>
      <c r="T119" s="16">
        <v>7.6584940665415751</v>
      </c>
      <c r="U119" s="16">
        <v>5.911306475586505</v>
      </c>
      <c r="V119" s="16">
        <v>5.9366301664511196</v>
      </c>
      <c r="W119" s="16">
        <v>9.6220922581504578</v>
      </c>
      <c r="X119" s="16">
        <v>8.5723979673266033</v>
      </c>
      <c r="Y119" s="16">
        <v>4.75546216860816</v>
      </c>
      <c r="Z119" s="16">
        <v>4.1788912929436268</v>
      </c>
      <c r="AA119" s="16">
        <v>4.6640380685360627</v>
      </c>
      <c r="AB119" s="67">
        <v>4.693939708123783</v>
      </c>
      <c r="AC119" s="3"/>
    </row>
    <row r="120" spans="2:29" x14ac:dyDescent="0.3">
      <c r="B120" s="66" t="s">
        <v>55</v>
      </c>
      <c r="C120" s="16">
        <v>4.6322558786739627</v>
      </c>
      <c r="D120" s="16">
        <v>6.0306516086217847</v>
      </c>
      <c r="E120" s="16">
        <v>6.7868264486150656</v>
      </c>
      <c r="F120" s="16">
        <v>6.2259271294893477</v>
      </c>
      <c r="G120" s="16">
        <v>5.31616973970341</v>
      </c>
      <c r="H120" s="16">
        <v>5.4075290841608936</v>
      </c>
      <c r="I120" s="16">
        <v>5.3575694160290102</v>
      </c>
      <c r="J120" s="16">
        <v>5.278755443105517</v>
      </c>
      <c r="K120" s="16">
        <v>5.8604000464213986</v>
      </c>
      <c r="L120" s="16">
        <v>9.0035084956258249</v>
      </c>
      <c r="M120" s="16">
        <v>10.090932735010274</v>
      </c>
      <c r="N120" s="16">
        <v>10.71401196761515</v>
      </c>
      <c r="O120" s="16">
        <v>10.888685713761026</v>
      </c>
      <c r="P120" s="16">
        <v>9.4138985835819877</v>
      </c>
      <c r="Q120" s="16">
        <v>7.8725401102483596</v>
      </c>
      <c r="R120" s="16">
        <v>7.299163841877661</v>
      </c>
      <c r="S120" s="16">
        <v>6.2141958543553102</v>
      </c>
      <c r="T120" s="16">
        <v>5.4858013275286472</v>
      </c>
      <c r="U120" s="16">
        <v>4.9865870210217356</v>
      </c>
      <c r="V120" s="16">
        <v>4.803332719477682</v>
      </c>
      <c r="W120" s="16">
        <v>8.8881827239289581</v>
      </c>
      <c r="X120" s="16">
        <v>6.5099296247822149</v>
      </c>
      <c r="Y120" s="16">
        <v>4.8497496744039825</v>
      </c>
      <c r="Z120" s="16">
        <v>4.4307059953237031</v>
      </c>
      <c r="AA120" s="16">
        <v>4.5029390733409773</v>
      </c>
      <c r="AB120" s="67">
        <v>4.5991210067066968</v>
      </c>
      <c r="AC120" s="3"/>
    </row>
    <row r="121" spans="2:29" x14ac:dyDescent="0.3">
      <c r="B121" s="66" t="s">
        <v>462</v>
      </c>
      <c r="C121" s="16">
        <v>2.8472981186464379</v>
      </c>
      <c r="D121" s="16">
        <v>2.9419458252514423</v>
      </c>
      <c r="E121" s="16">
        <v>3.2155055030690551</v>
      </c>
      <c r="F121" s="16">
        <v>3.6461344148762098</v>
      </c>
      <c r="G121" s="16">
        <v>3.6668408113126501</v>
      </c>
      <c r="H121" s="16">
        <v>3.3407444510853477</v>
      </c>
      <c r="I121" s="16">
        <v>3.5367796443059025</v>
      </c>
      <c r="J121" s="16">
        <v>3.8712242839429196</v>
      </c>
      <c r="K121" s="16">
        <v>4.1593348803926675</v>
      </c>
      <c r="L121" s="16">
        <v>6.268682590266188</v>
      </c>
      <c r="M121" s="16">
        <v>6.29726887412831</v>
      </c>
      <c r="N121" s="16">
        <v>6.0842016394171496</v>
      </c>
      <c r="O121" s="16">
        <v>5.5789688690829653</v>
      </c>
      <c r="P121" s="16">
        <v>5.3539074763642045</v>
      </c>
      <c r="Q121" s="16">
        <v>4.3991239110385001</v>
      </c>
      <c r="R121" s="16">
        <v>3.6090606855048772</v>
      </c>
      <c r="S121" s="16">
        <v>2.8959117329468351</v>
      </c>
      <c r="T121" s="16">
        <v>2.8449828725262152</v>
      </c>
      <c r="U121" s="16">
        <v>2.7719290186610599</v>
      </c>
      <c r="V121" s="16">
        <v>2.5325811148632926</v>
      </c>
      <c r="W121" s="16">
        <v>4.6412871467135304</v>
      </c>
      <c r="X121" s="16">
        <v>2.9439685665968125</v>
      </c>
      <c r="Y121" s="16">
        <v>2.3545637256630849</v>
      </c>
      <c r="Z121" s="16">
        <v>2.4400622631163777</v>
      </c>
      <c r="AA121" s="16">
        <v>2.6734558430074373</v>
      </c>
      <c r="AB121" s="67">
        <v>2.8885892285262282</v>
      </c>
      <c r="AC121" s="3"/>
    </row>
    <row r="122" spans="2:29" x14ac:dyDescent="0.3">
      <c r="B122" s="66" t="s">
        <v>56</v>
      </c>
      <c r="C122" s="16">
        <v>4.3404948208322045</v>
      </c>
      <c r="D122" s="16">
        <v>4.6542568576495373</v>
      </c>
      <c r="E122" s="16">
        <v>5.5135533052228922</v>
      </c>
      <c r="F122" s="16">
        <v>5.7401209710727645</v>
      </c>
      <c r="G122" s="16">
        <v>5.2704313981365924</v>
      </c>
      <c r="H122" s="16">
        <v>4.8530623086992852</v>
      </c>
      <c r="I122" s="16">
        <v>4.4340441311622252</v>
      </c>
      <c r="J122" s="16">
        <v>3.6048647783580448</v>
      </c>
      <c r="K122" s="16">
        <v>5.2497961186287627</v>
      </c>
      <c r="L122" s="16">
        <v>8.332534714561783</v>
      </c>
      <c r="M122" s="16">
        <v>9.8621213883376146</v>
      </c>
      <c r="N122" s="16">
        <v>9.5339266721924929</v>
      </c>
      <c r="O122" s="16">
        <v>8.6596315927847325</v>
      </c>
      <c r="P122" s="16">
        <v>8.2225635783524176</v>
      </c>
      <c r="Q122" s="16">
        <v>7.1249136277263805</v>
      </c>
      <c r="R122" s="16">
        <v>6.5542518822684848</v>
      </c>
      <c r="S122" s="16">
        <v>6.4183990438082024</v>
      </c>
      <c r="T122" s="16">
        <v>5.888395086560628</v>
      </c>
      <c r="U122" s="16">
        <v>5.6961580384286581</v>
      </c>
      <c r="V122" s="16">
        <v>5.9501261167904556</v>
      </c>
      <c r="W122" s="16">
        <v>9.9003418998556718</v>
      </c>
      <c r="X122" s="16">
        <v>6.2790494651586855</v>
      </c>
      <c r="Y122" s="16">
        <v>4.3315442983514032</v>
      </c>
      <c r="Z122" s="16">
        <v>4.0206297750928499</v>
      </c>
      <c r="AA122" s="16">
        <v>3.8481824121669801</v>
      </c>
      <c r="AB122" s="67">
        <v>4.3312037273114132</v>
      </c>
      <c r="AC122" s="3"/>
    </row>
    <row r="123" spans="2:29" x14ac:dyDescent="0.3">
      <c r="B123" s="66" t="s">
        <v>57</v>
      </c>
      <c r="C123" s="16">
        <v>4.6064145874302822</v>
      </c>
      <c r="D123" s="16">
        <v>6.19841874578825</v>
      </c>
      <c r="E123" s="16">
        <v>7.3758064891618327</v>
      </c>
      <c r="F123" s="16">
        <v>8.2542231330718874</v>
      </c>
      <c r="G123" s="16">
        <v>7.9632635955675779</v>
      </c>
      <c r="H123" s="16">
        <v>7.8136007455334751</v>
      </c>
      <c r="I123" s="16">
        <v>8.2740046468462101</v>
      </c>
      <c r="J123" s="16">
        <v>8.3586858454480399</v>
      </c>
      <c r="K123" s="16">
        <v>10.200821441599754</v>
      </c>
      <c r="L123" s="16">
        <v>15.0133730218278</v>
      </c>
      <c r="M123" s="16">
        <v>14.2168528870088</v>
      </c>
      <c r="N123" s="16">
        <v>11.263709181925524</v>
      </c>
      <c r="O123" s="16">
        <v>10.069057624631418</v>
      </c>
      <c r="P123" s="16">
        <v>9.8205982276916757</v>
      </c>
      <c r="Q123" s="16">
        <v>7.9608264075702166</v>
      </c>
      <c r="R123" s="16">
        <v>6.152487423271082</v>
      </c>
      <c r="S123" s="16">
        <v>5.6330232769382196</v>
      </c>
      <c r="T123" s="16">
        <v>5.5493691879094849</v>
      </c>
      <c r="U123" s="16">
        <v>4.9028238991366724</v>
      </c>
      <c r="V123" s="16">
        <v>4.9687227392165925</v>
      </c>
      <c r="W123" s="16">
        <v>11.416658761209471</v>
      </c>
      <c r="X123" s="16">
        <v>7.1513120251927456</v>
      </c>
      <c r="Y123" s="16">
        <v>5.3256650555009131</v>
      </c>
      <c r="Z123" s="16">
        <v>4.902090681864955</v>
      </c>
      <c r="AA123" s="16">
        <v>5.6804058716970953</v>
      </c>
      <c r="AB123" s="67">
        <v>6.6681400654223921</v>
      </c>
      <c r="AC123" s="3"/>
    </row>
    <row r="124" spans="2:29" x14ac:dyDescent="0.3">
      <c r="B124" s="66" t="s">
        <v>58</v>
      </c>
      <c r="C124" s="16">
        <v>4.4303716417514885</v>
      </c>
      <c r="D124" s="16">
        <v>5.7306037194035726</v>
      </c>
      <c r="E124" s="16">
        <v>6.8493528122346028</v>
      </c>
      <c r="F124" s="16">
        <v>7.9054040123795977</v>
      </c>
      <c r="G124" s="16">
        <v>8.4539201942020163</v>
      </c>
      <c r="H124" s="16">
        <v>8.8798906806774855</v>
      </c>
      <c r="I124" s="16">
        <v>7.2869172438322805</v>
      </c>
      <c r="J124" s="16">
        <v>6.1704173575755137</v>
      </c>
      <c r="K124" s="16">
        <v>7.6042892950268595</v>
      </c>
      <c r="L124" s="16">
        <v>11.477430988497524</v>
      </c>
      <c r="M124" s="16">
        <v>11.846822505408898</v>
      </c>
      <c r="N124" s="16">
        <v>11.5402913622566</v>
      </c>
      <c r="O124" s="16">
        <v>9.8954911230458507</v>
      </c>
      <c r="P124" s="16">
        <v>8.3677710129503815</v>
      </c>
      <c r="Q124" s="16">
        <v>7.2701137588500053</v>
      </c>
      <c r="R124" s="16">
        <v>6.7208685998087203</v>
      </c>
      <c r="S124" s="16">
        <v>5.8855302038128352</v>
      </c>
      <c r="T124" s="16">
        <v>5.0179080792677579</v>
      </c>
      <c r="U124" s="16">
        <v>3.958806393457432</v>
      </c>
      <c r="V124" s="16">
        <v>3.205672021310193</v>
      </c>
      <c r="W124" s="16">
        <v>6.1432975482189818</v>
      </c>
      <c r="X124" s="16">
        <v>4.428457796090103</v>
      </c>
      <c r="Y124" s="16">
        <v>3.4796012481489376</v>
      </c>
      <c r="Z124" s="16">
        <v>3.2413645595290328</v>
      </c>
      <c r="AA124" s="16">
        <v>4.5603814473471678</v>
      </c>
      <c r="AB124" s="67">
        <v>4.623101464793538</v>
      </c>
      <c r="AC124" s="3"/>
    </row>
    <row r="125" spans="2:29" x14ac:dyDescent="0.3">
      <c r="B125" s="66" t="s">
        <v>316</v>
      </c>
      <c r="C125" s="16">
        <v>5.2657749184267848</v>
      </c>
      <c r="D125" s="16">
        <v>6.6519482942966928</v>
      </c>
      <c r="E125" s="16">
        <v>8.4650700490772497</v>
      </c>
      <c r="F125" s="16">
        <v>7.3087976698333046</v>
      </c>
      <c r="G125" s="16">
        <v>6.5719566423170104</v>
      </c>
      <c r="H125" s="16">
        <v>5.2070212390666724</v>
      </c>
      <c r="I125" s="16">
        <v>4.3685764774520042</v>
      </c>
      <c r="J125" s="16">
        <v>4.5266282257914652</v>
      </c>
      <c r="K125" s="16">
        <v>6.2982709406303394</v>
      </c>
      <c r="L125" s="16">
        <v>9.7331983650338785</v>
      </c>
      <c r="M125" s="16">
        <v>10.409120616810208</v>
      </c>
      <c r="N125" s="16">
        <v>9.4426698170558865</v>
      </c>
      <c r="O125" s="16">
        <v>8.2764723555330217</v>
      </c>
      <c r="P125" s="16">
        <v>7.6413999947486877</v>
      </c>
      <c r="Q125" s="16">
        <v>7.5656196985052553</v>
      </c>
      <c r="R125" s="16">
        <v>7.2934122879001624</v>
      </c>
      <c r="S125" s="16">
        <v>6.3913353061019151</v>
      </c>
      <c r="T125" s="16">
        <v>4.8692734310288923</v>
      </c>
      <c r="U125" s="16">
        <v>4.2335386890019802</v>
      </c>
      <c r="V125" s="16">
        <v>3.6011898506943028</v>
      </c>
      <c r="W125" s="16">
        <v>6.3959324688686774</v>
      </c>
      <c r="X125" s="16">
        <v>3.345552079707915</v>
      </c>
      <c r="Y125" s="16">
        <v>2.661239414949125</v>
      </c>
      <c r="Z125" s="16">
        <v>2.6261428573292025</v>
      </c>
      <c r="AA125" s="16">
        <v>3.2440829111218648</v>
      </c>
      <c r="AB125" s="67">
        <v>3.4116822468846748</v>
      </c>
      <c r="AC125" s="3"/>
    </row>
    <row r="126" spans="2:29" x14ac:dyDescent="0.3">
      <c r="B126" s="66" t="s">
        <v>59</v>
      </c>
      <c r="C126" s="16">
        <v>3.0116535616636049</v>
      </c>
      <c r="D126" s="16">
        <v>4.0799480359453124</v>
      </c>
      <c r="E126" s="16">
        <v>4.9179927832920054</v>
      </c>
      <c r="F126" s="16">
        <v>5.3078545268190496</v>
      </c>
      <c r="G126" s="16">
        <v>4.6581227858673477</v>
      </c>
      <c r="H126" s="16">
        <v>4.5865142301221447</v>
      </c>
      <c r="I126" s="16">
        <v>4.6707205451880647</v>
      </c>
      <c r="J126" s="16">
        <v>4.6371435017355482</v>
      </c>
      <c r="K126" s="16">
        <v>4.8422388212027245</v>
      </c>
      <c r="L126" s="16">
        <v>9.2600520526354959</v>
      </c>
      <c r="M126" s="16">
        <v>8.2446042121319447</v>
      </c>
      <c r="N126" s="16">
        <v>7.1108245524025531</v>
      </c>
      <c r="O126" s="16">
        <v>6.3945161213503194</v>
      </c>
      <c r="P126" s="16">
        <v>6.0952669246196596</v>
      </c>
      <c r="Q126" s="16">
        <v>4.8573879739262171</v>
      </c>
      <c r="R126" s="16">
        <v>3.9504883989917854</v>
      </c>
      <c r="S126" s="16">
        <v>3.48854586407559</v>
      </c>
      <c r="T126" s="16">
        <v>2.8529655675634573</v>
      </c>
      <c r="U126" s="16">
        <v>2.67912265146155</v>
      </c>
      <c r="V126" s="16">
        <v>2.840168731561485</v>
      </c>
      <c r="W126" s="16">
        <v>6.0652876881266256</v>
      </c>
      <c r="X126" s="16">
        <v>3.2799086043753674</v>
      </c>
      <c r="Y126" s="16">
        <v>2.480748562005695</v>
      </c>
      <c r="Z126" s="16">
        <v>2.4790339948905475</v>
      </c>
      <c r="AA126" s="16">
        <v>2.9222513357938995</v>
      </c>
      <c r="AB126" s="67">
        <v>2.9526348740942843</v>
      </c>
      <c r="AC126" s="3"/>
    </row>
    <row r="127" spans="2:29" x14ac:dyDescent="0.3">
      <c r="B127" s="66" t="s">
        <v>486</v>
      </c>
      <c r="C127" s="16">
        <v>2.4665042006406175</v>
      </c>
      <c r="D127" s="16">
        <v>3.2036174495211798</v>
      </c>
      <c r="E127" s="16">
        <v>4.7235852308897002</v>
      </c>
      <c r="F127" s="16">
        <v>5.0995625464928169</v>
      </c>
      <c r="G127" s="16">
        <v>4.6457776651345997</v>
      </c>
      <c r="H127" s="16">
        <v>4.4097815488194101</v>
      </c>
      <c r="I127" s="16">
        <v>3.8951967793149325</v>
      </c>
      <c r="J127" s="16">
        <v>3.3208200490387227</v>
      </c>
      <c r="K127" s="16">
        <v>4.2485896396448446</v>
      </c>
      <c r="L127" s="16">
        <v>6.8411795549827028</v>
      </c>
      <c r="M127" s="16">
        <v>8.0255889770077875</v>
      </c>
      <c r="N127" s="16">
        <v>7.4597737741103698</v>
      </c>
      <c r="O127" s="16">
        <v>6.8031143415656219</v>
      </c>
      <c r="P127" s="16">
        <v>5.7029083494293431</v>
      </c>
      <c r="Q127" s="16">
        <v>4.2295146385729723</v>
      </c>
      <c r="R127" s="16">
        <v>3.1507159236432649</v>
      </c>
      <c r="S127" s="16">
        <v>2.7952338929058573</v>
      </c>
      <c r="T127" s="16">
        <v>2.3479009564908826</v>
      </c>
      <c r="U127" s="16">
        <v>2.7238272086762927</v>
      </c>
      <c r="V127" s="16">
        <v>2.4120641875106248</v>
      </c>
      <c r="W127" s="16">
        <v>6.1310796072637972</v>
      </c>
      <c r="X127" s="16">
        <v>5.0100107483504956</v>
      </c>
      <c r="Y127" s="16">
        <v>2.9149404240030004</v>
      </c>
      <c r="Z127" s="16">
        <v>3.1247247291171698</v>
      </c>
      <c r="AA127" s="16">
        <v>4.0596534827466</v>
      </c>
      <c r="AB127" s="67">
        <v>4.4295486962670161</v>
      </c>
      <c r="AC127" s="3"/>
    </row>
    <row r="128" spans="2:29" x14ac:dyDescent="0.3">
      <c r="B128" s="66" t="s">
        <v>317</v>
      </c>
      <c r="C128" s="16">
        <v>3.5238480128649972</v>
      </c>
      <c r="D128" s="16">
        <v>4.0830661078205148</v>
      </c>
      <c r="E128" s="16">
        <v>4.7086964935676798</v>
      </c>
      <c r="F128" s="16">
        <v>5.2365493388718782</v>
      </c>
      <c r="G128" s="16">
        <v>4.9915083871829795</v>
      </c>
      <c r="H128" s="16">
        <v>4.4862190609189376</v>
      </c>
      <c r="I128" s="16">
        <v>4.7536559505686329</v>
      </c>
      <c r="J128" s="16">
        <v>5.2255609156715881</v>
      </c>
      <c r="K128" s="16">
        <v>5.0285071697147599</v>
      </c>
      <c r="L128" s="16">
        <v>7.9404672588781517</v>
      </c>
      <c r="M128" s="16">
        <v>7.9516286883820726</v>
      </c>
      <c r="N128" s="16">
        <v>8.3513422175400134</v>
      </c>
      <c r="O128" s="16">
        <v>7.6379692559196091</v>
      </c>
      <c r="P128" s="16">
        <v>7.4367707883273297</v>
      </c>
      <c r="Q128" s="16">
        <v>5.7868693059768272</v>
      </c>
      <c r="R128" s="16">
        <v>5.0631559256849918</v>
      </c>
      <c r="S128" s="16">
        <v>4.059186003088775</v>
      </c>
      <c r="T128" s="16">
        <v>3.7602496273257024</v>
      </c>
      <c r="U128" s="16">
        <v>3.540759656306677</v>
      </c>
      <c r="V128" s="16">
        <v>3.2523294507322897</v>
      </c>
      <c r="W128" s="16">
        <v>5.9230808722074393</v>
      </c>
      <c r="X128" s="16">
        <v>3.7274459536145899</v>
      </c>
      <c r="Y128" s="16">
        <v>2.9876728913710426</v>
      </c>
      <c r="Z128" s="16">
        <v>3.2564161255621427</v>
      </c>
      <c r="AA128" s="16">
        <v>3.4875411488126149</v>
      </c>
      <c r="AB128" s="67">
        <v>3.6298801550639705</v>
      </c>
      <c r="AC128" s="3"/>
    </row>
    <row r="129" spans="2:29" x14ac:dyDescent="0.3">
      <c r="B129" s="66" t="s">
        <v>60</v>
      </c>
      <c r="C129" s="16">
        <v>2.6673911607692</v>
      </c>
      <c r="D129" s="16">
        <v>4.1075250133561747</v>
      </c>
      <c r="E129" s="16">
        <v>4.8664884515772027</v>
      </c>
      <c r="F129" s="16">
        <v>5.1874152078687246</v>
      </c>
      <c r="G129" s="16">
        <v>5.3668910222345616</v>
      </c>
      <c r="H129" s="16">
        <v>5.1683354163157951</v>
      </c>
      <c r="I129" s="16">
        <v>4.9314363308728426</v>
      </c>
      <c r="J129" s="16">
        <v>4.7640279325474548</v>
      </c>
      <c r="K129" s="16">
        <v>6.0185272499965468</v>
      </c>
      <c r="L129" s="16">
        <v>10.53871602715601</v>
      </c>
      <c r="M129" s="16">
        <v>10.328454972029188</v>
      </c>
      <c r="N129" s="16">
        <v>9.0541455563838351</v>
      </c>
      <c r="O129" s="16">
        <v>8.1519456813686908</v>
      </c>
      <c r="P129" s="16">
        <v>7.2519326837833926</v>
      </c>
      <c r="Q129" s="16">
        <v>5.6044394336005379</v>
      </c>
      <c r="R129" s="16">
        <v>4.5075581822174025</v>
      </c>
      <c r="S129" s="16">
        <v>4.0211334234595455</v>
      </c>
      <c r="T129" s="16">
        <v>3.1655420749186129</v>
      </c>
      <c r="U129" s="16">
        <v>3.0210989761074649</v>
      </c>
      <c r="V129" s="16">
        <v>3.0081551406196478</v>
      </c>
      <c r="W129" s="16">
        <v>7.4817545229628148</v>
      </c>
      <c r="X129" s="16">
        <v>3.7459430749487153</v>
      </c>
      <c r="Y129" s="16">
        <v>2.7866520765039722</v>
      </c>
      <c r="Z129" s="16">
        <v>3.0955142579677295</v>
      </c>
      <c r="AA129" s="16">
        <v>3.9073315670760023</v>
      </c>
      <c r="AB129" s="67">
        <v>3.6877806498419736</v>
      </c>
      <c r="AC129" s="3"/>
    </row>
    <row r="130" spans="2:29" x14ac:dyDescent="0.3">
      <c r="B130" s="66" t="s">
        <v>61</v>
      </c>
      <c r="C130" s="16">
        <v>10.0936740153603</v>
      </c>
      <c r="D130" s="16">
        <v>10.551870289868599</v>
      </c>
      <c r="E130" s="16">
        <v>11.48367967385925</v>
      </c>
      <c r="F130" s="16">
        <v>11.656234053312275</v>
      </c>
      <c r="G130" s="16">
        <v>10.243206415823042</v>
      </c>
      <c r="H130" s="16">
        <v>8.8088857795046351</v>
      </c>
      <c r="I130" s="16">
        <v>7.8734496689294975</v>
      </c>
      <c r="J130" s="16">
        <v>8.3292498404909843</v>
      </c>
      <c r="K130" s="16">
        <v>10.41396193650422</v>
      </c>
      <c r="L130" s="16">
        <v>14.983241233080449</v>
      </c>
      <c r="M130" s="16">
        <v>16.815566722125002</v>
      </c>
      <c r="N130" s="16">
        <v>16.4952766667353</v>
      </c>
      <c r="O130" s="16">
        <v>15.102622275642323</v>
      </c>
      <c r="P130" s="16">
        <v>13.290779006610274</v>
      </c>
      <c r="Q130" s="16">
        <v>11.65946223042015</v>
      </c>
      <c r="R130" s="16">
        <v>10.250849819910506</v>
      </c>
      <c r="S130" s="16">
        <v>9.591117281512382</v>
      </c>
      <c r="T130" s="16">
        <v>8.5803519940670814</v>
      </c>
      <c r="U130" s="16">
        <v>7.5707105778260395</v>
      </c>
      <c r="V130" s="16">
        <v>7.3385994649818729</v>
      </c>
      <c r="W130" s="16">
        <v>11.629698050020247</v>
      </c>
      <c r="X130" s="16">
        <v>9.2078498149576351</v>
      </c>
      <c r="Y130" s="16">
        <v>6.5280088408755184</v>
      </c>
      <c r="Z130" s="16">
        <v>7.4147012468610374</v>
      </c>
      <c r="AA130" s="16">
        <v>7.8942581321617276</v>
      </c>
      <c r="AB130" s="67">
        <v>8.1250186722956261</v>
      </c>
      <c r="AC130" s="3"/>
    </row>
    <row r="131" spans="2:29" x14ac:dyDescent="0.3">
      <c r="B131" s="66" t="s">
        <v>62</v>
      </c>
      <c r="C131" s="16">
        <v>5.8860457249523872</v>
      </c>
      <c r="D131" s="16">
        <v>6.6013279455635727</v>
      </c>
      <c r="E131" s="16">
        <v>6.3607794843107124</v>
      </c>
      <c r="F131" s="16">
        <v>6.4795990713614158</v>
      </c>
      <c r="G131" s="16">
        <v>6.3054245648764198</v>
      </c>
      <c r="H131" s="16">
        <v>4.7250560430528301</v>
      </c>
      <c r="I131" s="16">
        <v>4.2375777103599575</v>
      </c>
      <c r="J131" s="16">
        <v>4.5690224216445756</v>
      </c>
      <c r="K131" s="16">
        <v>6.2572024469682299</v>
      </c>
      <c r="L131" s="16">
        <v>10.12736436200748</v>
      </c>
      <c r="M131" s="16">
        <v>10.748014339610226</v>
      </c>
      <c r="N131" s="16">
        <v>9.9554442636606044</v>
      </c>
      <c r="O131" s="16">
        <v>8.4667413084770615</v>
      </c>
      <c r="P131" s="16">
        <v>7.7346568924720396</v>
      </c>
      <c r="Q131" s="16">
        <v>7.0347781881002254</v>
      </c>
      <c r="R131" s="16">
        <v>6.1773878584290349</v>
      </c>
      <c r="S131" s="16">
        <v>5.5315798462445249</v>
      </c>
      <c r="T131" s="16">
        <v>4.4294019221985579</v>
      </c>
      <c r="U131" s="16">
        <v>3.8569345587633199</v>
      </c>
      <c r="V131" s="16">
        <v>3.3504962654774122</v>
      </c>
      <c r="W131" s="16">
        <v>7.9415506376461646</v>
      </c>
      <c r="X131" s="16">
        <v>3.7563795574143377</v>
      </c>
      <c r="Y131" s="16">
        <v>2.7273281458997176</v>
      </c>
      <c r="Z131" s="16">
        <v>2.5408661756468125</v>
      </c>
      <c r="AA131" s="16">
        <v>3.274400838740128</v>
      </c>
      <c r="AB131" s="67">
        <v>3.3798112506228666</v>
      </c>
      <c r="AC131" s="3"/>
    </row>
    <row r="132" spans="2:29" x14ac:dyDescent="0.3">
      <c r="B132" s="66" t="s">
        <v>63</v>
      </c>
      <c r="C132" s="16">
        <v>3.1700032216729426</v>
      </c>
      <c r="D132" s="16">
        <v>3.8329038897080672</v>
      </c>
      <c r="E132" s="16">
        <v>4.2853798287811831</v>
      </c>
      <c r="F132" s="16">
        <v>4.0197102524049404</v>
      </c>
      <c r="G132" s="16">
        <v>3.6846578166934849</v>
      </c>
      <c r="H132" s="16">
        <v>3.0661594224610704</v>
      </c>
      <c r="I132" s="16">
        <v>2.8342354988180678</v>
      </c>
      <c r="J132" s="16">
        <v>3.1802117771856073</v>
      </c>
      <c r="K132" s="16">
        <v>4.811237971149815</v>
      </c>
      <c r="L132" s="16">
        <v>7.5692690536826825</v>
      </c>
      <c r="M132" s="16">
        <v>8.5992191255917678</v>
      </c>
      <c r="N132" s="16">
        <v>8.2076250085555262</v>
      </c>
      <c r="O132" s="16">
        <v>7.302087993270975</v>
      </c>
      <c r="P132" s="16">
        <v>6.3488017494212272</v>
      </c>
      <c r="Q132" s="16">
        <v>5.6875919361378831</v>
      </c>
      <c r="R132" s="16">
        <v>4.8269620956833625</v>
      </c>
      <c r="S132" s="16">
        <v>4.5963447476333652</v>
      </c>
      <c r="T132" s="16">
        <v>4.0352465277592025</v>
      </c>
      <c r="U132" s="16">
        <v>3.5140272746817125</v>
      </c>
      <c r="V132" s="16">
        <v>3.1991361615655176</v>
      </c>
      <c r="W132" s="16">
        <v>5.8252884992372973</v>
      </c>
      <c r="X132" s="16">
        <v>4.0673893748563898</v>
      </c>
      <c r="Y132" s="16">
        <v>3.0901185752708047</v>
      </c>
      <c r="Z132" s="16">
        <v>3.2707157601096952</v>
      </c>
      <c r="AA132" s="16">
        <v>3.7726938518133299</v>
      </c>
      <c r="AB132" s="67">
        <v>4.1271345629913858</v>
      </c>
      <c r="AC132" s="3"/>
    </row>
    <row r="133" spans="2:29" x14ac:dyDescent="0.3">
      <c r="B133" s="66" t="s">
        <v>64</v>
      </c>
      <c r="C133" s="16">
        <v>2.9518884840327271</v>
      </c>
      <c r="D133" s="16">
        <v>3.4348692133177599</v>
      </c>
      <c r="E133" s="16">
        <v>4.2457061154745297</v>
      </c>
      <c r="F133" s="16">
        <v>3.9992471243509975</v>
      </c>
      <c r="G133" s="16">
        <v>3.9725928618967274</v>
      </c>
      <c r="H133" s="16">
        <v>4.4220807382534053</v>
      </c>
      <c r="I133" s="16">
        <v>3.7927391754921826</v>
      </c>
      <c r="J133" s="16">
        <v>3.6090770819194322</v>
      </c>
      <c r="K133" s="16">
        <v>5.5592414457203603</v>
      </c>
      <c r="L133" s="16">
        <v>9.3551624921965129</v>
      </c>
      <c r="M133" s="16">
        <v>9.5015538784749776</v>
      </c>
      <c r="N133" s="16">
        <v>8.7214315513146801</v>
      </c>
      <c r="O133" s="16">
        <v>7.6559015803439525</v>
      </c>
      <c r="P133" s="16">
        <v>6.7959009383603428</v>
      </c>
      <c r="Q133" s="16">
        <v>5.9370744840100649</v>
      </c>
      <c r="R133" s="16">
        <v>4.9233369554542525</v>
      </c>
      <c r="S133" s="16">
        <v>4.7087284576867106</v>
      </c>
      <c r="T133" s="16">
        <v>4.078066350493212</v>
      </c>
      <c r="U133" s="16">
        <v>3.339681812284323</v>
      </c>
      <c r="V133" s="16">
        <v>3.0342494033030047</v>
      </c>
      <c r="W133" s="16">
        <v>4.9197168604749519</v>
      </c>
      <c r="X133" s="16">
        <v>2.8341519465022129</v>
      </c>
      <c r="Y133" s="16">
        <v>2.5943831381989697</v>
      </c>
      <c r="Z133" s="16">
        <v>2.6233684359450349</v>
      </c>
      <c r="AA133" s="16">
        <v>2.8443890367631175</v>
      </c>
      <c r="AB133" s="67">
        <v>2.8683340310148782</v>
      </c>
      <c r="AC133" s="3"/>
    </row>
    <row r="134" spans="2:29" x14ac:dyDescent="0.3">
      <c r="B134" s="66" t="s">
        <v>318</v>
      </c>
      <c r="C134" s="16">
        <v>3.2168155683277329</v>
      </c>
      <c r="D134" s="16">
        <v>3.8775655990397477</v>
      </c>
      <c r="E134" s="16">
        <v>4.1198665920828921</v>
      </c>
      <c r="F134" s="16">
        <v>4.1977697031821801</v>
      </c>
      <c r="G134" s="16">
        <v>3.9370803535269379</v>
      </c>
      <c r="H134" s="16">
        <v>3.6465314036871499</v>
      </c>
      <c r="I134" s="16">
        <v>3.5063622685338354</v>
      </c>
      <c r="J134" s="16">
        <v>3.4938522669931427</v>
      </c>
      <c r="K134" s="16">
        <v>4.3913087848774728</v>
      </c>
      <c r="L134" s="16">
        <v>7.4108535125165345</v>
      </c>
      <c r="M134" s="16">
        <v>7.411305574375648</v>
      </c>
      <c r="N134" s="16">
        <v>6.4870682383502798</v>
      </c>
      <c r="O134" s="16">
        <v>6.1892980573117731</v>
      </c>
      <c r="P134" s="16">
        <v>5.6088590319168699</v>
      </c>
      <c r="Q134" s="16">
        <v>4.6643331857073198</v>
      </c>
      <c r="R134" s="16">
        <v>4.2885218620243899</v>
      </c>
      <c r="S134" s="16">
        <v>4.1221063803763549</v>
      </c>
      <c r="T134" s="16">
        <v>3.9234347760665602</v>
      </c>
      <c r="U134" s="16">
        <v>3.5574556769574599</v>
      </c>
      <c r="V134" s="16">
        <v>3.3756006602865725</v>
      </c>
      <c r="W134" s="16">
        <v>7.1081357549657049</v>
      </c>
      <c r="X134" s="16">
        <v>4.4277353630663949</v>
      </c>
      <c r="Y134" s="16">
        <v>3.3736492118733548</v>
      </c>
      <c r="Z134" s="16">
        <v>2.9988578984556948</v>
      </c>
      <c r="AA134" s="16">
        <v>3.0890438132566125</v>
      </c>
      <c r="AB134" s="67">
        <v>3.3520225703093005</v>
      </c>
      <c r="AC134" s="3"/>
    </row>
    <row r="135" spans="2:29" x14ac:dyDescent="0.3">
      <c r="B135" s="66" t="s">
        <v>65</v>
      </c>
      <c r="C135" s="16">
        <v>3.8847500404562925</v>
      </c>
      <c r="D135" s="16">
        <v>4.2181742254871475</v>
      </c>
      <c r="E135" s="16">
        <v>4.8502168684596025</v>
      </c>
      <c r="F135" s="16">
        <v>4.9002886616334749</v>
      </c>
      <c r="G135" s="16">
        <v>4.888469294803655</v>
      </c>
      <c r="H135" s="16">
        <v>4.5365649670135273</v>
      </c>
      <c r="I135" s="16">
        <v>4.2886662420541626</v>
      </c>
      <c r="J135" s="16">
        <v>4.2096530277073398</v>
      </c>
      <c r="K135" s="16">
        <v>5.4487754258845325</v>
      </c>
      <c r="L135" s="16">
        <v>7.8217543368687377</v>
      </c>
      <c r="M135" s="16">
        <v>8.8406180988418086</v>
      </c>
      <c r="N135" s="16">
        <v>8.6164251982581401</v>
      </c>
      <c r="O135" s="16">
        <v>8.9136073262480586</v>
      </c>
      <c r="P135" s="16">
        <v>8.0370439611672371</v>
      </c>
      <c r="Q135" s="16">
        <v>6.3785783960988374</v>
      </c>
      <c r="R135" s="16">
        <v>5.3048423892196972</v>
      </c>
      <c r="S135" s="16">
        <v>4.9588032703288958</v>
      </c>
      <c r="T135" s="16">
        <v>4.8789302287871275</v>
      </c>
      <c r="U135" s="16">
        <v>4.3160145001307475</v>
      </c>
      <c r="V135" s="16">
        <v>4.0853767845013698</v>
      </c>
      <c r="W135" s="16">
        <v>7.4884787751927249</v>
      </c>
      <c r="X135" s="16">
        <v>4.7344032403288976</v>
      </c>
      <c r="Y135" s="16">
        <v>3.3250377716470072</v>
      </c>
      <c r="Z135" s="16">
        <v>3.3370758567436498</v>
      </c>
      <c r="AA135" s="16">
        <v>3.5552349667458674</v>
      </c>
      <c r="AB135" s="67">
        <v>3.5042288218371644</v>
      </c>
      <c r="AC135" s="3"/>
    </row>
    <row r="136" spans="2:29" x14ac:dyDescent="0.3">
      <c r="B136" s="66" t="s">
        <v>66</v>
      </c>
      <c r="C136" s="16">
        <v>4.0336999511544525</v>
      </c>
      <c r="D136" s="16">
        <v>5.5482732372281029</v>
      </c>
      <c r="E136" s="16">
        <v>6.2634136557242002</v>
      </c>
      <c r="F136" s="16">
        <v>5.9825007998197446</v>
      </c>
      <c r="G136" s="16">
        <v>5.2299468679748573</v>
      </c>
      <c r="H136" s="16">
        <v>5.1885403006571202</v>
      </c>
      <c r="I136" s="16">
        <v>4.6672467329416678</v>
      </c>
      <c r="J136" s="16">
        <v>4.5183868286365927</v>
      </c>
      <c r="K136" s="16">
        <v>5.5562633899197351</v>
      </c>
      <c r="L136" s="16">
        <v>8.9542842435834338</v>
      </c>
      <c r="M136" s="16">
        <v>9.13941136470347</v>
      </c>
      <c r="N136" s="16">
        <v>9.1329798838595782</v>
      </c>
      <c r="O136" s="16">
        <v>8.7531952010438374</v>
      </c>
      <c r="P136" s="16">
        <v>7.5644225933103293</v>
      </c>
      <c r="Q136" s="16">
        <v>6.2125358619984405</v>
      </c>
      <c r="R136" s="16">
        <v>5.9893054577771974</v>
      </c>
      <c r="S136" s="16">
        <v>5.8231251270744107</v>
      </c>
      <c r="T136" s="16">
        <v>5.0295313641199977</v>
      </c>
      <c r="U136" s="16">
        <v>4.353607312761258</v>
      </c>
      <c r="V136" s="16">
        <v>4.0633578620342048</v>
      </c>
      <c r="W136" s="16">
        <v>6.4167022914344303</v>
      </c>
      <c r="X136" s="16">
        <v>5.0875970731998921</v>
      </c>
      <c r="Y136" s="16">
        <v>3.9696546021427075</v>
      </c>
      <c r="Z136" s="16">
        <v>3.6694797461673274</v>
      </c>
      <c r="AA136" s="16">
        <v>3.6841106277762354</v>
      </c>
      <c r="AB136" s="67">
        <v>3.6400629494292978</v>
      </c>
      <c r="AC136" s="3"/>
    </row>
    <row r="137" spans="2:29" x14ac:dyDescent="0.3">
      <c r="B137" s="66" t="s">
        <v>319</v>
      </c>
      <c r="C137" s="16">
        <v>3.374225847815175</v>
      </c>
      <c r="D137" s="16">
        <v>3.3679908753127652</v>
      </c>
      <c r="E137" s="16">
        <v>3.9811161336723897</v>
      </c>
      <c r="F137" s="16">
        <v>3.7450059451409725</v>
      </c>
      <c r="G137" s="16">
        <v>3.7134941307751004</v>
      </c>
      <c r="H137" s="16">
        <v>3.5503745137499676</v>
      </c>
      <c r="I137" s="16">
        <v>3.4657208195213625</v>
      </c>
      <c r="J137" s="16">
        <v>3.3256668038537751</v>
      </c>
      <c r="K137" s="16">
        <v>3.5526802330271599</v>
      </c>
      <c r="L137" s="16">
        <v>4.3713488859611997</v>
      </c>
      <c r="M137" s="16">
        <v>4.3664949511746425</v>
      </c>
      <c r="N137" s="16">
        <v>4.6734654611990809</v>
      </c>
      <c r="O137" s="16">
        <v>4.2205026580206955</v>
      </c>
      <c r="P137" s="16">
        <v>3.7848154202909949</v>
      </c>
      <c r="Q137" s="16">
        <v>3.3763568614833774</v>
      </c>
      <c r="R137" s="16">
        <v>3.0207975731146472</v>
      </c>
      <c r="S137" s="16">
        <v>2.8736818009318674</v>
      </c>
      <c r="T137" s="16">
        <v>2.73705543962858</v>
      </c>
      <c r="U137" s="16">
        <v>2.5532106703845927</v>
      </c>
      <c r="V137" s="16">
        <v>2.4874331275081225</v>
      </c>
      <c r="W137" s="16">
        <v>4.8205412025749474</v>
      </c>
      <c r="X137" s="16">
        <v>3.1060586358272451</v>
      </c>
      <c r="Y137" s="16">
        <v>2.1199587675405454</v>
      </c>
      <c r="Z137" s="16">
        <v>2.15980032761109</v>
      </c>
      <c r="AA137" s="16">
        <v>2.4196625068100204</v>
      </c>
      <c r="AB137" s="67">
        <v>2.5602845384758797</v>
      </c>
      <c r="AC137" s="3"/>
    </row>
    <row r="138" spans="2:29" x14ac:dyDescent="0.3">
      <c r="B138" s="66" t="s">
        <v>320</v>
      </c>
      <c r="C138" s="16">
        <v>2.9031310546977949</v>
      </c>
      <c r="D138" s="16">
        <v>3.2562589056415252</v>
      </c>
      <c r="E138" s="16">
        <v>3.8693065898394803</v>
      </c>
      <c r="F138" s="16">
        <v>4.311675327903858</v>
      </c>
      <c r="G138" s="16">
        <v>4.6453787672298326</v>
      </c>
      <c r="H138" s="16">
        <v>3.7516744488774449</v>
      </c>
      <c r="I138" s="16">
        <v>3.0892553582609352</v>
      </c>
      <c r="J138" s="16">
        <v>2.7490677999419626</v>
      </c>
      <c r="K138" s="16">
        <v>3.0256847050672873</v>
      </c>
      <c r="L138" s="16">
        <v>4.1704098559215401</v>
      </c>
      <c r="M138" s="16">
        <v>4.6271172823371955</v>
      </c>
      <c r="N138" s="16">
        <v>4.3616174931519032</v>
      </c>
      <c r="O138" s="16">
        <v>3.8093788800497421</v>
      </c>
      <c r="P138" s="16">
        <v>3.6837839196455722</v>
      </c>
      <c r="Q138" s="16">
        <v>3.8498907447003949</v>
      </c>
      <c r="R138" s="16">
        <v>3.8335069676360201</v>
      </c>
      <c r="S138" s="16">
        <v>3.56852578731224</v>
      </c>
      <c r="T138" s="16">
        <v>3.2267031643973403</v>
      </c>
      <c r="U138" s="16">
        <v>3.1428570256204225</v>
      </c>
      <c r="V138" s="16">
        <v>3.4634992917624925</v>
      </c>
      <c r="W138" s="16">
        <v>5.326314281010915</v>
      </c>
      <c r="X138" s="16">
        <v>2.8216071755124821</v>
      </c>
      <c r="Y138" s="16">
        <v>2.14726275418866</v>
      </c>
      <c r="Z138" s="16">
        <v>2.2525193342106977</v>
      </c>
      <c r="AA138" s="16">
        <v>2.98723786455915</v>
      </c>
      <c r="AB138" s="67">
        <v>3.3502736754540536</v>
      </c>
      <c r="AC138" s="3"/>
    </row>
    <row r="139" spans="2:29" x14ac:dyDescent="0.3">
      <c r="B139" s="66" t="s">
        <v>67</v>
      </c>
      <c r="C139" s="16">
        <v>3.2853793103329521</v>
      </c>
      <c r="D139" s="16">
        <v>3.8281110805954848</v>
      </c>
      <c r="E139" s="16">
        <v>4.9737328627300972</v>
      </c>
      <c r="F139" s="16">
        <v>5.5735023397612267</v>
      </c>
      <c r="G139" s="16">
        <v>5.4311624158798448</v>
      </c>
      <c r="H139" s="16">
        <v>4.9275534364370497</v>
      </c>
      <c r="I139" s="16">
        <v>3.925808359646668</v>
      </c>
      <c r="J139" s="16">
        <v>3.1232275424678599</v>
      </c>
      <c r="K139" s="16">
        <v>3.91625478814225</v>
      </c>
      <c r="L139" s="16">
        <v>9.1258492974082248</v>
      </c>
      <c r="M139" s="16">
        <v>11.372375947132699</v>
      </c>
      <c r="N139" s="16">
        <v>10.615204119978674</v>
      </c>
      <c r="O139" s="16">
        <v>9.7937250790729085</v>
      </c>
      <c r="P139" s="16">
        <v>8.5737720173244494</v>
      </c>
      <c r="Q139" s="16">
        <v>6.1702786332632353</v>
      </c>
      <c r="R139" s="16">
        <v>5.2841242290354851</v>
      </c>
      <c r="S139" s="16">
        <v>4.9808590907645902</v>
      </c>
      <c r="T139" s="16">
        <v>3.5662075361416026</v>
      </c>
      <c r="U139" s="16">
        <v>3.6813384321287526</v>
      </c>
      <c r="V139" s="16">
        <v>3.2414836759979599</v>
      </c>
      <c r="W139" s="16">
        <v>6.8502101921669301</v>
      </c>
      <c r="X139" s="16">
        <v>5.7977248179300336</v>
      </c>
      <c r="Y139" s="16">
        <v>3.427576345008795</v>
      </c>
      <c r="Z139" s="16">
        <v>3.5681159838299328</v>
      </c>
      <c r="AA139" s="16">
        <v>4.4126377796619423</v>
      </c>
      <c r="AB139" s="67">
        <v>4.725317796612698</v>
      </c>
      <c r="AC139" s="3"/>
    </row>
    <row r="140" spans="2:29" x14ac:dyDescent="0.3">
      <c r="B140" s="66" t="s">
        <v>533</v>
      </c>
      <c r="C140" s="16">
        <v>3.2077138948493422</v>
      </c>
      <c r="D140" s="16">
        <v>4.7450981841879676</v>
      </c>
      <c r="E140" s="16">
        <v>5.9717268975420632</v>
      </c>
      <c r="F140" s="16">
        <v>6.8723076470396354</v>
      </c>
      <c r="G140" s="16">
        <v>6.2912014014721898</v>
      </c>
      <c r="H140" s="16">
        <v>5.8301128867217571</v>
      </c>
      <c r="I140" s="16">
        <v>6.1266495066686772</v>
      </c>
      <c r="J140" s="16">
        <v>6.2100074652736215</v>
      </c>
      <c r="K140" s="16">
        <v>7.1057305536367501</v>
      </c>
      <c r="L140" s="16">
        <v>11.883207000345523</v>
      </c>
      <c r="M140" s="16">
        <v>10.620709947534722</v>
      </c>
      <c r="N140" s="16">
        <v>8.1818968346325072</v>
      </c>
      <c r="O140" s="16">
        <v>6.9728178794631752</v>
      </c>
      <c r="P140" s="16">
        <v>6.4360374353600056</v>
      </c>
      <c r="Q140" s="16">
        <v>5.115443331638895</v>
      </c>
      <c r="R140" s="16">
        <v>3.8779700425467403</v>
      </c>
      <c r="S140" s="16">
        <v>3.6899856520442347</v>
      </c>
      <c r="T140" s="16">
        <v>3.5442427205570421</v>
      </c>
      <c r="U140" s="16">
        <v>3.11333618862664</v>
      </c>
      <c r="V140" s="16">
        <v>3.0506484581131024</v>
      </c>
      <c r="W140" s="16">
        <v>7.96514329912665</v>
      </c>
      <c r="X140" s="16">
        <v>4.5439931549207753</v>
      </c>
      <c r="Y140" s="16">
        <v>3.5132680755196648</v>
      </c>
      <c r="Z140" s="16">
        <v>3.3615620314089827</v>
      </c>
      <c r="AA140" s="16">
        <v>3.9782847667010479</v>
      </c>
      <c r="AB140" s="67">
        <v>4.6122686849539702</v>
      </c>
      <c r="AC140" s="3"/>
    </row>
    <row r="141" spans="2:29" x14ac:dyDescent="0.3">
      <c r="B141" s="66" t="s">
        <v>321</v>
      </c>
      <c r="C141" s="16">
        <v>7.0975574988031855</v>
      </c>
      <c r="D141" s="16">
        <v>8.300432636457364</v>
      </c>
      <c r="E141" s="16">
        <v>8.6824275750077522</v>
      </c>
      <c r="F141" s="16">
        <v>8.8930839703707303</v>
      </c>
      <c r="G141" s="16">
        <v>8.3089505188056165</v>
      </c>
      <c r="H141" s="16">
        <v>7.2539601933077043</v>
      </c>
      <c r="I141" s="16">
        <v>6.6701249489678407</v>
      </c>
      <c r="J141" s="16">
        <v>7.1028580680571425</v>
      </c>
      <c r="K141" s="16">
        <v>8.8907224817303288</v>
      </c>
      <c r="L141" s="16">
        <v>13.687002520902825</v>
      </c>
      <c r="M141" s="16">
        <v>13.925934902003425</v>
      </c>
      <c r="N141" s="16">
        <v>12.570966380961224</v>
      </c>
      <c r="O141" s="16">
        <v>11.982325927459602</v>
      </c>
      <c r="P141" s="16">
        <v>10.908875600671999</v>
      </c>
      <c r="Q141" s="16">
        <v>9.2006039125189272</v>
      </c>
      <c r="R141" s="16">
        <v>7.50964713458783</v>
      </c>
      <c r="S141" s="16">
        <v>6.6286855776670404</v>
      </c>
      <c r="T141" s="16">
        <v>5.4951250909422731</v>
      </c>
      <c r="U141" s="16">
        <v>5.5922165466478759</v>
      </c>
      <c r="V141" s="16">
        <v>5.1056477390731603</v>
      </c>
      <c r="W141" s="16">
        <v>8.1982756356033253</v>
      </c>
      <c r="X141" s="16">
        <v>6.3636107362549446</v>
      </c>
      <c r="Y141" s="16">
        <v>5.4378820536440031</v>
      </c>
      <c r="Z141" s="16">
        <v>5.2665860427223405</v>
      </c>
      <c r="AA141" s="16">
        <v>5.7490742968985824</v>
      </c>
      <c r="AB141" s="67">
        <v>6.5103934043638247</v>
      </c>
      <c r="AC141" s="3"/>
    </row>
    <row r="142" spans="2:29" x14ac:dyDescent="0.3">
      <c r="B142" s="66" t="s">
        <v>68</v>
      </c>
      <c r="C142" s="16">
        <v>4.9928329212192324</v>
      </c>
      <c r="D142" s="16">
        <v>4.5416825131781806</v>
      </c>
      <c r="E142" s="16">
        <v>4.3576509190867547</v>
      </c>
      <c r="F142" s="16">
        <v>4.4693571648126218</v>
      </c>
      <c r="G142" s="16">
        <v>4.2445970916979849</v>
      </c>
      <c r="H142" s="16">
        <v>4.0377224160228975</v>
      </c>
      <c r="I142" s="16">
        <v>3.2606054736400649</v>
      </c>
      <c r="J142" s="16">
        <v>3.3143894224830053</v>
      </c>
      <c r="K142" s="16">
        <v>4.3197509795400002</v>
      </c>
      <c r="L142" s="16">
        <v>5.6300757762400879</v>
      </c>
      <c r="M142" s="16">
        <v>6.2276469032616024</v>
      </c>
      <c r="N142" s="16">
        <v>6.089063637272071</v>
      </c>
      <c r="O142" s="16">
        <v>5.374346410240685</v>
      </c>
      <c r="P142" s="16">
        <v>5.0163012271339449</v>
      </c>
      <c r="Q142" s="16">
        <v>4.2892804774447999</v>
      </c>
      <c r="R142" s="16">
        <v>4.1202472198071476</v>
      </c>
      <c r="S142" s="16">
        <v>4.0983668417451042</v>
      </c>
      <c r="T142" s="16">
        <v>3.7931136656724274</v>
      </c>
      <c r="U142" s="16">
        <v>3.6053403145911975</v>
      </c>
      <c r="V142" s="16">
        <v>3.396430196649515</v>
      </c>
      <c r="W142" s="16">
        <v>5.8105640997605397</v>
      </c>
      <c r="X142" s="16">
        <v>3.2949983866580101</v>
      </c>
      <c r="Y142" s="16">
        <v>2.6094117865249022</v>
      </c>
      <c r="Z142" s="16">
        <v>2.6599129280930724</v>
      </c>
      <c r="AA142" s="16">
        <v>2.9627895099118446</v>
      </c>
      <c r="AB142" s="67">
        <v>2.835797464271689</v>
      </c>
      <c r="AC142" s="3"/>
    </row>
    <row r="143" spans="2:29" x14ac:dyDescent="0.3">
      <c r="B143" s="66" t="s">
        <v>69</v>
      </c>
      <c r="C143" s="16">
        <v>2.6723832778816003</v>
      </c>
      <c r="D143" s="16">
        <v>3.4613685327716874</v>
      </c>
      <c r="E143" s="16">
        <v>5.2650791054642925</v>
      </c>
      <c r="F143" s="16">
        <v>5.907348362516565</v>
      </c>
      <c r="G143" s="16">
        <v>5.677619145647455</v>
      </c>
      <c r="H143" s="16">
        <v>5.5133746926878153</v>
      </c>
      <c r="I143" s="16">
        <v>4.6276584670736751</v>
      </c>
      <c r="J143" s="16">
        <v>4.00994696783797</v>
      </c>
      <c r="K143" s="16">
        <v>5.2318778512975577</v>
      </c>
      <c r="L143" s="16">
        <v>8.9130353232657242</v>
      </c>
      <c r="M143" s="16">
        <v>9.5808630435355866</v>
      </c>
      <c r="N143" s="16">
        <v>8.9035217591817464</v>
      </c>
      <c r="O143" s="16">
        <v>7.8711272260605369</v>
      </c>
      <c r="P143" s="16">
        <v>6.4461422869254328</v>
      </c>
      <c r="Q143" s="16">
        <v>4.4337707980033274</v>
      </c>
      <c r="R143" s="16">
        <v>3.6640334382766024</v>
      </c>
      <c r="S143" s="16">
        <v>3.2396463950958925</v>
      </c>
      <c r="T143" s="16">
        <v>2.4665559548271778</v>
      </c>
      <c r="U143" s="16">
        <v>2.7810844491670821</v>
      </c>
      <c r="V143" s="16">
        <v>2.4932904617728351</v>
      </c>
      <c r="W143" s="16">
        <v>6.4900023357212104</v>
      </c>
      <c r="X143" s="16">
        <v>5.8262929295908004</v>
      </c>
      <c r="Y143" s="16">
        <v>3.3315518342691677</v>
      </c>
      <c r="Z143" s="16">
        <v>3.4757583843484103</v>
      </c>
      <c r="AA143" s="16">
        <v>4.4812918958518297</v>
      </c>
      <c r="AB143" s="67">
        <v>4.8871276595350919</v>
      </c>
      <c r="AC143" s="3"/>
    </row>
    <row r="144" spans="2:29" x14ac:dyDescent="0.3">
      <c r="B144" s="66" t="s">
        <v>70</v>
      </c>
      <c r="C144" s="16">
        <v>2.9018681834312297</v>
      </c>
      <c r="D144" s="16">
        <v>4.1077005255922598</v>
      </c>
      <c r="E144" s="16">
        <v>5.1739106281451024</v>
      </c>
      <c r="F144" s="16">
        <v>5.47320072393223</v>
      </c>
      <c r="G144" s="16">
        <v>4.8125583071856504</v>
      </c>
      <c r="H144" s="16">
        <v>4.6336983333149675</v>
      </c>
      <c r="I144" s="16">
        <v>4.6805779107698822</v>
      </c>
      <c r="J144" s="16">
        <v>4.7009433138769303</v>
      </c>
      <c r="K144" s="16">
        <v>4.8157321222728324</v>
      </c>
      <c r="L144" s="16">
        <v>8.3665680393794375</v>
      </c>
      <c r="M144" s="16">
        <v>8.0086217175467933</v>
      </c>
      <c r="N144" s="16">
        <v>7.3022984643640374</v>
      </c>
      <c r="O144" s="16">
        <v>6.6743299287723374</v>
      </c>
      <c r="P144" s="16">
        <v>6.3327159165157108</v>
      </c>
      <c r="Q144" s="16">
        <v>4.9663897966227823</v>
      </c>
      <c r="R144" s="16">
        <v>4.0874251585252948</v>
      </c>
      <c r="S144" s="16">
        <v>3.5919967594104296</v>
      </c>
      <c r="T144" s="16">
        <v>2.9773244367638525</v>
      </c>
      <c r="U144" s="16">
        <v>2.8006883181492674</v>
      </c>
      <c r="V144" s="16">
        <v>3.0121809392817198</v>
      </c>
      <c r="W144" s="16">
        <v>6.044970967995198</v>
      </c>
      <c r="X144" s="16">
        <v>3.3950090942507227</v>
      </c>
      <c r="Y144" s="16">
        <v>2.5612028322387275</v>
      </c>
      <c r="Z144" s="16">
        <v>2.5355893976902726</v>
      </c>
      <c r="AA144" s="16">
        <v>2.64646365013007</v>
      </c>
      <c r="AB144" s="67">
        <v>2.8148363737410214</v>
      </c>
      <c r="AC144" s="3"/>
    </row>
    <row r="145" spans="2:29" x14ac:dyDescent="0.3">
      <c r="B145" s="66" t="s">
        <v>322</v>
      </c>
      <c r="C145" s="16">
        <v>3.5269440012586624</v>
      </c>
      <c r="D145" s="16">
        <v>5.2608161178469048</v>
      </c>
      <c r="E145" s="16">
        <v>6.4225700636463126</v>
      </c>
      <c r="F145" s="16">
        <v>6.3492968274969499</v>
      </c>
      <c r="G145" s="16">
        <v>5.4931274472618732</v>
      </c>
      <c r="H145" s="16">
        <v>5.1669100727983555</v>
      </c>
      <c r="I145" s="16">
        <v>4.7785706493186701</v>
      </c>
      <c r="J145" s="16">
        <v>4.9097414041625544</v>
      </c>
      <c r="K145" s="16">
        <v>6.0403085050070127</v>
      </c>
      <c r="L145" s="16">
        <v>11.23331522498615</v>
      </c>
      <c r="M145" s="16">
        <v>11.475587330575099</v>
      </c>
      <c r="N145" s="16">
        <v>10.877867456995077</v>
      </c>
      <c r="O145" s="16">
        <v>10.161288657526926</v>
      </c>
      <c r="P145" s="16">
        <v>8.2368990905459754</v>
      </c>
      <c r="Q145" s="16">
        <v>6.4564127247854781</v>
      </c>
      <c r="R145" s="16">
        <v>5.854651005984242</v>
      </c>
      <c r="S145" s="16">
        <v>5.2240941394536478</v>
      </c>
      <c r="T145" s="16">
        <v>4.7522552382679226</v>
      </c>
      <c r="U145" s="16">
        <v>4.201209077456725</v>
      </c>
      <c r="V145" s="16">
        <v>4.0457249596188092</v>
      </c>
      <c r="W145" s="16">
        <v>8.1410659368037859</v>
      </c>
      <c r="X145" s="16">
        <v>5.4205256124229999</v>
      </c>
      <c r="Y145" s="16">
        <v>4.0129106573080051</v>
      </c>
      <c r="Z145" s="16">
        <v>3.8644253701785201</v>
      </c>
      <c r="AA145" s="16">
        <v>4.0086173941321821</v>
      </c>
      <c r="AB145" s="67">
        <v>4.0384896409499316</v>
      </c>
      <c r="AC145" s="3"/>
    </row>
    <row r="146" spans="2:29" x14ac:dyDescent="0.3">
      <c r="B146" s="66" t="s">
        <v>71</v>
      </c>
      <c r="C146" s="16">
        <v>4.2122775774428334</v>
      </c>
      <c r="D146" s="16">
        <v>5.7294596150988442</v>
      </c>
      <c r="E146" s="16">
        <v>6.4549260072542749</v>
      </c>
      <c r="F146" s="16">
        <v>6.3234184857597491</v>
      </c>
      <c r="G146" s="16">
        <v>5.647446836659169</v>
      </c>
      <c r="H146" s="16">
        <v>5.7488711677268505</v>
      </c>
      <c r="I146" s="16">
        <v>5.2085282981671552</v>
      </c>
      <c r="J146" s="16">
        <v>5.0871284540163924</v>
      </c>
      <c r="K146" s="16">
        <v>6.2224047801896054</v>
      </c>
      <c r="L146" s="16">
        <v>10.285004626568998</v>
      </c>
      <c r="M146" s="16">
        <v>10.126122993572455</v>
      </c>
      <c r="N146" s="16">
        <v>10.224508365677067</v>
      </c>
      <c r="O146" s="16">
        <v>9.429373870511343</v>
      </c>
      <c r="P146" s="16">
        <v>7.8438554457110747</v>
      </c>
      <c r="Q146" s="16">
        <v>6.2483127880008826</v>
      </c>
      <c r="R146" s="16">
        <v>5.9716121787891367</v>
      </c>
      <c r="S146" s="16">
        <v>5.8224464207696851</v>
      </c>
      <c r="T146" s="16">
        <v>5.0900192022432975</v>
      </c>
      <c r="U146" s="16">
        <v>4.5090841326036148</v>
      </c>
      <c r="V146" s="16">
        <v>4.4028043687884777</v>
      </c>
      <c r="W146" s="16">
        <v>7.2625828393352849</v>
      </c>
      <c r="X146" s="16">
        <v>5.4730480353547852</v>
      </c>
      <c r="Y146" s="16">
        <v>4.2214850709281926</v>
      </c>
      <c r="Z146" s="16">
        <v>4.0600242066265002</v>
      </c>
      <c r="AA146" s="16">
        <v>4.0396265566087948</v>
      </c>
      <c r="AB146" s="67">
        <v>3.9251247729642311</v>
      </c>
      <c r="AC146" s="3"/>
    </row>
    <row r="147" spans="2:29" x14ac:dyDescent="0.3">
      <c r="B147" s="66" t="s">
        <v>487</v>
      </c>
      <c r="C147" s="16">
        <v>2.9122516665690523</v>
      </c>
      <c r="D147" s="16">
        <v>4.5081822230232875</v>
      </c>
      <c r="E147" s="16">
        <v>5.7163972803373575</v>
      </c>
      <c r="F147" s="16">
        <v>6.2548647746109598</v>
      </c>
      <c r="G147" s="16">
        <v>6.4832292085619878</v>
      </c>
      <c r="H147" s="16">
        <v>6.2012756968440845</v>
      </c>
      <c r="I147" s="16">
        <v>5.8514566920995197</v>
      </c>
      <c r="J147" s="16">
        <v>5.1346524568021392</v>
      </c>
      <c r="K147" s="16">
        <v>6.1206677528780755</v>
      </c>
      <c r="L147" s="16">
        <v>10.259952796325528</v>
      </c>
      <c r="M147" s="16">
        <v>10.354700584488118</v>
      </c>
      <c r="N147" s="16">
        <v>9.2500033391077423</v>
      </c>
      <c r="O147" s="16">
        <v>8.0006514379448426</v>
      </c>
      <c r="P147" s="16">
        <v>6.4946671275990902</v>
      </c>
      <c r="Q147" s="16">
        <v>5.5917909735127704</v>
      </c>
      <c r="R147" s="16">
        <v>5.2154656371000572</v>
      </c>
      <c r="S147" s="16">
        <v>4.311089275624318</v>
      </c>
      <c r="T147" s="16">
        <v>3.6783358608782799</v>
      </c>
      <c r="U147" s="16">
        <v>2.9824475937395052</v>
      </c>
      <c r="V147" s="16">
        <v>2.4654233455908248</v>
      </c>
      <c r="W147" s="16">
        <v>5.5098689506763154</v>
      </c>
      <c r="X147" s="16">
        <v>3.4398400015045323</v>
      </c>
      <c r="Y147" s="16">
        <v>2.8408867676636627</v>
      </c>
      <c r="Z147" s="16">
        <v>2.7178189192161248</v>
      </c>
      <c r="AA147" s="16">
        <v>3.8399909607659222</v>
      </c>
      <c r="AB147" s="67">
        <v>3.9308333149526882</v>
      </c>
      <c r="AC147" s="3"/>
    </row>
    <row r="148" spans="2:29" x14ac:dyDescent="0.3">
      <c r="B148" s="66" t="s">
        <v>72</v>
      </c>
      <c r="C148" s="16">
        <v>13.603014673272725</v>
      </c>
      <c r="D148" s="16">
        <v>14.716128867991751</v>
      </c>
      <c r="E148" s="16">
        <v>16.879062840673626</v>
      </c>
      <c r="F148" s="16">
        <v>17.162364544981749</v>
      </c>
      <c r="G148" s="16">
        <v>16.346493694216726</v>
      </c>
      <c r="H148" s="16">
        <v>16.02551765625385</v>
      </c>
      <c r="I148" s="16">
        <v>15.142547970973975</v>
      </c>
      <c r="J148" s="16">
        <v>14.728794017787877</v>
      </c>
      <c r="K148" s="16">
        <v>15.849876512370974</v>
      </c>
      <c r="L148" s="16">
        <v>20.767010736201627</v>
      </c>
      <c r="M148" s="16">
        <v>23.96649131685755</v>
      </c>
      <c r="N148" s="16">
        <v>23.479941534444102</v>
      </c>
      <c r="O148" s="16">
        <v>22.175499744665348</v>
      </c>
      <c r="P148" s="16">
        <v>23.118086603068001</v>
      </c>
      <c r="Q148" s="16">
        <v>21.780383410414245</v>
      </c>
      <c r="R148" s="16">
        <v>18.516493191941851</v>
      </c>
      <c r="S148" s="16">
        <v>19.125451057292899</v>
      </c>
      <c r="T148" s="16">
        <v>18.379267314092825</v>
      </c>
      <c r="U148" s="16">
        <v>15.441230074392575</v>
      </c>
      <c r="V148" s="16">
        <v>14.1244524974284</v>
      </c>
      <c r="W148" s="16">
        <v>9.3755527444785347</v>
      </c>
      <c r="X148" s="16">
        <v>9.6994966366754944</v>
      </c>
      <c r="Y148" s="16">
        <v>8.5947970840347026</v>
      </c>
      <c r="Z148" s="16">
        <v>9.2057148802327724</v>
      </c>
      <c r="AA148" s="16">
        <v>9.599814729500924</v>
      </c>
      <c r="AB148" s="67">
        <v>8.8468581299364502</v>
      </c>
      <c r="AC148" s="3"/>
    </row>
    <row r="149" spans="2:29" x14ac:dyDescent="0.3">
      <c r="B149" s="66" t="s">
        <v>463</v>
      </c>
      <c r="C149" s="16">
        <v>4.9581826473030883</v>
      </c>
      <c r="D149" s="16">
        <v>4.690758356842518</v>
      </c>
      <c r="E149" s="16">
        <v>5.6556068779001718</v>
      </c>
      <c r="F149" s="16">
        <v>5.1981470392060647</v>
      </c>
      <c r="G149" s="16">
        <v>5.2756096289473646</v>
      </c>
      <c r="H149" s="16">
        <v>10.428059116589637</v>
      </c>
      <c r="I149" s="16">
        <v>8.7883135179754248</v>
      </c>
      <c r="J149" s="16">
        <v>5.4016417847829619</v>
      </c>
      <c r="K149" s="16">
        <v>5.6953790169402625</v>
      </c>
      <c r="L149" s="16">
        <v>7.7493321215099531</v>
      </c>
      <c r="M149" s="16">
        <v>8.9167771279391097</v>
      </c>
      <c r="N149" s="16">
        <v>9.3914333784058019</v>
      </c>
      <c r="O149" s="16">
        <v>8.5724383011606378</v>
      </c>
      <c r="P149" s="16">
        <v>8.0563465090224327</v>
      </c>
      <c r="Q149" s="16">
        <v>7.3510254096830225</v>
      </c>
      <c r="R149" s="16">
        <v>6.491407513667518</v>
      </c>
      <c r="S149" s="16">
        <v>5.777375584495017</v>
      </c>
      <c r="T149" s="16">
        <v>5.1491663345716274</v>
      </c>
      <c r="U149" s="16">
        <v>4.8835589295439803</v>
      </c>
      <c r="V149" s="16">
        <v>5.2785119906371527</v>
      </c>
      <c r="W149" s="16">
        <v>8.6658374979973321</v>
      </c>
      <c r="X149" s="16">
        <v>5.2265859955104332</v>
      </c>
      <c r="Y149" s="16">
        <v>3.6235417942208827</v>
      </c>
      <c r="Z149" s="16">
        <v>2.8910278098676598</v>
      </c>
      <c r="AA149" s="16">
        <v>2.8941193575403901</v>
      </c>
      <c r="AB149" s="67">
        <v>3.5489880490742447</v>
      </c>
      <c r="AC149" s="3"/>
    </row>
    <row r="150" spans="2:29" x14ac:dyDescent="0.3">
      <c r="B150" s="66" t="s">
        <v>323</v>
      </c>
      <c r="C150" s="16">
        <v>3.6776088043014097</v>
      </c>
      <c r="D150" s="16">
        <v>4.3349649904225602</v>
      </c>
      <c r="E150" s="16">
        <v>4.8724792941210708</v>
      </c>
      <c r="F150" s="16">
        <v>4.8486158171271727</v>
      </c>
      <c r="G150" s="16">
        <v>4.4569297722892731</v>
      </c>
      <c r="H150" s="16">
        <v>4.2433531909960349</v>
      </c>
      <c r="I150" s="16">
        <v>4.3280239974249906</v>
      </c>
      <c r="J150" s="16">
        <v>4.2240297877662352</v>
      </c>
      <c r="K150" s="16">
        <v>5.3684713658088876</v>
      </c>
      <c r="L150" s="16">
        <v>9.3828653568281482</v>
      </c>
      <c r="M150" s="16">
        <v>9.1270555538266773</v>
      </c>
      <c r="N150" s="16">
        <v>8.2088669369561877</v>
      </c>
      <c r="O150" s="16">
        <v>7.1910321529209931</v>
      </c>
      <c r="P150" s="16">
        <v>6.6111612007855403</v>
      </c>
      <c r="Q150" s="16">
        <v>5.9384183772724004</v>
      </c>
      <c r="R150" s="16">
        <v>5.2409929054711304</v>
      </c>
      <c r="S150" s="16">
        <v>4.4641994237102089</v>
      </c>
      <c r="T150" s="16">
        <v>4.1235992289203978</v>
      </c>
      <c r="U150" s="16">
        <v>4.1108725194262776</v>
      </c>
      <c r="V150" s="16">
        <v>3.6292889027532875</v>
      </c>
      <c r="W150" s="16">
        <v>6.3807440643300124</v>
      </c>
      <c r="X150" s="16">
        <v>4.2936988827391804</v>
      </c>
      <c r="Y150" s="16">
        <v>3.0004984646814923</v>
      </c>
      <c r="Z150" s="16">
        <v>2.8727323492334573</v>
      </c>
      <c r="AA150" s="16">
        <v>3.299398443849995</v>
      </c>
      <c r="AB150" s="67">
        <v>3.4206177982309982</v>
      </c>
      <c r="AC150" s="3"/>
    </row>
    <row r="151" spans="2:29" x14ac:dyDescent="0.3">
      <c r="B151" s="66" t="s">
        <v>324</v>
      </c>
      <c r="C151" s="16">
        <v>6.2603180763092725</v>
      </c>
      <c r="D151" s="16">
        <v>6.7028203327449614</v>
      </c>
      <c r="E151" s="16">
        <v>6.7913081159412449</v>
      </c>
      <c r="F151" s="16">
        <v>6.9857785431212251</v>
      </c>
      <c r="G151" s="16">
        <v>6.57291435187053</v>
      </c>
      <c r="H151" s="16">
        <v>9.2421416046635887</v>
      </c>
      <c r="I151" s="16">
        <v>4.806998051522168</v>
      </c>
      <c r="J151" s="16">
        <v>4.4461351451132103</v>
      </c>
      <c r="K151" s="16">
        <v>5.3971428415236176</v>
      </c>
      <c r="L151" s="16">
        <v>7.5195451360673493</v>
      </c>
      <c r="M151" s="16">
        <v>9.0813768305791474</v>
      </c>
      <c r="N151" s="16">
        <v>9.0254708483470214</v>
      </c>
      <c r="O151" s="16">
        <v>8.096255305633596</v>
      </c>
      <c r="P151" s="16">
        <v>7.6353016087865822</v>
      </c>
      <c r="Q151" s="16">
        <v>7.4501773618818703</v>
      </c>
      <c r="R151" s="16">
        <v>7.1513764671275952</v>
      </c>
      <c r="S151" s="16">
        <v>6.3503830591503707</v>
      </c>
      <c r="T151" s="16">
        <v>5.3853473239537637</v>
      </c>
      <c r="U151" s="16">
        <v>5.1266532196133223</v>
      </c>
      <c r="V151" s="16">
        <v>4.958931782039472</v>
      </c>
      <c r="W151" s="16">
        <v>9.6016076373839851</v>
      </c>
      <c r="X151" s="16">
        <v>6.2227188516698497</v>
      </c>
      <c r="Y151" s="16">
        <v>4.1164197074423576</v>
      </c>
      <c r="Z151" s="16">
        <v>4.1722177630314876</v>
      </c>
      <c r="AA151" s="16">
        <v>4.8522056331088352</v>
      </c>
      <c r="AB151" s="67">
        <v>5.0539737773181477</v>
      </c>
      <c r="AC151" s="3"/>
    </row>
    <row r="152" spans="2:29" x14ac:dyDescent="0.3">
      <c r="B152" s="66" t="s">
        <v>325</v>
      </c>
      <c r="C152" s="16">
        <v>9.8808579934195553</v>
      </c>
      <c r="D152" s="16">
        <v>10.698836367583024</v>
      </c>
      <c r="E152" s="16">
        <v>11.7623941139781</v>
      </c>
      <c r="F152" s="16">
        <v>12.07263164899895</v>
      </c>
      <c r="G152" s="16">
        <v>10.974692919452975</v>
      </c>
      <c r="H152" s="16">
        <v>9.4180089953262183</v>
      </c>
      <c r="I152" s="16">
        <v>8.442687193877271</v>
      </c>
      <c r="J152" s="16">
        <v>8.5925948092690962</v>
      </c>
      <c r="K152" s="16">
        <v>10.589478013109606</v>
      </c>
      <c r="L152" s="16">
        <v>14.709055309160226</v>
      </c>
      <c r="M152" s="16">
        <v>16.255352831620126</v>
      </c>
      <c r="N152" s="16">
        <v>15.929740700968448</v>
      </c>
      <c r="O152" s="16">
        <v>14.943468800906626</v>
      </c>
      <c r="P152" s="16">
        <v>13.530969241720975</v>
      </c>
      <c r="Q152" s="16">
        <v>12.057069371025175</v>
      </c>
      <c r="R152" s="16">
        <v>10.523867035764752</v>
      </c>
      <c r="S152" s="16">
        <v>10.443532420295325</v>
      </c>
      <c r="T152" s="16">
        <v>9.2992737230687634</v>
      </c>
      <c r="U152" s="16">
        <v>8.2454969933051814</v>
      </c>
      <c r="V152" s="16">
        <v>8.3376378032339122</v>
      </c>
      <c r="W152" s="16">
        <v>12.315452340644125</v>
      </c>
      <c r="X152" s="16">
        <v>10.085189928952992</v>
      </c>
      <c r="Y152" s="16">
        <v>7.4130665384981604</v>
      </c>
      <c r="Z152" s="16">
        <v>8.4546714103050231</v>
      </c>
      <c r="AA152" s="16">
        <v>8.8925675447012971</v>
      </c>
      <c r="AB152" s="67">
        <v>9.125809708197421</v>
      </c>
      <c r="AC152" s="3"/>
    </row>
    <row r="153" spans="2:29" x14ac:dyDescent="0.3">
      <c r="B153" s="66" t="s">
        <v>326</v>
      </c>
      <c r="C153" s="16">
        <v>3.4216600637722152</v>
      </c>
      <c r="D153" s="16">
        <v>4.1102247422360181</v>
      </c>
      <c r="E153" s="16">
        <v>4.5641212196709766</v>
      </c>
      <c r="F153" s="16">
        <v>4.6321216356789128</v>
      </c>
      <c r="G153" s="16">
        <v>4.3434300221214404</v>
      </c>
      <c r="H153" s="16">
        <v>4.051759116233673</v>
      </c>
      <c r="I153" s="16">
        <v>3.8184447609915999</v>
      </c>
      <c r="J153" s="16">
        <v>3.8073302463737297</v>
      </c>
      <c r="K153" s="16">
        <v>4.6056924848837983</v>
      </c>
      <c r="L153" s="16">
        <v>7.1086476456780368</v>
      </c>
      <c r="M153" s="16">
        <v>7.2145147156976703</v>
      </c>
      <c r="N153" s="16">
        <v>6.8262935384184633</v>
      </c>
      <c r="O153" s="16">
        <v>6.6509037060676306</v>
      </c>
      <c r="P153" s="16">
        <v>6.0508959671259195</v>
      </c>
      <c r="Q153" s="16">
        <v>5.040171016795747</v>
      </c>
      <c r="R153" s="16">
        <v>4.4386506607435372</v>
      </c>
      <c r="S153" s="16">
        <v>4.4020881957168774</v>
      </c>
      <c r="T153" s="16">
        <v>4.2383148379161772</v>
      </c>
      <c r="U153" s="16">
        <v>3.7873775317887777</v>
      </c>
      <c r="V153" s="16">
        <v>3.6373114192045199</v>
      </c>
      <c r="W153" s="16">
        <v>7.5274922833432054</v>
      </c>
      <c r="X153" s="16">
        <v>5.0981541232718879</v>
      </c>
      <c r="Y153" s="16">
        <v>3.5476930113627301</v>
      </c>
      <c r="Z153" s="16">
        <v>3.196319175056535</v>
      </c>
      <c r="AA153" s="16">
        <v>3.2726070522270123</v>
      </c>
      <c r="AB153" s="67">
        <v>3.5188230984812567</v>
      </c>
      <c r="AC153" s="3"/>
    </row>
    <row r="154" spans="2:29" x14ac:dyDescent="0.3">
      <c r="B154" s="66" t="s">
        <v>73</v>
      </c>
      <c r="C154" s="16">
        <v>1.9051779195564824</v>
      </c>
      <c r="D154" s="16">
        <v>2.5075339723148176</v>
      </c>
      <c r="E154" s="16">
        <v>3.5407522507185347</v>
      </c>
      <c r="F154" s="16">
        <v>3.4336860651717656</v>
      </c>
      <c r="G154" s="16">
        <v>3.3186270647857978</v>
      </c>
      <c r="H154" s="16">
        <v>3.2310259750867201</v>
      </c>
      <c r="I154" s="16">
        <v>2.6294142613839351</v>
      </c>
      <c r="J154" s="16">
        <v>2.6896692595234422</v>
      </c>
      <c r="K154" s="16">
        <v>3.7583862204610572</v>
      </c>
      <c r="L154" s="16">
        <v>6.2311417212028974</v>
      </c>
      <c r="M154" s="16">
        <v>6.9221690158945401</v>
      </c>
      <c r="N154" s="16">
        <v>6.367373728358797</v>
      </c>
      <c r="O154" s="16">
        <v>6.044221495684778</v>
      </c>
      <c r="P154" s="16">
        <v>5.5208371968042451</v>
      </c>
      <c r="Q154" s="16">
        <v>5.0703310898734735</v>
      </c>
      <c r="R154" s="16">
        <v>4.4352606160277395</v>
      </c>
      <c r="S154" s="16">
        <v>3.8192420857455374</v>
      </c>
      <c r="T154" s="16">
        <v>3.4300859678218902</v>
      </c>
      <c r="U154" s="16">
        <v>2.8397505835621777</v>
      </c>
      <c r="V154" s="16">
        <v>2.5038164838918426</v>
      </c>
      <c r="W154" s="16">
        <v>5.3733328558789495</v>
      </c>
      <c r="X154" s="16">
        <v>3.1527356512820601</v>
      </c>
      <c r="Y154" s="16">
        <v>2.5722983416822824</v>
      </c>
      <c r="Z154" s="16">
        <v>2.5716752985058902</v>
      </c>
      <c r="AA154" s="16">
        <v>2.7800837420183697</v>
      </c>
      <c r="AB154" s="67">
        <v>3.1045678914950776</v>
      </c>
      <c r="AC154" s="3"/>
    </row>
    <row r="155" spans="2:29" x14ac:dyDescent="0.3">
      <c r="B155" s="66" t="s">
        <v>426</v>
      </c>
      <c r="C155" s="16">
        <v>2.2160988606702552</v>
      </c>
      <c r="D155" s="16">
        <v>2.912333117522615</v>
      </c>
      <c r="E155" s="16">
        <v>4.395286151408393</v>
      </c>
      <c r="F155" s="16">
        <v>5.6353525551497023</v>
      </c>
      <c r="G155" s="16">
        <v>5.2080523900675626</v>
      </c>
      <c r="H155" s="16">
        <v>4.9587485997514653</v>
      </c>
      <c r="I155" s="16">
        <v>4.5117059648124576</v>
      </c>
      <c r="J155" s="16">
        <v>4.6079650620650172</v>
      </c>
      <c r="K155" s="16">
        <v>5.6316044958107705</v>
      </c>
      <c r="L155" s="16">
        <v>8.1303317684064673</v>
      </c>
      <c r="M155" s="16">
        <v>9.3073219374004843</v>
      </c>
      <c r="N155" s="16">
        <v>8.7954365058511215</v>
      </c>
      <c r="O155" s="16">
        <v>8.1849217748212162</v>
      </c>
      <c r="P155" s="16">
        <v>7.7459821179985076</v>
      </c>
      <c r="Q155" s="16">
        <v>6.4623627708488218</v>
      </c>
      <c r="R155" s="16">
        <v>5.4535196129087895</v>
      </c>
      <c r="S155" s="16">
        <v>4.9239516109120105</v>
      </c>
      <c r="T155" s="16">
        <v>4.4285165021052997</v>
      </c>
      <c r="U155" s="16">
        <v>3.9162652830475202</v>
      </c>
      <c r="V155" s="16">
        <v>3.6117375437948827</v>
      </c>
      <c r="W155" s="16">
        <v>7.8968256646976673</v>
      </c>
      <c r="X155" s="16">
        <v>6.4972960935002</v>
      </c>
      <c r="Y155" s="16">
        <v>4.0687314123937899</v>
      </c>
      <c r="Z155" s="16">
        <v>3.1591474136160249</v>
      </c>
      <c r="AA155" s="16">
        <v>3.1736963290981723</v>
      </c>
      <c r="AB155" s="67">
        <v>3.5541752598674452</v>
      </c>
      <c r="AC155" s="3"/>
    </row>
    <row r="156" spans="2:29" x14ac:dyDescent="0.3">
      <c r="B156" s="66" t="s">
        <v>74</v>
      </c>
      <c r="C156" s="16">
        <v>4.5816114465298181</v>
      </c>
      <c r="D156" s="16">
        <v>4.1011829658158625</v>
      </c>
      <c r="E156" s="16">
        <v>5.1933830136482175</v>
      </c>
      <c r="F156" s="16">
        <v>4.9114286332280699</v>
      </c>
      <c r="G156" s="16">
        <v>5.1979618501328098</v>
      </c>
      <c r="H156" s="16">
        <v>6.2259156776095885</v>
      </c>
      <c r="I156" s="16">
        <v>4.7671301722830197</v>
      </c>
      <c r="J156" s="16">
        <v>4.8638683397802094</v>
      </c>
      <c r="K156" s="16">
        <v>5.5660380417880031</v>
      </c>
      <c r="L156" s="16">
        <v>7.4377022878495556</v>
      </c>
      <c r="M156" s="16">
        <v>8.7383621406370686</v>
      </c>
      <c r="N156" s="16">
        <v>8.89913569603622</v>
      </c>
      <c r="O156" s="16">
        <v>7.9364856727845119</v>
      </c>
      <c r="P156" s="16">
        <v>7.4383873703167422</v>
      </c>
      <c r="Q156" s="16">
        <v>6.5948047126307561</v>
      </c>
      <c r="R156" s="16">
        <v>5.8031883201464218</v>
      </c>
      <c r="S156" s="16">
        <v>5.497678312204048</v>
      </c>
      <c r="T156" s="16">
        <v>4.6505379091992074</v>
      </c>
      <c r="U156" s="16">
        <v>4.4150776260867248</v>
      </c>
      <c r="V156" s="16">
        <v>5.0405855938463722</v>
      </c>
      <c r="W156" s="16">
        <v>7.1925574796051031</v>
      </c>
      <c r="X156" s="16">
        <v>4.9950283562199154</v>
      </c>
      <c r="Y156" s="16">
        <v>3.4529137763578897</v>
      </c>
      <c r="Z156" s="16">
        <v>2.841397626332395</v>
      </c>
      <c r="AA156" s="16">
        <v>2.9318590387578629</v>
      </c>
      <c r="AB156" s="67">
        <v>3.5635499165901732</v>
      </c>
      <c r="AC156" s="3"/>
    </row>
    <row r="157" spans="2:29" x14ac:dyDescent="0.3">
      <c r="B157" s="66" t="s">
        <v>534</v>
      </c>
      <c r="C157" s="16">
        <v>4.1846277884455825</v>
      </c>
      <c r="D157" s="16">
        <v>4.131456218516508</v>
      </c>
      <c r="E157" s="16">
        <v>4.122460988408605</v>
      </c>
      <c r="F157" s="16">
        <v>3.9998571916188324</v>
      </c>
      <c r="G157" s="16">
        <v>4.023011039119492</v>
      </c>
      <c r="H157" s="16">
        <v>3.7979335939297201</v>
      </c>
      <c r="I157" s="16">
        <v>3.1632521549524699</v>
      </c>
      <c r="J157" s="16">
        <v>2.9125732849862027</v>
      </c>
      <c r="K157" s="16">
        <v>3.9940616112927421</v>
      </c>
      <c r="L157" s="16">
        <v>5.5926396209817923</v>
      </c>
      <c r="M157" s="16">
        <v>5.5867717841611846</v>
      </c>
      <c r="N157" s="16">
        <v>5.2957386757660521</v>
      </c>
      <c r="O157" s="16">
        <v>4.9282346654762605</v>
      </c>
      <c r="P157" s="16">
        <v>4.447059919502637</v>
      </c>
      <c r="Q157" s="16">
        <v>3.9157523338818074</v>
      </c>
      <c r="R157" s="16">
        <v>3.6343087622467798</v>
      </c>
      <c r="S157" s="16">
        <v>3.6468270846525876</v>
      </c>
      <c r="T157" s="16">
        <v>3.6778963151133977</v>
      </c>
      <c r="U157" s="16">
        <v>3.4542590742568997</v>
      </c>
      <c r="V157" s="16">
        <v>3.1245398670665576</v>
      </c>
      <c r="W157" s="16">
        <v>5.0651988442339642</v>
      </c>
      <c r="X157" s="16">
        <v>3.1356577984232548</v>
      </c>
      <c r="Y157" s="16">
        <v>2.5229006591008423</v>
      </c>
      <c r="Z157" s="16">
        <v>2.5374608637199323</v>
      </c>
      <c r="AA157" s="16">
        <v>2.7400294116699877</v>
      </c>
      <c r="AB157" s="67">
        <v>2.598257950895734</v>
      </c>
      <c r="AC157" s="3"/>
    </row>
    <row r="158" spans="2:29" x14ac:dyDescent="0.3">
      <c r="B158" s="66" t="s">
        <v>327</v>
      </c>
      <c r="C158" s="16">
        <v>3.0020426511838596</v>
      </c>
      <c r="D158" s="16">
        <v>6.2703405607615021</v>
      </c>
      <c r="E158" s="16">
        <v>7.8679940587109671</v>
      </c>
      <c r="F158" s="16">
        <v>7.7417590216449677</v>
      </c>
      <c r="G158" s="16">
        <v>6.6651174055655149</v>
      </c>
      <c r="H158" s="16">
        <v>6.5505547470137353</v>
      </c>
      <c r="I158" s="16">
        <v>5.8481313828868977</v>
      </c>
      <c r="J158" s="16">
        <v>5.9444321868144403</v>
      </c>
      <c r="K158" s="16">
        <v>7.2148001468037819</v>
      </c>
      <c r="L158" s="16">
        <v>14.5233773803453</v>
      </c>
      <c r="M158" s="16">
        <v>13.336828322308701</v>
      </c>
      <c r="N158" s="16">
        <v>12.021368727545177</v>
      </c>
      <c r="O158" s="16">
        <v>10.6838221099176</v>
      </c>
      <c r="P158" s="16">
        <v>8.3761388617420121</v>
      </c>
      <c r="Q158" s="16">
        <v>6.2414797229361394</v>
      </c>
      <c r="R158" s="16">
        <v>5.5587950272903752</v>
      </c>
      <c r="S158" s="16">
        <v>4.8989264139162474</v>
      </c>
      <c r="T158" s="16">
        <v>4.2718814040985125</v>
      </c>
      <c r="U158" s="16">
        <v>3.7009964500950128</v>
      </c>
      <c r="V158" s="16">
        <v>3.7235632504882297</v>
      </c>
      <c r="W158" s="16">
        <v>7.7944020296369203</v>
      </c>
      <c r="X158" s="16">
        <v>4.7731851623744124</v>
      </c>
      <c r="Y158" s="16">
        <v>3.4933402798876876</v>
      </c>
      <c r="Z158" s="16">
        <v>3.3325711914170548</v>
      </c>
      <c r="AA158" s="16">
        <v>3.5578909686972024</v>
      </c>
      <c r="AB158" s="67">
        <v>3.6601696774768837</v>
      </c>
      <c r="AC158" s="3"/>
    </row>
    <row r="159" spans="2:29" x14ac:dyDescent="0.3">
      <c r="B159" s="66" t="s">
        <v>488</v>
      </c>
      <c r="C159" s="16">
        <v>3.2447677681569478</v>
      </c>
      <c r="D159" s="16">
        <v>3.8753214145323676</v>
      </c>
      <c r="E159" s="16">
        <v>4.4044104261663426</v>
      </c>
      <c r="F159" s="16">
        <v>4.9464650251754696</v>
      </c>
      <c r="G159" s="16">
        <v>5.1030537210056526</v>
      </c>
      <c r="H159" s="16">
        <v>4.9383303775585823</v>
      </c>
      <c r="I159" s="16">
        <v>4.7315198870963702</v>
      </c>
      <c r="J159" s="16">
        <v>4.3449772055517197</v>
      </c>
      <c r="K159" s="16">
        <v>5.485215988512687</v>
      </c>
      <c r="L159" s="16">
        <v>8.7114225662362941</v>
      </c>
      <c r="M159" s="16">
        <v>8.7572096194451241</v>
      </c>
      <c r="N159" s="16">
        <v>8.6832045625223309</v>
      </c>
      <c r="O159" s="16">
        <v>7.5258508499531702</v>
      </c>
      <c r="P159" s="16">
        <v>6.2981772713201503</v>
      </c>
      <c r="Q159" s="16">
        <v>5.5304338506384525</v>
      </c>
      <c r="R159" s="16">
        <v>5.3621795660470823</v>
      </c>
      <c r="S159" s="16">
        <v>4.4191852273279499</v>
      </c>
      <c r="T159" s="16">
        <v>3.742996508584473</v>
      </c>
      <c r="U159" s="16">
        <v>2.9771511723677575</v>
      </c>
      <c r="V159" s="16">
        <v>2.4389600621501071</v>
      </c>
      <c r="W159" s="16">
        <v>5.0761514554913347</v>
      </c>
      <c r="X159" s="16">
        <v>3.2925013620712797</v>
      </c>
      <c r="Y159" s="16">
        <v>2.9562410859298276</v>
      </c>
      <c r="Z159" s="16">
        <v>2.6848116598285303</v>
      </c>
      <c r="AA159" s="16">
        <v>3.8769092972284427</v>
      </c>
      <c r="AB159" s="67">
        <v>4.0024404546779406</v>
      </c>
      <c r="AC159" s="3"/>
    </row>
    <row r="160" spans="2:29" x14ac:dyDescent="0.3">
      <c r="B160" s="66" t="s">
        <v>75</v>
      </c>
      <c r="C160" s="16">
        <v>4.9502489544642803</v>
      </c>
      <c r="D160" s="16">
        <v>4.5405657165512627</v>
      </c>
      <c r="E160" s="16">
        <v>5.4843854475669351</v>
      </c>
      <c r="F160" s="16">
        <v>4.9052817638794499</v>
      </c>
      <c r="G160" s="16">
        <v>5.1512534545644231</v>
      </c>
      <c r="H160" s="16">
        <v>5.4668934983776474</v>
      </c>
      <c r="I160" s="16">
        <v>5.4112903710099616</v>
      </c>
      <c r="J160" s="16">
        <v>4.9438296524620604</v>
      </c>
      <c r="K160" s="16">
        <v>5.7929005659046124</v>
      </c>
      <c r="L160" s="16">
        <v>8.0727395796821728</v>
      </c>
      <c r="M160" s="16">
        <v>8.8057308327713137</v>
      </c>
      <c r="N160" s="16">
        <v>9.0732601700715882</v>
      </c>
      <c r="O160" s="16">
        <v>8.6940137257685919</v>
      </c>
      <c r="P160" s="16">
        <v>8.3461903659171668</v>
      </c>
      <c r="Q160" s="16">
        <v>7.6380900112475931</v>
      </c>
      <c r="R160" s="16">
        <v>6.2976969229280249</v>
      </c>
      <c r="S160" s="16">
        <v>6.4775320659378899</v>
      </c>
      <c r="T160" s="16">
        <v>5.7833544284121503</v>
      </c>
      <c r="U160" s="16">
        <v>4.7811358157462127</v>
      </c>
      <c r="V160" s="16">
        <v>4.444947955191477</v>
      </c>
      <c r="W160" s="16">
        <v>6.5000578851933772</v>
      </c>
      <c r="X160" s="16">
        <v>4.2280029934573697</v>
      </c>
      <c r="Y160" s="16">
        <v>3.8207179046039728</v>
      </c>
      <c r="Z160" s="16">
        <v>3.8311164950413472</v>
      </c>
      <c r="AA160" s="16">
        <v>3.9808823931682378</v>
      </c>
      <c r="AB160" s="67">
        <v>3.966035481903889</v>
      </c>
      <c r="AC160" s="3"/>
    </row>
    <row r="161" spans="2:29" x14ac:dyDescent="0.3">
      <c r="B161" s="66" t="s">
        <v>328</v>
      </c>
      <c r="C161" s="16">
        <v>4.7251266272162553</v>
      </c>
      <c r="D161" s="16">
        <v>5.8773309308821391</v>
      </c>
      <c r="E161" s="16">
        <v>6.8073299273223302</v>
      </c>
      <c r="F161" s="16">
        <v>6.415036648986713</v>
      </c>
      <c r="G161" s="16">
        <v>5.5393495331593687</v>
      </c>
      <c r="H161" s="16">
        <v>4.3262394874047549</v>
      </c>
      <c r="I161" s="16">
        <v>3.8981544008138775</v>
      </c>
      <c r="J161" s="16">
        <v>5.0696594099332906</v>
      </c>
      <c r="K161" s="16">
        <v>8.3465686793595246</v>
      </c>
      <c r="L161" s="16">
        <v>11.899646759422724</v>
      </c>
      <c r="M161" s="16">
        <v>13.776974633107775</v>
      </c>
      <c r="N161" s="16">
        <v>12.71657351300995</v>
      </c>
      <c r="O161" s="16">
        <v>11.145612728595076</v>
      </c>
      <c r="P161" s="16">
        <v>10.117527021916043</v>
      </c>
      <c r="Q161" s="16">
        <v>8.8484212742037656</v>
      </c>
      <c r="R161" s="16">
        <v>7.58479573661395</v>
      </c>
      <c r="S161" s="16">
        <v>6.4024147594282672</v>
      </c>
      <c r="T161" s="16">
        <v>5.6095561033116228</v>
      </c>
      <c r="U161" s="16">
        <v>5.0481487523251873</v>
      </c>
      <c r="V161" s="16">
        <v>4.6900819127233326</v>
      </c>
      <c r="W161" s="16">
        <v>8.3373877232752154</v>
      </c>
      <c r="X161" s="16">
        <v>5.5607403668893669</v>
      </c>
      <c r="Y161" s="16">
        <v>4.1203120064026599</v>
      </c>
      <c r="Z161" s="16">
        <v>4.3597085634220978</v>
      </c>
      <c r="AA161" s="16">
        <v>5.0007057072245402</v>
      </c>
      <c r="AB161" s="67">
        <v>5.506253061697433</v>
      </c>
      <c r="AC161" s="3"/>
    </row>
    <row r="162" spans="2:29" x14ac:dyDescent="0.3">
      <c r="B162" s="66" t="s">
        <v>76</v>
      </c>
      <c r="C162" s="16">
        <v>4.2185021812262846</v>
      </c>
      <c r="D162" s="16">
        <v>4.6759037355277551</v>
      </c>
      <c r="E162" s="16">
        <v>5.7090485304498957</v>
      </c>
      <c r="F162" s="16">
        <v>6.2741974622026824</v>
      </c>
      <c r="G162" s="16">
        <v>6.0567301628422747</v>
      </c>
      <c r="H162" s="16">
        <v>5.702706733346818</v>
      </c>
      <c r="I162" s="16">
        <v>5.2737715133906367</v>
      </c>
      <c r="J162" s="16">
        <v>5.5739248376436095</v>
      </c>
      <c r="K162" s="16">
        <v>5.6015490242654096</v>
      </c>
      <c r="L162" s="16">
        <v>7.5150425652382618</v>
      </c>
      <c r="M162" s="16">
        <v>8.0761278653288375</v>
      </c>
      <c r="N162" s="16">
        <v>8.3115223371915405</v>
      </c>
      <c r="O162" s="16">
        <v>7.5649026217642046</v>
      </c>
      <c r="P162" s="16">
        <v>7.3710020475496432</v>
      </c>
      <c r="Q162" s="16">
        <v>6.1874360021051649</v>
      </c>
      <c r="R162" s="16">
        <v>5.3706744815427694</v>
      </c>
      <c r="S162" s="16">
        <v>4.1605229285729433</v>
      </c>
      <c r="T162" s="16">
        <v>3.9076704554372199</v>
      </c>
      <c r="U162" s="16">
        <v>3.8338152020935601</v>
      </c>
      <c r="V162" s="16">
        <v>3.5147237037482197</v>
      </c>
      <c r="W162" s="16">
        <v>7.7323944095104018</v>
      </c>
      <c r="X162" s="16">
        <v>4.6616711822202301</v>
      </c>
      <c r="Y162" s="16">
        <v>3.49648620303986</v>
      </c>
      <c r="Z162" s="16">
        <v>3.3802182462739054</v>
      </c>
      <c r="AA162" s="16">
        <v>3.6138349627341051</v>
      </c>
      <c r="AB162" s="67">
        <v>3.864931631323961</v>
      </c>
      <c r="AC162" s="3"/>
    </row>
    <row r="163" spans="2:29" x14ac:dyDescent="0.3">
      <c r="B163" s="66" t="s">
        <v>489</v>
      </c>
      <c r="C163" s="16">
        <v>4.4169355033969833</v>
      </c>
      <c r="D163" s="16">
        <v>4.4824690692182196</v>
      </c>
      <c r="E163" s="16">
        <v>4.6381095419906631</v>
      </c>
      <c r="F163" s="16">
        <v>4.7953800968906748</v>
      </c>
      <c r="G163" s="16">
        <v>4.8008566351029272</v>
      </c>
      <c r="H163" s="16">
        <v>6.12476708369039</v>
      </c>
      <c r="I163" s="16">
        <v>3.1434108743900278</v>
      </c>
      <c r="J163" s="16">
        <v>2.8602064140872527</v>
      </c>
      <c r="K163" s="16">
        <v>3.4648124377141905</v>
      </c>
      <c r="L163" s="16">
        <v>4.6194565313567377</v>
      </c>
      <c r="M163" s="16">
        <v>5.8849152189496694</v>
      </c>
      <c r="N163" s="16">
        <v>5.7895867963001946</v>
      </c>
      <c r="O163" s="16">
        <v>5.0387756502777004</v>
      </c>
      <c r="P163" s="16">
        <v>4.7361485149528324</v>
      </c>
      <c r="Q163" s="16">
        <v>4.7209306403812699</v>
      </c>
      <c r="R163" s="16">
        <v>5.6733130326018415</v>
      </c>
      <c r="S163" s="16">
        <v>6.4390790574382351</v>
      </c>
      <c r="T163" s="16">
        <v>5.3148117841774258</v>
      </c>
      <c r="U163" s="16">
        <v>4.6810678604002796</v>
      </c>
      <c r="V163" s="16">
        <v>4.2713959470551028</v>
      </c>
      <c r="W163" s="16">
        <v>7.4143122758129394</v>
      </c>
      <c r="X163" s="16">
        <v>5.2721293593011822</v>
      </c>
      <c r="Y163" s="16">
        <v>3.5185710613505501</v>
      </c>
      <c r="Z163" s="16">
        <v>3.1940439253271853</v>
      </c>
      <c r="AA163" s="16">
        <v>3.8324350973334127</v>
      </c>
      <c r="AB163" s="67">
        <v>4.0140753712404065</v>
      </c>
      <c r="AC163" s="3"/>
    </row>
    <row r="164" spans="2:29" x14ac:dyDescent="0.3">
      <c r="B164" s="66" t="s">
        <v>535</v>
      </c>
      <c r="C164" s="16">
        <v>4.327960341304137</v>
      </c>
      <c r="D164" s="16">
        <v>4.6205212425114528</v>
      </c>
      <c r="E164" s="16">
        <v>6.0429266433135504</v>
      </c>
      <c r="F164" s="16">
        <v>6.7861568437790973</v>
      </c>
      <c r="G164" s="16">
        <v>6.204228666803095</v>
      </c>
      <c r="H164" s="16">
        <v>5.6682927963445779</v>
      </c>
      <c r="I164" s="16">
        <v>5.0662882252114079</v>
      </c>
      <c r="J164" s="16">
        <v>4.2773077953227174</v>
      </c>
      <c r="K164" s="16">
        <v>4.7719315727287626</v>
      </c>
      <c r="L164" s="16">
        <v>7.5951351844781119</v>
      </c>
      <c r="M164" s="16">
        <v>8.3729757198063695</v>
      </c>
      <c r="N164" s="16">
        <v>8.1158396418094689</v>
      </c>
      <c r="O164" s="16">
        <v>6.5809316075179547</v>
      </c>
      <c r="P164" s="16">
        <v>6.0807543891113225</v>
      </c>
      <c r="Q164" s="16">
        <v>5.0248914572588106</v>
      </c>
      <c r="R164" s="16">
        <v>4.6304284105731419</v>
      </c>
      <c r="S164" s="16">
        <v>5.2492267537945327</v>
      </c>
      <c r="T164" s="16">
        <v>4.9958044795300527</v>
      </c>
      <c r="U164" s="16">
        <v>4.3192983888564225</v>
      </c>
      <c r="V164" s="16">
        <v>3.7609250757925072</v>
      </c>
      <c r="W164" s="16">
        <v>8.5727388351681899</v>
      </c>
      <c r="X164" s="16">
        <v>6.2362786515592949</v>
      </c>
      <c r="Y164" s="16">
        <v>4.2039836772274697</v>
      </c>
      <c r="Z164" s="16">
        <v>4.2159151205727952</v>
      </c>
      <c r="AA164" s="16">
        <v>4.3536819315194624</v>
      </c>
      <c r="AB164" s="67">
        <v>4.3589258744647381</v>
      </c>
      <c r="AC164" s="3"/>
    </row>
    <row r="165" spans="2:29" x14ac:dyDescent="0.3">
      <c r="B165" s="66" t="s">
        <v>329</v>
      </c>
      <c r="C165" s="16">
        <v>5.8103762815414672</v>
      </c>
      <c r="D165" s="16">
        <v>6.0260933274783843</v>
      </c>
      <c r="E165" s="16">
        <v>6.2784808186036125</v>
      </c>
      <c r="F165" s="16">
        <v>6.2950327643116673</v>
      </c>
      <c r="G165" s="16">
        <v>5.8570232871546901</v>
      </c>
      <c r="H165" s="16">
        <v>5.5868425630494425</v>
      </c>
      <c r="I165" s="16">
        <v>5.2267924908973278</v>
      </c>
      <c r="J165" s="16">
        <v>4.8280768935020095</v>
      </c>
      <c r="K165" s="16">
        <v>5.2115754106924053</v>
      </c>
      <c r="L165" s="16">
        <v>8.2687581671275971</v>
      </c>
      <c r="M165" s="16">
        <v>9.2664382964098948</v>
      </c>
      <c r="N165" s="16">
        <v>8.8598987155696491</v>
      </c>
      <c r="O165" s="16">
        <v>8.0241832375855253</v>
      </c>
      <c r="P165" s="16">
        <v>7.7900323782189078</v>
      </c>
      <c r="Q165" s="16">
        <v>6.7557921397750098</v>
      </c>
      <c r="R165" s="16">
        <v>6.4036720085264003</v>
      </c>
      <c r="S165" s="16">
        <v>6.5762649271182374</v>
      </c>
      <c r="T165" s="16">
        <v>5.8588091699543776</v>
      </c>
      <c r="U165" s="16">
        <v>5.5131156652281579</v>
      </c>
      <c r="V165" s="16">
        <v>5.088959422647922</v>
      </c>
      <c r="W165" s="16">
        <v>8.0639553829641386</v>
      </c>
      <c r="X165" s="16">
        <v>5.2290019003847252</v>
      </c>
      <c r="Y165" s="16">
        <v>4.3372286215990723</v>
      </c>
      <c r="Z165" s="16">
        <v>4.4838447416882277</v>
      </c>
      <c r="AA165" s="16">
        <v>4.9705509019665577</v>
      </c>
      <c r="AB165" s="67">
        <v>4.8783363387479524</v>
      </c>
      <c r="AC165" s="3"/>
    </row>
    <row r="166" spans="2:29" x14ac:dyDescent="0.3">
      <c r="B166" s="66" t="s">
        <v>77</v>
      </c>
      <c r="C166" s="16">
        <v>3.6428041630156027</v>
      </c>
      <c r="D166" s="16">
        <v>3.9414156817653421</v>
      </c>
      <c r="E166" s="16">
        <v>4.7096553665611127</v>
      </c>
      <c r="F166" s="16">
        <v>4.8455957602551809</v>
      </c>
      <c r="G166" s="16">
        <v>4.6694879708480652</v>
      </c>
      <c r="H166" s="16">
        <v>3.715516338425175</v>
      </c>
      <c r="I166" s="16">
        <v>3.3454049769469476</v>
      </c>
      <c r="J166" s="16">
        <v>3.1846124440937675</v>
      </c>
      <c r="K166" s="16">
        <v>4.4709335587408523</v>
      </c>
      <c r="L166" s="16">
        <v>7.3636894478236075</v>
      </c>
      <c r="M166" s="16">
        <v>8.4337673200290002</v>
      </c>
      <c r="N166" s="16">
        <v>8.2583518857235276</v>
      </c>
      <c r="O166" s="16">
        <v>7.120108803223868</v>
      </c>
      <c r="P166" s="16">
        <v>6.41628345020513</v>
      </c>
      <c r="Q166" s="16">
        <v>6.1406109008201177</v>
      </c>
      <c r="R166" s="16">
        <v>5.4839792526201228</v>
      </c>
      <c r="S166" s="16">
        <v>4.9243874289927181</v>
      </c>
      <c r="T166" s="16">
        <v>3.8902254549451074</v>
      </c>
      <c r="U166" s="16">
        <v>3.3575390522934025</v>
      </c>
      <c r="V166" s="16">
        <v>2.6729338915941576</v>
      </c>
      <c r="W166" s="16">
        <v>4.8271608546816074</v>
      </c>
      <c r="X166" s="16">
        <v>2.4816890276434425</v>
      </c>
      <c r="Y166" s="16">
        <v>2.0112672628132251</v>
      </c>
      <c r="Z166" s="16">
        <v>2.0079150061777651</v>
      </c>
      <c r="AA166" s="16">
        <v>2.5535779977023574</v>
      </c>
      <c r="AB166" s="67">
        <v>2.6857090694004828</v>
      </c>
      <c r="AC166" s="3"/>
    </row>
    <row r="167" spans="2:29" x14ac:dyDescent="0.3">
      <c r="B167" s="66" t="s">
        <v>78</v>
      </c>
      <c r="C167" s="16">
        <v>3.4594479224824073</v>
      </c>
      <c r="D167" s="16">
        <v>3.7032527864689873</v>
      </c>
      <c r="E167" s="16">
        <v>3.9092606079191152</v>
      </c>
      <c r="F167" s="16">
        <v>3.8221604242731</v>
      </c>
      <c r="G167" s="16">
        <v>3.6061536022047003</v>
      </c>
      <c r="H167" s="16">
        <v>3.0900290221514926</v>
      </c>
      <c r="I167" s="16">
        <v>2.6822336003621925</v>
      </c>
      <c r="J167" s="16">
        <v>2.1823238275736898</v>
      </c>
      <c r="K167" s="16">
        <v>3.5901646550176376</v>
      </c>
      <c r="L167" s="16">
        <v>6.6667827961241954</v>
      </c>
      <c r="M167" s="16">
        <v>7.041455474073957</v>
      </c>
      <c r="N167" s="16">
        <v>7.0066036909067524</v>
      </c>
      <c r="O167" s="16">
        <v>6.5685156093351269</v>
      </c>
      <c r="P167" s="16">
        <v>6.1142209862863535</v>
      </c>
      <c r="Q167" s="16">
        <v>3.7982232645749869</v>
      </c>
      <c r="R167" s="16">
        <v>3.2641501401470676</v>
      </c>
      <c r="S167" s="16">
        <v>3.135857299473745</v>
      </c>
      <c r="T167" s="16">
        <v>2.6711296447047648</v>
      </c>
      <c r="U167" s="16">
        <v>2.4190780441556976</v>
      </c>
      <c r="V167" s="16">
        <v>2.35520745686095</v>
      </c>
      <c r="W167" s="16">
        <v>4.051740897053687</v>
      </c>
      <c r="X167" s="16">
        <v>2.8803396111333801</v>
      </c>
      <c r="Y167" s="16">
        <v>2.5102964084326929</v>
      </c>
      <c r="Z167" s="16">
        <v>2.7054993683850399</v>
      </c>
      <c r="AA167" s="16">
        <v>3.1357464656227623</v>
      </c>
      <c r="AB167" s="67">
        <v>3.1524369921116637</v>
      </c>
      <c r="AC167" s="3"/>
    </row>
    <row r="168" spans="2:29" x14ac:dyDescent="0.3">
      <c r="B168" s="66" t="s">
        <v>536</v>
      </c>
      <c r="C168" s="16">
        <v>2.532818517499245</v>
      </c>
      <c r="D168" s="16">
        <v>3.4266172491045874</v>
      </c>
      <c r="E168" s="16">
        <v>4.6363107109871322</v>
      </c>
      <c r="F168" s="16">
        <v>4.7407636526057075</v>
      </c>
      <c r="G168" s="16">
        <v>4.9350016479027357</v>
      </c>
      <c r="H168" s="16">
        <v>4.9505716058166271</v>
      </c>
      <c r="I168" s="16">
        <v>4.5015091517583308</v>
      </c>
      <c r="J168" s="16">
        <v>4.2120940924480506</v>
      </c>
      <c r="K168" s="16">
        <v>5.2535792676390827</v>
      </c>
      <c r="L168" s="16">
        <v>8.6631293275982433</v>
      </c>
      <c r="M168" s="16">
        <v>9.197150034376417</v>
      </c>
      <c r="N168" s="16">
        <v>8.5156452595262024</v>
      </c>
      <c r="O168" s="16">
        <v>7.8885567432694783</v>
      </c>
      <c r="P168" s="16">
        <v>7.2187860493614275</v>
      </c>
      <c r="Q168" s="16">
        <v>5.6926687047050866</v>
      </c>
      <c r="R168" s="16">
        <v>4.5142255325231542</v>
      </c>
      <c r="S168" s="16">
        <v>4.020493934906245</v>
      </c>
      <c r="T168" s="16">
        <v>3.3109911689206646</v>
      </c>
      <c r="U168" s="16">
        <v>3.2188657340843627</v>
      </c>
      <c r="V168" s="16">
        <v>3.0135127133326427</v>
      </c>
      <c r="W168" s="16">
        <v>6.8405422599860266</v>
      </c>
      <c r="X168" s="16">
        <v>3.7928844039146377</v>
      </c>
      <c r="Y168" s="16">
        <v>2.8607318417594998</v>
      </c>
      <c r="Z168" s="16">
        <v>3.1350329596025448</v>
      </c>
      <c r="AA168" s="16">
        <v>3.8326478089927374</v>
      </c>
      <c r="AB168" s="67">
        <v>3.6490635728958378</v>
      </c>
      <c r="AC168" s="3"/>
    </row>
    <row r="169" spans="2:29" x14ac:dyDescent="0.3">
      <c r="B169" s="66" t="s">
        <v>79</v>
      </c>
      <c r="C169" s="16">
        <v>1.9104141543222926</v>
      </c>
      <c r="D169" s="16">
        <v>2.2726163833627573</v>
      </c>
      <c r="E169" s="16">
        <v>2.8145992166406901</v>
      </c>
      <c r="F169" s="16">
        <v>3.1446556398100203</v>
      </c>
      <c r="G169" s="16">
        <v>3.46509644863559</v>
      </c>
      <c r="H169" s="16">
        <v>3.2414463400451701</v>
      </c>
      <c r="I169" s="16">
        <v>2.6691939290801097</v>
      </c>
      <c r="J169" s="16">
        <v>2.8149832936970753</v>
      </c>
      <c r="K169" s="16">
        <v>3.1281186918832851</v>
      </c>
      <c r="L169" s="16">
        <v>4.6445072609661455</v>
      </c>
      <c r="M169" s="16">
        <v>4.3935726281007579</v>
      </c>
      <c r="N169" s="16">
        <v>4.1523758360078222</v>
      </c>
      <c r="O169" s="16">
        <v>3.7428903232568249</v>
      </c>
      <c r="P169" s="16">
        <v>3.4519970899570351</v>
      </c>
      <c r="Q169" s="16">
        <v>3.1633725769717977</v>
      </c>
      <c r="R169" s="16">
        <v>2.7008014302763526</v>
      </c>
      <c r="S169" s="16">
        <v>2.6235048105922703</v>
      </c>
      <c r="T169" s="16">
        <v>2.5109077718765298</v>
      </c>
      <c r="U169" s="16">
        <v>2.0132035399823551</v>
      </c>
      <c r="V169" s="16">
        <v>2.0071934534648674</v>
      </c>
      <c r="W169" s="16">
        <v>4.6625955879690029</v>
      </c>
      <c r="X169" s="16">
        <v>3.4134977908463777</v>
      </c>
      <c r="Y169" s="16">
        <v>2.387128252039235</v>
      </c>
      <c r="Z169" s="16">
        <v>2.42271645509161</v>
      </c>
      <c r="AA169" s="16">
        <v>2.3601753117970223</v>
      </c>
      <c r="AB169" s="67">
        <v>2.7625461573978742</v>
      </c>
      <c r="AC169" s="3"/>
    </row>
    <row r="170" spans="2:29" x14ac:dyDescent="0.3">
      <c r="B170" s="66" t="s">
        <v>80</v>
      </c>
      <c r="C170" s="16">
        <v>3.2497970373951945</v>
      </c>
      <c r="D170" s="16">
        <v>3.3772191962104023</v>
      </c>
      <c r="E170" s="16">
        <v>4.1292852137325626</v>
      </c>
      <c r="F170" s="16">
        <v>3.99231010267812</v>
      </c>
      <c r="G170" s="16">
        <v>4.0806509177618917</v>
      </c>
      <c r="H170" s="16">
        <v>3.5659072012985948</v>
      </c>
      <c r="I170" s="16">
        <v>3.3998508978803552</v>
      </c>
      <c r="J170" s="16">
        <v>3.2948604822026875</v>
      </c>
      <c r="K170" s="16">
        <v>4.121273745027568</v>
      </c>
      <c r="L170" s="16">
        <v>5.9672493193110601</v>
      </c>
      <c r="M170" s="16">
        <v>6.2981489432354572</v>
      </c>
      <c r="N170" s="16">
        <v>6.1157459159778176</v>
      </c>
      <c r="O170" s="16">
        <v>6.2478419070140081</v>
      </c>
      <c r="P170" s="16">
        <v>5.3487138578344524</v>
      </c>
      <c r="Q170" s="16">
        <v>4.4155269971931874</v>
      </c>
      <c r="R170" s="16">
        <v>4.3769800787360378</v>
      </c>
      <c r="S170" s="16">
        <v>4.0704955856191427</v>
      </c>
      <c r="T170" s="16">
        <v>4.196720249418612</v>
      </c>
      <c r="U170" s="16">
        <v>3.5469288682952351</v>
      </c>
      <c r="V170" s="16">
        <v>3.5119143510750677</v>
      </c>
      <c r="W170" s="16">
        <v>5.7564337817170177</v>
      </c>
      <c r="X170" s="16">
        <v>3.8934445526563897</v>
      </c>
      <c r="Y170" s="16">
        <v>2.9159016476326078</v>
      </c>
      <c r="Z170" s="16">
        <v>3.0684078399772652</v>
      </c>
      <c r="AA170" s="16">
        <v>3.2800769441136151</v>
      </c>
      <c r="AB170" s="67">
        <v>3.3003563642239242</v>
      </c>
      <c r="AC170" s="3"/>
    </row>
    <row r="171" spans="2:29" x14ac:dyDescent="0.3">
      <c r="B171" s="66" t="s">
        <v>81</v>
      </c>
      <c r="C171" s="16">
        <v>3.5431657884973653</v>
      </c>
      <c r="D171" s="16">
        <v>5.3879327257338527</v>
      </c>
      <c r="E171" s="16">
        <v>6.6232721125864824</v>
      </c>
      <c r="F171" s="16">
        <v>7.9382839502606046</v>
      </c>
      <c r="G171" s="16">
        <v>7.3025339789989898</v>
      </c>
      <c r="H171" s="16">
        <v>6.7707299707446271</v>
      </c>
      <c r="I171" s="16">
        <v>7.2792465716738173</v>
      </c>
      <c r="J171" s="16">
        <v>7.6243043257315453</v>
      </c>
      <c r="K171" s="16">
        <v>8.3837458900301929</v>
      </c>
      <c r="L171" s="16">
        <v>13.717767672667526</v>
      </c>
      <c r="M171" s="16">
        <v>12.323989155345476</v>
      </c>
      <c r="N171" s="16">
        <v>9.6509957476166282</v>
      </c>
      <c r="O171" s="16">
        <v>8.4711990411746747</v>
      </c>
      <c r="P171" s="16">
        <v>8.2066108606370172</v>
      </c>
      <c r="Q171" s="16">
        <v>6.6265788135447119</v>
      </c>
      <c r="R171" s="16">
        <v>5.2737946921623697</v>
      </c>
      <c r="S171" s="16">
        <v>4.9329493345412398</v>
      </c>
      <c r="T171" s="16">
        <v>4.6618010408767354</v>
      </c>
      <c r="U171" s="16">
        <v>4.0569902176484529</v>
      </c>
      <c r="V171" s="16">
        <v>3.8840996809804924</v>
      </c>
      <c r="W171" s="16">
        <v>9.4493612661579416</v>
      </c>
      <c r="X171" s="16">
        <v>5.7225046066965426</v>
      </c>
      <c r="Y171" s="16">
        <v>4.4701542635798202</v>
      </c>
      <c r="Z171" s="16">
        <v>4.1409427267063821</v>
      </c>
      <c r="AA171" s="16">
        <v>4.829597952392235</v>
      </c>
      <c r="AB171" s="67">
        <v>5.601873892615532</v>
      </c>
      <c r="AC171" s="3"/>
    </row>
    <row r="172" spans="2:29" x14ac:dyDescent="0.3">
      <c r="B172" s="66" t="s">
        <v>82</v>
      </c>
      <c r="C172" s="16">
        <v>4.8317903478598598</v>
      </c>
      <c r="D172" s="16">
        <v>4.5950331626166907</v>
      </c>
      <c r="E172" s="16">
        <v>5.34770191316042</v>
      </c>
      <c r="F172" s="16">
        <v>5.1319754878840973</v>
      </c>
      <c r="G172" s="16">
        <v>5.2942005124287324</v>
      </c>
      <c r="H172" s="16">
        <v>6.1651624757008676</v>
      </c>
      <c r="I172" s="16">
        <v>5.1699705016119024</v>
      </c>
      <c r="J172" s="16">
        <v>5.2572844304229722</v>
      </c>
      <c r="K172" s="16">
        <v>5.703878894544717</v>
      </c>
      <c r="L172" s="16">
        <v>7.6795900994421782</v>
      </c>
      <c r="M172" s="16">
        <v>8.7437768721013072</v>
      </c>
      <c r="N172" s="16">
        <v>8.4256513486545526</v>
      </c>
      <c r="O172" s="16">
        <v>7.7106470660797672</v>
      </c>
      <c r="P172" s="16">
        <v>7.3753534263365825</v>
      </c>
      <c r="Q172" s="16">
        <v>6.4879686241986052</v>
      </c>
      <c r="R172" s="16">
        <v>5.5004621111593979</v>
      </c>
      <c r="S172" s="16">
        <v>5.2208453426497927</v>
      </c>
      <c r="T172" s="16">
        <v>4.6339235379154173</v>
      </c>
      <c r="U172" s="16">
        <v>4.461425106321748</v>
      </c>
      <c r="V172" s="16">
        <v>4.9869745633829226</v>
      </c>
      <c r="W172" s="16">
        <v>7.61469387640705</v>
      </c>
      <c r="X172" s="16">
        <v>5.0720546796615</v>
      </c>
      <c r="Y172" s="16">
        <v>3.4468538138821123</v>
      </c>
      <c r="Z172" s="16">
        <v>2.7750705248310776</v>
      </c>
      <c r="AA172" s="16">
        <v>2.8197921899141729</v>
      </c>
      <c r="AB172" s="67">
        <v>3.4370905938213094</v>
      </c>
      <c r="AC172" s="3"/>
    </row>
    <row r="173" spans="2:29" x14ac:dyDescent="0.3">
      <c r="B173" s="66" t="s">
        <v>83</v>
      </c>
      <c r="C173" s="16">
        <v>4.16160649797862</v>
      </c>
      <c r="D173" s="16">
        <v>5.7350928584391445</v>
      </c>
      <c r="E173" s="16">
        <v>6.4465366191142754</v>
      </c>
      <c r="F173" s="16">
        <v>6.8096945910335576</v>
      </c>
      <c r="G173" s="16">
        <v>6.3532632454926103</v>
      </c>
      <c r="H173" s="16">
        <v>6.4679970943649652</v>
      </c>
      <c r="I173" s="16">
        <v>6.1234073122234429</v>
      </c>
      <c r="J173" s="16">
        <v>5.5049071715714124</v>
      </c>
      <c r="K173" s="16">
        <v>7.5036888073631296</v>
      </c>
      <c r="L173" s="16">
        <v>11.833204259374149</v>
      </c>
      <c r="M173" s="16">
        <v>10.839304677633574</v>
      </c>
      <c r="N173" s="16">
        <v>10.02413920904179</v>
      </c>
      <c r="O173" s="16">
        <v>8.8706231610191963</v>
      </c>
      <c r="P173" s="16">
        <v>8.7679715438329175</v>
      </c>
      <c r="Q173" s="16">
        <v>7.3609168347305554</v>
      </c>
      <c r="R173" s="16">
        <v>6.2072034334634552</v>
      </c>
      <c r="S173" s="16">
        <v>5.611367095991195</v>
      </c>
      <c r="T173" s="16">
        <v>4.5043834719900726</v>
      </c>
      <c r="U173" s="16">
        <v>4.2798420550150595</v>
      </c>
      <c r="V173" s="16">
        <v>3.9791851894536574</v>
      </c>
      <c r="W173" s="16">
        <v>7.6422084412796849</v>
      </c>
      <c r="X173" s="16">
        <v>4.8117183060183173</v>
      </c>
      <c r="Y173" s="16">
        <v>3.6707558765485073</v>
      </c>
      <c r="Z173" s="16">
        <v>3.5323037243563977</v>
      </c>
      <c r="AA173" s="16">
        <v>3.8321779447188176</v>
      </c>
      <c r="AB173" s="67">
        <v>4.0620553018818937</v>
      </c>
      <c r="AC173" s="3"/>
    </row>
    <row r="174" spans="2:29" x14ac:dyDescent="0.3">
      <c r="B174" s="66" t="s">
        <v>84</v>
      </c>
      <c r="C174" s="16">
        <v>3.2748590784131424</v>
      </c>
      <c r="D174" s="16">
        <v>4.2696015573391781</v>
      </c>
      <c r="E174" s="16">
        <v>5.4237445205622246</v>
      </c>
      <c r="F174" s="16">
        <v>5.2600084699955749</v>
      </c>
      <c r="G174" s="16">
        <v>4.7430095086952129</v>
      </c>
      <c r="H174" s="16">
        <v>3.7836592803938522</v>
      </c>
      <c r="I174" s="16">
        <v>3.3668880551493974</v>
      </c>
      <c r="J174" s="16">
        <v>3.909096833445195</v>
      </c>
      <c r="K174" s="16">
        <v>6.0267464904366923</v>
      </c>
      <c r="L174" s="16">
        <v>9.8247877305644202</v>
      </c>
      <c r="M174" s="16">
        <v>10.768920536065625</v>
      </c>
      <c r="N174" s="16">
        <v>9.8647709292400059</v>
      </c>
      <c r="O174" s="16">
        <v>8.5018401622605637</v>
      </c>
      <c r="P174" s="16">
        <v>7.3158300122841151</v>
      </c>
      <c r="Q174" s="16">
        <v>6.4799391334655674</v>
      </c>
      <c r="R174" s="16">
        <v>5.4211454313744571</v>
      </c>
      <c r="S174" s="16">
        <v>4.7473963615231458</v>
      </c>
      <c r="T174" s="16">
        <v>4.1107427649542121</v>
      </c>
      <c r="U174" s="16">
        <v>3.5589104274690899</v>
      </c>
      <c r="V174" s="16">
        <v>3.20289308994231</v>
      </c>
      <c r="W174" s="16">
        <v>6.5855947623046696</v>
      </c>
      <c r="X174" s="16">
        <v>4.1829943785567272</v>
      </c>
      <c r="Y174" s="16">
        <v>2.981041259852705</v>
      </c>
      <c r="Z174" s="16">
        <v>3.0917866442764028</v>
      </c>
      <c r="AA174" s="16">
        <v>3.4517377114728127</v>
      </c>
      <c r="AB174" s="67">
        <v>3.7271125468506701</v>
      </c>
      <c r="AC174" s="3"/>
    </row>
    <row r="175" spans="2:29" x14ac:dyDescent="0.3">
      <c r="B175" s="66" t="s">
        <v>85</v>
      </c>
      <c r="C175" s="16">
        <v>4.3836897319607679</v>
      </c>
      <c r="D175" s="16">
        <v>5.3934570338948671</v>
      </c>
      <c r="E175" s="16">
        <v>6.3706699055018676</v>
      </c>
      <c r="F175" s="16">
        <v>6.3174601849950029</v>
      </c>
      <c r="G175" s="16">
        <v>5.3769271529180669</v>
      </c>
      <c r="H175" s="16">
        <v>5.2941661954825889</v>
      </c>
      <c r="I175" s="16">
        <v>4.4342811818036081</v>
      </c>
      <c r="J175" s="16">
        <v>4.4940249774533099</v>
      </c>
      <c r="K175" s="16">
        <v>5.464115905712073</v>
      </c>
      <c r="L175" s="16">
        <v>8.6576266373594777</v>
      </c>
      <c r="M175" s="16">
        <v>8.2223792271898741</v>
      </c>
      <c r="N175" s="16">
        <v>8.36159710630311</v>
      </c>
      <c r="O175" s="16">
        <v>8.2847970915538447</v>
      </c>
      <c r="P175" s="16">
        <v>6.842412665473848</v>
      </c>
      <c r="Q175" s="16">
        <v>5.8960106063930873</v>
      </c>
      <c r="R175" s="16">
        <v>5.8276134557274375</v>
      </c>
      <c r="S175" s="16">
        <v>5.3851107360562072</v>
      </c>
      <c r="T175" s="16">
        <v>4.9205314014920205</v>
      </c>
      <c r="U175" s="16">
        <v>4.5460210388767468</v>
      </c>
      <c r="V175" s="16">
        <v>4.2736788392355827</v>
      </c>
      <c r="W175" s="16">
        <v>6.8336918013610646</v>
      </c>
      <c r="X175" s="16">
        <v>4.7807865073422526</v>
      </c>
      <c r="Y175" s="16">
        <v>3.9182751066847228</v>
      </c>
      <c r="Z175" s="16">
        <v>3.6470114544707775</v>
      </c>
      <c r="AA175" s="16">
        <v>3.7400258925367598</v>
      </c>
      <c r="AB175" s="67">
        <v>3.7584748080288377</v>
      </c>
      <c r="AC175" s="3"/>
    </row>
    <row r="176" spans="2:29" x14ac:dyDescent="0.3">
      <c r="B176" s="66" t="s">
        <v>330</v>
      </c>
      <c r="C176" s="16">
        <v>4.1599864838839196</v>
      </c>
      <c r="D176" s="16">
        <v>5.5033106256129951</v>
      </c>
      <c r="E176" s="16">
        <v>6.1154919826046452</v>
      </c>
      <c r="F176" s="16">
        <v>6.15676170050292</v>
      </c>
      <c r="G176" s="16">
        <v>5.5663922290075778</v>
      </c>
      <c r="H176" s="16">
        <v>5.8159223205803077</v>
      </c>
      <c r="I176" s="16">
        <v>5.0226420068806652</v>
      </c>
      <c r="J176" s="16">
        <v>5.5230383889242205</v>
      </c>
      <c r="K176" s="16">
        <v>6.3324958973114081</v>
      </c>
      <c r="L176" s="16">
        <v>12.899052223642677</v>
      </c>
      <c r="M176" s="16">
        <v>10.935209728810248</v>
      </c>
      <c r="N176" s="16">
        <v>9.2770146247924536</v>
      </c>
      <c r="O176" s="16">
        <v>8.1807006053967495</v>
      </c>
      <c r="P176" s="16">
        <v>7.6439012279920302</v>
      </c>
      <c r="Q176" s="16">
        <v>6.0777836583526526</v>
      </c>
      <c r="R176" s="16">
        <v>5.0448333561728047</v>
      </c>
      <c r="S176" s="16">
        <v>4.3917154227102548</v>
      </c>
      <c r="T176" s="16">
        <v>3.7605280040777549</v>
      </c>
      <c r="U176" s="16">
        <v>3.3184290085657473</v>
      </c>
      <c r="V176" s="16">
        <v>3.6423242410324623</v>
      </c>
      <c r="W176" s="16">
        <v>7.3865259694662058</v>
      </c>
      <c r="X176" s="16">
        <v>4.5665015376672073</v>
      </c>
      <c r="Y176" s="16">
        <v>3.40760403866858</v>
      </c>
      <c r="Z176" s="16">
        <v>3.2214280578860945</v>
      </c>
      <c r="AA176" s="16">
        <v>3.2120384109681801</v>
      </c>
      <c r="AB176" s="67">
        <v>3.4093793902959777</v>
      </c>
      <c r="AC176" s="3"/>
    </row>
    <row r="177" spans="2:29" x14ac:dyDescent="0.3">
      <c r="B177" s="66" t="s">
        <v>86</v>
      </c>
      <c r="C177" s="16">
        <v>2.8352613996694922</v>
      </c>
      <c r="D177" s="16">
        <v>3.7328097298399374</v>
      </c>
      <c r="E177" s="16">
        <v>4.2595315142563601</v>
      </c>
      <c r="F177" s="16">
        <v>4.3298078737151151</v>
      </c>
      <c r="G177" s="16">
        <v>4.3565103125137181</v>
      </c>
      <c r="H177" s="16">
        <v>4.4371093823236549</v>
      </c>
      <c r="I177" s="16">
        <v>4.1522188903121968</v>
      </c>
      <c r="J177" s="16">
        <v>4.191072773181137</v>
      </c>
      <c r="K177" s="16">
        <v>5.0215626761672647</v>
      </c>
      <c r="L177" s="16">
        <v>7.1618122304059382</v>
      </c>
      <c r="M177" s="16">
        <v>7.294859951700948</v>
      </c>
      <c r="N177" s="16">
        <v>6.8565341984125503</v>
      </c>
      <c r="O177" s="16">
        <v>5.7275972710903371</v>
      </c>
      <c r="P177" s="16">
        <v>5.5903207140742994</v>
      </c>
      <c r="Q177" s="16">
        <v>5.2801284059921656</v>
      </c>
      <c r="R177" s="16">
        <v>4.3454126258695496</v>
      </c>
      <c r="S177" s="16">
        <v>3.8365005412262878</v>
      </c>
      <c r="T177" s="16">
        <v>3.2126757160727828</v>
      </c>
      <c r="U177" s="16">
        <v>2.7461636643077596</v>
      </c>
      <c r="V177" s="16">
        <v>2.6521009291304702</v>
      </c>
      <c r="W177" s="16">
        <v>4.4605602118389669</v>
      </c>
      <c r="X177" s="16">
        <v>3.0513482367587925</v>
      </c>
      <c r="Y177" s="16">
        <v>2.1873957054029827</v>
      </c>
      <c r="Z177" s="16">
        <v>2.6781578892916249</v>
      </c>
      <c r="AA177" s="16">
        <v>3.1114419058584897</v>
      </c>
      <c r="AB177" s="67">
        <v>3.1627277287643794</v>
      </c>
      <c r="AC177" s="3"/>
    </row>
    <row r="178" spans="2:29" x14ac:dyDescent="0.3">
      <c r="B178" s="66" t="s">
        <v>87</v>
      </c>
      <c r="C178" s="16">
        <v>4.3869425141437928</v>
      </c>
      <c r="D178" s="16">
        <v>4.9131022214015276</v>
      </c>
      <c r="E178" s="16">
        <v>5.7684714621028448</v>
      </c>
      <c r="F178" s="16">
        <v>5.5799428868185563</v>
      </c>
      <c r="G178" s="16">
        <v>5.3377244925424003</v>
      </c>
      <c r="H178" s="16">
        <v>5.217031621782132</v>
      </c>
      <c r="I178" s="16">
        <v>4.8470920409876168</v>
      </c>
      <c r="J178" s="16">
        <v>4.3416603845052499</v>
      </c>
      <c r="K178" s="16">
        <v>5.9846789092779282</v>
      </c>
      <c r="L178" s="16">
        <v>9.3387013785414119</v>
      </c>
      <c r="M178" s="16">
        <v>9.7099868067109689</v>
      </c>
      <c r="N178" s="16">
        <v>8.9061385927701355</v>
      </c>
      <c r="O178" s="16">
        <v>7.9605989191995423</v>
      </c>
      <c r="P178" s="16">
        <v>7.8785846583900616</v>
      </c>
      <c r="Q178" s="16">
        <v>6.8662575335163627</v>
      </c>
      <c r="R178" s="16">
        <v>5.8947950871275401</v>
      </c>
      <c r="S178" s="16">
        <v>5.0211279532776674</v>
      </c>
      <c r="T178" s="16">
        <v>3.9987053207327321</v>
      </c>
      <c r="U178" s="16">
        <v>3.67468815036798</v>
      </c>
      <c r="V178" s="16">
        <v>3.5543183326816301</v>
      </c>
      <c r="W178" s="16">
        <v>6.4107054926832197</v>
      </c>
      <c r="X178" s="16">
        <v>3.8851099092677424</v>
      </c>
      <c r="Y178" s="16">
        <v>3.3232767430209402</v>
      </c>
      <c r="Z178" s="16">
        <v>3.3092978173640279</v>
      </c>
      <c r="AA178" s="16">
        <v>3.5154007813319255</v>
      </c>
      <c r="AB178" s="67">
        <v>3.747911282692884</v>
      </c>
      <c r="AC178" s="3"/>
    </row>
    <row r="179" spans="2:29" x14ac:dyDescent="0.3">
      <c r="B179" s="66" t="s">
        <v>88</v>
      </c>
      <c r="C179" s="16">
        <v>6.1802016552882044</v>
      </c>
      <c r="D179" s="16">
        <v>6.6597821416335927</v>
      </c>
      <c r="E179" s="16">
        <v>7.0339142099989775</v>
      </c>
      <c r="F179" s="16">
        <v>7.0133673091287925</v>
      </c>
      <c r="G179" s="16">
        <v>6.7917994682969596</v>
      </c>
      <c r="H179" s="16">
        <v>6.1516597204615051</v>
      </c>
      <c r="I179" s="16">
        <v>5.4943521982255223</v>
      </c>
      <c r="J179" s="16">
        <v>5.5547716516556322</v>
      </c>
      <c r="K179" s="16">
        <v>6.2283742215246001</v>
      </c>
      <c r="L179" s="16">
        <v>8.5049179770128625</v>
      </c>
      <c r="M179" s="16">
        <v>9.0558601092642004</v>
      </c>
      <c r="N179" s="16">
        <v>8.4583389818951051</v>
      </c>
      <c r="O179" s="16">
        <v>8.5046587070490052</v>
      </c>
      <c r="P179" s="16">
        <v>8.3563330371431377</v>
      </c>
      <c r="Q179" s="16">
        <v>7.1050895732071249</v>
      </c>
      <c r="R179" s="16">
        <v>6.697591579407673</v>
      </c>
      <c r="S179" s="16">
        <v>6.5890932896611716</v>
      </c>
      <c r="T179" s="16">
        <v>5.9906765618054223</v>
      </c>
      <c r="U179" s="16">
        <v>5.2401735255107349</v>
      </c>
      <c r="V179" s="16">
        <v>5.1241054651111622</v>
      </c>
      <c r="W179" s="16">
        <v>9.067116585114336</v>
      </c>
      <c r="X179" s="16">
        <v>6.4613965163702893</v>
      </c>
      <c r="Y179" s="16">
        <v>4.9976724386937557</v>
      </c>
      <c r="Z179" s="16">
        <v>4.3472755867095145</v>
      </c>
      <c r="AA179" s="16">
        <v>4.2513323342359124</v>
      </c>
      <c r="AB179" s="67">
        <v>4.5139327143701005</v>
      </c>
      <c r="AC179" s="3"/>
    </row>
    <row r="180" spans="2:29" x14ac:dyDescent="0.3">
      <c r="B180" s="66" t="s">
        <v>89</v>
      </c>
      <c r="C180" s="16">
        <v>4.0788487522631929</v>
      </c>
      <c r="D180" s="16">
        <v>5.0510647019686523</v>
      </c>
      <c r="E180" s="16">
        <v>5.5799778971706298</v>
      </c>
      <c r="F180" s="16">
        <v>5.812335471556926</v>
      </c>
      <c r="G180" s="16">
        <v>5.5297865682600547</v>
      </c>
      <c r="H180" s="16">
        <v>5.1713250095799648</v>
      </c>
      <c r="I180" s="16">
        <v>5.2258616419359054</v>
      </c>
      <c r="J180" s="16">
        <v>5.5102962054673226</v>
      </c>
      <c r="K180" s="16">
        <v>5.1119208568131498</v>
      </c>
      <c r="L180" s="16">
        <v>7.2472455226986376</v>
      </c>
      <c r="M180" s="16">
        <v>7.4312243800862481</v>
      </c>
      <c r="N180" s="16">
        <v>7.378887082868137</v>
      </c>
      <c r="O180" s="16">
        <v>6.8796129755022148</v>
      </c>
      <c r="P180" s="16">
        <v>6.6903200047324365</v>
      </c>
      <c r="Q180" s="16">
        <v>5.5565118085849603</v>
      </c>
      <c r="R180" s="16">
        <v>4.5384910694274598</v>
      </c>
      <c r="S180" s="16">
        <v>3.5857569543018499</v>
      </c>
      <c r="T180" s="16">
        <v>3.3785772542104699</v>
      </c>
      <c r="U180" s="16">
        <v>3.2972724220797773</v>
      </c>
      <c r="V180" s="16">
        <v>2.9945433855651324</v>
      </c>
      <c r="W180" s="16">
        <v>5.6910407865362398</v>
      </c>
      <c r="X180" s="16">
        <v>3.4800756010621727</v>
      </c>
      <c r="Y180" s="16">
        <v>2.8107616545245602</v>
      </c>
      <c r="Z180" s="16">
        <v>2.8188010945382476</v>
      </c>
      <c r="AA180" s="16">
        <v>3.1787613244735073</v>
      </c>
      <c r="AB180" s="67">
        <v>3.528020996832161</v>
      </c>
      <c r="AC180" s="3"/>
    </row>
    <row r="181" spans="2:29" x14ac:dyDescent="0.3">
      <c r="B181" s="66" t="s">
        <v>537</v>
      </c>
      <c r="C181" s="16">
        <v>3.6364881924806101</v>
      </c>
      <c r="D181" s="16">
        <v>4.6671759576206675</v>
      </c>
      <c r="E181" s="16">
        <v>5.5984967066856779</v>
      </c>
      <c r="F181" s="16">
        <v>5.7668499845302765</v>
      </c>
      <c r="G181" s="16">
        <v>5.5739568177284795</v>
      </c>
      <c r="H181" s="16">
        <v>5.113616139304173</v>
      </c>
      <c r="I181" s="16">
        <v>4.4645093404580853</v>
      </c>
      <c r="J181" s="16">
        <v>4.6012553096286126</v>
      </c>
      <c r="K181" s="16">
        <v>5.3252959629251873</v>
      </c>
      <c r="L181" s="16">
        <v>8.0571514124561929</v>
      </c>
      <c r="M181" s="16">
        <v>8.5470059784594969</v>
      </c>
      <c r="N181" s="16">
        <v>7.8154454139718457</v>
      </c>
      <c r="O181" s="16">
        <v>6.3242480564240644</v>
      </c>
      <c r="P181" s="16">
        <v>5.9918447854414705</v>
      </c>
      <c r="Q181" s="16">
        <v>5.3248708828884421</v>
      </c>
      <c r="R181" s="16">
        <v>4.457320718824942</v>
      </c>
      <c r="S181" s="16">
        <v>4.249455113512675</v>
      </c>
      <c r="T181" s="16">
        <v>3.5181577849146275</v>
      </c>
      <c r="U181" s="16">
        <v>2.9390208042534502</v>
      </c>
      <c r="V181" s="16">
        <v>3.04039322169093</v>
      </c>
      <c r="W181" s="16">
        <v>5.6728179785361297</v>
      </c>
      <c r="X181" s="16">
        <v>3.4923268433707149</v>
      </c>
      <c r="Y181" s="16">
        <v>2.4342855218241226</v>
      </c>
      <c r="Z181" s="16">
        <v>3.0151442193052778</v>
      </c>
      <c r="AA181" s="16">
        <v>3.5788939797315749</v>
      </c>
      <c r="AB181" s="67">
        <v>3.7623024252557919</v>
      </c>
      <c r="AC181" s="3"/>
    </row>
    <row r="182" spans="2:29" x14ac:dyDescent="0.3">
      <c r="B182" s="66" t="s">
        <v>490</v>
      </c>
      <c r="C182" s="16">
        <v>3.9135278391015702</v>
      </c>
      <c r="D182" s="16">
        <v>4.02520582810729</v>
      </c>
      <c r="E182" s="16">
        <v>3.9006655758116393</v>
      </c>
      <c r="F182" s="16">
        <v>3.7569488642348423</v>
      </c>
      <c r="G182" s="16">
        <v>3.1367988677281247</v>
      </c>
      <c r="H182" s="16">
        <v>2.6684066294345423</v>
      </c>
      <c r="I182" s="16">
        <v>2.4391404613539747</v>
      </c>
      <c r="J182" s="16">
        <v>2.8842961435676102</v>
      </c>
      <c r="K182" s="16">
        <v>4.6339790827260128</v>
      </c>
      <c r="L182" s="16">
        <v>8.3252379669694516</v>
      </c>
      <c r="M182" s="16">
        <v>8.1879783849784307</v>
      </c>
      <c r="N182" s="16">
        <v>7.7484477300275145</v>
      </c>
      <c r="O182" s="16">
        <v>6.146693129869492</v>
      </c>
      <c r="P182" s="16">
        <v>4.9544197987783827</v>
      </c>
      <c r="Q182" s="16">
        <v>4.3420370030684872</v>
      </c>
      <c r="R182" s="16">
        <v>3.4929248080096627</v>
      </c>
      <c r="S182" s="16">
        <v>3.1047709809804975</v>
      </c>
      <c r="T182" s="16">
        <v>2.4196230614023975</v>
      </c>
      <c r="U182" s="16">
        <v>2.4125427979202554</v>
      </c>
      <c r="V182" s="16">
        <v>2.4944514466543897</v>
      </c>
      <c r="W182" s="16">
        <v>18.421184817533813</v>
      </c>
      <c r="X182" s="16">
        <v>7.8022705508198422</v>
      </c>
      <c r="Y182" s="16">
        <v>3.3047936219173901</v>
      </c>
      <c r="Z182" s="16">
        <v>4.4655658873113566</v>
      </c>
      <c r="AA182" s="16">
        <v>4.3492100021696674</v>
      </c>
      <c r="AB182" s="67">
        <v>3.3119793714822268</v>
      </c>
      <c r="AC182" s="3"/>
    </row>
    <row r="183" spans="2:29" x14ac:dyDescent="0.3">
      <c r="B183" s="66" t="s">
        <v>331</v>
      </c>
      <c r="C183" s="16">
        <v>3.0911449878151069</v>
      </c>
      <c r="D183" s="16">
        <v>4.2422387416978449</v>
      </c>
      <c r="E183" s="16">
        <v>4.7286134797088399</v>
      </c>
      <c r="F183" s="16">
        <v>5.4299752917421253</v>
      </c>
      <c r="G183" s="16">
        <v>5.5522188858766501</v>
      </c>
      <c r="H183" s="16">
        <v>5.1893095878443747</v>
      </c>
      <c r="I183" s="16">
        <v>5.2557014139847773</v>
      </c>
      <c r="J183" s="16">
        <v>5.3531024167488521</v>
      </c>
      <c r="K183" s="16">
        <v>6.2154728421458127</v>
      </c>
      <c r="L183" s="16">
        <v>10.287828446552357</v>
      </c>
      <c r="M183" s="16">
        <v>10.139967924308957</v>
      </c>
      <c r="N183" s="16">
        <v>8.2103328214447338</v>
      </c>
      <c r="O183" s="16">
        <v>7.2024522855151805</v>
      </c>
      <c r="P183" s="16">
        <v>6.8268547447751828</v>
      </c>
      <c r="Q183" s="16">
        <v>5.5946241369465817</v>
      </c>
      <c r="R183" s="16">
        <v>4.3365735610080849</v>
      </c>
      <c r="S183" s="16">
        <v>3.9332227000246252</v>
      </c>
      <c r="T183" s="16">
        <v>3.8555004019571149</v>
      </c>
      <c r="U183" s="16">
        <v>3.3349141809858125</v>
      </c>
      <c r="V183" s="16">
        <v>3.2294410673083074</v>
      </c>
      <c r="W183" s="16">
        <v>7.4703293453943793</v>
      </c>
      <c r="X183" s="16">
        <v>4.7654277820867748</v>
      </c>
      <c r="Y183" s="16">
        <v>3.72730012148926</v>
      </c>
      <c r="Z183" s="16">
        <v>3.6028817081465423</v>
      </c>
      <c r="AA183" s="16">
        <v>4.1491262073645956</v>
      </c>
      <c r="AB183" s="67">
        <v>4.8518153800173929</v>
      </c>
      <c r="AC183" s="3"/>
    </row>
    <row r="184" spans="2:29" x14ac:dyDescent="0.3">
      <c r="B184" s="66" t="s">
        <v>90</v>
      </c>
      <c r="C184" s="16">
        <v>4.3862583475122197</v>
      </c>
      <c r="D184" s="16">
        <v>5.1019408300565008</v>
      </c>
      <c r="E184" s="16">
        <v>6.3606666898964299</v>
      </c>
      <c r="F184" s="16">
        <v>7.2651803060351847</v>
      </c>
      <c r="G184" s="16">
        <v>7.2470697282659646</v>
      </c>
      <c r="H184" s="16">
        <v>6.2766408487635879</v>
      </c>
      <c r="I184" s="16">
        <v>5.6410114689104374</v>
      </c>
      <c r="J184" s="16">
        <v>6.3460235905984756</v>
      </c>
      <c r="K184" s="16">
        <v>8.6955070184410452</v>
      </c>
      <c r="L184" s="16">
        <v>12.039700578083727</v>
      </c>
      <c r="M184" s="16">
        <v>12.657550054717976</v>
      </c>
      <c r="N184" s="16">
        <v>11.732280881626801</v>
      </c>
      <c r="O184" s="16">
        <v>10.694419367295549</v>
      </c>
      <c r="P184" s="16">
        <v>10.494252650368175</v>
      </c>
      <c r="Q184" s="16">
        <v>8.0415901618901326</v>
      </c>
      <c r="R184" s="16">
        <v>6.7973337436277772</v>
      </c>
      <c r="S184" s="16">
        <v>6.6008047604576054</v>
      </c>
      <c r="T184" s="16">
        <v>5.6257132975348076</v>
      </c>
      <c r="U184" s="16">
        <v>5.6994843027360478</v>
      </c>
      <c r="V184" s="16">
        <v>4.9695326959983177</v>
      </c>
      <c r="W184" s="16">
        <v>8.9647297671866646</v>
      </c>
      <c r="X184" s="16">
        <v>6.7247058856782198</v>
      </c>
      <c r="Y184" s="16">
        <v>5.5555795471035179</v>
      </c>
      <c r="Z184" s="16">
        <v>5.9300576234404279</v>
      </c>
      <c r="AA184" s="16">
        <v>5.7310630899278356</v>
      </c>
      <c r="AB184" s="67">
        <v>5.1181898638467684</v>
      </c>
      <c r="AC184" s="3"/>
    </row>
    <row r="185" spans="2:29" x14ac:dyDescent="0.3">
      <c r="B185" s="66" t="s">
        <v>332</v>
      </c>
      <c r="C185" s="16">
        <v>3.3765118734499251</v>
      </c>
      <c r="D185" s="16">
        <v>4.4238182304837146</v>
      </c>
      <c r="E185" s="16">
        <v>5.5403047194831201</v>
      </c>
      <c r="F185" s="16">
        <v>6.0836056882799578</v>
      </c>
      <c r="G185" s="16">
        <v>6.1320281080883303</v>
      </c>
      <c r="H185" s="16">
        <v>5.6668648224513332</v>
      </c>
      <c r="I185" s="16">
        <v>5.0739134213096646</v>
      </c>
      <c r="J185" s="16">
        <v>5.0839730968608121</v>
      </c>
      <c r="K185" s="16">
        <v>5.8687122276668031</v>
      </c>
      <c r="L185" s="16">
        <v>8.6701137108838893</v>
      </c>
      <c r="M185" s="16">
        <v>8.5698157403897177</v>
      </c>
      <c r="N185" s="16">
        <v>7.7729316110301676</v>
      </c>
      <c r="O185" s="16">
        <v>6.5588034291647874</v>
      </c>
      <c r="P185" s="16">
        <v>6.2647286880677147</v>
      </c>
      <c r="Q185" s="16">
        <v>5.6440535755524408</v>
      </c>
      <c r="R185" s="16">
        <v>4.8238522966845849</v>
      </c>
      <c r="S185" s="16">
        <v>4.2739270384949029</v>
      </c>
      <c r="T185" s="16">
        <v>3.8326164385825252</v>
      </c>
      <c r="U185" s="16">
        <v>3.3769834719215122</v>
      </c>
      <c r="V185" s="16">
        <v>3.206616647464605</v>
      </c>
      <c r="W185" s="16">
        <v>6.1622140549427584</v>
      </c>
      <c r="X185" s="16">
        <v>4.1138604652395427</v>
      </c>
      <c r="Y185" s="16">
        <v>2.7014767500028727</v>
      </c>
      <c r="Z185" s="16">
        <v>3.0175768755025021</v>
      </c>
      <c r="AA185" s="16">
        <v>3.5718922171237373</v>
      </c>
      <c r="AB185" s="67">
        <v>3.8386241803938752</v>
      </c>
      <c r="AC185" s="3"/>
    </row>
    <row r="186" spans="2:29" x14ac:dyDescent="0.3">
      <c r="B186" s="66" t="s">
        <v>333</v>
      </c>
      <c r="C186" s="16">
        <v>5.8627633853080399</v>
      </c>
      <c r="D186" s="16">
        <v>6.3132997125306902</v>
      </c>
      <c r="E186" s="16">
        <v>6.6244740948612773</v>
      </c>
      <c r="F186" s="16">
        <v>7.4470050044306477</v>
      </c>
      <c r="G186" s="16">
        <v>6.5920963550490672</v>
      </c>
      <c r="H186" s="16">
        <v>6.6081130474889704</v>
      </c>
      <c r="I186" s="16">
        <v>6.7627962114553197</v>
      </c>
      <c r="J186" s="16">
        <v>6.0004501151905831</v>
      </c>
      <c r="K186" s="16">
        <v>5.7289629396492927</v>
      </c>
      <c r="L186" s="16">
        <v>7.3805602778270174</v>
      </c>
      <c r="M186" s="16">
        <v>7.6033343780980598</v>
      </c>
      <c r="N186" s="16">
        <v>8.2931084859411381</v>
      </c>
      <c r="O186" s="16">
        <v>9.6996689819085926</v>
      </c>
      <c r="P186" s="16">
        <v>8.6958891660344975</v>
      </c>
      <c r="Q186" s="16">
        <v>7.5302256624571697</v>
      </c>
      <c r="R186" s="16">
        <v>7.0048576371284605</v>
      </c>
      <c r="S186" s="16">
        <v>6.7375776349313679</v>
      </c>
      <c r="T186" s="16">
        <v>5.8605889084379497</v>
      </c>
      <c r="U186" s="16">
        <v>5.7671911247857377</v>
      </c>
      <c r="V186" s="16">
        <v>5.8714885995772343</v>
      </c>
      <c r="W186" s="16">
        <v>8.2699013725959194</v>
      </c>
      <c r="X186" s="16">
        <v>5.6755233414972377</v>
      </c>
      <c r="Y186" s="16">
        <v>4.700700615658775</v>
      </c>
      <c r="Z186" s="16">
        <v>4.7778093085811175</v>
      </c>
      <c r="AA186" s="16">
        <v>4.9937509672955596</v>
      </c>
      <c r="AB186" s="67">
        <v>4.7944293092720081</v>
      </c>
      <c r="AC186" s="3"/>
    </row>
    <row r="187" spans="2:29" x14ac:dyDescent="0.3">
      <c r="B187" s="66" t="s">
        <v>538</v>
      </c>
      <c r="C187" s="16">
        <v>4.0172202125922798</v>
      </c>
      <c r="D187" s="16">
        <v>5.134336934725737</v>
      </c>
      <c r="E187" s="16">
        <v>5.9851345459625769</v>
      </c>
      <c r="F187" s="16">
        <v>6.190590684269198</v>
      </c>
      <c r="G187" s="16">
        <v>5.7800412469730373</v>
      </c>
      <c r="H187" s="16">
        <v>5.6567451856919444</v>
      </c>
      <c r="I187" s="16">
        <v>5.3495647441200953</v>
      </c>
      <c r="J187" s="16">
        <v>5.0482569405465725</v>
      </c>
      <c r="K187" s="16">
        <v>5.5072497009960131</v>
      </c>
      <c r="L187" s="16">
        <v>10.741339222320747</v>
      </c>
      <c r="M187" s="16">
        <v>9.9779869564205388</v>
      </c>
      <c r="N187" s="16">
        <v>8.8043076461144985</v>
      </c>
      <c r="O187" s="16">
        <v>8.0373486561795602</v>
      </c>
      <c r="P187" s="16">
        <v>7.5936004632401808</v>
      </c>
      <c r="Q187" s="16">
        <v>6.0012354728009907</v>
      </c>
      <c r="R187" s="16">
        <v>4.9740213333028924</v>
      </c>
      <c r="S187" s="16">
        <v>4.6366726330032551</v>
      </c>
      <c r="T187" s="16">
        <v>3.8564580222915401</v>
      </c>
      <c r="U187" s="16">
        <v>3.5368884217753274</v>
      </c>
      <c r="V187" s="16">
        <v>3.8071648150148754</v>
      </c>
      <c r="W187" s="16">
        <v>7.2035943681850849</v>
      </c>
      <c r="X187" s="16">
        <v>4.2115599807294348</v>
      </c>
      <c r="Y187" s="16">
        <v>3.0732043420212527</v>
      </c>
      <c r="Z187" s="16">
        <v>3.0573509658919225</v>
      </c>
      <c r="AA187" s="16">
        <v>3.1989337221017022</v>
      </c>
      <c r="AB187" s="67">
        <v>3.3992549750649896</v>
      </c>
      <c r="AC187" s="3"/>
    </row>
    <row r="188" spans="2:29" x14ac:dyDescent="0.3">
      <c r="B188" s="66" t="s">
        <v>334</v>
      </c>
      <c r="C188" s="16">
        <v>4.415855917449278</v>
      </c>
      <c r="D188" s="16">
        <v>5.0061626953499649</v>
      </c>
      <c r="E188" s="16">
        <v>5.9917355504990901</v>
      </c>
      <c r="F188" s="16">
        <v>6.4291046332355624</v>
      </c>
      <c r="G188" s="16">
        <v>5.4203316893061348</v>
      </c>
      <c r="H188" s="16">
        <v>5.2324217064267948</v>
      </c>
      <c r="I188" s="16">
        <v>5.2300827283518769</v>
      </c>
      <c r="J188" s="16">
        <v>4.6792745076607103</v>
      </c>
      <c r="K188" s="16">
        <v>5.0640461591292372</v>
      </c>
      <c r="L188" s="16">
        <v>6.8495960653988872</v>
      </c>
      <c r="M188" s="16">
        <v>7.7316086561500281</v>
      </c>
      <c r="N188" s="16">
        <v>8.2477992547367656</v>
      </c>
      <c r="O188" s="16">
        <v>7.3567554797815866</v>
      </c>
      <c r="P188" s="16">
        <v>7.0292088164548545</v>
      </c>
      <c r="Q188" s="16">
        <v>5.9000145023809676</v>
      </c>
      <c r="R188" s="16">
        <v>4.6897482646046571</v>
      </c>
      <c r="S188" s="16">
        <v>4.3271214171565155</v>
      </c>
      <c r="T188" s="16">
        <v>4.0907073938349798</v>
      </c>
      <c r="U188" s="16">
        <v>3.9810241848308103</v>
      </c>
      <c r="V188" s="16">
        <v>3.6751044889087647</v>
      </c>
      <c r="W188" s="16">
        <v>6.5975682751028391</v>
      </c>
      <c r="X188" s="16">
        <v>5.4857528783671174</v>
      </c>
      <c r="Y188" s="16">
        <v>4.2588071654027795</v>
      </c>
      <c r="Z188" s="16">
        <v>4.3296857868065777</v>
      </c>
      <c r="AA188" s="16">
        <v>4.4221836571517352</v>
      </c>
      <c r="AB188" s="67">
        <v>4.5494152943588615</v>
      </c>
      <c r="AC188" s="3"/>
    </row>
    <row r="189" spans="2:29" x14ac:dyDescent="0.3">
      <c r="B189" s="66" t="s">
        <v>491</v>
      </c>
      <c r="C189" s="16">
        <v>3.6964329729451753</v>
      </c>
      <c r="D189" s="16">
        <v>4.5502284675755051</v>
      </c>
      <c r="E189" s="16">
        <v>5.3917868142636749</v>
      </c>
      <c r="F189" s="16">
        <v>5.7481844695827551</v>
      </c>
      <c r="G189" s="16">
        <v>5.5069722365456695</v>
      </c>
      <c r="H189" s="16">
        <v>5.2003862900254525</v>
      </c>
      <c r="I189" s="16">
        <v>4.7484773434113121</v>
      </c>
      <c r="J189" s="16">
        <v>4.30068855477613</v>
      </c>
      <c r="K189" s="16">
        <v>5.521371735350705</v>
      </c>
      <c r="L189" s="16">
        <v>9.2979840851646127</v>
      </c>
      <c r="M189" s="16">
        <v>9.0606471151672778</v>
      </c>
      <c r="N189" s="16">
        <v>8.2204364784503774</v>
      </c>
      <c r="O189" s="16">
        <v>7.5753680537330048</v>
      </c>
      <c r="P189" s="16">
        <v>7.3066070883989678</v>
      </c>
      <c r="Q189" s="16">
        <v>6.4307259513539794</v>
      </c>
      <c r="R189" s="16">
        <v>5.5401439410253079</v>
      </c>
      <c r="S189" s="16">
        <v>5.1993636647031698</v>
      </c>
      <c r="T189" s="16">
        <v>4.2156983887945954</v>
      </c>
      <c r="U189" s="16">
        <v>3.7557355418289347</v>
      </c>
      <c r="V189" s="16">
        <v>3.7072942227320951</v>
      </c>
      <c r="W189" s="16">
        <v>7.1766993271577828</v>
      </c>
      <c r="X189" s="16">
        <v>4.3703695751282927</v>
      </c>
      <c r="Y189" s="16">
        <v>3.4564692502513923</v>
      </c>
      <c r="Z189" s="16">
        <v>3.38830962133853</v>
      </c>
      <c r="AA189" s="16">
        <v>3.5609739416961923</v>
      </c>
      <c r="AB189" s="67">
        <v>3.7643380148061767</v>
      </c>
      <c r="AC189" s="3"/>
    </row>
    <row r="190" spans="2:29" x14ac:dyDescent="0.3">
      <c r="B190" s="66" t="s">
        <v>91</v>
      </c>
      <c r="C190" s="16">
        <v>3.5515229465202824</v>
      </c>
      <c r="D190" s="16">
        <v>3.7975795310699603</v>
      </c>
      <c r="E190" s="16">
        <v>4.4526961056312429</v>
      </c>
      <c r="F190" s="16">
        <v>4.6098566202271023</v>
      </c>
      <c r="G190" s="16">
        <v>4.9304167101550398</v>
      </c>
      <c r="H190" s="16">
        <v>4.359066508347758</v>
      </c>
      <c r="I190" s="16">
        <v>4.1489693409424149</v>
      </c>
      <c r="J190" s="16">
        <v>4.2471610463206098</v>
      </c>
      <c r="K190" s="16">
        <v>5.4172080955363677</v>
      </c>
      <c r="L190" s="16">
        <v>7.837261241382433</v>
      </c>
      <c r="M190" s="16">
        <v>7.9776597079174145</v>
      </c>
      <c r="N190" s="16">
        <v>7.9245531749652454</v>
      </c>
      <c r="O190" s="16">
        <v>8.4202994361333605</v>
      </c>
      <c r="P190" s="16">
        <v>7.328039513263862</v>
      </c>
      <c r="Q190" s="16">
        <v>5.7259887951720074</v>
      </c>
      <c r="R190" s="16">
        <v>4.8115656859695068</v>
      </c>
      <c r="S190" s="16">
        <v>4.5611266935460577</v>
      </c>
      <c r="T190" s="16">
        <v>4.6123054142317397</v>
      </c>
      <c r="U190" s="16">
        <v>3.9414475228821728</v>
      </c>
      <c r="V190" s="16">
        <v>3.6704720711033101</v>
      </c>
      <c r="W190" s="16">
        <v>7.9119459121123894</v>
      </c>
      <c r="X190" s="16">
        <v>4.8157004497232103</v>
      </c>
      <c r="Y190" s="16">
        <v>3.2531775092825126</v>
      </c>
      <c r="Z190" s="16">
        <v>3.3502570523853299</v>
      </c>
      <c r="AA190" s="16">
        <v>3.5634637260560802</v>
      </c>
      <c r="AB190" s="67">
        <v>3.4911509473607336</v>
      </c>
      <c r="AC190" s="3"/>
    </row>
    <row r="191" spans="2:29" x14ac:dyDescent="0.3">
      <c r="B191" s="66" t="s">
        <v>539</v>
      </c>
      <c r="C191" s="16">
        <v>3.2603500819580802</v>
      </c>
      <c r="D191" s="16">
        <v>3.5527635663986326</v>
      </c>
      <c r="E191" s="16">
        <v>4.3135363747279296</v>
      </c>
      <c r="F191" s="16">
        <v>4.4930505086240498</v>
      </c>
      <c r="G191" s="16">
        <v>4.5540853779081356</v>
      </c>
      <c r="H191" s="16">
        <v>4.0919898429311452</v>
      </c>
      <c r="I191" s="16">
        <v>4.0301937750812522</v>
      </c>
      <c r="J191" s="16">
        <v>4.0281363289110494</v>
      </c>
      <c r="K191" s="16">
        <v>5.2320918759060753</v>
      </c>
      <c r="L191" s="16">
        <v>7.8927623429505562</v>
      </c>
      <c r="M191" s="16">
        <v>8.0231699139338417</v>
      </c>
      <c r="N191" s="16">
        <v>7.69135587396981</v>
      </c>
      <c r="O191" s="16">
        <v>7.9870819842387979</v>
      </c>
      <c r="P191" s="16">
        <v>6.9319724277973851</v>
      </c>
      <c r="Q191" s="16">
        <v>5.4433046506327196</v>
      </c>
      <c r="R191" s="16">
        <v>4.5911415551592052</v>
      </c>
      <c r="S191" s="16">
        <v>4.3670742960837279</v>
      </c>
      <c r="T191" s="16">
        <v>4.4699665446312054</v>
      </c>
      <c r="U191" s="16">
        <v>3.8403604366547421</v>
      </c>
      <c r="V191" s="16">
        <v>3.6268694725187851</v>
      </c>
      <c r="W191" s="16">
        <v>7.8650906653938231</v>
      </c>
      <c r="X191" s="16">
        <v>4.7155106504949869</v>
      </c>
      <c r="Y191" s="16">
        <v>3.220240573222295</v>
      </c>
      <c r="Z191" s="16">
        <v>3.2588880115237524</v>
      </c>
      <c r="AA191" s="16">
        <v>3.4795037437106675</v>
      </c>
      <c r="AB191" s="67">
        <v>3.5146380859668338</v>
      </c>
      <c r="AC191" s="3"/>
    </row>
    <row r="192" spans="2:29" x14ac:dyDescent="0.3">
      <c r="B192" s="66" t="s">
        <v>92</v>
      </c>
      <c r="C192" s="16">
        <v>3.5028467180832754</v>
      </c>
      <c r="D192" s="16">
        <v>3.9407336344021102</v>
      </c>
      <c r="E192" s="16">
        <v>4.305278892093698</v>
      </c>
      <c r="F192" s="16">
        <v>4.5140485736897027</v>
      </c>
      <c r="G192" s="16">
        <v>4.4043534570802176</v>
      </c>
      <c r="H192" s="16">
        <v>4.6493419049879048</v>
      </c>
      <c r="I192" s="16">
        <v>4.4293314449845624</v>
      </c>
      <c r="J192" s="16">
        <v>3.8079640849704628</v>
      </c>
      <c r="K192" s="16">
        <v>5.5202130970237082</v>
      </c>
      <c r="L192" s="16">
        <v>9.0571282833410915</v>
      </c>
      <c r="M192" s="16">
        <v>8.6068312634136852</v>
      </c>
      <c r="N192" s="16">
        <v>7.9560329234346572</v>
      </c>
      <c r="O192" s="16">
        <v>7.1592214636717024</v>
      </c>
      <c r="P192" s="16">
        <v>7.0501107435213406</v>
      </c>
      <c r="Q192" s="16">
        <v>6.1141437707872752</v>
      </c>
      <c r="R192" s="16">
        <v>5.1634596395064456</v>
      </c>
      <c r="S192" s="16">
        <v>4.4799958782490794</v>
      </c>
      <c r="T192" s="16">
        <v>3.559592072153785</v>
      </c>
      <c r="U192" s="16">
        <v>3.279385833968965</v>
      </c>
      <c r="V192" s="16">
        <v>3.1704686966223203</v>
      </c>
      <c r="W192" s="16">
        <v>6.2454988075239948</v>
      </c>
      <c r="X192" s="16">
        <v>3.6831338077068949</v>
      </c>
      <c r="Y192" s="16">
        <v>3.1148572862301376</v>
      </c>
      <c r="Z192" s="16">
        <v>3.0110574264066075</v>
      </c>
      <c r="AA192" s="16">
        <v>3.1541344831225624</v>
      </c>
      <c r="AB192" s="67">
        <v>3.2758509884935112</v>
      </c>
      <c r="AC192" s="3"/>
    </row>
    <row r="193" spans="2:29" x14ac:dyDescent="0.3">
      <c r="B193" s="66" t="s">
        <v>93</v>
      </c>
      <c r="C193" s="16">
        <v>3.1662356173542854</v>
      </c>
      <c r="D193" s="16">
        <v>5.64519619302395</v>
      </c>
      <c r="E193" s="16">
        <v>5.7380181079708521</v>
      </c>
      <c r="F193" s="16">
        <v>6.7116909221390477</v>
      </c>
      <c r="G193" s="16">
        <v>6.8659593898132174</v>
      </c>
      <c r="H193" s="16">
        <v>6.4855396208191127</v>
      </c>
      <c r="I193" s="16">
        <v>6.5723259000447953</v>
      </c>
      <c r="J193" s="16">
        <v>5.5750955169614054</v>
      </c>
      <c r="K193" s="16">
        <v>7.8282306074533672</v>
      </c>
      <c r="L193" s="16">
        <v>14.610329807873125</v>
      </c>
      <c r="M193" s="16">
        <v>12.120684663038825</v>
      </c>
      <c r="N193" s="16">
        <v>10.18643530653803</v>
      </c>
      <c r="O193" s="16">
        <v>8.9309440026530247</v>
      </c>
      <c r="P193" s="16">
        <v>7.9941674709436548</v>
      </c>
      <c r="Q193" s="16">
        <v>6.305717135991955</v>
      </c>
      <c r="R193" s="16">
        <v>4.9141855525053373</v>
      </c>
      <c r="S193" s="16">
        <v>4.3766568370491132</v>
      </c>
      <c r="T193" s="16">
        <v>3.6472355260308573</v>
      </c>
      <c r="U193" s="16">
        <v>3.83661192923371</v>
      </c>
      <c r="V193" s="16">
        <v>3.8093135497900672</v>
      </c>
      <c r="W193" s="16">
        <v>10.229367117682182</v>
      </c>
      <c r="X193" s="16">
        <v>6.3364155008110199</v>
      </c>
      <c r="Y193" s="16">
        <v>4.7946753848758856</v>
      </c>
      <c r="Z193" s="16">
        <v>5.0227090249354021</v>
      </c>
      <c r="AA193" s="16">
        <v>6.8548669478663147</v>
      </c>
      <c r="AB193" s="67">
        <v>6.8696406624776278</v>
      </c>
      <c r="AC193" s="3"/>
    </row>
    <row r="194" spans="2:29" x14ac:dyDescent="0.3">
      <c r="B194" s="66" t="s">
        <v>335</v>
      </c>
      <c r="C194" s="16">
        <v>3.3752201732554474</v>
      </c>
      <c r="D194" s="16">
        <v>3.955577820358215</v>
      </c>
      <c r="E194" s="16">
        <v>4.5562147841854879</v>
      </c>
      <c r="F194" s="16">
        <v>4.726368161202533</v>
      </c>
      <c r="G194" s="16">
        <v>4.2945155623686047</v>
      </c>
      <c r="H194" s="16">
        <v>4.1522620141529076</v>
      </c>
      <c r="I194" s="16">
        <v>3.9848467273558601</v>
      </c>
      <c r="J194" s="16">
        <v>4.193321909987171</v>
      </c>
      <c r="K194" s="16">
        <v>4.3460026882687206</v>
      </c>
      <c r="L194" s="16">
        <v>7.1660756971974573</v>
      </c>
      <c r="M194" s="16">
        <v>6.7861088130408396</v>
      </c>
      <c r="N194" s="16">
        <v>6.1202480859598598</v>
      </c>
      <c r="O194" s="16">
        <v>5.5673151629824478</v>
      </c>
      <c r="P194" s="16">
        <v>5.3395739245736653</v>
      </c>
      <c r="Q194" s="16">
        <v>4.4079577102625702</v>
      </c>
      <c r="R194" s="16">
        <v>3.8130384820413252</v>
      </c>
      <c r="S194" s="16">
        <v>3.7188546487063223</v>
      </c>
      <c r="T194" s="16">
        <v>3.1109425326101654</v>
      </c>
      <c r="U194" s="16">
        <v>2.8112387568814174</v>
      </c>
      <c r="V194" s="16">
        <v>3.0101097350990478</v>
      </c>
      <c r="W194" s="16">
        <v>5.5881726101923643</v>
      </c>
      <c r="X194" s="16">
        <v>3.2154680367473127</v>
      </c>
      <c r="Y194" s="16">
        <v>2.5037355960212775</v>
      </c>
      <c r="Z194" s="16">
        <v>2.5083201781204725</v>
      </c>
      <c r="AA194" s="16">
        <v>2.6563610182351574</v>
      </c>
      <c r="AB194" s="67">
        <v>2.7767291933367582</v>
      </c>
      <c r="AC194" s="3"/>
    </row>
    <row r="195" spans="2:29" x14ac:dyDescent="0.3">
      <c r="B195" s="66" t="s">
        <v>94</v>
      </c>
      <c r="C195" s="16">
        <v>4.5494741293262724</v>
      </c>
      <c r="D195" s="16">
        <v>4.8198769863253705</v>
      </c>
      <c r="E195" s="16">
        <v>5.2923755389233955</v>
      </c>
      <c r="F195" s="16">
        <v>5.4294046800771154</v>
      </c>
      <c r="G195" s="16">
        <v>4.7965690666439142</v>
      </c>
      <c r="H195" s="16">
        <v>5.4236319295334026</v>
      </c>
      <c r="I195" s="16">
        <v>3.2016391398137203</v>
      </c>
      <c r="J195" s="16">
        <v>3.1660196734258523</v>
      </c>
      <c r="K195" s="16">
        <v>3.5579027449701797</v>
      </c>
      <c r="L195" s="16">
        <v>5.5559201253884831</v>
      </c>
      <c r="M195" s="16">
        <v>6.2757527317389323</v>
      </c>
      <c r="N195" s="16">
        <v>5.9106498774077627</v>
      </c>
      <c r="O195" s="16">
        <v>5.1307991596983173</v>
      </c>
      <c r="P195" s="16">
        <v>5.0221210739914053</v>
      </c>
      <c r="Q195" s="16">
        <v>5.110110950983592</v>
      </c>
      <c r="R195" s="16">
        <v>6.0864727542610453</v>
      </c>
      <c r="S195" s="16">
        <v>6.2929004955244174</v>
      </c>
      <c r="T195" s="16">
        <v>4.9676194223149555</v>
      </c>
      <c r="U195" s="16">
        <v>4.4339206716029995</v>
      </c>
      <c r="V195" s="16">
        <v>4.1271539405966395</v>
      </c>
      <c r="W195" s="16">
        <v>7.3257717704222847</v>
      </c>
      <c r="X195" s="16">
        <v>4.6741594353755822</v>
      </c>
      <c r="Y195" s="16">
        <v>3.1158778957737647</v>
      </c>
      <c r="Z195" s="16">
        <v>3.1773060509170872</v>
      </c>
      <c r="AA195" s="16">
        <v>3.7986444685508602</v>
      </c>
      <c r="AB195" s="67">
        <v>3.8976499420607422</v>
      </c>
      <c r="AC195" s="3"/>
    </row>
    <row r="196" spans="2:29" x14ac:dyDescent="0.3">
      <c r="B196" s="66" t="s">
        <v>336</v>
      </c>
      <c r="C196" s="16">
        <v>2.6451974918707726</v>
      </c>
      <c r="D196" s="16">
        <v>3.5101431927204398</v>
      </c>
      <c r="E196" s="16">
        <v>4.3709223239400279</v>
      </c>
      <c r="F196" s="16">
        <v>4.8098291083079721</v>
      </c>
      <c r="G196" s="16">
        <v>4.942103007063265</v>
      </c>
      <c r="H196" s="16">
        <v>4.8273008869185325</v>
      </c>
      <c r="I196" s="16">
        <v>4.3336923440213804</v>
      </c>
      <c r="J196" s="16">
        <v>3.98910136533673</v>
      </c>
      <c r="K196" s="16">
        <v>4.8498056437429877</v>
      </c>
      <c r="L196" s="16">
        <v>9.2307107986084755</v>
      </c>
      <c r="M196" s="16">
        <v>8.6649206566055437</v>
      </c>
      <c r="N196" s="16">
        <v>7.4185791151052598</v>
      </c>
      <c r="O196" s="16">
        <v>6.928368039137073</v>
      </c>
      <c r="P196" s="16">
        <v>6.6539018151372673</v>
      </c>
      <c r="Q196" s="16">
        <v>5.0516856517631501</v>
      </c>
      <c r="R196" s="16">
        <v>4.3047328278806622</v>
      </c>
      <c r="S196" s="16">
        <v>4.0857544745392298</v>
      </c>
      <c r="T196" s="16">
        <v>3.247660205962835</v>
      </c>
      <c r="U196" s="16">
        <v>3.2124131875715651</v>
      </c>
      <c r="V196" s="16">
        <v>2.9851243344731651</v>
      </c>
      <c r="W196" s="16">
        <v>6.4905888845586626</v>
      </c>
      <c r="X196" s="16">
        <v>3.4346075380292898</v>
      </c>
      <c r="Y196" s="16">
        <v>2.7652649003738148</v>
      </c>
      <c r="Z196" s="16">
        <v>2.8832188722139649</v>
      </c>
      <c r="AA196" s="16">
        <v>3.740589517863067</v>
      </c>
      <c r="AB196" s="67">
        <v>3.6988370967453723</v>
      </c>
      <c r="AC196" s="3"/>
    </row>
    <row r="197" spans="2:29" x14ac:dyDescent="0.3">
      <c r="B197" s="66" t="s">
        <v>95</v>
      </c>
      <c r="C197" s="16">
        <v>5.0162127489600472</v>
      </c>
      <c r="D197" s="16">
        <v>5.565496711250244</v>
      </c>
      <c r="E197" s="16">
        <v>5.6020207173908556</v>
      </c>
      <c r="F197" s="16">
        <v>6.1488621426553651</v>
      </c>
      <c r="G197" s="16">
        <v>5.2944342074928601</v>
      </c>
      <c r="H197" s="16">
        <v>7.0711354653544598</v>
      </c>
      <c r="I197" s="16">
        <v>3.5669596744223524</v>
      </c>
      <c r="J197" s="16">
        <v>3.8208619634870273</v>
      </c>
      <c r="K197" s="16">
        <v>4.2015426485413725</v>
      </c>
      <c r="L197" s="16">
        <v>6.1149055423999128</v>
      </c>
      <c r="M197" s="16">
        <v>7.3734853523752353</v>
      </c>
      <c r="N197" s="16">
        <v>7.0966372728300282</v>
      </c>
      <c r="O197" s="16">
        <v>6.4640268177281701</v>
      </c>
      <c r="P197" s="16">
        <v>6.104110711205907</v>
      </c>
      <c r="Q197" s="16">
        <v>5.7113809027342519</v>
      </c>
      <c r="R197" s="16">
        <v>5.4109610525996521</v>
      </c>
      <c r="S197" s="16">
        <v>5.3512715729306475</v>
      </c>
      <c r="T197" s="16">
        <v>4.4523209948620899</v>
      </c>
      <c r="U197" s="16">
        <v>4.2837494835885002</v>
      </c>
      <c r="V197" s="16">
        <v>4.3892815641113048</v>
      </c>
      <c r="W197" s="16">
        <v>10.064816286544758</v>
      </c>
      <c r="X197" s="16">
        <v>6.0126198013018302</v>
      </c>
      <c r="Y197" s="16">
        <v>3.7500222313571872</v>
      </c>
      <c r="Z197" s="16">
        <v>3.8094157208558177</v>
      </c>
      <c r="AA197" s="16">
        <v>4.5284921392494821</v>
      </c>
      <c r="AB197" s="67">
        <v>4.7158222063343258</v>
      </c>
      <c r="AC197" s="3"/>
    </row>
    <row r="198" spans="2:29" x14ac:dyDescent="0.3">
      <c r="B198" s="66" t="s">
        <v>337</v>
      </c>
      <c r="C198" s="16">
        <v>4.4160492911998901</v>
      </c>
      <c r="D198" s="16">
        <v>4.7655386530167156</v>
      </c>
      <c r="E198" s="16">
        <v>5.69736187688589</v>
      </c>
      <c r="F198" s="16">
        <v>4.9513701415959979</v>
      </c>
      <c r="G198" s="16">
        <v>4.3640838930813031</v>
      </c>
      <c r="H198" s="16">
        <v>4.2232479117858475</v>
      </c>
      <c r="I198" s="16">
        <v>4.3970967934966794</v>
      </c>
      <c r="J198" s="16">
        <v>4.5002483380169052</v>
      </c>
      <c r="K198" s="16">
        <v>7.2266636292747695</v>
      </c>
      <c r="L198" s="16">
        <v>11.174058683893126</v>
      </c>
      <c r="M198" s="16">
        <v>12.934832040462474</v>
      </c>
      <c r="N198" s="16">
        <v>12.267731270716499</v>
      </c>
      <c r="O198" s="16">
        <v>11.101351909175724</v>
      </c>
      <c r="P198" s="16">
        <v>10.4553480295402</v>
      </c>
      <c r="Q198" s="16">
        <v>8.7682301264460953</v>
      </c>
      <c r="R198" s="16">
        <v>7.9596962349188072</v>
      </c>
      <c r="S198" s="16">
        <v>7.0851866514836574</v>
      </c>
      <c r="T198" s="16">
        <v>6.2225215435410952</v>
      </c>
      <c r="U198" s="16">
        <v>5.9566006035002701</v>
      </c>
      <c r="V198" s="16">
        <v>6.094779448331785</v>
      </c>
      <c r="W198" s="16">
        <v>10.110442897411465</v>
      </c>
      <c r="X198" s="16">
        <v>5.8625812199466329</v>
      </c>
      <c r="Y198" s="16">
        <v>4.6570405934986923</v>
      </c>
      <c r="Z198" s="16">
        <v>4.4738802287653652</v>
      </c>
      <c r="AA198" s="16">
        <v>4.409393672725332</v>
      </c>
      <c r="AB198" s="67">
        <v>4.802434607634841</v>
      </c>
      <c r="AC198" s="3"/>
    </row>
    <row r="199" spans="2:29" x14ac:dyDescent="0.3">
      <c r="B199" s="66" t="s">
        <v>338</v>
      </c>
      <c r="C199" s="16">
        <v>4.1902665548757057</v>
      </c>
      <c r="D199" s="16">
        <v>5.2536063360679197</v>
      </c>
      <c r="E199" s="16">
        <v>5.9472286729789472</v>
      </c>
      <c r="F199" s="16">
        <v>5.7699357422024828</v>
      </c>
      <c r="G199" s="16">
        <v>5.0324771120093752</v>
      </c>
      <c r="H199" s="16">
        <v>4.0926447399920178</v>
      </c>
      <c r="I199" s="16">
        <v>3.716994605894695</v>
      </c>
      <c r="J199" s="16">
        <v>4.535736401889972</v>
      </c>
      <c r="K199" s="16">
        <v>6.921340589081348</v>
      </c>
      <c r="L199" s="16">
        <v>11.114662697269711</v>
      </c>
      <c r="M199" s="16">
        <v>12.170149849497999</v>
      </c>
      <c r="N199" s="16">
        <v>11.439964347080075</v>
      </c>
      <c r="O199" s="16">
        <v>9.9621136345210051</v>
      </c>
      <c r="P199" s="16">
        <v>8.6007846476252219</v>
      </c>
      <c r="Q199" s="16">
        <v>7.4510844974258399</v>
      </c>
      <c r="R199" s="16">
        <v>6.3766903269763047</v>
      </c>
      <c r="S199" s="16">
        <v>5.4112473048972776</v>
      </c>
      <c r="T199" s="16">
        <v>4.6829042375204857</v>
      </c>
      <c r="U199" s="16">
        <v>4.0631419260103705</v>
      </c>
      <c r="V199" s="16">
        <v>3.6924519131608848</v>
      </c>
      <c r="W199" s="16">
        <v>9.1778957014836653</v>
      </c>
      <c r="X199" s="16">
        <v>5.3569800647055867</v>
      </c>
      <c r="Y199" s="16">
        <v>3.5868055267207604</v>
      </c>
      <c r="Z199" s="16">
        <v>3.6941217245378901</v>
      </c>
      <c r="AA199" s="16">
        <v>4.1992488058524273</v>
      </c>
      <c r="AB199" s="67">
        <v>4.4793462936407362</v>
      </c>
      <c r="AC199" s="3"/>
    </row>
    <row r="200" spans="2:29" x14ac:dyDescent="0.3">
      <c r="B200" s="66" t="s">
        <v>96</v>
      </c>
      <c r="C200" s="16">
        <v>2.8606395229206503</v>
      </c>
      <c r="D200" s="16">
        <v>3.4486010333301373</v>
      </c>
      <c r="E200" s="16">
        <v>3.8850516018334802</v>
      </c>
      <c r="F200" s="16">
        <v>4.1573856983347977</v>
      </c>
      <c r="G200" s="16">
        <v>3.8039067169981653</v>
      </c>
      <c r="H200" s="16">
        <v>3.6675737207768524</v>
      </c>
      <c r="I200" s="16">
        <v>3.6127122369226896</v>
      </c>
      <c r="J200" s="16">
        <v>3.5767048583408472</v>
      </c>
      <c r="K200" s="16">
        <v>4.3232200650367201</v>
      </c>
      <c r="L200" s="16">
        <v>7.1871460036154824</v>
      </c>
      <c r="M200" s="16">
        <v>7.180366855568078</v>
      </c>
      <c r="N200" s="16">
        <v>6.6704850696796223</v>
      </c>
      <c r="O200" s="16">
        <v>6.3091613795870298</v>
      </c>
      <c r="P200" s="16">
        <v>5.7674393065199672</v>
      </c>
      <c r="Q200" s="16">
        <v>4.6961897281947325</v>
      </c>
      <c r="R200" s="16">
        <v>4.1922101582702052</v>
      </c>
      <c r="S200" s="16">
        <v>4.1236929111442651</v>
      </c>
      <c r="T200" s="16">
        <v>3.8938459175701752</v>
      </c>
      <c r="U200" s="16">
        <v>3.4946336117926249</v>
      </c>
      <c r="V200" s="16">
        <v>3.3704006903049297</v>
      </c>
      <c r="W200" s="16">
        <v>7.304315751852303</v>
      </c>
      <c r="X200" s="16">
        <v>4.6212762054900773</v>
      </c>
      <c r="Y200" s="16">
        <v>3.3379153844370224</v>
      </c>
      <c r="Z200" s="16">
        <v>2.9103005410930849</v>
      </c>
      <c r="AA200" s="16">
        <v>2.8878140507908827</v>
      </c>
      <c r="AB200" s="67">
        <v>3.1085062546325024</v>
      </c>
      <c r="AC200" s="3"/>
    </row>
    <row r="201" spans="2:29" x14ac:dyDescent="0.3">
      <c r="B201" s="66" t="s">
        <v>339</v>
      </c>
      <c r="C201" s="16">
        <v>2.9721964510137497</v>
      </c>
      <c r="D201" s="16">
        <v>3.8314006588481799</v>
      </c>
      <c r="E201" s="16">
        <v>4.4276492011473145</v>
      </c>
      <c r="F201" s="16">
        <v>5.2956688953028879</v>
      </c>
      <c r="G201" s="16">
        <v>5.746911938893863</v>
      </c>
      <c r="H201" s="16">
        <v>5.9841465409149102</v>
      </c>
      <c r="I201" s="16">
        <v>5.9683583188065024</v>
      </c>
      <c r="J201" s="16">
        <v>5.8779229378276359</v>
      </c>
      <c r="K201" s="16">
        <v>6.6871186583803075</v>
      </c>
      <c r="L201" s="16">
        <v>10.999745443893552</v>
      </c>
      <c r="M201" s="16">
        <v>9.9335025640633372</v>
      </c>
      <c r="N201" s="16">
        <v>8.1336504584046025</v>
      </c>
      <c r="O201" s="16">
        <v>7.3016787794040177</v>
      </c>
      <c r="P201" s="16">
        <v>7.1157918703995779</v>
      </c>
      <c r="Q201" s="16">
        <v>5.8992105644644797</v>
      </c>
      <c r="R201" s="16">
        <v>4.4697685225839647</v>
      </c>
      <c r="S201" s="16">
        <v>4.1778708059835452</v>
      </c>
      <c r="T201" s="16">
        <v>4.101237876331485</v>
      </c>
      <c r="U201" s="16">
        <v>3.5506536954736947</v>
      </c>
      <c r="V201" s="16">
        <v>3.4595993992109699</v>
      </c>
      <c r="W201" s="16">
        <v>7.7846738144091914</v>
      </c>
      <c r="X201" s="16">
        <v>5.1205815913173858</v>
      </c>
      <c r="Y201" s="16">
        <v>4.2254786873185477</v>
      </c>
      <c r="Z201" s="16">
        <v>3.7599322715923273</v>
      </c>
      <c r="AA201" s="16">
        <v>4.3823594565816428</v>
      </c>
      <c r="AB201" s="67">
        <v>4.9353555693114863</v>
      </c>
      <c r="AC201" s="3"/>
    </row>
    <row r="202" spans="2:29" x14ac:dyDescent="0.3">
      <c r="B202" s="66" t="s">
        <v>97</v>
      </c>
      <c r="C202" s="16">
        <v>6.14770822553389</v>
      </c>
      <c r="D202" s="16">
        <v>6.5345350946432532</v>
      </c>
      <c r="E202" s="16">
        <v>7.2729754954725649</v>
      </c>
      <c r="F202" s="16">
        <v>7.4072239391560277</v>
      </c>
      <c r="G202" s="16">
        <v>6.7220220288048829</v>
      </c>
      <c r="H202" s="16">
        <v>6.0756777402627531</v>
      </c>
      <c r="I202" s="16">
        <v>5.4709015422551328</v>
      </c>
      <c r="J202" s="16">
        <v>4.7324911578204327</v>
      </c>
      <c r="K202" s="16">
        <v>5.3565108441191747</v>
      </c>
      <c r="L202" s="16">
        <v>8.5458099406869152</v>
      </c>
      <c r="M202" s="16">
        <v>8.3500715598316724</v>
      </c>
      <c r="N202" s="16">
        <v>7.7135320739318498</v>
      </c>
      <c r="O202" s="16">
        <v>6.4535473087859678</v>
      </c>
      <c r="P202" s="16">
        <v>6.184347072543992</v>
      </c>
      <c r="Q202" s="16">
        <v>5.1442693870172151</v>
      </c>
      <c r="R202" s="16">
        <v>4.7561414065444927</v>
      </c>
      <c r="S202" s="16">
        <v>5.1488325929584873</v>
      </c>
      <c r="T202" s="16">
        <v>4.4194648865907853</v>
      </c>
      <c r="U202" s="16">
        <v>3.950942793884102</v>
      </c>
      <c r="V202" s="16">
        <v>3.8388441785937024</v>
      </c>
      <c r="W202" s="16">
        <v>8.8784259598616018</v>
      </c>
      <c r="X202" s="16">
        <v>6.4375146494548048</v>
      </c>
      <c r="Y202" s="16">
        <v>4.2144043593205156</v>
      </c>
      <c r="Z202" s="16">
        <v>4.0653786044935574</v>
      </c>
      <c r="AA202" s="16">
        <v>4.191975547701615</v>
      </c>
      <c r="AB202" s="67">
        <v>4.4637933004988879</v>
      </c>
      <c r="AC202" s="3"/>
    </row>
    <row r="203" spans="2:29" x14ac:dyDescent="0.3">
      <c r="B203" s="66" t="s">
        <v>98</v>
      </c>
      <c r="C203" s="16">
        <v>6.1681514872739749</v>
      </c>
      <c r="D203" s="16">
        <v>6.0786028361196971</v>
      </c>
      <c r="E203" s="16">
        <v>6.170790965154902</v>
      </c>
      <c r="F203" s="16">
        <v>6.5331330082639001</v>
      </c>
      <c r="G203" s="16">
        <v>6.2198288161307325</v>
      </c>
      <c r="H203" s="16">
        <v>5.7422705531938929</v>
      </c>
      <c r="I203" s="16">
        <v>4.7112158442371479</v>
      </c>
      <c r="J203" s="16">
        <v>3.9364602739859675</v>
      </c>
      <c r="K203" s="16">
        <v>4.6453409692697676</v>
      </c>
      <c r="L203" s="16">
        <v>6.8560768332517732</v>
      </c>
      <c r="M203" s="16">
        <v>7.482544061734262</v>
      </c>
      <c r="N203" s="16">
        <v>7.2428598572807683</v>
      </c>
      <c r="O203" s="16">
        <v>7.1408475677233056</v>
      </c>
      <c r="P203" s="16">
        <v>7.442926941143222</v>
      </c>
      <c r="Q203" s="16">
        <v>7.1739913835020097</v>
      </c>
      <c r="R203" s="16">
        <v>7.3896225881082795</v>
      </c>
      <c r="S203" s="16">
        <v>7.39799095365718</v>
      </c>
      <c r="T203" s="16">
        <v>6.9339911540201644</v>
      </c>
      <c r="U203" s="16">
        <v>5.8060138090294275</v>
      </c>
      <c r="V203" s="16">
        <v>5.9362680741231797</v>
      </c>
      <c r="W203" s="16">
        <v>7.9751292031512424</v>
      </c>
      <c r="X203" s="16">
        <v>7.0516690564054141</v>
      </c>
      <c r="Y203" s="16">
        <v>4.5678384606131424</v>
      </c>
      <c r="Z203" s="16">
        <v>4.3271828476848375</v>
      </c>
      <c r="AA203" s="16">
        <v>4.9055185792270404</v>
      </c>
      <c r="AB203" s="67">
        <v>5.0088036935298259</v>
      </c>
      <c r="AC203" s="3"/>
    </row>
    <row r="204" spans="2:29" x14ac:dyDescent="0.3">
      <c r="B204" s="66" t="s">
        <v>492</v>
      </c>
      <c r="C204" s="16">
        <v>4.2835959689206451</v>
      </c>
      <c r="D204" s="16">
        <v>5.2878802091259498</v>
      </c>
      <c r="E204" s="16">
        <v>5.8519758015191528</v>
      </c>
      <c r="F204" s="16">
        <v>5.3580841979039624</v>
      </c>
      <c r="G204" s="16">
        <v>4.4911572197849576</v>
      </c>
      <c r="H204" s="16">
        <v>4.1695337594389326</v>
      </c>
      <c r="I204" s="16">
        <v>4.109852386850215</v>
      </c>
      <c r="J204" s="16">
        <v>4.7562839780920347</v>
      </c>
      <c r="K204" s="16">
        <v>6.8358377376995954</v>
      </c>
      <c r="L204" s="16">
        <v>11.254858589302165</v>
      </c>
      <c r="M204" s="16">
        <v>13.479814793854999</v>
      </c>
      <c r="N204" s="16">
        <v>13.190855159137174</v>
      </c>
      <c r="O204" s="16">
        <v>11.620103555389324</v>
      </c>
      <c r="P204" s="16">
        <v>10.017070507650455</v>
      </c>
      <c r="Q204" s="16">
        <v>8.2655979976566183</v>
      </c>
      <c r="R204" s="16">
        <v>6.9468341187174207</v>
      </c>
      <c r="S204" s="16">
        <v>5.9576978058340746</v>
      </c>
      <c r="T204" s="16">
        <v>5.2218020209611353</v>
      </c>
      <c r="U204" s="16">
        <v>4.6344646120165631</v>
      </c>
      <c r="V204" s="16">
        <v>4.2941111351466299</v>
      </c>
      <c r="W204" s="16">
        <v>15.719923611646482</v>
      </c>
      <c r="X204" s="16">
        <v>7.8148113033009299</v>
      </c>
      <c r="Y204" s="16">
        <v>5.5595844287357226</v>
      </c>
      <c r="Z204" s="16">
        <v>5.3661591366554999</v>
      </c>
      <c r="AA204" s="16">
        <v>5.8032885599272053</v>
      </c>
      <c r="AB204" s="67">
        <v>5.8640350476859275</v>
      </c>
      <c r="AC204" s="3"/>
    </row>
    <row r="205" spans="2:29" x14ac:dyDescent="0.3">
      <c r="B205" s="66" t="s">
        <v>99</v>
      </c>
      <c r="C205" s="16">
        <v>2.8058144250311274</v>
      </c>
      <c r="D205" s="16">
        <v>3.2788708798497423</v>
      </c>
      <c r="E205" s="16">
        <v>3.8579229604717171</v>
      </c>
      <c r="F205" s="16">
        <v>3.9270129552532653</v>
      </c>
      <c r="G205" s="16">
        <v>4.2030147287991317</v>
      </c>
      <c r="H205" s="16">
        <v>4.025180521821305</v>
      </c>
      <c r="I205" s="16">
        <v>3.8336731653238925</v>
      </c>
      <c r="J205" s="16">
        <v>3.8831190236018251</v>
      </c>
      <c r="K205" s="16">
        <v>4.1753287234258805</v>
      </c>
      <c r="L205" s="16">
        <v>5.8707349577294545</v>
      </c>
      <c r="M205" s="16">
        <v>5.8405137581672948</v>
      </c>
      <c r="N205" s="16">
        <v>5.5351774898537949</v>
      </c>
      <c r="O205" s="16">
        <v>5.0863285817981376</v>
      </c>
      <c r="P205" s="16">
        <v>4.8230947683720782</v>
      </c>
      <c r="Q205" s="16">
        <v>4.0722025946826577</v>
      </c>
      <c r="R205" s="16">
        <v>3.6839389254075603</v>
      </c>
      <c r="S205" s="16">
        <v>3.36674530776417</v>
      </c>
      <c r="T205" s="16">
        <v>3.0134662687504949</v>
      </c>
      <c r="U205" s="16">
        <v>2.8492965045043599</v>
      </c>
      <c r="V205" s="16">
        <v>2.7559484825058371</v>
      </c>
      <c r="W205" s="16">
        <v>5.6774692078636724</v>
      </c>
      <c r="X205" s="16">
        <v>3.1299060737107225</v>
      </c>
      <c r="Y205" s="16">
        <v>2.4970461990302302</v>
      </c>
      <c r="Z205" s="16">
        <v>2.6220103566773774</v>
      </c>
      <c r="AA205" s="16">
        <v>3.2519283176642153</v>
      </c>
      <c r="AB205" s="67">
        <v>3.467413693903969</v>
      </c>
      <c r="AC205" s="3"/>
    </row>
    <row r="206" spans="2:29" x14ac:dyDescent="0.3">
      <c r="B206" s="66" t="s">
        <v>100</v>
      </c>
      <c r="C206" s="16">
        <v>3.5172653170124351</v>
      </c>
      <c r="D206" s="16">
        <v>3.8194494253039424</v>
      </c>
      <c r="E206" s="16">
        <v>4.0292939402530648</v>
      </c>
      <c r="F206" s="16">
        <v>4.2020971638572053</v>
      </c>
      <c r="G206" s="16">
        <v>4.1353123770661018</v>
      </c>
      <c r="H206" s="16">
        <v>4.324738368726412</v>
      </c>
      <c r="I206" s="16">
        <v>3.9408835923422805</v>
      </c>
      <c r="J206" s="16">
        <v>4.0696341363149244</v>
      </c>
      <c r="K206" s="16">
        <v>3.605046830292598</v>
      </c>
      <c r="L206" s="16">
        <v>5.2831411022782619</v>
      </c>
      <c r="M206" s="16">
        <v>5.5094698229418375</v>
      </c>
      <c r="N206" s="16">
        <v>5.4471813583232951</v>
      </c>
      <c r="O206" s="16">
        <v>5.7357535994043882</v>
      </c>
      <c r="P206" s="16">
        <v>5.5788805969286575</v>
      </c>
      <c r="Q206" s="16">
        <v>4.5160134131111951</v>
      </c>
      <c r="R206" s="16">
        <v>4.2273568449391545</v>
      </c>
      <c r="S206" s="16">
        <v>4.40148450511143</v>
      </c>
      <c r="T206" s="16">
        <v>4.1052818280484349</v>
      </c>
      <c r="U206" s="16">
        <v>3.69449578193713</v>
      </c>
      <c r="V206" s="16">
        <v>3.4169873824867549</v>
      </c>
      <c r="W206" s="16">
        <v>6.7953283544460721</v>
      </c>
      <c r="X206" s="16">
        <v>4.2352003051919604</v>
      </c>
      <c r="Y206" s="16">
        <v>3.5464429001863049</v>
      </c>
      <c r="Z206" s="16">
        <v>3.7337778365983096</v>
      </c>
      <c r="AA206" s="16">
        <v>3.6106665143917773</v>
      </c>
      <c r="AB206" s="67">
        <v>3.5169437032449804</v>
      </c>
      <c r="AC206" s="3"/>
    </row>
    <row r="207" spans="2:29" x14ac:dyDescent="0.3">
      <c r="B207" s="66" t="s">
        <v>101</v>
      </c>
      <c r="C207" s="16">
        <v>3.2055266061193275</v>
      </c>
      <c r="D207" s="16">
        <v>3.6239408709477852</v>
      </c>
      <c r="E207" s="16">
        <v>4.1700862806291097</v>
      </c>
      <c r="F207" s="16">
        <v>4.2874400115952342</v>
      </c>
      <c r="G207" s="16">
        <v>3.9543726546045121</v>
      </c>
      <c r="H207" s="16">
        <v>3.6070092002197924</v>
      </c>
      <c r="I207" s="16">
        <v>3.4823395476669949</v>
      </c>
      <c r="J207" s="16">
        <v>3.618057840281895</v>
      </c>
      <c r="K207" s="16">
        <v>4.2167049364666154</v>
      </c>
      <c r="L207" s="16">
        <v>6.6805853132393818</v>
      </c>
      <c r="M207" s="16">
        <v>7.1586024523968028</v>
      </c>
      <c r="N207" s="16">
        <v>6.7320149169402725</v>
      </c>
      <c r="O207" s="16">
        <v>6.4651953557153377</v>
      </c>
      <c r="P207" s="16">
        <v>5.9579287190043724</v>
      </c>
      <c r="Q207" s="16">
        <v>5.0439835654473226</v>
      </c>
      <c r="R207" s="16">
        <v>4.6272795163724423</v>
      </c>
      <c r="S207" s="16">
        <v>4.5590518002480724</v>
      </c>
      <c r="T207" s="16">
        <v>4.2900441246908567</v>
      </c>
      <c r="U207" s="16">
        <v>3.9833262190909746</v>
      </c>
      <c r="V207" s="16">
        <v>3.9116151560291925</v>
      </c>
      <c r="W207" s="16">
        <v>7.9156892554584779</v>
      </c>
      <c r="X207" s="16">
        <v>5.2525500661392153</v>
      </c>
      <c r="Y207" s="16">
        <v>3.6342515463125502</v>
      </c>
      <c r="Z207" s="16">
        <v>3.1336479496108076</v>
      </c>
      <c r="AA207" s="16">
        <v>3.1268000667493849</v>
      </c>
      <c r="AB207" s="67">
        <v>3.4602427934162843</v>
      </c>
      <c r="AC207" s="3"/>
    </row>
    <row r="208" spans="2:29" x14ac:dyDescent="0.3">
      <c r="B208" s="66" t="s">
        <v>340</v>
      </c>
      <c r="C208" s="16">
        <v>5.2549762777473896</v>
      </c>
      <c r="D208" s="16">
        <v>5.4753541174684779</v>
      </c>
      <c r="E208" s="16">
        <v>5.8598317769555415</v>
      </c>
      <c r="F208" s="16">
        <v>6.1583130153867121</v>
      </c>
      <c r="G208" s="16">
        <v>5.4822048792117553</v>
      </c>
      <c r="H208" s="16">
        <v>5.1207016155187475</v>
      </c>
      <c r="I208" s="16">
        <v>3.9153464821543076</v>
      </c>
      <c r="J208" s="16">
        <v>3.7366108687738251</v>
      </c>
      <c r="K208" s="16">
        <v>5.2760427424581051</v>
      </c>
      <c r="L208" s="16">
        <v>7.8337165589368603</v>
      </c>
      <c r="M208" s="16">
        <v>7.4414067453721628</v>
      </c>
      <c r="N208" s="16">
        <v>7.1877512894347326</v>
      </c>
      <c r="O208" s="16">
        <v>6.6672583333277302</v>
      </c>
      <c r="P208" s="16">
        <v>5.8539492283124872</v>
      </c>
      <c r="Q208" s="16">
        <v>4.1785301993348396</v>
      </c>
      <c r="R208" s="16">
        <v>3.8918445236744272</v>
      </c>
      <c r="S208" s="16">
        <v>3.9976886339106272</v>
      </c>
      <c r="T208" s="16">
        <v>3.4473758234088225</v>
      </c>
      <c r="U208" s="16">
        <v>3.4880995507354076</v>
      </c>
      <c r="V208" s="16">
        <v>3.4392029655856873</v>
      </c>
      <c r="W208" s="16">
        <v>5.2782160438677721</v>
      </c>
      <c r="X208" s="16">
        <v>3.5259907663813523</v>
      </c>
      <c r="Y208" s="16">
        <v>3.0642261289245853</v>
      </c>
      <c r="Z208" s="16">
        <v>3.0941427833845703</v>
      </c>
      <c r="AA208" s="16">
        <v>3.5860899797464652</v>
      </c>
      <c r="AB208" s="67">
        <v>3.6044778577105632</v>
      </c>
      <c r="AC208" s="3"/>
    </row>
    <row r="209" spans="2:29" x14ac:dyDescent="0.3">
      <c r="B209" s="66" t="s">
        <v>341</v>
      </c>
      <c r="C209" s="16">
        <v>3.3529956893852626</v>
      </c>
      <c r="D209" s="16">
        <v>3.8915356220007999</v>
      </c>
      <c r="E209" s="16">
        <v>4.4465987468629899</v>
      </c>
      <c r="F209" s="16">
        <v>5.1241651377825628</v>
      </c>
      <c r="G209" s="16">
        <v>4.5371397073526651</v>
      </c>
      <c r="H209" s="16">
        <v>4.9754692407193879</v>
      </c>
      <c r="I209" s="16">
        <v>4.7561193851809698</v>
      </c>
      <c r="J209" s="16">
        <v>4.6360666943047155</v>
      </c>
      <c r="K209" s="16">
        <v>5.4400317625216825</v>
      </c>
      <c r="L209" s="16">
        <v>8.639632296272147</v>
      </c>
      <c r="M209" s="16">
        <v>8.8196998375975966</v>
      </c>
      <c r="N209" s="16">
        <v>7.9708892859164973</v>
      </c>
      <c r="O209" s="16">
        <v>7.4732096873903817</v>
      </c>
      <c r="P209" s="16">
        <v>6.7028047950315601</v>
      </c>
      <c r="Q209" s="16">
        <v>5.3821263997032727</v>
      </c>
      <c r="R209" s="16">
        <v>4.1818848929571306</v>
      </c>
      <c r="S209" s="16">
        <v>3.5737217648862325</v>
      </c>
      <c r="T209" s="16">
        <v>3.2071264934050827</v>
      </c>
      <c r="U209" s="16">
        <v>3.0961612659375248</v>
      </c>
      <c r="V209" s="16">
        <v>2.8347251060962275</v>
      </c>
      <c r="W209" s="16">
        <v>5.0416050411025921</v>
      </c>
      <c r="X209" s="16">
        <v>4.9974300945238355</v>
      </c>
      <c r="Y209" s="16">
        <v>2.8958002292958098</v>
      </c>
      <c r="Z209" s="16">
        <v>2.7216772230389972</v>
      </c>
      <c r="AA209" s="16">
        <v>3.1737545120057149</v>
      </c>
      <c r="AB209" s="67">
        <v>3.484499699673576</v>
      </c>
      <c r="AC209" s="3"/>
    </row>
    <row r="210" spans="2:29" x14ac:dyDescent="0.3">
      <c r="B210" s="66" t="s">
        <v>540</v>
      </c>
      <c r="C210" s="16">
        <v>3.1380701040585826</v>
      </c>
      <c r="D210" s="16">
        <v>3.3602344012567444</v>
      </c>
      <c r="E210" s="16">
        <v>3.5697951950482079</v>
      </c>
      <c r="F210" s="16">
        <v>3.4905057881519226</v>
      </c>
      <c r="G210" s="16">
        <v>3.4523585863169153</v>
      </c>
      <c r="H210" s="16">
        <v>3.4901513355146223</v>
      </c>
      <c r="I210" s="16">
        <v>3.2576568943970052</v>
      </c>
      <c r="J210" s="16">
        <v>2.8614930206587874</v>
      </c>
      <c r="K210" s="16">
        <v>3.60664370243195</v>
      </c>
      <c r="L210" s="16">
        <v>5.8118935166416303</v>
      </c>
      <c r="M210" s="16">
        <v>6.7852403343767298</v>
      </c>
      <c r="N210" s="16">
        <v>6.4461391270060204</v>
      </c>
      <c r="O210" s="16">
        <v>6.1644349082075802</v>
      </c>
      <c r="P210" s="16">
        <v>5.929697865691713</v>
      </c>
      <c r="Q210" s="16">
        <v>5.2780039019272031</v>
      </c>
      <c r="R210" s="16">
        <v>4.6806331523361022</v>
      </c>
      <c r="S210" s="16">
        <v>3.8284180079161554</v>
      </c>
      <c r="T210" s="16">
        <v>3.6720775780895525</v>
      </c>
      <c r="U210" s="16">
        <v>3.5724641922611027</v>
      </c>
      <c r="V210" s="16">
        <v>3.0801734330188402</v>
      </c>
      <c r="W210" s="16">
        <v>4.8454286638000053</v>
      </c>
      <c r="X210" s="16">
        <v>4.0926143966789121</v>
      </c>
      <c r="Y210" s="16">
        <v>2.7870273407297397</v>
      </c>
      <c r="Z210" s="16">
        <v>1.9955903560146524</v>
      </c>
      <c r="AA210" s="16">
        <v>2.6736645491007254</v>
      </c>
      <c r="AB210" s="67">
        <v>2.7723418553310935</v>
      </c>
      <c r="AC210" s="3"/>
    </row>
    <row r="211" spans="2:29" x14ac:dyDescent="0.3">
      <c r="B211" s="66" t="s">
        <v>342</v>
      </c>
      <c r="C211" s="16">
        <v>3.0000248283121698</v>
      </c>
      <c r="D211" s="16">
        <v>3.9005183809699351</v>
      </c>
      <c r="E211" s="16">
        <v>4.4969750416976026</v>
      </c>
      <c r="F211" s="16">
        <v>4.7724007960032271</v>
      </c>
      <c r="G211" s="16">
        <v>4.3138258015471225</v>
      </c>
      <c r="H211" s="16">
        <v>4.5872126219702203</v>
      </c>
      <c r="I211" s="16">
        <v>4.53261804079097</v>
      </c>
      <c r="J211" s="16">
        <v>4.1291081633559221</v>
      </c>
      <c r="K211" s="16">
        <v>5.2084365858164068</v>
      </c>
      <c r="L211" s="16">
        <v>8.6508118440563582</v>
      </c>
      <c r="M211" s="16">
        <v>7.9994407327468595</v>
      </c>
      <c r="N211" s="16">
        <v>7.2755429055992327</v>
      </c>
      <c r="O211" s="16">
        <v>6.1982800138837524</v>
      </c>
      <c r="P211" s="16">
        <v>5.9698695582423298</v>
      </c>
      <c r="Q211" s="16">
        <v>4.9224660992785445</v>
      </c>
      <c r="R211" s="16">
        <v>3.9479860759934846</v>
      </c>
      <c r="S211" s="16">
        <v>3.7707932456636675</v>
      </c>
      <c r="T211" s="16">
        <v>3.7065960137263998</v>
      </c>
      <c r="U211" s="16">
        <v>3.3892030290457074</v>
      </c>
      <c r="V211" s="16">
        <v>3.3082044675761595</v>
      </c>
      <c r="W211" s="16">
        <v>5.7616965489164498</v>
      </c>
      <c r="X211" s="16">
        <v>3.7718911024880102</v>
      </c>
      <c r="Y211" s="16">
        <v>3.2753316133307826</v>
      </c>
      <c r="Z211" s="16">
        <v>3.5539405242415776</v>
      </c>
      <c r="AA211" s="16">
        <v>4.2377909533932199</v>
      </c>
      <c r="AB211" s="67">
        <v>4.2044706342795006</v>
      </c>
      <c r="AC211" s="3"/>
    </row>
    <row r="212" spans="2:29" x14ac:dyDescent="0.3">
      <c r="B212" s="66" t="s">
        <v>102</v>
      </c>
      <c r="C212" s="16">
        <v>4.7334642370971975</v>
      </c>
      <c r="D212" s="16">
        <v>5.2429615525804234</v>
      </c>
      <c r="E212" s="16">
        <v>6.645792186555485</v>
      </c>
      <c r="F212" s="16">
        <v>6.9924976464823576</v>
      </c>
      <c r="G212" s="16">
        <v>6.7750844633800682</v>
      </c>
      <c r="H212" s="16">
        <v>6.2559357454504321</v>
      </c>
      <c r="I212" s="16">
        <v>6.1316380646911375</v>
      </c>
      <c r="J212" s="16">
        <v>6.3183960258010679</v>
      </c>
      <c r="K212" s="16">
        <v>7.547741818677375</v>
      </c>
      <c r="L212" s="16">
        <v>11.43070562190705</v>
      </c>
      <c r="M212" s="16">
        <v>10.4791509453934</v>
      </c>
      <c r="N212" s="16">
        <v>9.451547027440153</v>
      </c>
      <c r="O212" s="16">
        <v>7.7366042597177076</v>
      </c>
      <c r="P212" s="16">
        <v>7.7590830336793175</v>
      </c>
      <c r="Q212" s="16">
        <v>5.819829262436798</v>
      </c>
      <c r="R212" s="16">
        <v>4.9035354681351402</v>
      </c>
      <c r="S212" s="16">
        <v>4.9990123818145831</v>
      </c>
      <c r="T212" s="16">
        <v>4.8964726435536203</v>
      </c>
      <c r="U212" s="16">
        <v>4.4038580438833499</v>
      </c>
      <c r="V212" s="16">
        <v>4.0154207453288473</v>
      </c>
      <c r="W212" s="16">
        <v>8.5437940024956589</v>
      </c>
      <c r="X212" s="16">
        <v>5.8872507672815928</v>
      </c>
      <c r="Y212" s="16">
        <v>4.1517057207114849</v>
      </c>
      <c r="Z212" s="16">
        <v>3.8305394092696474</v>
      </c>
      <c r="AA212" s="16">
        <v>4.3594834362448651</v>
      </c>
      <c r="AB212" s="67">
        <v>4.9204371894050771</v>
      </c>
      <c r="AC212" s="3"/>
    </row>
    <row r="213" spans="2:29" x14ac:dyDescent="0.3">
      <c r="B213" s="66" t="s">
        <v>103</v>
      </c>
      <c r="C213" s="16">
        <v>2.370345225877855</v>
      </c>
      <c r="D213" s="16">
        <v>2.7005417889025898</v>
      </c>
      <c r="E213" s="16">
        <v>3.19440671042087</v>
      </c>
      <c r="F213" s="16">
        <v>3.5981847146361701</v>
      </c>
      <c r="G213" s="16">
        <v>3.4369111181460901</v>
      </c>
      <c r="H213" s="16">
        <v>3.4825671193356702</v>
      </c>
      <c r="I213" s="16">
        <v>2.7915607297226774</v>
      </c>
      <c r="J213" s="16">
        <v>2.7619743702356749</v>
      </c>
      <c r="K213" s="16">
        <v>2.98983126076436</v>
      </c>
      <c r="L213" s="16">
        <v>4.2942849924756299</v>
      </c>
      <c r="M213" s="16">
        <v>4.2159237336841873</v>
      </c>
      <c r="N213" s="16">
        <v>3.9585737400702303</v>
      </c>
      <c r="O213" s="16">
        <v>3.5162202544435823</v>
      </c>
      <c r="P213" s="16">
        <v>3.4277744285014826</v>
      </c>
      <c r="Q213" s="16">
        <v>2.9457886533023649</v>
      </c>
      <c r="R213" s="16">
        <v>2.6340334788436799</v>
      </c>
      <c r="S213" s="16">
        <v>2.8029457972175802</v>
      </c>
      <c r="T213" s="16">
        <v>2.6451910084549972</v>
      </c>
      <c r="U213" s="16">
        <v>2.6363867502053777</v>
      </c>
      <c r="V213" s="16">
        <v>2.8002504186107853</v>
      </c>
      <c r="W213" s="16">
        <v>4.2398868083166228</v>
      </c>
      <c r="X213" s="16">
        <v>2.5276661517690102</v>
      </c>
      <c r="Y213" s="16">
        <v>2.0144844539987403</v>
      </c>
      <c r="Z213" s="16">
        <v>2.1426458171061724</v>
      </c>
      <c r="AA213" s="16">
        <v>2.5256546300900427</v>
      </c>
      <c r="AB213" s="67">
        <v>2.76733520457549</v>
      </c>
      <c r="AC213" s="3"/>
    </row>
    <row r="214" spans="2:29" x14ac:dyDescent="0.3">
      <c r="B214" s="66" t="s">
        <v>343</v>
      </c>
      <c r="C214" s="16">
        <v>3.5952257984234426</v>
      </c>
      <c r="D214" s="16">
        <v>4.1122290321392274</v>
      </c>
      <c r="E214" s="16">
        <v>4.7368671500800792</v>
      </c>
      <c r="F214" s="16">
        <v>5.1043139737841203</v>
      </c>
      <c r="G214" s="16">
        <v>4.9484371798827347</v>
      </c>
      <c r="H214" s="16">
        <v>4.6964643048714896</v>
      </c>
      <c r="I214" s="16">
        <v>4.6769212830627218</v>
      </c>
      <c r="J214" s="16">
        <v>4.6333903201105402</v>
      </c>
      <c r="K214" s="16">
        <v>4.6629471589010176</v>
      </c>
      <c r="L214" s="16">
        <v>6.5827708041099395</v>
      </c>
      <c r="M214" s="16">
        <v>6.8343772031555803</v>
      </c>
      <c r="N214" s="16">
        <v>6.8755220461080881</v>
      </c>
      <c r="O214" s="16">
        <v>6.3975840064490495</v>
      </c>
      <c r="P214" s="16">
        <v>6.2216216764065475</v>
      </c>
      <c r="Q214" s="16">
        <v>5.2684818947792369</v>
      </c>
      <c r="R214" s="16">
        <v>4.4157486564751895</v>
      </c>
      <c r="S214" s="16">
        <v>3.4916452583379627</v>
      </c>
      <c r="T214" s="16">
        <v>3.3242635355372023</v>
      </c>
      <c r="U214" s="16">
        <v>3.282486839304295</v>
      </c>
      <c r="V214" s="16">
        <v>3.1493677289180426</v>
      </c>
      <c r="W214" s="16">
        <v>6.4737309143809849</v>
      </c>
      <c r="X214" s="16">
        <v>4.116369229179357</v>
      </c>
      <c r="Y214" s="16">
        <v>3.0211822933405497</v>
      </c>
      <c r="Z214" s="16">
        <v>2.9048121976904802</v>
      </c>
      <c r="AA214" s="16">
        <v>3.2385591610672875</v>
      </c>
      <c r="AB214" s="67">
        <v>3.4631728773332822</v>
      </c>
      <c r="AC214" s="3"/>
    </row>
    <row r="215" spans="2:29" x14ac:dyDescent="0.3">
      <c r="B215" s="66" t="s">
        <v>344</v>
      </c>
      <c r="C215" s="16">
        <v>2.8163418882303271</v>
      </c>
      <c r="D215" s="16">
        <v>3.4600701509132952</v>
      </c>
      <c r="E215" s="16">
        <v>4.1520567439843905</v>
      </c>
      <c r="F215" s="16">
        <v>3.9240272919777799</v>
      </c>
      <c r="G215" s="16">
        <v>3.6805233617157</v>
      </c>
      <c r="H215" s="16">
        <v>3.2084406739662801</v>
      </c>
      <c r="I215" s="16">
        <v>2.2326374894248278</v>
      </c>
      <c r="J215" s="16">
        <v>2.0386252009735051</v>
      </c>
      <c r="K215" s="16">
        <v>2.6371120168509901</v>
      </c>
      <c r="L215" s="16">
        <v>5.7053160458099033</v>
      </c>
      <c r="M215" s="16">
        <v>6.3237326784300523</v>
      </c>
      <c r="N215" s="16">
        <v>5.6241475485507308</v>
      </c>
      <c r="O215" s="16">
        <v>4.0245719494998919</v>
      </c>
      <c r="P215" s="16">
        <v>3.7290529454035202</v>
      </c>
      <c r="Q215" s="16">
        <v>3.0329998691220998</v>
      </c>
      <c r="R215" s="16">
        <v>2.9763972954970201</v>
      </c>
      <c r="S215" s="16">
        <v>2.9517920294696571</v>
      </c>
      <c r="T215" s="16">
        <v>2.63249918311049</v>
      </c>
      <c r="U215" s="16">
        <v>2.4762429805857376</v>
      </c>
      <c r="V215" s="16">
        <v>2.1247964360023324</v>
      </c>
      <c r="W215" s="16">
        <v>3.0853824025797776</v>
      </c>
      <c r="X215" s="16">
        <v>2.1108695718463473</v>
      </c>
      <c r="Y215" s="16">
        <v>2.1208500403223525</v>
      </c>
      <c r="Z215" s="16">
        <v>2.4181518991180626</v>
      </c>
      <c r="AA215" s="16">
        <v>2.8213720916516571</v>
      </c>
      <c r="AB215" s="67">
        <v>2.8537699441849398</v>
      </c>
      <c r="AC215" s="3"/>
    </row>
    <row r="216" spans="2:29" x14ac:dyDescent="0.3">
      <c r="B216" s="66" t="s">
        <v>104</v>
      </c>
      <c r="C216" s="16">
        <v>5.209142644287545</v>
      </c>
      <c r="D216" s="16">
        <v>5.3642371574379553</v>
      </c>
      <c r="E216" s="16">
        <v>6.7685417817550295</v>
      </c>
      <c r="F216" s="16">
        <v>6.8828815218589963</v>
      </c>
      <c r="G216" s="16">
        <v>5.786519375933592</v>
      </c>
      <c r="H216" s="16">
        <v>5.1849603913920603</v>
      </c>
      <c r="I216" s="16">
        <v>4.7498355286558747</v>
      </c>
      <c r="J216" s="16">
        <v>4.0609800594106824</v>
      </c>
      <c r="K216" s="16">
        <v>4.2382339414941672</v>
      </c>
      <c r="L216" s="16">
        <v>7.5504598689154792</v>
      </c>
      <c r="M216" s="16">
        <v>8.4804355518271741</v>
      </c>
      <c r="N216" s="16">
        <v>7.8532652258681575</v>
      </c>
      <c r="O216" s="16">
        <v>6.5420864872388371</v>
      </c>
      <c r="P216" s="16">
        <v>6.3245644183411152</v>
      </c>
      <c r="Q216" s="16">
        <v>5.1330327194700569</v>
      </c>
      <c r="R216" s="16">
        <v>5.0543886095710553</v>
      </c>
      <c r="S216" s="16">
        <v>6.148916515047655</v>
      </c>
      <c r="T216" s="16">
        <v>5.2643426272678546</v>
      </c>
      <c r="U216" s="16">
        <v>4.2556897899853272</v>
      </c>
      <c r="V216" s="16">
        <v>3.7943949085675448</v>
      </c>
      <c r="W216" s="16">
        <v>8.0221097658109741</v>
      </c>
      <c r="X216" s="16">
        <v>6.3238853609419543</v>
      </c>
      <c r="Y216" s="16">
        <v>4.3435430483370521</v>
      </c>
      <c r="Z216" s="16">
        <v>4.3489878987236423</v>
      </c>
      <c r="AA216" s="16">
        <v>4.7183501092612747</v>
      </c>
      <c r="AB216" s="67">
        <v>4.6170400296750067</v>
      </c>
      <c r="AC216" s="3"/>
    </row>
    <row r="217" spans="2:29" x14ac:dyDescent="0.3">
      <c r="B217" s="66" t="s">
        <v>493</v>
      </c>
      <c r="C217" s="16">
        <v>6.8257135691773554</v>
      </c>
      <c r="D217" s="16">
        <v>9.4511552618891983</v>
      </c>
      <c r="E217" s="16">
        <v>10.399996782662374</v>
      </c>
      <c r="F217" s="16">
        <v>10.086866678195161</v>
      </c>
      <c r="G217" s="16">
        <v>8.7703558774513155</v>
      </c>
      <c r="H217" s="16">
        <v>7.867538568249195</v>
      </c>
      <c r="I217" s="16">
        <v>7.2711386747985074</v>
      </c>
      <c r="J217" s="16">
        <v>7.1860213895451892</v>
      </c>
      <c r="K217" s="16">
        <v>8.6333051811663584</v>
      </c>
      <c r="L217" s="16">
        <v>13.157796328292026</v>
      </c>
      <c r="M217" s="16">
        <v>12.068982146371626</v>
      </c>
      <c r="N217" s="16">
        <v>11.711317429298401</v>
      </c>
      <c r="O217" s="16">
        <v>11.018120351594751</v>
      </c>
      <c r="P217" s="16">
        <v>9.422627099649528</v>
      </c>
      <c r="Q217" s="16">
        <v>7.8448336737221895</v>
      </c>
      <c r="R217" s="16">
        <v>7.7707211514628396</v>
      </c>
      <c r="S217" s="16">
        <v>7.1723772562332879</v>
      </c>
      <c r="T217" s="16">
        <v>6.0730193117303273</v>
      </c>
      <c r="U217" s="16">
        <v>6.1164384891406005</v>
      </c>
      <c r="V217" s="16">
        <v>6.1766216887643903</v>
      </c>
      <c r="W217" s="16">
        <v>9.0585692320799769</v>
      </c>
      <c r="X217" s="16">
        <v>5.9736908784695348</v>
      </c>
      <c r="Y217" s="16">
        <v>4.8407845892891395</v>
      </c>
      <c r="Z217" s="16">
        <v>4.8153812398786124</v>
      </c>
      <c r="AA217" s="16">
        <v>5.275986702912558</v>
      </c>
      <c r="AB217" s="67">
        <v>5.1501556041633547</v>
      </c>
      <c r="AC217" s="3"/>
    </row>
    <row r="218" spans="2:29" x14ac:dyDescent="0.3">
      <c r="B218" s="66" t="s">
        <v>345</v>
      </c>
      <c r="C218" s="16">
        <v>4.9568616528351024</v>
      </c>
      <c r="D218" s="16">
        <v>5.2805466160975199</v>
      </c>
      <c r="E218" s="16">
        <v>6.3979342319620951</v>
      </c>
      <c r="F218" s="16">
        <v>6.476053440019955</v>
      </c>
      <c r="G218" s="16">
        <v>5.9459841561596756</v>
      </c>
      <c r="H218" s="16">
        <v>4.9185263293921428</v>
      </c>
      <c r="I218" s="16">
        <v>4.4184458756517371</v>
      </c>
      <c r="J218" s="16">
        <v>4.761896839323172</v>
      </c>
      <c r="K218" s="16">
        <v>6.9881330217104329</v>
      </c>
      <c r="L218" s="16">
        <v>10.99815081649972</v>
      </c>
      <c r="M218" s="16">
        <v>11.916235690825049</v>
      </c>
      <c r="N218" s="16">
        <v>11.500232185290251</v>
      </c>
      <c r="O218" s="16">
        <v>10.178687681350235</v>
      </c>
      <c r="P218" s="16">
        <v>9.0614882443851794</v>
      </c>
      <c r="Q218" s="16">
        <v>7.6030935213633146</v>
      </c>
      <c r="R218" s="16">
        <v>6.1433955595510197</v>
      </c>
      <c r="S218" s="16">
        <v>5.0008119829927722</v>
      </c>
      <c r="T218" s="16">
        <v>4.4799665210544806</v>
      </c>
      <c r="U218" s="16">
        <v>4.2413975220708471</v>
      </c>
      <c r="V218" s="16">
        <v>4.0885831742340475</v>
      </c>
      <c r="W218" s="16">
        <v>11.519868706280068</v>
      </c>
      <c r="X218" s="16">
        <v>8.2584753357506493</v>
      </c>
      <c r="Y218" s="16">
        <v>4.53645941597029</v>
      </c>
      <c r="Z218" s="16">
        <v>4.6760075222964153</v>
      </c>
      <c r="AA218" s="16">
        <v>5.3573409957002749</v>
      </c>
      <c r="AB218" s="67">
        <v>5.4480904746066487</v>
      </c>
      <c r="AC218" s="3"/>
    </row>
    <row r="219" spans="2:29" x14ac:dyDescent="0.3">
      <c r="B219" s="66" t="s">
        <v>346</v>
      </c>
      <c r="C219" s="16">
        <v>3.5647512194606228</v>
      </c>
      <c r="D219" s="16">
        <v>4.5258915839786225</v>
      </c>
      <c r="E219" s="16">
        <v>5.4288933843003253</v>
      </c>
      <c r="F219" s="16">
        <v>5.692397535645453</v>
      </c>
      <c r="G219" s="16">
        <v>5.3114042671837272</v>
      </c>
      <c r="H219" s="16">
        <v>5.7339214850394953</v>
      </c>
      <c r="I219" s="16">
        <v>5.567268822344305</v>
      </c>
      <c r="J219" s="16">
        <v>5.0934168986085204</v>
      </c>
      <c r="K219" s="16">
        <v>6.2960068568798446</v>
      </c>
      <c r="L219" s="16">
        <v>10.18725599435348</v>
      </c>
      <c r="M219" s="16">
        <v>9.9003449979867373</v>
      </c>
      <c r="N219" s="16">
        <v>9.1859505215138313</v>
      </c>
      <c r="O219" s="16">
        <v>7.801098663128549</v>
      </c>
      <c r="P219" s="16">
        <v>7.1693222471856473</v>
      </c>
      <c r="Q219" s="16">
        <v>5.7826374730599923</v>
      </c>
      <c r="R219" s="16">
        <v>4.6199822875860246</v>
      </c>
      <c r="S219" s="16">
        <v>4.3114004557935397</v>
      </c>
      <c r="T219" s="16">
        <v>4.0935686255529466</v>
      </c>
      <c r="U219" s="16">
        <v>3.8337512207007149</v>
      </c>
      <c r="V219" s="16">
        <v>3.7318233231327951</v>
      </c>
      <c r="W219" s="16">
        <v>6.6161409882829876</v>
      </c>
      <c r="X219" s="16">
        <v>4.2430801912998017</v>
      </c>
      <c r="Y219" s="16">
        <v>3.6788830412646201</v>
      </c>
      <c r="Z219" s="16">
        <v>3.8200228461497723</v>
      </c>
      <c r="AA219" s="16">
        <v>4.5216923805186502</v>
      </c>
      <c r="AB219" s="67">
        <v>4.5587626746405006</v>
      </c>
      <c r="AC219" s="3"/>
    </row>
    <row r="220" spans="2:29" x14ac:dyDescent="0.3">
      <c r="B220" s="66" t="s">
        <v>105</v>
      </c>
      <c r="C220" s="16">
        <v>3.6917552830580478</v>
      </c>
      <c r="D220" s="16">
        <v>3.73224055174602</v>
      </c>
      <c r="E220" s="16">
        <v>4.4995409161178905</v>
      </c>
      <c r="F220" s="16">
        <v>5.003743328906233</v>
      </c>
      <c r="G220" s="16">
        <v>4.6181595358649155</v>
      </c>
      <c r="H220" s="16">
        <v>4.2243181887688106</v>
      </c>
      <c r="I220" s="16">
        <v>4.0884376658730996</v>
      </c>
      <c r="J220" s="16">
        <v>3.6599220996912023</v>
      </c>
      <c r="K220" s="16">
        <v>3.78096527657849</v>
      </c>
      <c r="L220" s="16">
        <v>5.5248481410245525</v>
      </c>
      <c r="M220" s="16">
        <v>6.4253812353382846</v>
      </c>
      <c r="N220" s="16">
        <v>6.3407630762503047</v>
      </c>
      <c r="O220" s="16">
        <v>5.3782653940021499</v>
      </c>
      <c r="P220" s="16">
        <v>5.015193983898115</v>
      </c>
      <c r="Q220" s="16">
        <v>4.0095110900421425</v>
      </c>
      <c r="R220" s="16">
        <v>3.50509471754919</v>
      </c>
      <c r="S220" s="16">
        <v>3.6252529765850725</v>
      </c>
      <c r="T220" s="16">
        <v>3.3736411298502897</v>
      </c>
      <c r="U220" s="16">
        <v>3.2070889985145401</v>
      </c>
      <c r="V220" s="16">
        <v>2.9260425080863324</v>
      </c>
      <c r="W220" s="16">
        <v>6.1212790474342578</v>
      </c>
      <c r="X220" s="16">
        <v>4.7826340290926552</v>
      </c>
      <c r="Y220" s="16">
        <v>3.4965055341387621</v>
      </c>
      <c r="Z220" s="16">
        <v>3.4214269824143946</v>
      </c>
      <c r="AA220" s="16">
        <v>3.5077652023577728</v>
      </c>
      <c r="AB220" s="67">
        <v>3.4943725622954829</v>
      </c>
      <c r="AC220" s="3"/>
    </row>
    <row r="221" spans="2:29" x14ac:dyDescent="0.3">
      <c r="B221" s="66" t="s">
        <v>106</v>
      </c>
      <c r="C221" s="16">
        <v>2.2367485928791648</v>
      </c>
      <c r="D221" s="16">
        <v>3.8013460612788803</v>
      </c>
      <c r="E221" s="16">
        <v>5.3900608868056352</v>
      </c>
      <c r="F221" s="16">
        <v>4.9432114172832398</v>
      </c>
      <c r="G221" s="16">
        <v>4.3998894758377327</v>
      </c>
      <c r="H221" s="16">
        <v>3.9594882142221199</v>
      </c>
      <c r="I221" s="16">
        <v>3.2984131077549623</v>
      </c>
      <c r="J221" s="16">
        <v>3.4607874717664902</v>
      </c>
      <c r="K221" s="16">
        <v>4.2928784661967718</v>
      </c>
      <c r="L221" s="16">
        <v>7.5287926316053131</v>
      </c>
      <c r="M221" s="16">
        <v>7.4510744058126299</v>
      </c>
      <c r="N221" s="16">
        <v>6.9288979109282627</v>
      </c>
      <c r="O221" s="16">
        <v>6.4214700015319579</v>
      </c>
      <c r="P221" s="16">
        <v>6.0441832852513979</v>
      </c>
      <c r="Q221" s="16">
        <v>5.4302217761781906</v>
      </c>
      <c r="R221" s="16">
        <v>4.8057223308266996</v>
      </c>
      <c r="S221" s="16">
        <v>4.3236386003190423</v>
      </c>
      <c r="T221" s="16">
        <v>4.0195763921836392</v>
      </c>
      <c r="U221" s="16">
        <v>3.3134701584361501</v>
      </c>
      <c r="V221" s="16">
        <v>3.0216306126818773</v>
      </c>
      <c r="W221" s="16">
        <v>6.0022794321489021</v>
      </c>
      <c r="X221" s="16">
        <v>3.7860058053519601</v>
      </c>
      <c r="Y221" s="16">
        <v>2.9282627433006074</v>
      </c>
      <c r="Z221" s="16">
        <v>3.06785008873603</v>
      </c>
      <c r="AA221" s="16">
        <v>3.2334473505824404</v>
      </c>
      <c r="AB221" s="67">
        <v>3.5362499837330268</v>
      </c>
      <c r="AC221" s="3"/>
    </row>
    <row r="222" spans="2:29" x14ac:dyDescent="0.3">
      <c r="B222" s="66" t="s">
        <v>494</v>
      </c>
      <c r="C222" s="16">
        <v>4.1618172910027829</v>
      </c>
      <c r="D222" s="16">
        <v>4.2096620242095781</v>
      </c>
      <c r="E222" s="16">
        <v>4.9232734949274306</v>
      </c>
      <c r="F222" s="16">
        <v>4.6438265963923033</v>
      </c>
      <c r="G222" s="16">
        <v>4.8716107191611648</v>
      </c>
      <c r="H222" s="16">
        <v>5.5601237733932418</v>
      </c>
      <c r="I222" s="16">
        <v>5.4051062218494099</v>
      </c>
      <c r="J222" s="16">
        <v>4.9667785643076998</v>
      </c>
      <c r="K222" s="16">
        <v>6.4430040073732195</v>
      </c>
      <c r="L222" s="16">
        <v>9.5527241683464474</v>
      </c>
      <c r="M222" s="16">
        <v>11.165262469527026</v>
      </c>
      <c r="N222" s="16">
        <v>10.86504932536295</v>
      </c>
      <c r="O222" s="16">
        <v>9.9729775014002158</v>
      </c>
      <c r="P222" s="16">
        <v>8.910110391305663</v>
      </c>
      <c r="Q222" s="16">
        <v>7.7642746884350862</v>
      </c>
      <c r="R222" s="16">
        <v>6.5363896664561842</v>
      </c>
      <c r="S222" s="16">
        <v>6.0539287594844478</v>
      </c>
      <c r="T222" s="16">
        <v>5.3606689187676757</v>
      </c>
      <c r="U222" s="16">
        <v>4.5129591224055972</v>
      </c>
      <c r="V222" s="16">
        <v>4.0759607967515752</v>
      </c>
      <c r="W222" s="16">
        <v>6.8810352981365117</v>
      </c>
      <c r="X222" s="16">
        <v>4.6240444687004025</v>
      </c>
      <c r="Y222" s="16">
        <v>3.6858457281064627</v>
      </c>
      <c r="Z222" s="16">
        <v>3.822595295595125</v>
      </c>
      <c r="AA222" s="16">
        <v>4.2137608514433671</v>
      </c>
      <c r="AB222" s="67">
        <v>4.149994921598819</v>
      </c>
      <c r="AC222" s="3"/>
    </row>
    <row r="223" spans="2:29" x14ac:dyDescent="0.3">
      <c r="B223" s="66" t="s">
        <v>107</v>
      </c>
      <c r="C223" s="16">
        <v>2.4896024793963853</v>
      </c>
      <c r="D223" s="16">
        <v>3.0229481952946275</v>
      </c>
      <c r="E223" s="16">
        <v>3.6694908411024474</v>
      </c>
      <c r="F223" s="16">
        <v>3.9302291857532126</v>
      </c>
      <c r="G223" s="16">
        <v>3.4314623346725948</v>
      </c>
      <c r="H223" s="16">
        <v>3.35975090871458</v>
      </c>
      <c r="I223" s="16">
        <v>3.4706748964309702</v>
      </c>
      <c r="J223" s="16">
        <v>3.6409879905548275</v>
      </c>
      <c r="K223" s="16">
        <v>3.7356833100214697</v>
      </c>
      <c r="L223" s="16">
        <v>6.4254955027821996</v>
      </c>
      <c r="M223" s="16">
        <v>6.1723573805311576</v>
      </c>
      <c r="N223" s="16">
        <v>5.559109702159085</v>
      </c>
      <c r="O223" s="16">
        <v>5.1476019874686081</v>
      </c>
      <c r="P223" s="16">
        <v>4.9221727455298376</v>
      </c>
      <c r="Q223" s="16">
        <v>3.898299730903557</v>
      </c>
      <c r="R223" s="16">
        <v>3.25866806410956</v>
      </c>
      <c r="S223" s="16">
        <v>2.9284780894448401</v>
      </c>
      <c r="T223" s="16">
        <v>2.4971618181986823</v>
      </c>
      <c r="U223" s="16">
        <v>2.3265136178369326</v>
      </c>
      <c r="V223" s="16">
        <v>2.4506451199765298</v>
      </c>
      <c r="W223" s="16">
        <v>5.1182184148972398</v>
      </c>
      <c r="X223" s="16">
        <v>2.9464897162303147</v>
      </c>
      <c r="Y223" s="16">
        <v>2.1818536229946552</v>
      </c>
      <c r="Z223" s="16">
        <v>2.1896801844541223</v>
      </c>
      <c r="AA223" s="16">
        <v>2.3570869546080377</v>
      </c>
      <c r="AB223" s="67">
        <v>2.5395490203216688</v>
      </c>
      <c r="AC223" s="3"/>
    </row>
    <row r="224" spans="2:29" x14ac:dyDescent="0.3">
      <c r="B224" s="66" t="s">
        <v>347</v>
      </c>
      <c r="C224" s="16">
        <v>2.5588615250506725</v>
      </c>
      <c r="D224" s="16">
        <v>3.4918085180753398</v>
      </c>
      <c r="E224" s="16">
        <v>4.7794926371656796</v>
      </c>
      <c r="F224" s="16">
        <v>4.6902347086577372</v>
      </c>
      <c r="G224" s="16">
        <v>3.9197545759375449</v>
      </c>
      <c r="H224" s="16">
        <v>3.7097649618081001</v>
      </c>
      <c r="I224" s="16">
        <v>3.6431032728924198</v>
      </c>
      <c r="J224" s="16">
        <v>3.5597444514389176</v>
      </c>
      <c r="K224" s="16">
        <v>3.7619381839945127</v>
      </c>
      <c r="L224" s="16">
        <v>6.2740037637774897</v>
      </c>
      <c r="M224" s="16">
        <v>6.3679394366230726</v>
      </c>
      <c r="N224" s="16">
        <v>5.7472579800955801</v>
      </c>
      <c r="O224" s="16">
        <v>5.7576133947312718</v>
      </c>
      <c r="P224" s="16">
        <v>5.5237750919856108</v>
      </c>
      <c r="Q224" s="16">
        <v>4.521212922152765</v>
      </c>
      <c r="R224" s="16">
        <v>3.6039358933863754</v>
      </c>
      <c r="S224" s="16">
        <v>3.0160215133239774</v>
      </c>
      <c r="T224" s="16">
        <v>2.9580914668015073</v>
      </c>
      <c r="U224" s="16">
        <v>2.7327681664586079</v>
      </c>
      <c r="V224" s="16">
        <v>2.6424015634029101</v>
      </c>
      <c r="W224" s="16">
        <v>7.0307882372867381</v>
      </c>
      <c r="X224" s="16">
        <v>3.5734973137969828</v>
      </c>
      <c r="Y224" s="16">
        <v>2.48539023905141</v>
      </c>
      <c r="Z224" s="16">
        <v>2.3569562963964423</v>
      </c>
      <c r="AA224" s="16">
        <v>2.7801764399131326</v>
      </c>
      <c r="AB224" s="67">
        <v>3.245262106086781</v>
      </c>
      <c r="AC224" s="3"/>
    </row>
    <row r="225" spans="2:29" x14ac:dyDescent="0.3">
      <c r="B225" s="66" t="s">
        <v>348</v>
      </c>
      <c r="C225" s="16">
        <v>3.4475967810413977</v>
      </c>
      <c r="D225" s="16">
        <v>3.9018047897134123</v>
      </c>
      <c r="E225" s="16">
        <v>4.2054087975967978</v>
      </c>
      <c r="F225" s="16">
        <v>4.2204421757942026</v>
      </c>
      <c r="G225" s="16">
        <v>4.5944943561450673</v>
      </c>
      <c r="H225" s="16">
        <v>4.2745269896308198</v>
      </c>
      <c r="I225" s="16">
        <v>3.7446567079198898</v>
      </c>
      <c r="J225" s="16">
        <v>3.4041487732275026</v>
      </c>
      <c r="K225" s="16">
        <v>3.7680432485831976</v>
      </c>
      <c r="L225" s="16">
        <v>5.4687890761656508</v>
      </c>
      <c r="M225" s="16">
        <v>5.86545752933392</v>
      </c>
      <c r="N225" s="16">
        <v>5.6682314317540001</v>
      </c>
      <c r="O225" s="16">
        <v>5.283267050195005</v>
      </c>
      <c r="P225" s="16">
        <v>5.2274521259719151</v>
      </c>
      <c r="Q225" s="16">
        <v>4.4561919390110027</v>
      </c>
      <c r="R225" s="16">
        <v>4.0122440187877526</v>
      </c>
      <c r="S225" s="16">
        <v>3.6470315558685975</v>
      </c>
      <c r="T225" s="16">
        <v>3.197309725810678</v>
      </c>
      <c r="U225" s="16">
        <v>2.9627931838910273</v>
      </c>
      <c r="V225" s="16">
        <v>2.8781706603880419</v>
      </c>
      <c r="W225" s="16">
        <v>4.7997412216445703</v>
      </c>
      <c r="X225" s="16">
        <v>2.9913363639414574</v>
      </c>
      <c r="Y225" s="16">
        <v>2.705289743635475</v>
      </c>
      <c r="Z225" s="16">
        <v>2.77928222251581</v>
      </c>
      <c r="AA225" s="16">
        <v>3.3522268403658275</v>
      </c>
      <c r="AB225" s="67">
        <v>3.6133248416989452</v>
      </c>
      <c r="AC225" s="3"/>
    </row>
    <row r="226" spans="2:29" x14ac:dyDescent="0.3">
      <c r="B226" s="66" t="s">
        <v>495</v>
      </c>
      <c r="C226" s="16">
        <v>2.7442350393691952</v>
      </c>
      <c r="D226" s="16">
        <v>2.9680086779074148</v>
      </c>
      <c r="E226" s="16">
        <v>3.486466070004405</v>
      </c>
      <c r="F226" s="16">
        <v>3.7916789689568624</v>
      </c>
      <c r="G226" s="16">
        <v>3.7755570159149849</v>
      </c>
      <c r="H226" s="16">
        <v>3.321016198480625</v>
      </c>
      <c r="I226" s="16">
        <v>3.2641826391522799</v>
      </c>
      <c r="J226" s="16">
        <v>3.7229807422471772</v>
      </c>
      <c r="K226" s="16">
        <v>4.3980162766049773</v>
      </c>
      <c r="L226" s="16">
        <v>6.315042129886117</v>
      </c>
      <c r="M226" s="16">
        <v>6.2706972334742748</v>
      </c>
      <c r="N226" s="16">
        <v>5.3654197517890072</v>
      </c>
      <c r="O226" s="16">
        <v>4.7706077997414695</v>
      </c>
      <c r="P226" s="16">
        <v>4.0686681351700571</v>
      </c>
      <c r="Q226" s="16">
        <v>3.3570505763631551</v>
      </c>
      <c r="R226" s="16">
        <v>2.906532910685605</v>
      </c>
      <c r="S226" s="16">
        <v>3.1671953495307905</v>
      </c>
      <c r="T226" s="16">
        <v>2.8604802056565051</v>
      </c>
      <c r="U226" s="16">
        <v>2.5621705281776324</v>
      </c>
      <c r="V226" s="16">
        <v>2.8181350433234327</v>
      </c>
      <c r="W226" s="16">
        <v>5.4295768703157048</v>
      </c>
      <c r="X226" s="16">
        <v>3.2749452767572125</v>
      </c>
      <c r="Y226" s="16">
        <v>2.0679518848402201</v>
      </c>
      <c r="Z226" s="16">
        <v>2.3477049116754554</v>
      </c>
      <c r="AA226" s="16">
        <v>2.6225796649653903</v>
      </c>
      <c r="AB226" s="67">
        <v>2.7239559809197149</v>
      </c>
      <c r="AC226" s="3"/>
    </row>
    <row r="227" spans="2:29" x14ac:dyDescent="0.3">
      <c r="B227" s="66" t="s">
        <v>108</v>
      </c>
      <c r="C227" s="16">
        <v>5.4565373977640199</v>
      </c>
      <c r="D227" s="16">
        <v>5.4202014535696179</v>
      </c>
      <c r="E227" s="16">
        <v>7.0100201313942723</v>
      </c>
      <c r="F227" s="16">
        <v>7.4944056178893277</v>
      </c>
      <c r="G227" s="16">
        <v>7.4753005388137472</v>
      </c>
      <c r="H227" s="16">
        <v>6.7510557208328397</v>
      </c>
      <c r="I227" s="16">
        <v>6.1108683037859075</v>
      </c>
      <c r="J227" s="16">
        <v>6.5006192643167555</v>
      </c>
      <c r="K227" s="16">
        <v>7.6047911434514504</v>
      </c>
      <c r="L227" s="16">
        <v>13.045608040134626</v>
      </c>
      <c r="M227" s="16">
        <v>11.888895983623675</v>
      </c>
      <c r="N227" s="16">
        <v>10.540556729050078</v>
      </c>
      <c r="O227" s="16">
        <v>8.7406224279328981</v>
      </c>
      <c r="P227" s="16">
        <v>8.5275689503125527</v>
      </c>
      <c r="Q227" s="16">
        <v>6.5654324024632</v>
      </c>
      <c r="R227" s="16">
        <v>5.63360962888998</v>
      </c>
      <c r="S227" s="16">
        <v>5.4691633717289871</v>
      </c>
      <c r="T227" s="16">
        <v>5.3177085108763809</v>
      </c>
      <c r="U227" s="16">
        <v>4.7926073247596275</v>
      </c>
      <c r="V227" s="16">
        <v>4.4656348039959095</v>
      </c>
      <c r="W227" s="16">
        <v>8.8420969634357522</v>
      </c>
      <c r="X227" s="16">
        <v>5.6464952159659996</v>
      </c>
      <c r="Y227" s="16">
        <v>4.4437006037771649</v>
      </c>
      <c r="Z227" s="16">
        <v>4.2555360101076722</v>
      </c>
      <c r="AA227" s="16">
        <v>4.9475297923956054</v>
      </c>
      <c r="AB227" s="67">
        <v>5.4338432661178615</v>
      </c>
      <c r="AC227" s="3"/>
    </row>
    <row r="228" spans="2:29" x14ac:dyDescent="0.3">
      <c r="B228" s="66" t="s">
        <v>349</v>
      </c>
      <c r="C228" s="16">
        <v>11.839741995747525</v>
      </c>
      <c r="D228" s="16">
        <v>13.4114938999216</v>
      </c>
      <c r="E228" s="16">
        <v>13.959581748880552</v>
      </c>
      <c r="F228" s="16">
        <v>13.459863111787149</v>
      </c>
      <c r="G228" s="16">
        <v>11.788150734567175</v>
      </c>
      <c r="H228" s="16">
        <v>12.567913947467101</v>
      </c>
      <c r="I228" s="16">
        <v>11.549790089582576</v>
      </c>
      <c r="J228" s="16">
        <v>11.956142735711975</v>
      </c>
      <c r="K228" s="16">
        <v>12.437593896551574</v>
      </c>
      <c r="L228" s="16">
        <v>16.216721003315573</v>
      </c>
      <c r="M228" s="16">
        <v>18.668700408617724</v>
      </c>
      <c r="N228" s="16">
        <v>18.654628977749848</v>
      </c>
      <c r="O228" s="16">
        <v>17.47794834047145</v>
      </c>
      <c r="P228" s="16">
        <v>20.145543111070527</v>
      </c>
      <c r="Q228" s="16">
        <v>17.731021993413151</v>
      </c>
      <c r="R228" s="16">
        <v>13.773942987071274</v>
      </c>
      <c r="S228" s="16">
        <v>14.6895326603175</v>
      </c>
      <c r="T228" s="16">
        <v>15.274197544946249</v>
      </c>
      <c r="U228" s="16">
        <v>12.117650080958624</v>
      </c>
      <c r="V228" s="16">
        <v>10.889798529628049</v>
      </c>
      <c r="W228" s="16">
        <v>9.1267002452110511</v>
      </c>
      <c r="X228" s="16">
        <v>9.5771455076781091</v>
      </c>
      <c r="Y228" s="16">
        <v>7.5071833038109324</v>
      </c>
      <c r="Z228" s="16">
        <v>7.3834027009338845</v>
      </c>
      <c r="AA228" s="16">
        <v>7.2659906912427399</v>
      </c>
      <c r="AB228" s="67">
        <v>8.1452496336302769</v>
      </c>
      <c r="AC228" s="3"/>
    </row>
    <row r="229" spans="2:29" x14ac:dyDescent="0.3">
      <c r="B229" s="66" t="s">
        <v>350</v>
      </c>
      <c r="C229" s="16">
        <v>9.2096757749004663</v>
      </c>
      <c r="D229" s="16">
        <v>9.5818127090778376</v>
      </c>
      <c r="E229" s="16">
        <v>10.475477968131926</v>
      </c>
      <c r="F229" s="16">
        <v>10.467304975535884</v>
      </c>
      <c r="G229" s="16">
        <v>9.1062770037857277</v>
      </c>
      <c r="H229" s="16">
        <v>8.0106791092236627</v>
      </c>
      <c r="I229" s="16">
        <v>7.4360030543313398</v>
      </c>
      <c r="J229" s="16">
        <v>6.5905063182069554</v>
      </c>
      <c r="K229" s="16">
        <v>7.1926158796928652</v>
      </c>
      <c r="L229" s="16">
        <v>10.515969253920037</v>
      </c>
      <c r="M229" s="16">
        <v>11.876572293074776</v>
      </c>
      <c r="N229" s="16">
        <v>11.993214246686525</v>
      </c>
      <c r="O229" s="16">
        <v>10.554833341132049</v>
      </c>
      <c r="P229" s="16">
        <v>10.431750095605599</v>
      </c>
      <c r="Q229" s="16">
        <v>8.874496410701795</v>
      </c>
      <c r="R229" s="16">
        <v>7.9729477551564631</v>
      </c>
      <c r="S229" s="16">
        <v>7.7685463969641795</v>
      </c>
      <c r="T229" s="16">
        <v>7.4259475518051277</v>
      </c>
      <c r="U229" s="16">
        <v>6.5613126793854395</v>
      </c>
      <c r="V229" s="16">
        <v>6.190228382138975</v>
      </c>
      <c r="W229" s="16">
        <v>11.541690211083143</v>
      </c>
      <c r="X229" s="16">
        <v>8.9479046559232795</v>
      </c>
      <c r="Y229" s="16">
        <v>6.4759991140977222</v>
      </c>
      <c r="Z229" s="16">
        <v>6.055821721542233</v>
      </c>
      <c r="AA229" s="16">
        <v>5.9702452760270752</v>
      </c>
      <c r="AB229" s="67">
        <v>6.1277028198334813</v>
      </c>
      <c r="AC229" s="3"/>
    </row>
    <row r="230" spans="2:29" x14ac:dyDescent="0.3">
      <c r="B230" s="66" t="s">
        <v>109</v>
      </c>
      <c r="C230" s="16">
        <v>5.6759959231436028</v>
      </c>
      <c r="D230" s="16">
        <v>6.4948043062419796</v>
      </c>
      <c r="E230" s="16">
        <v>7.3700788834879951</v>
      </c>
      <c r="F230" s="16">
        <v>7.5922985573522572</v>
      </c>
      <c r="G230" s="16">
        <v>7.1604240405027948</v>
      </c>
      <c r="H230" s="16">
        <v>6.1936824184864072</v>
      </c>
      <c r="I230" s="16">
        <v>5.7587220214076575</v>
      </c>
      <c r="J230" s="16">
        <v>5.6711386522007654</v>
      </c>
      <c r="K230" s="16">
        <v>7.6417029776865295</v>
      </c>
      <c r="L230" s="16">
        <v>12.087071653332975</v>
      </c>
      <c r="M230" s="16">
        <v>12.3727220491611</v>
      </c>
      <c r="N230" s="16">
        <v>11.658419411303475</v>
      </c>
      <c r="O230" s="16">
        <v>10.9346834973969</v>
      </c>
      <c r="P230" s="16">
        <v>9.5932400220986356</v>
      </c>
      <c r="Q230" s="16">
        <v>8.2429420905134823</v>
      </c>
      <c r="R230" s="16">
        <v>6.6051562347122594</v>
      </c>
      <c r="S230" s="16">
        <v>5.7267199289730204</v>
      </c>
      <c r="T230" s="16">
        <v>4.7813330955336877</v>
      </c>
      <c r="U230" s="16">
        <v>4.7232658035117741</v>
      </c>
      <c r="V230" s="16">
        <v>4.3895155678898421</v>
      </c>
      <c r="W230" s="16">
        <v>7.91757712026173</v>
      </c>
      <c r="X230" s="16">
        <v>5.4969621539712632</v>
      </c>
      <c r="Y230" s="16">
        <v>4.4833258348884799</v>
      </c>
      <c r="Z230" s="16">
        <v>4.4425200830790628</v>
      </c>
      <c r="AA230" s="16">
        <v>4.8725568993685675</v>
      </c>
      <c r="AB230" s="67">
        <v>5.2366899291501277</v>
      </c>
      <c r="AC230" s="3"/>
    </row>
    <row r="231" spans="2:29" x14ac:dyDescent="0.3">
      <c r="B231" s="66" t="s">
        <v>351</v>
      </c>
      <c r="C231" s="16">
        <v>3.6862592634516949</v>
      </c>
      <c r="D231" s="16">
        <v>4.3334780112967124</v>
      </c>
      <c r="E231" s="16">
        <v>5.2159630058708624</v>
      </c>
      <c r="F231" s="16">
        <v>5.7620869060713096</v>
      </c>
      <c r="G231" s="16">
        <v>5.8301313512407704</v>
      </c>
      <c r="H231" s="16">
        <v>6.0938979639882218</v>
      </c>
      <c r="I231" s="16">
        <v>5.6693368019843806</v>
      </c>
      <c r="J231" s="16">
        <v>5.0915866092167503</v>
      </c>
      <c r="K231" s="16">
        <v>6.7382661605812828</v>
      </c>
      <c r="L231" s="16">
        <v>9.8984643281275666</v>
      </c>
      <c r="M231" s="16">
        <v>9.7276629984962693</v>
      </c>
      <c r="N231" s="16">
        <v>9.4243105472652715</v>
      </c>
      <c r="O231" s="16">
        <v>8.5223814337485244</v>
      </c>
      <c r="P231" s="16">
        <v>8.3715282564990883</v>
      </c>
      <c r="Q231" s="16">
        <v>7.3828938270978792</v>
      </c>
      <c r="R231" s="16">
        <v>6.2048383400232625</v>
      </c>
      <c r="S231" s="16">
        <v>5.1749217648125683</v>
      </c>
      <c r="T231" s="16">
        <v>4.2978823599543956</v>
      </c>
      <c r="U231" s="16">
        <v>4.1015092933763997</v>
      </c>
      <c r="V231" s="16">
        <v>4.0560785085579401</v>
      </c>
      <c r="W231" s="16">
        <v>8.7113040129761217</v>
      </c>
      <c r="X231" s="16">
        <v>6.2155465679015478</v>
      </c>
      <c r="Y231" s="16">
        <v>4.0819250302803978</v>
      </c>
      <c r="Z231" s="16">
        <v>3.8124213303214947</v>
      </c>
      <c r="AA231" s="16">
        <v>4.0927052434757503</v>
      </c>
      <c r="AB231" s="67">
        <v>4.4279811611076871</v>
      </c>
      <c r="AC231" s="3"/>
    </row>
    <row r="232" spans="2:29" x14ac:dyDescent="0.3">
      <c r="B232" s="66" t="s">
        <v>110</v>
      </c>
      <c r="C232" s="16">
        <v>9.4901355511969943</v>
      </c>
      <c r="D232" s="16">
        <v>10.164141674445471</v>
      </c>
      <c r="E232" s="16">
        <v>11.039002032946851</v>
      </c>
      <c r="F232" s="16">
        <v>11.619552988463701</v>
      </c>
      <c r="G232" s="16">
        <v>10.9103535067199</v>
      </c>
      <c r="H232" s="16">
        <v>9.9711814934638738</v>
      </c>
      <c r="I232" s="16">
        <v>9.4271293698566403</v>
      </c>
      <c r="J232" s="16">
        <v>9.9716263683110622</v>
      </c>
      <c r="K232" s="16">
        <v>12.623226821077626</v>
      </c>
      <c r="L232" s="16">
        <v>17.173981343569249</v>
      </c>
      <c r="M232" s="16">
        <v>18.112258123777476</v>
      </c>
      <c r="N232" s="16">
        <v>17.657894957899199</v>
      </c>
      <c r="O232" s="16">
        <v>16.395666348101201</v>
      </c>
      <c r="P232" s="16">
        <v>14.623338068314851</v>
      </c>
      <c r="Q232" s="16">
        <v>13.006072257733525</v>
      </c>
      <c r="R232" s="16">
        <v>11.3679495352578</v>
      </c>
      <c r="S232" s="16">
        <v>10.685347200888126</v>
      </c>
      <c r="T232" s="16">
        <v>9.4705078826196925</v>
      </c>
      <c r="U232" s="16">
        <v>8.405578325600171</v>
      </c>
      <c r="V232" s="16">
        <v>8.1609049027397091</v>
      </c>
      <c r="W232" s="16">
        <v>12.411389955349662</v>
      </c>
      <c r="X232" s="16">
        <v>10.360035440192028</v>
      </c>
      <c r="Y232" s="16">
        <v>7.8487842433006865</v>
      </c>
      <c r="Z232" s="16">
        <v>9.0275106967193199</v>
      </c>
      <c r="AA232" s="16">
        <v>9.8099079406202918</v>
      </c>
      <c r="AB232" s="67">
        <v>9.8883559139231298</v>
      </c>
      <c r="AC232" s="3"/>
    </row>
    <row r="233" spans="2:29" x14ac:dyDescent="0.3">
      <c r="B233" s="66" t="s">
        <v>427</v>
      </c>
      <c r="C233" s="16">
        <v>4.0695720843338323</v>
      </c>
      <c r="D233" s="16">
        <v>4.9425982773944295</v>
      </c>
      <c r="E233" s="16">
        <v>5.6954862086295073</v>
      </c>
      <c r="F233" s="16">
        <v>5.27151312764199</v>
      </c>
      <c r="G233" s="16">
        <v>4.6049656068702927</v>
      </c>
      <c r="H233" s="16">
        <v>3.6817076445184549</v>
      </c>
      <c r="I233" s="16">
        <v>3.1676855669327226</v>
      </c>
      <c r="J233" s="16">
        <v>3.5934125581317424</v>
      </c>
      <c r="K233" s="16">
        <v>5.6024937759521558</v>
      </c>
      <c r="L233" s="16">
        <v>9.8129828768815166</v>
      </c>
      <c r="M233" s="16">
        <v>11.318972233768424</v>
      </c>
      <c r="N233" s="16">
        <v>9.8181499732222832</v>
      </c>
      <c r="O233" s="16">
        <v>8.1943490280651261</v>
      </c>
      <c r="P233" s="16">
        <v>7.308391541560038</v>
      </c>
      <c r="Q233" s="16">
        <v>6.2724638032463051</v>
      </c>
      <c r="R233" s="16">
        <v>5.5274318859932929</v>
      </c>
      <c r="S233" s="16">
        <v>5.0008754141299425</v>
      </c>
      <c r="T233" s="16">
        <v>4.3836972258742382</v>
      </c>
      <c r="U233" s="16">
        <v>3.604499705024145</v>
      </c>
      <c r="V233" s="16">
        <v>3.0867487955431328</v>
      </c>
      <c r="W233" s="16">
        <v>8.4995564171533857</v>
      </c>
      <c r="X233" s="16">
        <v>5.085276604132825</v>
      </c>
      <c r="Y233" s="16">
        <v>2.8313912736597477</v>
      </c>
      <c r="Z233" s="16">
        <v>2.4885343708632828</v>
      </c>
      <c r="AA233" s="16">
        <v>2.8652842405283976</v>
      </c>
      <c r="AB233" s="67">
        <v>3.0683859603551693</v>
      </c>
      <c r="AC233" s="3"/>
    </row>
    <row r="234" spans="2:29" x14ac:dyDescent="0.3">
      <c r="B234" s="66" t="s">
        <v>352</v>
      </c>
      <c r="C234" s="16">
        <v>3.4515561638579948</v>
      </c>
      <c r="D234" s="16">
        <v>4.7913253554188051</v>
      </c>
      <c r="E234" s="16">
        <v>6.7598500710890477</v>
      </c>
      <c r="F234" s="16">
        <v>6.6634715266711124</v>
      </c>
      <c r="G234" s="16">
        <v>6.2680519071201708</v>
      </c>
      <c r="H234" s="16">
        <v>5.9843711073320396</v>
      </c>
      <c r="I234" s="16">
        <v>5.7058004795152879</v>
      </c>
      <c r="J234" s="16">
        <v>5.1304443313304944</v>
      </c>
      <c r="K234" s="16">
        <v>6.2732851407830852</v>
      </c>
      <c r="L234" s="16">
        <v>11.718123490186425</v>
      </c>
      <c r="M234" s="16">
        <v>11.5894000851659</v>
      </c>
      <c r="N234" s="16">
        <v>10.162794976484999</v>
      </c>
      <c r="O234" s="16">
        <v>9.6105138034966906</v>
      </c>
      <c r="P234" s="16">
        <v>9.1315916188130544</v>
      </c>
      <c r="Q234" s="16">
        <v>7.6261724390856527</v>
      </c>
      <c r="R234" s="16">
        <v>6.2413483348483174</v>
      </c>
      <c r="S234" s="16">
        <v>5.4942125212022201</v>
      </c>
      <c r="T234" s="16">
        <v>4.2055021262110301</v>
      </c>
      <c r="U234" s="16">
        <v>4.1177900438285375</v>
      </c>
      <c r="V234" s="16">
        <v>4.0044392199376908</v>
      </c>
      <c r="W234" s="16">
        <v>9.1770486715756796</v>
      </c>
      <c r="X234" s="16">
        <v>5.0287067941775767</v>
      </c>
      <c r="Y234" s="16">
        <v>3.5418304966934873</v>
      </c>
      <c r="Z234" s="16">
        <v>3.8565419313416354</v>
      </c>
      <c r="AA234" s="16">
        <v>4.6954844899358248</v>
      </c>
      <c r="AB234" s="67">
        <v>4.4066068349994474</v>
      </c>
      <c r="AC234" s="3"/>
    </row>
    <row r="235" spans="2:29" x14ac:dyDescent="0.3">
      <c r="B235" s="66" t="s">
        <v>353</v>
      </c>
      <c r="C235" s="16">
        <v>3.3658523528622721</v>
      </c>
      <c r="D235" s="16">
        <v>4.352220292947405</v>
      </c>
      <c r="E235" s="16">
        <v>5.4277716291561049</v>
      </c>
      <c r="F235" s="16">
        <v>6.2960379715119803</v>
      </c>
      <c r="G235" s="16">
        <v>6.1779576682053126</v>
      </c>
      <c r="H235" s="16">
        <v>5.8417540036209097</v>
      </c>
      <c r="I235" s="16">
        <v>5.6788415911448427</v>
      </c>
      <c r="J235" s="16">
        <v>5.5445181268853272</v>
      </c>
      <c r="K235" s="16">
        <v>6.2013498325805676</v>
      </c>
      <c r="L235" s="16">
        <v>9.8352741873256022</v>
      </c>
      <c r="M235" s="16">
        <v>9.9327697104046422</v>
      </c>
      <c r="N235" s="16">
        <v>8.1744538836983747</v>
      </c>
      <c r="O235" s="16">
        <v>7.7370015354428601</v>
      </c>
      <c r="P235" s="16">
        <v>7.6870857408046023</v>
      </c>
      <c r="Q235" s="16">
        <v>6.0854668376360745</v>
      </c>
      <c r="R235" s="16">
        <v>4.8558494275438653</v>
      </c>
      <c r="S235" s="16">
        <v>4.6715533422992825</v>
      </c>
      <c r="T235" s="16">
        <v>4.5294326342498374</v>
      </c>
      <c r="U235" s="16">
        <v>3.9630468046081577</v>
      </c>
      <c r="V235" s="16">
        <v>3.7655684538780601</v>
      </c>
      <c r="W235" s="16">
        <v>7.8718568037260681</v>
      </c>
      <c r="X235" s="16">
        <v>4.7438008295105023</v>
      </c>
      <c r="Y235" s="16">
        <v>4.1740795924507257</v>
      </c>
      <c r="Z235" s="16">
        <v>3.8347133429709999</v>
      </c>
      <c r="AA235" s="16">
        <v>4.4432970661385074</v>
      </c>
      <c r="AB235" s="67">
        <v>5.1360969451800242</v>
      </c>
      <c r="AC235" s="3"/>
    </row>
    <row r="236" spans="2:29" x14ac:dyDescent="0.3">
      <c r="B236" s="66" t="s">
        <v>111</v>
      </c>
      <c r="C236" s="16">
        <v>4.2204717220076473</v>
      </c>
      <c r="D236" s="16">
        <v>3.7659993437772199</v>
      </c>
      <c r="E236" s="16">
        <v>4.8247375440619278</v>
      </c>
      <c r="F236" s="16">
        <v>4.9635418146720527</v>
      </c>
      <c r="G236" s="16">
        <v>4.3820102029642749</v>
      </c>
      <c r="H236" s="16">
        <v>3.7583050898879979</v>
      </c>
      <c r="I236" s="16">
        <v>3.4256854886038752</v>
      </c>
      <c r="J236" s="16">
        <v>2.8940280283823423</v>
      </c>
      <c r="K236" s="16">
        <v>2.9132612496466699</v>
      </c>
      <c r="L236" s="16">
        <v>5.5607877059845832</v>
      </c>
      <c r="M236" s="16">
        <v>5.9274981525170523</v>
      </c>
      <c r="N236" s="16">
        <v>4.9748227495036277</v>
      </c>
      <c r="O236" s="16">
        <v>3.8848867940153125</v>
      </c>
      <c r="P236" s="16">
        <v>3.7021793678936676</v>
      </c>
      <c r="Q236" s="16">
        <v>2.9318778559465248</v>
      </c>
      <c r="R236" s="16">
        <v>3.4830940885594974</v>
      </c>
      <c r="S236" s="16">
        <v>5.1224878805476752</v>
      </c>
      <c r="T236" s="16">
        <v>3.4988782010951698</v>
      </c>
      <c r="U236" s="16">
        <v>2.4510691508285047</v>
      </c>
      <c r="V236" s="16">
        <v>2.38433219733201</v>
      </c>
      <c r="W236" s="16">
        <v>9.2798863294798792</v>
      </c>
      <c r="X236" s="16">
        <v>6.27502988768022</v>
      </c>
      <c r="Y236" s="16">
        <v>3.3345266765911927</v>
      </c>
      <c r="Z236" s="16">
        <v>2.8271580006248227</v>
      </c>
      <c r="AA236" s="16">
        <v>2.9120869054266603</v>
      </c>
      <c r="AB236" s="67">
        <v>3.0164600520731515</v>
      </c>
      <c r="AC236" s="3"/>
    </row>
    <row r="237" spans="2:29" x14ac:dyDescent="0.3">
      <c r="B237" s="66" t="s">
        <v>496</v>
      </c>
      <c r="C237" s="16">
        <v>3.6159173580473873</v>
      </c>
      <c r="D237" s="16">
        <v>4.6570123931628649</v>
      </c>
      <c r="E237" s="16">
        <v>5.783439636854105</v>
      </c>
      <c r="F237" s="16">
        <v>6.1182650066803275</v>
      </c>
      <c r="G237" s="16">
        <v>5.3734487404941405</v>
      </c>
      <c r="H237" s="16">
        <v>4.9554802536599203</v>
      </c>
      <c r="I237" s="16">
        <v>4.8590407566086204</v>
      </c>
      <c r="J237" s="16">
        <v>4.9933022047683897</v>
      </c>
      <c r="K237" s="16">
        <v>5.0478064924375925</v>
      </c>
      <c r="L237" s="16">
        <v>9.0090371550335036</v>
      </c>
      <c r="M237" s="16">
        <v>8.6823321136219587</v>
      </c>
      <c r="N237" s="16">
        <v>7.9122561922747376</v>
      </c>
      <c r="O237" s="16">
        <v>7.3237062736454233</v>
      </c>
      <c r="P237" s="16">
        <v>7.1346276158660524</v>
      </c>
      <c r="Q237" s="16">
        <v>5.785920469491515</v>
      </c>
      <c r="R237" s="16">
        <v>4.7822906179115323</v>
      </c>
      <c r="S237" s="16">
        <v>4.2205968280259878</v>
      </c>
      <c r="T237" s="16">
        <v>3.501422091347985</v>
      </c>
      <c r="U237" s="16">
        <v>3.2011543527896524</v>
      </c>
      <c r="V237" s="16">
        <v>3.3668439959974998</v>
      </c>
      <c r="W237" s="16">
        <v>7.262577375711837</v>
      </c>
      <c r="X237" s="16">
        <v>4.3794641878797442</v>
      </c>
      <c r="Y237" s="16">
        <v>3.0211446033326097</v>
      </c>
      <c r="Z237" s="16">
        <v>2.9999921467490576</v>
      </c>
      <c r="AA237" s="16">
        <v>3.2182664347614227</v>
      </c>
      <c r="AB237" s="67">
        <v>3.4502156402721997</v>
      </c>
      <c r="AC237" s="3"/>
    </row>
    <row r="238" spans="2:29" x14ac:dyDescent="0.3">
      <c r="B238" s="66" t="s">
        <v>354</v>
      </c>
      <c r="C238" s="16">
        <v>2.6908075335748447</v>
      </c>
      <c r="D238" s="16">
        <v>3.4313826537980772</v>
      </c>
      <c r="E238" s="16">
        <v>4.2984994667210552</v>
      </c>
      <c r="F238" s="16">
        <v>4.587099610730295</v>
      </c>
      <c r="G238" s="16">
        <v>4.4179491505793376</v>
      </c>
      <c r="H238" s="16">
        <v>3.8586583415387747</v>
      </c>
      <c r="I238" s="16">
        <v>3.8350982845057953</v>
      </c>
      <c r="J238" s="16">
        <v>4.3462662682160875</v>
      </c>
      <c r="K238" s="16">
        <v>5.1976697925275221</v>
      </c>
      <c r="L238" s="16">
        <v>7.6360014624288848</v>
      </c>
      <c r="M238" s="16">
        <v>7.2947261347619001</v>
      </c>
      <c r="N238" s="16">
        <v>6.399602096473437</v>
      </c>
      <c r="O238" s="16">
        <v>5.5327488258819795</v>
      </c>
      <c r="P238" s="16">
        <v>4.8347553251691071</v>
      </c>
      <c r="Q238" s="16">
        <v>4.0139773784232649</v>
      </c>
      <c r="R238" s="16">
        <v>3.5069715460784452</v>
      </c>
      <c r="S238" s="16">
        <v>3.4902771207924075</v>
      </c>
      <c r="T238" s="16">
        <v>3.1371814117397072</v>
      </c>
      <c r="U238" s="16">
        <v>2.7281182003860796</v>
      </c>
      <c r="V238" s="16">
        <v>2.9700097251547426</v>
      </c>
      <c r="W238" s="16">
        <v>6.4311250742634494</v>
      </c>
      <c r="X238" s="16">
        <v>3.5915976652769599</v>
      </c>
      <c r="Y238" s="16">
        <v>2.331985155353125</v>
      </c>
      <c r="Z238" s="16">
        <v>2.649836976277705</v>
      </c>
      <c r="AA238" s="16">
        <v>2.9012224279132526</v>
      </c>
      <c r="AB238" s="67">
        <v>3.0943261739497001</v>
      </c>
      <c r="AC238" s="3"/>
    </row>
    <row r="239" spans="2:29" x14ac:dyDescent="0.3">
      <c r="B239" s="66" t="s">
        <v>541</v>
      </c>
      <c r="C239" s="16">
        <v>3.2421746990180953</v>
      </c>
      <c r="D239" s="16">
        <v>3.2243900526846248</v>
      </c>
      <c r="E239" s="16">
        <v>3.6996174874406855</v>
      </c>
      <c r="F239" s="16">
        <v>3.88282459311929</v>
      </c>
      <c r="G239" s="16">
        <v>3.6322528246055126</v>
      </c>
      <c r="H239" s="16">
        <v>3.5816500144998402</v>
      </c>
      <c r="I239" s="16">
        <v>3.1802806907691048</v>
      </c>
      <c r="J239" s="16">
        <v>3.0720028096287404</v>
      </c>
      <c r="K239" s="16">
        <v>3.0150836859780226</v>
      </c>
      <c r="L239" s="16">
        <v>3.5807995488871653</v>
      </c>
      <c r="M239" s="16">
        <v>3.4393395748922924</v>
      </c>
      <c r="N239" s="16">
        <v>3.1726038639047953</v>
      </c>
      <c r="O239" s="16">
        <v>2.6665659975796325</v>
      </c>
      <c r="P239" s="16">
        <v>2.7991747670100402</v>
      </c>
      <c r="Q239" s="16">
        <v>2.7443742286464126</v>
      </c>
      <c r="R239" s="16">
        <v>3.2392576045079124</v>
      </c>
      <c r="S239" s="16">
        <v>3.8345237014981848</v>
      </c>
      <c r="T239" s="16">
        <v>3.0565916982273476</v>
      </c>
      <c r="U239" s="16">
        <v>2.5388389850179651</v>
      </c>
      <c r="V239" s="16">
        <v>2.175619024517915</v>
      </c>
      <c r="W239" s="16">
        <v>5.3329104001890819</v>
      </c>
      <c r="X239" s="16">
        <v>3.3565762095283325</v>
      </c>
      <c r="Y239" s="16">
        <v>2.1443049811484203</v>
      </c>
      <c r="Z239" s="16">
        <v>2.0993643233161721</v>
      </c>
      <c r="AA239" s="16">
        <v>2.453730350704765</v>
      </c>
      <c r="AB239" s="67">
        <v>2.571145807643886</v>
      </c>
      <c r="AC239" s="3"/>
    </row>
    <row r="240" spans="2:29" x14ac:dyDescent="0.3">
      <c r="B240" s="66" t="s">
        <v>112</v>
      </c>
      <c r="C240" s="16">
        <v>4.1355957836841579</v>
      </c>
      <c r="D240" s="16">
        <v>4.092743487397775</v>
      </c>
      <c r="E240" s="16">
        <v>4.0953189009773894</v>
      </c>
      <c r="F240" s="16">
        <v>4.2177500401970578</v>
      </c>
      <c r="G240" s="16">
        <v>4.0849713360708426</v>
      </c>
      <c r="H240" s="16">
        <v>3.7763492522272828</v>
      </c>
      <c r="I240" s="16">
        <v>3.1281381288456576</v>
      </c>
      <c r="J240" s="16">
        <v>3.305139566609185</v>
      </c>
      <c r="K240" s="16">
        <v>4.7104743077401032</v>
      </c>
      <c r="L240" s="16">
        <v>6.7022967753203453</v>
      </c>
      <c r="M240" s="16">
        <v>7.3260489433539497</v>
      </c>
      <c r="N240" s="16">
        <v>6.606042120444692</v>
      </c>
      <c r="O240" s="16">
        <v>5.8234495694687203</v>
      </c>
      <c r="P240" s="16">
        <v>5.2377190393011723</v>
      </c>
      <c r="Q240" s="16">
        <v>4.5499320105643122</v>
      </c>
      <c r="R240" s="16">
        <v>4.1323610482787894</v>
      </c>
      <c r="S240" s="16">
        <v>3.8022068385007879</v>
      </c>
      <c r="T240" s="16">
        <v>3.5863551882620675</v>
      </c>
      <c r="U240" s="16">
        <v>3.2598764502867024</v>
      </c>
      <c r="V240" s="16">
        <v>3.1272365684426848</v>
      </c>
      <c r="W240" s="16">
        <v>5.9851467460703125</v>
      </c>
      <c r="X240" s="16">
        <v>3.2058677973652472</v>
      </c>
      <c r="Y240" s="16">
        <v>2.5136822284261902</v>
      </c>
      <c r="Z240" s="16">
        <v>2.5388999700068728</v>
      </c>
      <c r="AA240" s="16">
        <v>2.9067604853184799</v>
      </c>
      <c r="AB240" s="67">
        <v>2.7810955891606981</v>
      </c>
      <c r="AC240" s="3"/>
    </row>
    <row r="241" spans="2:29" x14ac:dyDescent="0.3">
      <c r="B241" s="66" t="s">
        <v>113</v>
      </c>
      <c r="C241" s="16">
        <v>5.0046243626943303</v>
      </c>
      <c r="D241" s="16">
        <v>5.6252514766940749</v>
      </c>
      <c r="E241" s="16">
        <v>6.4423727403203701</v>
      </c>
      <c r="F241" s="16">
        <v>6.8810964126723979</v>
      </c>
      <c r="G241" s="16">
        <v>6.4547743703906075</v>
      </c>
      <c r="H241" s="16">
        <v>4.9263128711044324</v>
      </c>
      <c r="I241" s="16">
        <v>4.1537969056846276</v>
      </c>
      <c r="J241" s="16">
        <v>4.1053666111108704</v>
      </c>
      <c r="K241" s="16">
        <v>5.9577527750779549</v>
      </c>
      <c r="L241" s="16">
        <v>10.003278695181493</v>
      </c>
      <c r="M241" s="16">
        <v>11.130560982465949</v>
      </c>
      <c r="N241" s="16">
        <v>10.7037264342525</v>
      </c>
      <c r="O241" s="16">
        <v>9.436115948361941</v>
      </c>
      <c r="P241" s="16">
        <v>8.7096568479734398</v>
      </c>
      <c r="Q241" s="16">
        <v>7.7184078070426079</v>
      </c>
      <c r="R241" s="16">
        <v>6.8807347966640595</v>
      </c>
      <c r="S241" s="16">
        <v>6.7025741287029703</v>
      </c>
      <c r="T241" s="16">
        <v>5.4281100868362344</v>
      </c>
      <c r="U241" s="16">
        <v>4.778114226464103</v>
      </c>
      <c r="V241" s="16">
        <v>4.0215065574347975</v>
      </c>
      <c r="W241" s="16">
        <v>8.8383820250207155</v>
      </c>
      <c r="X241" s="16">
        <v>4.7318358727064371</v>
      </c>
      <c r="Y241" s="16">
        <v>3.2136405927303597</v>
      </c>
      <c r="Z241" s="16">
        <v>3.0780126835679926</v>
      </c>
      <c r="AA241" s="16">
        <v>3.7672082450687903</v>
      </c>
      <c r="AB241" s="67">
        <v>3.8159818381618056</v>
      </c>
      <c r="AC241" s="3"/>
    </row>
    <row r="242" spans="2:29" x14ac:dyDescent="0.3">
      <c r="B242" s="66" t="s">
        <v>114</v>
      </c>
      <c r="C242" s="16">
        <v>7.6927162321044555</v>
      </c>
      <c r="D242" s="16">
        <v>8.3677236056745024</v>
      </c>
      <c r="E242" s="16">
        <v>9.7258729324540063</v>
      </c>
      <c r="F242" s="16">
        <v>9.9491815649266506</v>
      </c>
      <c r="G242" s="16">
        <v>9.210480220666188</v>
      </c>
      <c r="H242" s="16">
        <v>8.3828887783339052</v>
      </c>
      <c r="I242" s="16">
        <v>7.9492691420247175</v>
      </c>
      <c r="J242" s="16">
        <v>8.5936955357451517</v>
      </c>
      <c r="K242" s="16">
        <v>11.08904026473898</v>
      </c>
      <c r="L242" s="16">
        <v>16.0155886453798</v>
      </c>
      <c r="M242" s="16">
        <v>17.029300188521596</v>
      </c>
      <c r="N242" s="16">
        <v>16.516814668159324</v>
      </c>
      <c r="O242" s="16">
        <v>14.949215899331975</v>
      </c>
      <c r="P242" s="16">
        <v>13.057321622548574</v>
      </c>
      <c r="Q242" s="16">
        <v>11.301901743297876</v>
      </c>
      <c r="R242" s="16">
        <v>9.5105895022923601</v>
      </c>
      <c r="S242" s="16">
        <v>8.6479407293214603</v>
      </c>
      <c r="T242" s="16">
        <v>7.5053171558479246</v>
      </c>
      <c r="U242" s="16">
        <v>6.4456667209394647</v>
      </c>
      <c r="V242" s="16">
        <v>6.0781161784364945</v>
      </c>
      <c r="W242" s="16">
        <v>10.813669581242994</v>
      </c>
      <c r="X242" s="16">
        <v>8.2551165443110452</v>
      </c>
      <c r="Y242" s="16">
        <v>5.4321756360510802</v>
      </c>
      <c r="Z242" s="16">
        <v>6.2739917472746596</v>
      </c>
      <c r="AA242" s="16">
        <v>6.8932021515450046</v>
      </c>
      <c r="AB242" s="67">
        <v>6.9768122759244839</v>
      </c>
      <c r="AC242" s="3"/>
    </row>
    <row r="243" spans="2:29" x14ac:dyDescent="0.3">
      <c r="B243" s="66" t="s">
        <v>115</v>
      </c>
      <c r="C243" s="16">
        <v>5.2141562014694927</v>
      </c>
      <c r="D243" s="16">
        <v>5.9013504708263405</v>
      </c>
      <c r="E243" s="16">
        <v>5.9107123298413971</v>
      </c>
      <c r="F243" s="16">
        <v>6.7042740016463798</v>
      </c>
      <c r="G243" s="16">
        <v>6.2174629153911791</v>
      </c>
      <c r="H243" s="16">
        <v>6.4316852418102455</v>
      </c>
      <c r="I243" s="16">
        <v>4.3355708663577204</v>
      </c>
      <c r="J243" s="16">
        <v>5.2777707353887475</v>
      </c>
      <c r="K243" s="16">
        <v>5.47961745315515</v>
      </c>
      <c r="L243" s="16">
        <v>8.2599692106299401</v>
      </c>
      <c r="M243" s="16">
        <v>8.8793707515608702</v>
      </c>
      <c r="N243" s="16">
        <v>8.7780967775249934</v>
      </c>
      <c r="O243" s="16">
        <v>8.1191174645272248</v>
      </c>
      <c r="P243" s="16">
        <v>7.6734038971707754</v>
      </c>
      <c r="Q243" s="16">
        <v>7.4924087606638921</v>
      </c>
      <c r="R243" s="16">
        <v>7.2621262329631699</v>
      </c>
      <c r="S243" s="16">
        <v>6.6222150947309499</v>
      </c>
      <c r="T243" s="16">
        <v>5.6869773277130218</v>
      </c>
      <c r="U243" s="16">
        <v>5.6135269498658502</v>
      </c>
      <c r="V243" s="16">
        <v>5.5963388347719967</v>
      </c>
      <c r="W243" s="16">
        <v>8.1798083679360616</v>
      </c>
      <c r="X243" s="16">
        <v>5.5131309625160521</v>
      </c>
      <c r="Y243" s="16">
        <v>3.943990077338257</v>
      </c>
      <c r="Z243" s="16">
        <v>4.2175170965979731</v>
      </c>
      <c r="AA243" s="16">
        <v>4.9324410170900173</v>
      </c>
      <c r="AB243" s="67">
        <v>5.0308199972025029</v>
      </c>
      <c r="AC243" s="3"/>
    </row>
    <row r="244" spans="2:29" x14ac:dyDescent="0.3">
      <c r="B244" s="66" t="s">
        <v>116</v>
      </c>
      <c r="C244" s="16">
        <v>3.2927472418958752</v>
      </c>
      <c r="D244" s="16">
        <v>4.5675946062885275</v>
      </c>
      <c r="E244" s="16">
        <v>5.1843342680931279</v>
      </c>
      <c r="F244" s="16">
        <v>6.0464477491391273</v>
      </c>
      <c r="G244" s="16">
        <v>6.0236390450057993</v>
      </c>
      <c r="H244" s="16">
        <v>6.1430866468789</v>
      </c>
      <c r="I244" s="16">
        <v>6.6104936526449327</v>
      </c>
      <c r="J244" s="16">
        <v>6.7457617509264729</v>
      </c>
      <c r="K244" s="16">
        <v>8.6519955317045358</v>
      </c>
      <c r="L244" s="16">
        <v>14.685613926472126</v>
      </c>
      <c r="M244" s="16">
        <v>11.845137962873149</v>
      </c>
      <c r="N244" s="16">
        <v>9.2266094481654388</v>
      </c>
      <c r="O244" s="16">
        <v>7.6979811841688504</v>
      </c>
      <c r="P244" s="16">
        <v>7.3565210700221808</v>
      </c>
      <c r="Q244" s="16">
        <v>6.0544570077011679</v>
      </c>
      <c r="R244" s="16">
        <v>4.5539436530425306</v>
      </c>
      <c r="S244" s="16">
        <v>4.3380918526732399</v>
      </c>
      <c r="T244" s="16">
        <v>4.7413918346818456</v>
      </c>
      <c r="U244" s="16">
        <v>4.2299459748945649</v>
      </c>
      <c r="V244" s="16">
        <v>4.0202603895419005</v>
      </c>
      <c r="W244" s="16">
        <v>9.2481303477088215</v>
      </c>
      <c r="X244" s="16">
        <v>5.954756422774647</v>
      </c>
      <c r="Y244" s="16">
        <v>4.74289782114466</v>
      </c>
      <c r="Z244" s="16">
        <v>4.2674280839422574</v>
      </c>
      <c r="AA244" s="16">
        <v>5.2489754748708055</v>
      </c>
      <c r="AB244" s="67">
        <v>5.913862601508427</v>
      </c>
      <c r="AC244" s="3"/>
    </row>
    <row r="245" spans="2:29" x14ac:dyDescent="0.3">
      <c r="B245" s="66" t="s">
        <v>117</v>
      </c>
      <c r="C245" s="16">
        <v>4.2675730725813077</v>
      </c>
      <c r="D245" s="16">
        <v>4.5002913732173679</v>
      </c>
      <c r="E245" s="16">
        <v>5.2442142927333597</v>
      </c>
      <c r="F245" s="16">
        <v>5.6341174741235678</v>
      </c>
      <c r="G245" s="16">
        <v>5.4730275300732423</v>
      </c>
      <c r="H245" s="16">
        <v>4.3744626079465023</v>
      </c>
      <c r="I245" s="16">
        <v>3.9755251716523823</v>
      </c>
      <c r="J245" s="16">
        <v>4.0061822888947427</v>
      </c>
      <c r="K245" s="16">
        <v>6.0464066837618482</v>
      </c>
      <c r="L245" s="16">
        <v>9.2021316399711282</v>
      </c>
      <c r="M245" s="16">
        <v>9.7186729882572678</v>
      </c>
      <c r="N245" s="16">
        <v>9.3858750629420413</v>
      </c>
      <c r="O245" s="16">
        <v>8.051143530022415</v>
      </c>
      <c r="P245" s="16">
        <v>7.1785540522669624</v>
      </c>
      <c r="Q245" s="16">
        <v>6.5821797235801425</v>
      </c>
      <c r="R245" s="16">
        <v>5.8539381507637049</v>
      </c>
      <c r="S245" s="16">
        <v>5.5250973116964301</v>
      </c>
      <c r="T245" s="16">
        <v>4.3759335998824875</v>
      </c>
      <c r="U245" s="16">
        <v>3.9485470973017351</v>
      </c>
      <c r="V245" s="16">
        <v>3.2142635602707275</v>
      </c>
      <c r="W245" s="16">
        <v>7.5098765984057803</v>
      </c>
      <c r="X245" s="16">
        <v>4.0768953672714625</v>
      </c>
      <c r="Y245" s="16">
        <v>2.7484775977748876</v>
      </c>
      <c r="Z245" s="16">
        <v>2.5867830118973227</v>
      </c>
      <c r="AA245" s="16">
        <v>3.0832045567561672</v>
      </c>
      <c r="AB245" s="67">
        <v>3.1783776531546639</v>
      </c>
      <c r="AC245" s="3"/>
    </row>
    <row r="246" spans="2:29" x14ac:dyDescent="0.3">
      <c r="B246" s="66" t="s">
        <v>118</v>
      </c>
      <c r="C246" s="16">
        <v>4.7072785108952973</v>
      </c>
      <c r="D246" s="16">
        <v>4.2886378475050044</v>
      </c>
      <c r="E246" s="16">
        <v>4.9499063978179976</v>
      </c>
      <c r="F246" s="16">
        <v>4.8835772911747526</v>
      </c>
      <c r="G246" s="16">
        <v>4.2065903619618279</v>
      </c>
      <c r="H246" s="16">
        <v>3.8967534705994149</v>
      </c>
      <c r="I246" s="16">
        <v>3.601748014987225</v>
      </c>
      <c r="J246" s="16">
        <v>3.3309432348858499</v>
      </c>
      <c r="K246" s="16">
        <v>3.1699131347328651</v>
      </c>
      <c r="L246" s="16">
        <v>5.1821815706777672</v>
      </c>
      <c r="M246" s="16">
        <v>6.0488027236724973</v>
      </c>
      <c r="N246" s="16">
        <v>5.7797908313555526</v>
      </c>
      <c r="O246" s="16">
        <v>5.4051713383028401</v>
      </c>
      <c r="P246" s="16">
        <v>4.9297548235745294</v>
      </c>
      <c r="Q246" s="16">
        <v>4.7082808258318201</v>
      </c>
      <c r="R246" s="16">
        <v>4.9002540366373628</v>
      </c>
      <c r="S246" s="16">
        <v>4.6873440527003805</v>
      </c>
      <c r="T246" s="16">
        <v>4.0294530162202822</v>
      </c>
      <c r="U246" s="16">
        <v>4.275890937881405</v>
      </c>
      <c r="V246" s="16">
        <v>3.9152816970168951</v>
      </c>
      <c r="W246" s="16">
        <v>6.6315784268791651</v>
      </c>
      <c r="X246" s="16">
        <v>4.2666890839213503</v>
      </c>
      <c r="Y246" s="16">
        <v>3.6024093999434426</v>
      </c>
      <c r="Z246" s="16">
        <v>3.3340144471195847</v>
      </c>
      <c r="AA246" s="16">
        <v>3.4148259951549749</v>
      </c>
      <c r="AB246" s="67">
        <v>3.2551821792125692</v>
      </c>
      <c r="AC246" s="3"/>
    </row>
    <row r="247" spans="2:29" x14ac:dyDescent="0.3">
      <c r="B247" s="66" t="s">
        <v>119</v>
      </c>
      <c r="C247" s="16">
        <v>4.031485574189527</v>
      </c>
      <c r="D247" s="16">
        <v>5.6302618875406303</v>
      </c>
      <c r="E247" s="16">
        <v>6.0046154438582189</v>
      </c>
      <c r="F247" s="16">
        <v>6.0409158120081035</v>
      </c>
      <c r="G247" s="16">
        <v>5.7231055078252355</v>
      </c>
      <c r="H247" s="16">
        <v>5.8055513079826344</v>
      </c>
      <c r="I247" s="16">
        <v>5.7769402062551753</v>
      </c>
      <c r="J247" s="16">
        <v>4.8556340780003504</v>
      </c>
      <c r="K247" s="16">
        <v>7.0087245167767254</v>
      </c>
      <c r="L247" s="16">
        <v>12.554417041854675</v>
      </c>
      <c r="M247" s="16">
        <v>11.6623923481365</v>
      </c>
      <c r="N247" s="16">
        <v>10.747289364768649</v>
      </c>
      <c r="O247" s="16">
        <v>9.5111928442852243</v>
      </c>
      <c r="P247" s="16">
        <v>8.9338474901211775</v>
      </c>
      <c r="Q247" s="16">
        <v>7.3419435051177047</v>
      </c>
      <c r="R247" s="16">
        <v>6.2013128418148922</v>
      </c>
      <c r="S247" s="16">
        <v>5.1805540352362858</v>
      </c>
      <c r="T247" s="16">
        <v>4.0522483126530675</v>
      </c>
      <c r="U247" s="16">
        <v>3.7846121160268873</v>
      </c>
      <c r="V247" s="16">
        <v>3.7131992226759727</v>
      </c>
      <c r="W247" s="16">
        <v>7.2983523454735106</v>
      </c>
      <c r="X247" s="16">
        <v>4.2435994544822577</v>
      </c>
      <c r="Y247" s="16">
        <v>3.6180583150204102</v>
      </c>
      <c r="Z247" s="16">
        <v>3.50887814376118</v>
      </c>
      <c r="AA247" s="16">
        <v>3.5081684221595451</v>
      </c>
      <c r="AB247" s="67">
        <v>3.7084766793568007</v>
      </c>
      <c r="AC247" s="3"/>
    </row>
    <row r="248" spans="2:29" x14ac:dyDescent="0.3">
      <c r="B248" s="66" t="s">
        <v>355</v>
      </c>
      <c r="C248" s="16">
        <v>6.2293274843692625</v>
      </c>
      <c r="D248" s="16">
        <v>7.1643059094270196</v>
      </c>
      <c r="E248" s="16">
        <v>8.0476039994489135</v>
      </c>
      <c r="F248" s="16">
        <v>8.2721158272790074</v>
      </c>
      <c r="G248" s="16">
        <v>7.2067672182555453</v>
      </c>
      <c r="H248" s="16">
        <v>6.4565079578925051</v>
      </c>
      <c r="I248" s="16">
        <v>5.7787364886310302</v>
      </c>
      <c r="J248" s="16">
        <v>5.389796932846993</v>
      </c>
      <c r="K248" s="16">
        <v>6.040747043533921</v>
      </c>
      <c r="L248" s="16">
        <v>9.9172390118911178</v>
      </c>
      <c r="M248" s="16">
        <v>10.197183024467371</v>
      </c>
      <c r="N248" s="16">
        <v>10.349019266529726</v>
      </c>
      <c r="O248" s="16">
        <v>9.9450325537428625</v>
      </c>
      <c r="P248" s="16">
        <v>8.2224238711438744</v>
      </c>
      <c r="Q248" s="16">
        <v>6.9915538119326275</v>
      </c>
      <c r="R248" s="16">
        <v>6.8017086643192428</v>
      </c>
      <c r="S248" s="16">
        <v>6.6897050020241871</v>
      </c>
      <c r="T248" s="16">
        <v>5.6148399982203827</v>
      </c>
      <c r="U248" s="16">
        <v>5.5048877230576192</v>
      </c>
      <c r="V248" s="16">
        <v>5.7299740522797347</v>
      </c>
      <c r="W248" s="16">
        <v>9.775244036846308</v>
      </c>
      <c r="X248" s="16">
        <v>6.08854725266107</v>
      </c>
      <c r="Y248" s="16">
        <v>4.6595303034818176</v>
      </c>
      <c r="Z248" s="16">
        <v>4.5092843430960841</v>
      </c>
      <c r="AA248" s="16">
        <v>5.0012603176988675</v>
      </c>
      <c r="AB248" s="67">
        <v>4.6987508852429256</v>
      </c>
      <c r="AC248" s="3"/>
    </row>
    <row r="249" spans="2:29" x14ac:dyDescent="0.3">
      <c r="B249" s="66" t="s">
        <v>120</v>
      </c>
      <c r="C249" s="16">
        <v>3.4429310369482522</v>
      </c>
      <c r="D249" s="16">
        <v>4.7674961508552398</v>
      </c>
      <c r="E249" s="16">
        <v>5.8490940251617554</v>
      </c>
      <c r="F249" s="16">
        <v>6.1413333268882777</v>
      </c>
      <c r="G249" s="16">
        <v>6.2875369956415597</v>
      </c>
      <c r="H249" s="16">
        <v>6.7708943320209301</v>
      </c>
      <c r="I249" s="16">
        <v>5.9455444556543853</v>
      </c>
      <c r="J249" s="16">
        <v>5.3560176506207027</v>
      </c>
      <c r="K249" s="16">
        <v>6.7274694019304899</v>
      </c>
      <c r="L249" s="16">
        <v>10.536658898556231</v>
      </c>
      <c r="M249" s="16">
        <v>11.097464253594399</v>
      </c>
      <c r="N249" s="16">
        <v>9.9093618351004142</v>
      </c>
      <c r="O249" s="16">
        <v>9.2359049190972957</v>
      </c>
      <c r="P249" s="16">
        <v>8.4466589497141893</v>
      </c>
      <c r="Q249" s="16">
        <v>7.0043932809763572</v>
      </c>
      <c r="R249" s="16">
        <v>5.6831042933868243</v>
      </c>
      <c r="S249" s="16">
        <v>4.983003858038038</v>
      </c>
      <c r="T249" s="16">
        <v>4.1723535179134732</v>
      </c>
      <c r="U249" s="16">
        <v>3.8847967190830799</v>
      </c>
      <c r="V249" s="16">
        <v>3.7582508023320544</v>
      </c>
      <c r="W249" s="16">
        <v>7.4545132132359928</v>
      </c>
      <c r="X249" s="16">
        <v>4.2790456145931577</v>
      </c>
      <c r="Y249" s="16">
        <v>3.5472232345825603</v>
      </c>
      <c r="Z249" s="16">
        <v>3.8666535364456278</v>
      </c>
      <c r="AA249" s="16">
        <v>4.7184361131627401</v>
      </c>
      <c r="AB249" s="67">
        <v>4.3806748690980024</v>
      </c>
      <c r="AC249" s="3"/>
    </row>
    <row r="250" spans="2:29" x14ac:dyDescent="0.3">
      <c r="B250" s="66" t="s">
        <v>497</v>
      </c>
      <c r="C250" s="16">
        <v>4.2487805204409828</v>
      </c>
      <c r="D250" s="16">
        <v>6.1945020808879647</v>
      </c>
      <c r="E250" s="16">
        <v>7.8703733454663798</v>
      </c>
      <c r="F250" s="16">
        <v>8.9203211701575871</v>
      </c>
      <c r="G250" s="16">
        <v>7.4906206187698174</v>
      </c>
      <c r="H250" s="16">
        <v>6.9271181691632568</v>
      </c>
      <c r="I250" s="16">
        <v>6.9852930041720693</v>
      </c>
      <c r="J250" s="16">
        <v>7.2809486535718326</v>
      </c>
      <c r="K250" s="16">
        <v>8.556596816548204</v>
      </c>
      <c r="L250" s="16">
        <v>15.0694190446814</v>
      </c>
      <c r="M250" s="16">
        <v>14.655133028577524</v>
      </c>
      <c r="N250" s="16">
        <v>11.158216212878525</v>
      </c>
      <c r="O250" s="16">
        <v>9.9886971673304785</v>
      </c>
      <c r="P250" s="16">
        <v>9.8597203226369032</v>
      </c>
      <c r="Q250" s="16">
        <v>7.6876375388207503</v>
      </c>
      <c r="R250" s="16">
        <v>5.8028371881173673</v>
      </c>
      <c r="S250" s="16">
        <v>5.1625504988854027</v>
      </c>
      <c r="T250" s="16">
        <v>4.9622711398116177</v>
      </c>
      <c r="U250" s="16">
        <v>4.3378638936944425</v>
      </c>
      <c r="V250" s="16">
        <v>4.1225100010400002</v>
      </c>
      <c r="W250" s="16">
        <v>11.269173873864272</v>
      </c>
      <c r="X250" s="16">
        <v>6.7558453988988605</v>
      </c>
      <c r="Y250" s="16">
        <v>4.706832588167333</v>
      </c>
      <c r="Z250" s="16">
        <v>4.3016205881396354</v>
      </c>
      <c r="AA250" s="16">
        <v>5.1110411101479825</v>
      </c>
      <c r="AB250" s="67">
        <v>6.0442279300993071</v>
      </c>
      <c r="AC250" s="3"/>
    </row>
    <row r="251" spans="2:29" x14ac:dyDescent="0.3">
      <c r="B251" s="66" t="s">
        <v>542</v>
      </c>
      <c r="C251" s="16">
        <v>3.6292153434861301</v>
      </c>
      <c r="D251" s="16">
        <v>4.8527429403784073</v>
      </c>
      <c r="E251" s="16">
        <v>5.2969400986867603</v>
      </c>
      <c r="F251" s="16">
        <v>5.72669599653383</v>
      </c>
      <c r="G251" s="16">
        <v>6.0242419115472545</v>
      </c>
      <c r="H251" s="16">
        <v>5.8049685199476979</v>
      </c>
      <c r="I251" s="16">
        <v>5.4543168300713418</v>
      </c>
      <c r="J251" s="16">
        <v>4.9736390244428446</v>
      </c>
      <c r="K251" s="16">
        <v>7.1963527659530175</v>
      </c>
      <c r="L251" s="16">
        <v>11.4335036757616</v>
      </c>
      <c r="M251" s="16">
        <v>12.21438192819965</v>
      </c>
      <c r="N251" s="16">
        <v>11.705207198710726</v>
      </c>
      <c r="O251" s="16">
        <v>10.170142630512618</v>
      </c>
      <c r="P251" s="16">
        <v>8.4103717255051329</v>
      </c>
      <c r="Q251" s="16">
        <v>7.18399626454518</v>
      </c>
      <c r="R251" s="16">
        <v>7.0649531328648383</v>
      </c>
      <c r="S251" s="16">
        <v>5.5193485929805775</v>
      </c>
      <c r="T251" s="16">
        <v>4.7296254234720774</v>
      </c>
      <c r="U251" s="16">
        <v>4.0154139191502374</v>
      </c>
      <c r="V251" s="16">
        <v>3.3843309297860324</v>
      </c>
      <c r="W251" s="16">
        <v>8.0715239380954849</v>
      </c>
      <c r="X251" s="16">
        <v>4.8303162879375918</v>
      </c>
      <c r="Y251" s="16">
        <v>3.8177592241914424</v>
      </c>
      <c r="Z251" s="16">
        <v>3.5020361888845222</v>
      </c>
      <c r="AA251" s="16">
        <v>4.7688823396520128</v>
      </c>
      <c r="AB251" s="67">
        <v>4.8584279766012886</v>
      </c>
      <c r="AC251" s="3"/>
    </row>
    <row r="252" spans="2:29" x14ac:dyDescent="0.3">
      <c r="B252" s="66" t="s">
        <v>121</v>
      </c>
      <c r="C252" s="16">
        <v>3.5667568922159476</v>
      </c>
      <c r="D252" s="16">
        <v>3.6376167392533896</v>
      </c>
      <c r="E252" s="16">
        <v>4.5794141151309473</v>
      </c>
      <c r="F252" s="16">
        <v>4.9123096569070377</v>
      </c>
      <c r="G252" s="16">
        <v>4.7438773097205722</v>
      </c>
      <c r="H252" s="16">
        <v>4.3563068540200174</v>
      </c>
      <c r="I252" s="16">
        <v>3.8662514618114749</v>
      </c>
      <c r="J252" s="16">
        <v>3.9854808322505377</v>
      </c>
      <c r="K252" s="16">
        <v>5.1569523473174996</v>
      </c>
      <c r="L252" s="16">
        <v>8.6621651858715722</v>
      </c>
      <c r="M252" s="16">
        <v>10.381468289471151</v>
      </c>
      <c r="N252" s="16">
        <v>9.8001674856741445</v>
      </c>
      <c r="O252" s="16">
        <v>8.4789948870708169</v>
      </c>
      <c r="P252" s="16">
        <v>6.9986071103227649</v>
      </c>
      <c r="Q252" s="16">
        <v>5.7478723150571973</v>
      </c>
      <c r="R252" s="16">
        <v>4.6342694563576545</v>
      </c>
      <c r="S252" s="16">
        <v>4.3274378796828978</v>
      </c>
      <c r="T252" s="16">
        <v>3.6663137275292774</v>
      </c>
      <c r="U252" s="16">
        <v>2.9635546157569976</v>
      </c>
      <c r="V252" s="16">
        <v>2.8844659107332626</v>
      </c>
      <c r="W252" s="16">
        <v>8.9188216399826707</v>
      </c>
      <c r="X252" s="16">
        <v>6.0840169710475394</v>
      </c>
      <c r="Y252" s="16">
        <v>3.2430561011071548</v>
      </c>
      <c r="Z252" s="16">
        <v>3.4130947276684305</v>
      </c>
      <c r="AA252" s="16">
        <v>3.9147345373810776</v>
      </c>
      <c r="AB252" s="67">
        <v>4.0624728623006368</v>
      </c>
      <c r="AC252" s="3"/>
    </row>
    <row r="253" spans="2:29" x14ac:dyDescent="0.3">
      <c r="B253" s="66" t="s">
        <v>498</v>
      </c>
      <c r="C253" s="16">
        <v>3.7834277542983923</v>
      </c>
      <c r="D253" s="16">
        <v>4.2803188474795952</v>
      </c>
      <c r="E253" s="16">
        <v>5.2546141502713875</v>
      </c>
      <c r="F253" s="16">
        <v>5.1250959769745394</v>
      </c>
      <c r="G253" s="16">
        <v>4.2933838285854202</v>
      </c>
      <c r="H253" s="16">
        <v>3.4988545697912676</v>
      </c>
      <c r="I253" s="16">
        <v>3.1677989846352848</v>
      </c>
      <c r="J253" s="16">
        <v>4.403496133975568</v>
      </c>
      <c r="K253" s="16">
        <v>7.133689942054513</v>
      </c>
      <c r="L253" s="16">
        <v>10.942973501133087</v>
      </c>
      <c r="M253" s="16">
        <v>11.656256821175575</v>
      </c>
      <c r="N253" s="16">
        <v>10.305702127071591</v>
      </c>
      <c r="O253" s="16">
        <v>8.7428660335187942</v>
      </c>
      <c r="P253" s="16">
        <v>7.3979633906811131</v>
      </c>
      <c r="Q253" s="16">
        <v>6.2509910115127605</v>
      </c>
      <c r="R253" s="16">
        <v>5.3068902453011022</v>
      </c>
      <c r="S253" s="16">
        <v>4.993000349330007</v>
      </c>
      <c r="T253" s="16">
        <v>4.4342220723545607</v>
      </c>
      <c r="U253" s="16">
        <v>3.7237979396462473</v>
      </c>
      <c r="V253" s="16">
        <v>3.3550765295277847</v>
      </c>
      <c r="W253" s="16">
        <v>7.7619766464052766</v>
      </c>
      <c r="X253" s="16">
        <v>4.0328903737312976</v>
      </c>
      <c r="Y253" s="16">
        <v>3.0578476544486675</v>
      </c>
      <c r="Z253" s="16">
        <v>3.0345714304785445</v>
      </c>
      <c r="AA253" s="16">
        <v>3.3565788208381147</v>
      </c>
      <c r="AB253" s="67">
        <v>3.7583805393282983</v>
      </c>
      <c r="AC253" s="3"/>
    </row>
    <row r="254" spans="2:29" x14ac:dyDescent="0.3">
      <c r="B254" s="66" t="s">
        <v>464</v>
      </c>
      <c r="C254" s="16">
        <v>3.099159570144205</v>
      </c>
      <c r="D254" s="16">
        <v>3.7565026017277101</v>
      </c>
      <c r="E254" s="16">
        <v>4.2914496464390997</v>
      </c>
      <c r="F254" s="16">
        <v>4.5988383210317672</v>
      </c>
      <c r="G254" s="16">
        <v>4.4647925136327604</v>
      </c>
      <c r="H254" s="16">
        <v>4.5181489332027649</v>
      </c>
      <c r="I254" s="16">
        <v>4.3130195923143972</v>
      </c>
      <c r="J254" s="16">
        <v>4.080164894134195</v>
      </c>
      <c r="K254" s="16">
        <v>5.71611220127145</v>
      </c>
      <c r="L254" s="16">
        <v>9.4175873499787741</v>
      </c>
      <c r="M254" s="16">
        <v>8.7502061844017511</v>
      </c>
      <c r="N254" s="16">
        <v>7.8577908268930852</v>
      </c>
      <c r="O254" s="16">
        <v>6.5321495081308276</v>
      </c>
      <c r="P254" s="16">
        <v>6.0516021249035301</v>
      </c>
      <c r="Q254" s="16">
        <v>5.1943755642980509</v>
      </c>
      <c r="R254" s="16">
        <v>4.4559419794126818</v>
      </c>
      <c r="S254" s="16">
        <v>3.7864554515896272</v>
      </c>
      <c r="T254" s="16">
        <v>2.9616775795345998</v>
      </c>
      <c r="U254" s="16">
        <v>2.7572898088147726</v>
      </c>
      <c r="V254" s="16">
        <v>2.6189849012673525</v>
      </c>
      <c r="W254" s="16">
        <v>7.1383952357673275</v>
      </c>
      <c r="X254" s="16">
        <v>3.8138413367898574</v>
      </c>
      <c r="Y254" s="16">
        <v>2.7636336031999376</v>
      </c>
      <c r="Z254" s="16">
        <v>2.6368972821830523</v>
      </c>
      <c r="AA254" s="16">
        <v>2.834133373434705</v>
      </c>
      <c r="AB254" s="67">
        <v>3.0303315332228085</v>
      </c>
      <c r="AC254" s="3"/>
    </row>
    <row r="255" spans="2:29" x14ac:dyDescent="0.3">
      <c r="B255" s="66" t="s">
        <v>543</v>
      </c>
      <c r="C255" s="16">
        <v>2.2430430209403776</v>
      </c>
      <c r="D255" s="16">
        <v>2.9316746282543149</v>
      </c>
      <c r="E255" s="16">
        <v>4.3445228039558623</v>
      </c>
      <c r="F255" s="16">
        <v>5.5256314611112245</v>
      </c>
      <c r="G255" s="16">
        <v>5.1711998659699123</v>
      </c>
      <c r="H255" s="16">
        <v>5.0784218289297076</v>
      </c>
      <c r="I255" s="16">
        <v>4.670224076707278</v>
      </c>
      <c r="J255" s="16">
        <v>4.807624022272015</v>
      </c>
      <c r="K255" s="16">
        <v>5.892005150087785</v>
      </c>
      <c r="L255" s="16">
        <v>8.3970904784075309</v>
      </c>
      <c r="M255" s="16">
        <v>9.9410991624779221</v>
      </c>
      <c r="N255" s="16">
        <v>9.5314768103226033</v>
      </c>
      <c r="O255" s="16">
        <v>8.8157577153562681</v>
      </c>
      <c r="P255" s="16">
        <v>8.2990034824241672</v>
      </c>
      <c r="Q255" s="16">
        <v>6.8773126937030469</v>
      </c>
      <c r="R255" s="16">
        <v>5.7595950358416399</v>
      </c>
      <c r="S255" s="16">
        <v>5.1493681042798798</v>
      </c>
      <c r="T255" s="16">
        <v>4.6472815544236905</v>
      </c>
      <c r="U255" s="16">
        <v>4.0522301302714894</v>
      </c>
      <c r="V255" s="16">
        <v>3.6573523209532226</v>
      </c>
      <c r="W255" s="16">
        <v>7.8440221756878623</v>
      </c>
      <c r="X255" s="16">
        <v>6.5036805798106521</v>
      </c>
      <c r="Y255" s="16">
        <v>4.0009978098461501</v>
      </c>
      <c r="Z255" s="16">
        <v>3.1656147233879048</v>
      </c>
      <c r="AA255" s="16">
        <v>3.1635183535944273</v>
      </c>
      <c r="AB255" s="67">
        <v>3.5136872295835331</v>
      </c>
      <c r="AC255" s="3"/>
    </row>
    <row r="256" spans="2:29" x14ac:dyDescent="0.3">
      <c r="B256" s="66" t="s">
        <v>356</v>
      </c>
      <c r="C256" s="16">
        <v>5.0359294667209049</v>
      </c>
      <c r="D256" s="16">
        <v>5.3172338618653274</v>
      </c>
      <c r="E256" s="16">
        <v>5.6855337105614305</v>
      </c>
      <c r="F256" s="16">
        <v>5.6983617110371156</v>
      </c>
      <c r="G256" s="16">
        <v>5.2766558281901572</v>
      </c>
      <c r="H256" s="16">
        <v>6.9559014190998401</v>
      </c>
      <c r="I256" s="16">
        <v>4.4277437771930934</v>
      </c>
      <c r="J256" s="16">
        <v>4.0002913475243771</v>
      </c>
      <c r="K256" s="16">
        <v>4.8270993567066025</v>
      </c>
      <c r="L256" s="16">
        <v>6.8802274171936695</v>
      </c>
      <c r="M256" s="16">
        <v>7.532206647966782</v>
      </c>
      <c r="N256" s="16">
        <v>7.5246051978744752</v>
      </c>
      <c r="O256" s="16">
        <v>6.9580583091360158</v>
      </c>
      <c r="P256" s="16">
        <v>6.5310900061880126</v>
      </c>
      <c r="Q256" s="16">
        <v>6.3684822858996197</v>
      </c>
      <c r="R256" s="16">
        <v>6.1322798480562408</v>
      </c>
      <c r="S256" s="16">
        <v>5.538502503089342</v>
      </c>
      <c r="T256" s="16">
        <v>4.81507702694533</v>
      </c>
      <c r="U256" s="16">
        <v>4.6056266660754073</v>
      </c>
      <c r="V256" s="16">
        <v>4.3125457040230755</v>
      </c>
      <c r="W256" s="16">
        <v>10.66557796325837</v>
      </c>
      <c r="X256" s="16">
        <v>6.9439832276545044</v>
      </c>
      <c r="Y256" s="16">
        <v>3.9220079731636774</v>
      </c>
      <c r="Z256" s="16">
        <v>3.8678534616361024</v>
      </c>
      <c r="AA256" s="16">
        <v>4.3973854742725322</v>
      </c>
      <c r="AB256" s="67">
        <v>4.5081386812176509</v>
      </c>
      <c r="AC256" s="3"/>
    </row>
    <row r="257" spans="2:29" x14ac:dyDescent="0.3">
      <c r="B257" s="66" t="s">
        <v>544</v>
      </c>
      <c r="C257" s="16">
        <v>4.4142503470970054</v>
      </c>
      <c r="D257" s="16">
        <v>4.8585615801209547</v>
      </c>
      <c r="E257" s="16">
        <v>6.4522604969228681</v>
      </c>
      <c r="F257" s="16">
        <v>6.5884985112018377</v>
      </c>
      <c r="G257" s="16">
        <v>5.6795472966716227</v>
      </c>
      <c r="H257" s="16">
        <v>4.8280901340443778</v>
      </c>
      <c r="I257" s="16">
        <v>4.5081695278289375</v>
      </c>
      <c r="J257" s="16">
        <v>4.2868461899616221</v>
      </c>
      <c r="K257" s="16">
        <v>5.2848570982391401</v>
      </c>
      <c r="L257" s="16">
        <v>8.5938796633015944</v>
      </c>
      <c r="M257" s="16">
        <v>9.0602776091663877</v>
      </c>
      <c r="N257" s="16">
        <v>8.6877716390089574</v>
      </c>
      <c r="O257" s="16">
        <v>8.8935170057289046</v>
      </c>
      <c r="P257" s="16">
        <v>8.0331499619239484</v>
      </c>
      <c r="Q257" s="16">
        <v>6.4034450646499756</v>
      </c>
      <c r="R257" s="16">
        <v>5.2735925246566824</v>
      </c>
      <c r="S257" s="16">
        <v>4.8315217851125656</v>
      </c>
      <c r="T257" s="16">
        <v>4.4291446253681972</v>
      </c>
      <c r="U257" s="16">
        <v>3.9596248567959851</v>
      </c>
      <c r="V257" s="16">
        <v>3.6400479002127448</v>
      </c>
      <c r="W257" s="16">
        <v>10.39549275639858</v>
      </c>
      <c r="X257" s="16">
        <v>7.6441927186083962</v>
      </c>
      <c r="Y257" s="16">
        <v>4.3847726935530851</v>
      </c>
      <c r="Z257" s="16">
        <v>4.2671526892238854</v>
      </c>
      <c r="AA257" s="16">
        <v>4.5355132895989572</v>
      </c>
      <c r="AB257" s="67">
        <v>4.5416684545453947</v>
      </c>
      <c r="AC257" s="3"/>
    </row>
    <row r="258" spans="2:29" x14ac:dyDescent="0.3">
      <c r="B258" s="66" t="s">
        <v>499</v>
      </c>
      <c r="C258" s="16">
        <v>3.9065393949462179</v>
      </c>
      <c r="D258" s="16">
        <v>5.5985781654557174</v>
      </c>
      <c r="E258" s="16">
        <v>6.258964148038225</v>
      </c>
      <c r="F258" s="16">
        <v>7.2939703106757579</v>
      </c>
      <c r="G258" s="16">
        <v>7.4266512304671926</v>
      </c>
      <c r="H258" s="16">
        <v>6.8621934605422554</v>
      </c>
      <c r="I258" s="16">
        <v>7.0899854032911973</v>
      </c>
      <c r="J258" s="16">
        <v>6.937870727200667</v>
      </c>
      <c r="K258" s="16">
        <v>7.8915121082371327</v>
      </c>
      <c r="L258" s="16">
        <v>12.873594839263649</v>
      </c>
      <c r="M258" s="16">
        <v>12.149367642081351</v>
      </c>
      <c r="N258" s="16">
        <v>9.901334641608706</v>
      </c>
      <c r="O258" s="16">
        <v>8.9887572403029985</v>
      </c>
      <c r="P258" s="16">
        <v>8.646923991569448</v>
      </c>
      <c r="Q258" s="16">
        <v>6.7408696813792277</v>
      </c>
      <c r="R258" s="16">
        <v>5.184241338278885</v>
      </c>
      <c r="S258" s="16">
        <v>4.8482563457651873</v>
      </c>
      <c r="T258" s="16">
        <v>4.6764669588458005</v>
      </c>
      <c r="U258" s="16">
        <v>4.2354928549194621</v>
      </c>
      <c r="V258" s="16">
        <v>4.0036077432216679</v>
      </c>
      <c r="W258" s="16">
        <v>8.9388938980107202</v>
      </c>
      <c r="X258" s="16">
        <v>5.53789257048218</v>
      </c>
      <c r="Y258" s="16">
        <v>4.353873940716948</v>
      </c>
      <c r="Z258" s="16">
        <v>4.1668288584285893</v>
      </c>
      <c r="AA258" s="16">
        <v>5.0272226048451047</v>
      </c>
      <c r="AB258" s="67">
        <v>5.6664673939393593</v>
      </c>
      <c r="AC258" s="3"/>
    </row>
    <row r="259" spans="2:29" x14ac:dyDescent="0.3">
      <c r="B259" s="66" t="s">
        <v>500</v>
      </c>
      <c r="C259" s="16">
        <v>3.2352150036812071</v>
      </c>
      <c r="D259" s="16">
        <v>4.1302345930807771</v>
      </c>
      <c r="E259" s="16">
        <v>5.075496740163997</v>
      </c>
      <c r="F259" s="16">
        <v>4.8134418906222054</v>
      </c>
      <c r="G259" s="16">
        <v>4.1833323166520104</v>
      </c>
      <c r="H259" s="16">
        <v>3.4723313269637348</v>
      </c>
      <c r="I259" s="16">
        <v>3.1586098951363404</v>
      </c>
      <c r="J259" s="16">
        <v>4.3479285929964551</v>
      </c>
      <c r="K259" s="16">
        <v>7.2869754895591452</v>
      </c>
      <c r="L259" s="16">
        <v>11.267686314764125</v>
      </c>
      <c r="M259" s="16">
        <v>11.551828641481325</v>
      </c>
      <c r="N259" s="16">
        <v>10.266157412305599</v>
      </c>
      <c r="O259" s="16">
        <v>8.5958248176334742</v>
      </c>
      <c r="P259" s="16">
        <v>7.1681695055772074</v>
      </c>
      <c r="Q259" s="16">
        <v>6.037612171724775</v>
      </c>
      <c r="R259" s="16">
        <v>5.1156085896880921</v>
      </c>
      <c r="S259" s="16">
        <v>4.6883473974348346</v>
      </c>
      <c r="T259" s="16">
        <v>4.0846256194663351</v>
      </c>
      <c r="U259" s="16">
        <v>3.5430368877706226</v>
      </c>
      <c r="V259" s="16">
        <v>3.2504292654531275</v>
      </c>
      <c r="W259" s="16">
        <v>7.2777069599292075</v>
      </c>
      <c r="X259" s="16">
        <v>4.1313470860686801</v>
      </c>
      <c r="Y259" s="16">
        <v>3.0288426317747774</v>
      </c>
      <c r="Z259" s="16">
        <v>3.1032285553202752</v>
      </c>
      <c r="AA259" s="16">
        <v>3.5561716008090798</v>
      </c>
      <c r="AB259" s="67">
        <v>3.9324255770319709</v>
      </c>
      <c r="AC259" s="3"/>
    </row>
    <row r="260" spans="2:29" x14ac:dyDescent="0.3">
      <c r="B260" s="66" t="s">
        <v>545</v>
      </c>
      <c r="C260" s="16">
        <v>2.1740409940030725</v>
      </c>
      <c r="D260" s="16">
        <v>2.6666349691611075</v>
      </c>
      <c r="E260" s="16">
        <v>3.9762762019553355</v>
      </c>
      <c r="F260" s="16">
        <v>5.0634037485286898</v>
      </c>
      <c r="G260" s="16">
        <v>4.8274854851623497</v>
      </c>
      <c r="H260" s="16">
        <v>4.6728186276891224</v>
      </c>
      <c r="I260" s="16">
        <v>4.4165335589647023</v>
      </c>
      <c r="J260" s="16">
        <v>4.4128476150954477</v>
      </c>
      <c r="K260" s="16">
        <v>5.5718278215592951</v>
      </c>
      <c r="L260" s="16">
        <v>7.9721761167158256</v>
      </c>
      <c r="M260" s="16">
        <v>9.5580740365558992</v>
      </c>
      <c r="N260" s="16">
        <v>9.3467247333910901</v>
      </c>
      <c r="O260" s="16">
        <v>8.9020203589070768</v>
      </c>
      <c r="P260" s="16">
        <v>8.4857238937162602</v>
      </c>
      <c r="Q260" s="16">
        <v>6.9848363810148602</v>
      </c>
      <c r="R260" s="16">
        <v>5.9674598155989624</v>
      </c>
      <c r="S260" s="16">
        <v>4.9747979997660048</v>
      </c>
      <c r="T260" s="16">
        <v>4.3360468854361374</v>
      </c>
      <c r="U260" s="16">
        <v>3.8517249746603448</v>
      </c>
      <c r="V260" s="16">
        <v>3.5645434435351726</v>
      </c>
      <c r="W260" s="16">
        <v>9.8031218240242151</v>
      </c>
      <c r="X260" s="16">
        <v>7.2196825318303155</v>
      </c>
      <c r="Y260" s="16">
        <v>4.2384323443089897</v>
      </c>
      <c r="Z260" s="16">
        <v>3.202238444627175</v>
      </c>
      <c r="AA260" s="16">
        <v>3.0867188717154099</v>
      </c>
      <c r="AB260" s="67">
        <v>3.4190979570577227</v>
      </c>
      <c r="AC260" s="3"/>
    </row>
    <row r="261" spans="2:29" x14ac:dyDescent="0.3">
      <c r="B261" s="66" t="s">
        <v>122</v>
      </c>
      <c r="C261" s="16">
        <v>4.0937158022108298</v>
      </c>
      <c r="D261" s="16">
        <v>5.1599071348734746</v>
      </c>
      <c r="E261" s="16">
        <v>6.0402172708228807</v>
      </c>
      <c r="F261" s="16">
        <v>5.5888532908443951</v>
      </c>
      <c r="G261" s="16">
        <v>4.7579637173224469</v>
      </c>
      <c r="H261" s="16">
        <v>3.8233790944720023</v>
      </c>
      <c r="I261" s="16">
        <v>3.4950660795013904</v>
      </c>
      <c r="J261" s="16">
        <v>4.6227977884425719</v>
      </c>
      <c r="K261" s="16">
        <v>8.0641492305245297</v>
      </c>
      <c r="L261" s="16">
        <v>12.561416198471525</v>
      </c>
      <c r="M261" s="16">
        <v>13.65779762759815</v>
      </c>
      <c r="N261" s="16">
        <v>12.497882816912277</v>
      </c>
      <c r="O261" s="16">
        <v>10.576520835433964</v>
      </c>
      <c r="P261" s="16">
        <v>8.9165415349125592</v>
      </c>
      <c r="Q261" s="16">
        <v>7.5739439477179573</v>
      </c>
      <c r="R261" s="16">
        <v>6.5501893955982853</v>
      </c>
      <c r="S261" s="16">
        <v>5.7056064096985448</v>
      </c>
      <c r="T261" s="16">
        <v>4.9317049929038443</v>
      </c>
      <c r="U261" s="16">
        <v>4.2637987419631571</v>
      </c>
      <c r="V261" s="16">
        <v>3.8130874037472076</v>
      </c>
      <c r="W261" s="16">
        <v>7.2092185065630021</v>
      </c>
      <c r="X261" s="16">
        <v>4.9789422197285322</v>
      </c>
      <c r="Y261" s="16">
        <v>3.5494012433933402</v>
      </c>
      <c r="Z261" s="16">
        <v>3.6836680356478322</v>
      </c>
      <c r="AA261" s="16">
        <v>4.1929609269532051</v>
      </c>
      <c r="AB261" s="67">
        <v>4.5183302353898194</v>
      </c>
      <c r="AC261" s="3"/>
    </row>
    <row r="262" spans="2:29" x14ac:dyDescent="0.3">
      <c r="B262" s="66" t="s">
        <v>123</v>
      </c>
      <c r="C262" s="16">
        <v>5.4171545699571171</v>
      </c>
      <c r="D262" s="16">
        <v>4.8725704047224294</v>
      </c>
      <c r="E262" s="16">
        <v>6.5539968820595824</v>
      </c>
      <c r="F262" s="16">
        <v>6.6773956592975132</v>
      </c>
      <c r="G262" s="16">
        <v>5.766717503532603</v>
      </c>
      <c r="H262" s="16">
        <v>4.5939067681793677</v>
      </c>
      <c r="I262" s="16">
        <v>3.9197616280768428</v>
      </c>
      <c r="J262" s="16">
        <v>3.3866989899018876</v>
      </c>
      <c r="K262" s="16">
        <v>3.4313437455397175</v>
      </c>
      <c r="L262" s="16">
        <v>8.1438500956605857</v>
      </c>
      <c r="M262" s="16">
        <v>8.4560478142563902</v>
      </c>
      <c r="N262" s="16">
        <v>6.3833530508715226</v>
      </c>
      <c r="O262" s="16">
        <v>4.5812404758748624</v>
      </c>
      <c r="P262" s="16">
        <v>4.3672532333132024</v>
      </c>
      <c r="Q262" s="16">
        <v>3.4999625343654577</v>
      </c>
      <c r="R262" s="16">
        <v>4.6972000500562379</v>
      </c>
      <c r="S262" s="16">
        <v>6.6660836321951873</v>
      </c>
      <c r="T262" s="16">
        <v>4.3413900260949747</v>
      </c>
      <c r="U262" s="16">
        <v>2.8287173121434424</v>
      </c>
      <c r="V262" s="16">
        <v>2.76782864400489</v>
      </c>
      <c r="W262" s="16">
        <v>11.59169568340185</v>
      </c>
      <c r="X262" s="16">
        <v>8.2287584479036369</v>
      </c>
      <c r="Y262" s="16">
        <v>3.9678933192532599</v>
      </c>
      <c r="Z262" s="16">
        <v>3.3713124277122875</v>
      </c>
      <c r="AA262" s="16">
        <v>3.4949474181098776</v>
      </c>
      <c r="AB262" s="67">
        <v>3.6269101169807301</v>
      </c>
      <c r="AC262" s="3"/>
    </row>
    <row r="263" spans="2:29" x14ac:dyDescent="0.3">
      <c r="B263" s="66" t="s">
        <v>546</v>
      </c>
      <c r="C263" s="16">
        <v>3.6112176099056272</v>
      </c>
      <c r="D263" s="16">
        <v>4.5381456904072754</v>
      </c>
      <c r="E263" s="16">
        <v>5.4549680506299323</v>
      </c>
      <c r="F263" s="16">
        <v>5.6172201741696153</v>
      </c>
      <c r="G263" s="16">
        <v>5.0479528294761771</v>
      </c>
      <c r="H263" s="16">
        <v>4.1916362278848753</v>
      </c>
      <c r="I263" s="16">
        <v>2.9745310599080574</v>
      </c>
      <c r="J263" s="16">
        <v>2.7259573709686649</v>
      </c>
      <c r="K263" s="16">
        <v>3.4903479367093975</v>
      </c>
      <c r="L263" s="16">
        <v>7.6688948377455972</v>
      </c>
      <c r="M263" s="16">
        <v>8.1578493962246625</v>
      </c>
      <c r="N263" s="16">
        <v>7.245863167877288</v>
      </c>
      <c r="O263" s="16">
        <v>4.8517361433377175</v>
      </c>
      <c r="P263" s="16">
        <v>4.32914060228258</v>
      </c>
      <c r="Q263" s="16">
        <v>3.7201102429936999</v>
      </c>
      <c r="R263" s="16">
        <v>3.578582264814675</v>
      </c>
      <c r="S263" s="16">
        <v>3.2513036403729103</v>
      </c>
      <c r="T263" s="16">
        <v>3.1150471565631697</v>
      </c>
      <c r="U263" s="16">
        <v>2.8824220954716728</v>
      </c>
      <c r="V263" s="16">
        <v>2.5079287273764601</v>
      </c>
      <c r="W263" s="16">
        <v>4.3885032628033747</v>
      </c>
      <c r="X263" s="16">
        <v>2.5966097951020375</v>
      </c>
      <c r="Y263" s="16">
        <v>2.2561876874857552</v>
      </c>
      <c r="Z263" s="16">
        <v>2.5132395918630328</v>
      </c>
      <c r="AA263" s="16">
        <v>3.017200118240245</v>
      </c>
      <c r="AB263" s="67">
        <v>3.0916900737761885</v>
      </c>
      <c r="AC263" s="3"/>
    </row>
    <row r="264" spans="2:29" x14ac:dyDescent="0.3">
      <c r="B264" s="66" t="s">
        <v>124</v>
      </c>
      <c r="C264" s="16">
        <v>2.6420075420832347</v>
      </c>
      <c r="D264" s="16">
        <v>3.5531899690790247</v>
      </c>
      <c r="E264" s="16">
        <v>4.3063114021208824</v>
      </c>
      <c r="F264" s="16">
        <v>4.9500411539825624</v>
      </c>
      <c r="G264" s="16">
        <v>4.3351758400958174</v>
      </c>
      <c r="H264" s="16">
        <v>4.2143973622356432</v>
      </c>
      <c r="I264" s="16">
        <v>3.869752507400595</v>
      </c>
      <c r="J264" s="16">
        <v>4.0217201761216952</v>
      </c>
      <c r="K264" s="16">
        <v>3.6070644780848951</v>
      </c>
      <c r="L264" s="16">
        <v>6.0655343369454595</v>
      </c>
      <c r="M264" s="16">
        <v>5.5688706814800639</v>
      </c>
      <c r="N264" s="16">
        <v>4.7491541380397448</v>
      </c>
      <c r="O264" s="16">
        <v>4.3911022500016568</v>
      </c>
      <c r="P264" s="16">
        <v>4.4823115101238047</v>
      </c>
      <c r="Q264" s="16">
        <v>3.8724021105864481</v>
      </c>
      <c r="R264" s="16">
        <v>3.7520598739808628</v>
      </c>
      <c r="S264" s="16">
        <v>4.0066157740884973</v>
      </c>
      <c r="T264" s="16">
        <v>3.5816415850630952</v>
      </c>
      <c r="U264" s="16">
        <v>2.9939106382401821</v>
      </c>
      <c r="V264" s="16">
        <v>2.8583010523044949</v>
      </c>
      <c r="W264" s="16">
        <v>6.166864653394212</v>
      </c>
      <c r="X264" s="16">
        <v>3.8306314637906453</v>
      </c>
      <c r="Y264" s="16">
        <v>2.7834326785579422</v>
      </c>
      <c r="Z264" s="16">
        <v>2.9653079004524998</v>
      </c>
      <c r="AA264" s="16">
        <v>3.08483142773945</v>
      </c>
      <c r="AB264" s="67">
        <v>3.0400022376559424</v>
      </c>
      <c r="AC264" s="3"/>
    </row>
    <row r="265" spans="2:29" x14ac:dyDescent="0.3">
      <c r="B265" s="66" t="s">
        <v>501</v>
      </c>
      <c r="C265" s="16">
        <v>4.9266015200448248</v>
      </c>
      <c r="D265" s="16">
        <v>5.7912904439829926</v>
      </c>
      <c r="E265" s="16">
        <v>6.2940311833974123</v>
      </c>
      <c r="F265" s="16">
        <v>6.5794322997533801</v>
      </c>
      <c r="G265" s="16">
        <v>5.9689874923382682</v>
      </c>
      <c r="H265" s="16">
        <v>5.5191145160592345</v>
      </c>
      <c r="I265" s="16">
        <v>5.1501110501871548</v>
      </c>
      <c r="J265" s="16">
        <v>4.9996972877840751</v>
      </c>
      <c r="K265" s="16">
        <v>5.3620391007136607</v>
      </c>
      <c r="L265" s="16">
        <v>7.7346143161271126</v>
      </c>
      <c r="M265" s="16">
        <v>8.3799784833083333</v>
      </c>
      <c r="N265" s="16">
        <v>8.831996881432719</v>
      </c>
      <c r="O265" s="16">
        <v>8.7147725067370665</v>
      </c>
      <c r="P265" s="16">
        <v>7.2545272454686547</v>
      </c>
      <c r="Q265" s="16">
        <v>6.3097241409637705</v>
      </c>
      <c r="R265" s="16">
        <v>6.0044634767775626</v>
      </c>
      <c r="S265" s="16">
        <v>5.8505958348723954</v>
      </c>
      <c r="T265" s="16">
        <v>5.1309344655522224</v>
      </c>
      <c r="U265" s="16">
        <v>5.1094403082742446</v>
      </c>
      <c r="V265" s="16">
        <v>5.1931011580062902</v>
      </c>
      <c r="W265" s="16">
        <v>8.3338898979189828</v>
      </c>
      <c r="X265" s="16">
        <v>5.0905593234024478</v>
      </c>
      <c r="Y265" s="16">
        <v>4.118007676140623</v>
      </c>
      <c r="Z265" s="16">
        <v>4.0579693667450973</v>
      </c>
      <c r="AA265" s="16">
        <v>4.5659661749229272</v>
      </c>
      <c r="AB265" s="67">
        <v>4.345058345581287</v>
      </c>
      <c r="AC265" s="3"/>
    </row>
    <row r="266" spans="2:29" x14ac:dyDescent="0.3">
      <c r="B266" s="66" t="s">
        <v>502</v>
      </c>
      <c r="C266" s="16">
        <v>2.7913068061361601</v>
      </c>
      <c r="D266" s="16">
        <v>3.3074523765736998</v>
      </c>
      <c r="E266" s="16">
        <v>3.9008169842931126</v>
      </c>
      <c r="F266" s="16">
        <v>4.2631008305727942</v>
      </c>
      <c r="G266" s="16">
        <v>4.2825049297460547</v>
      </c>
      <c r="H266" s="16">
        <v>4.2584363697851</v>
      </c>
      <c r="I266" s="16">
        <v>3.4665240704695472</v>
      </c>
      <c r="J266" s="16">
        <v>3.3686552887165377</v>
      </c>
      <c r="K266" s="16">
        <v>3.5780170110409477</v>
      </c>
      <c r="L266" s="16">
        <v>5.0330157927019048</v>
      </c>
      <c r="M266" s="16">
        <v>5.0950004362249404</v>
      </c>
      <c r="N266" s="16">
        <v>4.8337845905487331</v>
      </c>
      <c r="O266" s="16">
        <v>4.3149631719163173</v>
      </c>
      <c r="P266" s="16">
        <v>4.0455651774237174</v>
      </c>
      <c r="Q266" s="16">
        <v>3.5612774926830726</v>
      </c>
      <c r="R266" s="16">
        <v>3.2326714135657051</v>
      </c>
      <c r="S266" s="16">
        <v>3.2051956143369074</v>
      </c>
      <c r="T266" s="16">
        <v>2.9849601136621899</v>
      </c>
      <c r="U266" s="16">
        <v>2.9289850660600774</v>
      </c>
      <c r="V266" s="16">
        <v>3.0473110370159451</v>
      </c>
      <c r="W266" s="16">
        <v>4.7125197522696345</v>
      </c>
      <c r="X266" s="16">
        <v>2.9826531965094198</v>
      </c>
      <c r="Y266" s="16">
        <v>2.3573746772596573</v>
      </c>
      <c r="Z266" s="16">
        <v>2.5025764278733749</v>
      </c>
      <c r="AA266" s="16">
        <v>2.9595494383700354</v>
      </c>
      <c r="AB266" s="67">
        <v>3.1623356333150858</v>
      </c>
      <c r="AC266" s="3"/>
    </row>
    <row r="267" spans="2:29" x14ac:dyDescent="0.3">
      <c r="B267" s="66" t="s">
        <v>357</v>
      </c>
      <c r="C267" s="16">
        <v>3.1661288986748901</v>
      </c>
      <c r="D267" s="16">
        <v>4.362092233638255</v>
      </c>
      <c r="E267" s="16">
        <v>5.8060776909693121</v>
      </c>
      <c r="F267" s="16">
        <v>5.3672795889316651</v>
      </c>
      <c r="G267" s="16">
        <v>4.5535236021347076</v>
      </c>
      <c r="H267" s="16">
        <v>3.6279750121906051</v>
      </c>
      <c r="I267" s="16">
        <v>3.2146866527720253</v>
      </c>
      <c r="J267" s="16">
        <v>3.8651579689960673</v>
      </c>
      <c r="K267" s="16">
        <v>6.1166554029081199</v>
      </c>
      <c r="L267" s="16">
        <v>10.320010089263455</v>
      </c>
      <c r="M267" s="16">
        <v>11.121406234942924</v>
      </c>
      <c r="N267" s="16">
        <v>10.200560894316689</v>
      </c>
      <c r="O267" s="16">
        <v>8.7265716197259131</v>
      </c>
      <c r="P267" s="16">
        <v>7.2982759379778956</v>
      </c>
      <c r="Q267" s="16">
        <v>6.2451120844096728</v>
      </c>
      <c r="R267" s="16">
        <v>5.2075229323956798</v>
      </c>
      <c r="S267" s="16">
        <v>4.48782310805879</v>
      </c>
      <c r="T267" s="16">
        <v>3.8908848230672026</v>
      </c>
      <c r="U267" s="16">
        <v>3.3579317044124597</v>
      </c>
      <c r="V267" s="16">
        <v>3.0471143233225249</v>
      </c>
      <c r="W267" s="16">
        <v>10.436602604285476</v>
      </c>
      <c r="X267" s="16">
        <v>5.0427352353210502</v>
      </c>
      <c r="Y267" s="16">
        <v>2.9920231511642998</v>
      </c>
      <c r="Z267" s="16">
        <v>2.9371101644126223</v>
      </c>
      <c r="AA267" s="16">
        <v>3.2785775928563123</v>
      </c>
      <c r="AB267" s="67">
        <v>3.5047727757320395</v>
      </c>
      <c r="AC267" s="3"/>
    </row>
    <row r="268" spans="2:29" x14ac:dyDescent="0.3">
      <c r="B268" s="66" t="s">
        <v>358</v>
      </c>
      <c r="C268" s="16">
        <v>2.7384129181400749</v>
      </c>
      <c r="D268" s="16">
        <v>3.7372796151893271</v>
      </c>
      <c r="E268" s="16">
        <v>4.8966855060675778</v>
      </c>
      <c r="F268" s="16">
        <v>5.2646801758267721</v>
      </c>
      <c r="G268" s="16">
        <v>4.5965589380320804</v>
      </c>
      <c r="H268" s="16">
        <v>4.4117961602878246</v>
      </c>
      <c r="I268" s="16">
        <v>4.4458172274812382</v>
      </c>
      <c r="J268" s="16">
        <v>4.4733464164501253</v>
      </c>
      <c r="K268" s="16">
        <v>4.4304280418041575</v>
      </c>
      <c r="L268" s="16">
        <v>7.9105294704012374</v>
      </c>
      <c r="M268" s="16">
        <v>7.5529521581582202</v>
      </c>
      <c r="N268" s="16">
        <v>6.8501161656114951</v>
      </c>
      <c r="O268" s="16">
        <v>6.55260259166318</v>
      </c>
      <c r="P268" s="16">
        <v>6.3202352532260226</v>
      </c>
      <c r="Q268" s="16">
        <v>5.15751080424244</v>
      </c>
      <c r="R268" s="16">
        <v>4.1129979590200501</v>
      </c>
      <c r="S268" s="16">
        <v>3.5105462749545424</v>
      </c>
      <c r="T268" s="16">
        <v>2.9844004882236677</v>
      </c>
      <c r="U268" s="16">
        <v>2.7510941914554725</v>
      </c>
      <c r="V268" s="16">
        <v>2.8855574990019002</v>
      </c>
      <c r="W268" s="16">
        <v>5.5783337668673569</v>
      </c>
      <c r="X268" s="16">
        <v>3.2170987413624852</v>
      </c>
      <c r="Y268" s="16">
        <v>2.4389649264491098</v>
      </c>
      <c r="Z268" s="16">
        <v>2.4471920777558651</v>
      </c>
      <c r="AA268" s="16">
        <v>2.6598739950093502</v>
      </c>
      <c r="AB268" s="67">
        <v>2.8415046097346242</v>
      </c>
      <c r="AC268" s="3"/>
    </row>
    <row r="269" spans="2:29" x14ac:dyDescent="0.3">
      <c r="B269" s="66" t="s">
        <v>125</v>
      </c>
      <c r="C269" s="16">
        <v>4.2537177031128399</v>
      </c>
      <c r="D269" s="16">
        <v>5.0898864572564495</v>
      </c>
      <c r="E269" s="16">
        <v>5.665718483415465</v>
      </c>
      <c r="F269" s="16">
        <v>6.1762697058786582</v>
      </c>
      <c r="G269" s="16">
        <v>5.5043293469565722</v>
      </c>
      <c r="H269" s="16">
        <v>5.9093603785244451</v>
      </c>
      <c r="I269" s="16">
        <v>5.5436927794869826</v>
      </c>
      <c r="J269" s="16">
        <v>4.8800841774950676</v>
      </c>
      <c r="K269" s="16">
        <v>5.9277804428348606</v>
      </c>
      <c r="L269" s="16">
        <v>9.6360751184353042</v>
      </c>
      <c r="M269" s="16">
        <v>9.4606186591199339</v>
      </c>
      <c r="N269" s="16">
        <v>8.3831979809276138</v>
      </c>
      <c r="O269" s="16">
        <v>7.0855649158394503</v>
      </c>
      <c r="P269" s="16">
        <v>6.8635188556231652</v>
      </c>
      <c r="Q269" s="16">
        <v>5.6975850993563455</v>
      </c>
      <c r="R269" s="16">
        <v>4.5821902447893583</v>
      </c>
      <c r="S269" s="16">
        <v>4.5057332068160942</v>
      </c>
      <c r="T269" s="16">
        <v>4.3469745278094098</v>
      </c>
      <c r="U269" s="16">
        <v>3.9321434524763204</v>
      </c>
      <c r="V269" s="16">
        <v>3.70398100016047</v>
      </c>
      <c r="W269" s="16">
        <v>5.768909819829295</v>
      </c>
      <c r="X269" s="16">
        <v>4.0446783738031424</v>
      </c>
      <c r="Y269" s="16">
        <v>3.9812052316930751</v>
      </c>
      <c r="Z269" s="16">
        <v>4.3442327585448144</v>
      </c>
      <c r="AA269" s="16">
        <v>5.0200487950330954</v>
      </c>
      <c r="AB269" s="67">
        <v>4.8565266930555309</v>
      </c>
      <c r="AC269" s="3"/>
    </row>
    <row r="270" spans="2:29" x14ac:dyDescent="0.3">
      <c r="B270" s="66" t="s">
        <v>359</v>
      </c>
      <c r="C270" s="16">
        <v>4.5038661443390255</v>
      </c>
      <c r="D270" s="16">
        <v>4.8821880955449455</v>
      </c>
      <c r="E270" s="16">
        <v>5.8199215422195421</v>
      </c>
      <c r="F270" s="16">
        <v>5.8447547007169804</v>
      </c>
      <c r="G270" s="16">
        <v>5.352839481208723</v>
      </c>
      <c r="H270" s="16">
        <v>4.7341138285135944</v>
      </c>
      <c r="I270" s="16">
        <v>4.3095099058416748</v>
      </c>
      <c r="J270" s="16">
        <v>4.8381939831764926</v>
      </c>
      <c r="K270" s="16">
        <v>6.3254705832291229</v>
      </c>
      <c r="L270" s="16">
        <v>9.9741431557895623</v>
      </c>
      <c r="M270" s="16">
        <v>10.919998811123925</v>
      </c>
      <c r="N270" s="16">
        <v>10.264126182537424</v>
      </c>
      <c r="O270" s="16">
        <v>9.1328527000912469</v>
      </c>
      <c r="P270" s="16">
        <v>7.9531027461802566</v>
      </c>
      <c r="Q270" s="16">
        <v>6.7188449519575428</v>
      </c>
      <c r="R270" s="16">
        <v>5.6604772073719678</v>
      </c>
      <c r="S270" s="16">
        <v>5.2621160195391301</v>
      </c>
      <c r="T270" s="16">
        <v>4.5388111974575676</v>
      </c>
      <c r="U270" s="16">
        <v>3.8510564570309627</v>
      </c>
      <c r="V270" s="16">
        <v>3.6354923907270074</v>
      </c>
      <c r="W270" s="16">
        <v>8.7373536823556712</v>
      </c>
      <c r="X270" s="16">
        <v>6.2158743931528928</v>
      </c>
      <c r="Y270" s="16">
        <v>3.7172513298851446</v>
      </c>
      <c r="Z270" s="16">
        <v>4.1534053802092945</v>
      </c>
      <c r="AA270" s="16">
        <v>4.6024090854196</v>
      </c>
      <c r="AB270" s="67">
        <v>4.7668542060881949</v>
      </c>
      <c r="AC270" s="3"/>
    </row>
    <row r="271" spans="2:29" x14ac:dyDescent="0.3">
      <c r="B271" s="66" t="s">
        <v>547</v>
      </c>
      <c r="C271" s="16">
        <v>4.9319944965009022</v>
      </c>
      <c r="D271" s="16">
        <v>5.4673117008231724</v>
      </c>
      <c r="E271" s="16">
        <v>6.2205458239516132</v>
      </c>
      <c r="F271" s="16">
        <v>6.6077536471032428</v>
      </c>
      <c r="G271" s="16">
        <v>5.8648405113979454</v>
      </c>
      <c r="H271" s="16">
        <v>5.8585224952630375</v>
      </c>
      <c r="I271" s="16">
        <v>5.5451891655335519</v>
      </c>
      <c r="J271" s="16">
        <v>5.1086275915857753</v>
      </c>
      <c r="K271" s="16">
        <v>6.189352821002652</v>
      </c>
      <c r="L271" s="16">
        <v>9.1858420514152321</v>
      </c>
      <c r="M271" s="16">
        <v>9.55565404518223</v>
      </c>
      <c r="N271" s="16">
        <v>8.9667546878045421</v>
      </c>
      <c r="O271" s="16">
        <v>8.47610925335308</v>
      </c>
      <c r="P271" s="16">
        <v>8.3053579697990827</v>
      </c>
      <c r="Q271" s="16">
        <v>7.2524364198954627</v>
      </c>
      <c r="R271" s="16">
        <v>6.1166192546013454</v>
      </c>
      <c r="S271" s="16">
        <v>6.0880045008630477</v>
      </c>
      <c r="T271" s="16">
        <v>6.0791973176898173</v>
      </c>
      <c r="U271" s="16">
        <v>5.6158065962702022</v>
      </c>
      <c r="V271" s="16">
        <v>4.7206450169021004</v>
      </c>
      <c r="W271" s="16">
        <v>7.0203398707662483</v>
      </c>
      <c r="X271" s="16">
        <v>4.938807646994583</v>
      </c>
      <c r="Y271" s="16">
        <v>4.3343516259634924</v>
      </c>
      <c r="Z271" s="16">
        <v>4.3937058267191293</v>
      </c>
      <c r="AA271" s="16">
        <v>5.0922991167753455</v>
      </c>
      <c r="AB271" s="67">
        <v>5.0563240395650118</v>
      </c>
      <c r="AC271" s="3"/>
    </row>
    <row r="272" spans="2:29" x14ac:dyDescent="0.3">
      <c r="B272" s="66" t="s">
        <v>360</v>
      </c>
      <c r="C272" s="16">
        <v>3.6792422437511401</v>
      </c>
      <c r="D272" s="16">
        <v>4.5590500113288277</v>
      </c>
      <c r="E272" s="16">
        <v>5.8549234432505548</v>
      </c>
      <c r="F272" s="16">
        <v>5.3937537459375653</v>
      </c>
      <c r="G272" s="16">
        <v>4.5611997922609593</v>
      </c>
      <c r="H272" s="16">
        <v>3.6614783597178171</v>
      </c>
      <c r="I272" s="16">
        <v>3.3282065746991725</v>
      </c>
      <c r="J272" s="16">
        <v>4.3622753863318797</v>
      </c>
      <c r="K272" s="16">
        <v>6.7391543391718596</v>
      </c>
      <c r="L272" s="16">
        <v>10.241194642841551</v>
      </c>
      <c r="M272" s="16">
        <v>11.280500992411074</v>
      </c>
      <c r="N272" s="16">
        <v>11.071061642085152</v>
      </c>
      <c r="O272" s="16">
        <v>9.7451058725455653</v>
      </c>
      <c r="P272" s="16">
        <v>8.6719289714052703</v>
      </c>
      <c r="Q272" s="16">
        <v>7.271298564058295</v>
      </c>
      <c r="R272" s="16">
        <v>6.0651981384616001</v>
      </c>
      <c r="S272" s="16">
        <v>5.2202712977454855</v>
      </c>
      <c r="T272" s="16">
        <v>4.406090140954535</v>
      </c>
      <c r="U272" s="16">
        <v>3.63156048156055</v>
      </c>
      <c r="V272" s="16">
        <v>3.2868421197019875</v>
      </c>
      <c r="W272" s="16">
        <v>6.9636280192297102</v>
      </c>
      <c r="X272" s="16">
        <v>4.1979649827102952</v>
      </c>
      <c r="Y272" s="16">
        <v>2.9824543897490323</v>
      </c>
      <c r="Z272" s="16">
        <v>3.0646946911267601</v>
      </c>
      <c r="AA272" s="16">
        <v>3.5010455498273574</v>
      </c>
      <c r="AB272" s="67">
        <v>3.8505142409419855</v>
      </c>
      <c r="AC272" s="3"/>
    </row>
    <row r="273" spans="2:29" x14ac:dyDescent="0.3">
      <c r="B273" s="66" t="s">
        <v>454</v>
      </c>
      <c r="C273" s="16">
        <v>4.6831771223489493</v>
      </c>
      <c r="D273" s="16">
        <v>5.3559510548500553</v>
      </c>
      <c r="E273" s="16">
        <v>5.8902573158342797</v>
      </c>
      <c r="F273" s="16">
        <v>5.4379668202379374</v>
      </c>
      <c r="G273" s="16">
        <v>4.4988057760556845</v>
      </c>
      <c r="H273" s="16">
        <v>3.6052425750877397</v>
      </c>
      <c r="I273" s="16">
        <v>3.2008584779126599</v>
      </c>
      <c r="J273" s="16">
        <v>3.7254715622784227</v>
      </c>
      <c r="K273" s="16">
        <v>5.7613994429500721</v>
      </c>
      <c r="L273" s="16">
        <v>9.0698725248551604</v>
      </c>
      <c r="M273" s="16">
        <v>10.523317427102651</v>
      </c>
      <c r="N273" s="16">
        <v>10.367148599431225</v>
      </c>
      <c r="O273" s="16">
        <v>8.9968879878293784</v>
      </c>
      <c r="P273" s="16">
        <v>7.6736428845997304</v>
      </c>
      <c r="Q273" s="16">
        <v>6.7127900656494326</v>
      </c>
      <c r="R273" s="16">
        <v>5.5334375365181723</v>
      </c>
      <c r="S273" s="16">
        <v>4.8602463185852098</v>
      </c>
      <c r="T273" s="16">
        <v>4.2153960582693344</v>
      </c>
      <c r="U273" s="16">
        <v>4.1620438443584344</v>
      </c>
      <c r="V273" s="16">
        <v>3.7574011957158473</v>
      </c>
      <c r="W273" s="16">
        <v>6.3083909940897254</v>
      </c>
      <c r="X273" s="16">
        <v>4.1173610778379972</v>
      </c>
      <c r="Y273" s="16">
        <v>2.9120411284722176</v>
      </c>
      <c r="Z273" s="16">
        <v>2.9474674138664074</v>
      </c>
      <c r="AA273" s="16">
        <v>3.3642958111266474</v>
      </c>
      <c r="AB273" s="67">
        <v>3.6844424455163782</v>
      </c>
      <c r="AC273" s="3"/>
    </row>
    <row r="274" spans="2:29" x14ac:dyDescent="0.3">
      <c r="B274" s="66" t="s">
        <v>361</v>
      </c>
      <c r="C274" s="16">
        <v>4.7774523367611854</v>
      </c>
      <c r="D274" s="16">
        <v>5.0576298263601922</v>
      </c>
      <c r="E274" s="16">
        <v>5.9300571658283729</v>
      </c>
      <c r="F274" s="16">
        <v>6.3035368079753482</v>
      </c>
      <c r="G274" s="16">
        <v>5.561546260323162</v>
      </c>
      <c r="H274" s="16">
        <v>5.518168665689295</v>
      </c>
      <c r="I274" s="16">
        <v>4.8385954371852176</v>
      </c>
      <c r="J274" s="16">
        <v>4.6438723837407148</v>
      </c>
      <c r="K274" s="16">
        <v>4.984198098769097</v>
      </c>
      <c r="L274" s="16">
        <v>8.9952330524885262</v>
      </c>
      <c r="M274" s="16">
        <v>8.8311366337683754</v>
      </c>
      <c r="N274" s="16">
        <v>8.0648550973989455</v>
      </c>
      <c r="O274" s="16">
        <v>7.1946506340937102</v>
      </c>
      <c r="P274" s="16">
        <v>6.356170636909698</v>
      </c>
      <c r="Q274" s="16">
        <v>6.0369627864750273</v>
      </c>
      <c r="R274" s="16">
        <v>6.3647492235766361</v>
      </c>
      <c r="S274" s="16">
        <v>5.8236125932418625</v>
      </c>
      <c r="T274" s="16">
        <v>5.4810682893676281</v>
      </c>
      <c r="U274" s="16">
        <v>5.3041055819238201</v>
      </c>
      <c r="V274" s="16">
        <v>5.1425708890565449</v>
      </c>
      <c r="W274" s="16">
        <v>8.7131303915481499</v>
      </c>
      <c r="X274" s="16">
        <v>5.407744286762405</v>
      </c>
      <c r="Y274" s="16">
        <v>4.0934976370733045</v>
      </c>
      <c r="Z274" s="16">
        <v>4.0713989774045425</v>
      </c>
      <c r="AA274" s="16">
        <v>4.2605179778414275</v>
      </c>
      <c r="AB274" s="67">
        <v>3.976378836389197</v>
      </c>
      <c r="AC274" s="3"/>
    </row>
    <row r="275" spans="2:29" x14ac:dyDescent="0.3">
      <c r="B275" s="66" t="s">
        <v>362</v>
      </c>
      <c r="C275" s="16">
        <v>4.0197886781476875</v>
      </c>
      <c r="D275" s="16">
        <v>4.9794181285319103</v>
      </c>
      <c r="E275" s="16">
        <v>5.4035049820255798</v>
      </c>
      <c r="F275" s="16">
        <v>4.9994608531416258</v>
      </c>
      <c r="G275" s="16">
        <v>4.7084322082452275</v>
      </c>
      <c r="H275" s="16">
        <v>3.8225213219438405</v>
      </c>
      <c r="I275" s="16">
        <v>3.1792909250257324</v>
      </c>
      <c r="J275" s="16">
        <v>3.8657756365744804</v>
      </c>
      <c r="K275" s="16">
        <v>6.046454660282615</v>
      </c>
      <c r="L275" s="16">
        <v>9.4366049532218774</v>
      </c>
      <c r="M275" s="16">
        <v>9.8178293128360803</v>
      </c>
      <c r="N275" s="16">
        <v>9.4567960642441129</v>
      </c>
      <c r="O275" s="16">
        <v>8.4080343150333281</v>
      </c>
      <c r="P275" s="16">
        <v>7.2731064351822496</v>
      </c>
      <c r="Q275" s="16">
        <v>6.3489744252727469</v>
      </c>
      <c r="R275" s="16">
        <v>5.3725359598122751</v>
      </c>
      <c r="S275" s="16">
        <v>4.8217601966628996</v>
      </c>
      <c r="T275" s="16">
        <v>4.1312070266450673</v>
      </c>
      <c r="U275" s="16">
        <v>3.5803222549204698</v>
      </c>
      <c r="V275" s="16">
        <v>3.2102205798452124</v>
      </c>
      <c r="W275" s="16">
        <v>6.4806166634569946</v>
      </c>
      <c r="X275" s="16">
        <v>4.3048939250212275</v>
      </c>
      <c r="Y275" s="16">
        <v>3.0111600571226576</v>
      </c>
      <c r="Z275" s="16">
        <v>3.0529322951846076</v>
      </c>
      <c r="AA275" s="16">
        <v>3.5415917151334546</v>
      </c>
      <c r="AB275" s="67">
        <v>3.896083381205544</v>
      </c>
      <c r="AC275" s="3"/>
    </row>
    <row r="276" spans="2:29" x14ac:dyDescent="0.3">
      <c r="B276" s="66" t="s">
        <v>126</v>
      </c>
      <c r="C276" s="16">
        <v>4.0573195497278975</v>
      </c>
      <c r="D276" s="16">
        <v>4.6601882974236393</v>
      </c>
      <c r="E276" s="16">
        <v>5.3334437372271104</v>
      </c>
      <c r="F276" s="16">
        <v>5.9983075853901378</v>
      </c>
      <c r="G276" s="16">
        <v>5.3537361798479202</v>
      </c>
      <c r="H276" s="16">
        <v>4.6026737591421902</v>
      </c>
      <c r="I276" s="16">
        <v>3.9759250903683427</v>
      </c>
      <c r="J276" s="16">
        <v>4.3760736777826397</v>
      </c>
      <c r="K276" s="16">
        <v>5.621949383407415</v>
      </c>
      <c r="L276" s="16">
        <v>10.33785647028345</v>
      </c>
      <c r="M276" s="16">
        <v>10.060394821074658</v>
      </c>
      <c r="N276" s="16">
        <v>8.6417567661269459</v>
      </c>
      <c r="O276" s="16">
        <v>7.8720186076492356</v>
      </c>
      <c r="P276" s="16">
        <v>8.9476542970354167</v>
      </c>
      <c r="Q276" s="16">
        <v>7.0856698786176731</v>
      </c>
      <c r="R276" s="16">
        <v>6.3975208273955584</v>
      </c>
      <c r="S276" s="16">
        <v>6.4206700876346847</v>
      </c>
      <c r="T276" s="16">
        <v>5.4093456247878819</v>
      </c>
      <c r="U276" s="16">
        <v>5.1675395021424908</v>
      </c>
      <c r="V276" s="16">
        <v>4.5016809468344956</v>
      </c>
      <c r="W276" s="16">
        <v>8.6848371404635696</v>
      </c>
      <c r="X276" s="16">
        <v>5.910661826338222</v>
      </c>
      <c r="Y276" s="16">
        <v>4.5792002826187579</v>
      </c>
      <c r="Z276" s="16">
        <v>4.8574352310131594</v>
      </c>
      <c r="AA276" s="16">
        <v>4.8816971621880185</v>
      </c>
      <c r="AB276" s="67">
        <v>4.4959067589339039</v>
      </c>
      <c r="AC276" s="3"/>
    </row>
    <row r="277" spans="2:29" x14ac:dyDescent="0.3">
      <c r="B277" s="66" t="s">
        <v>363</v>
      </c>
      <c r="C277" s="16">
        <v>3.9197776611581325</v>
      </c>
      <c r="D277" s="16">
        <v>4.3501083007903727</v>
      </c>
      <c r="E277" s="16">
        <v>5.31966933374314</v>
      </c>
      <c r="F277" s="16">
        <v>5.4581808470555382</v>
      </c>
      <c r="G277" s="16">
        <v>5.0386146762954276</v>
      </c>
      <c r="H277" s="16">
        <v>4.7369421049650482</v>
      </c>
      <c r="I277" s="16">
        <v>4.6003143044765826</v>
      </c>
      <c r="J277" s="16">
        <v>4.412507053108615</v>
      </c>
      <c r="K277" s="16">
        <v>5.3575128558122076</v>
      </c>
      <c r="L277" s="16">
        <v>8.211836761936528</v>
      </c>
      <c r="M277" s="16">
        <v>8.5821188233388987</v>
      </c>
      <c r="N277" s="16">
        <v>8.3445977466256949</v>
      </c>
      <c r="O277" s="16">
        <v>8.2799510724078083</v>
      </c>
      <c r="P277" s="16">
        <v>7.5837098512998322</v>
      </c>
      <c r="Q277" s="16">
        <v>6.2694767991618896</v>
      </c>
      <c r="R277" s="16">
        <v>5.4743002462410777</v>
      </c>
      <c r="S277" s="16">
        <v>5.0152224316814227</v>
      </c>
      <c r="T277" s="16">
        <v>4.7155005591452355</v>
      </c>
      <c r="U277" s="16">
        <v>4.2274376619989198</v>
      </c>
      <c r="V277" s="16">
        <v>3.978022048193985</v>
      </c>
      <c r="W277" s="16">
        <v>8.88022672563444</v>
      </c>
      <c r="X277" s="16">
        <v>6.0237354448945677</v>
      </c>
      <c r="Y277" s="16">
        <v>3.9628228603982074</v>
      </c>
      <c r="Z277" s="16">
        <v>3.7172464454752401</v>
      </c>
      <c r="AA277" s="16">
        <v>3.8304153106771501</v>
      </c>
      <c r="AB277" s="67">
        <v>4.0851050020257551</v>
      </c>
      <c r="AC277" s="3"/>
    </row>
    <row r="278" spans="2:29" x14ac:dyDescent="0.3">
      <c r="B278" s="66" t="s">
        <v>503</v>
      </c>
      <c r="C278" s="16">
        <v>3.2987974778753699</v>
      </c>
      <c r="D278" s="16">
        <v>4.1979274366426225</v>
      </c>
      <c r="E278" s="16">
        <v>5.7425457895512899</v>
      </c>
      <c r="F278" s="16">
        <v>5.3109043606304578</v>
      </c>
      <c r="G278" s="16">
        <v>4.4464422522953448</v>
      </c>
      <c r="H278" s="16">
        <v>4.0672892562449849</v>
      </c>
      <c r="I278" s="16">
        <v>3.70048809487229</v>
      </c>
      <c r="J278" s="16">
        <v>3.1935510584916096</v>
      </c>
      <c r="K278" s="16">
        <v>5.1623442573500746</v>
      </c>
      <c r="L278" s="16">
        <v>9.1126718105548132</v>
      </c>
      <c r="M278" s="16">
        <v>9.5953822754282925</v>
      </c>
      <c r="N278" s="16">
        <v>8.6400597596998416</v>
      </c>
      <c r="O278" s="16">
        <v>7.4182930461357657</v>
      </c>
      <c r="P278" s="16">
        <v>6.7508335665325223</v>
      </c>
      <c r="Q278" s="16">
        <v>5.9407032252545893</v>
      </c>
      <c r="R278" s="16">
        <v>5.2370368117283075</v>
      </c>
      <c r="S278" s="16">
        <v>4.7207314276504144</v>
      </c>
      <c r="T278" s="16">
        <v>4.2824463394763272</v>
      </c>
      <c r="U278" s="16">
        <v>4.1541255965395401</v>
      </c>
      <c r="V278" s="16">
        <v>4.1493758314905325</v>
      </c>
      <c r="W278" s="16">
        <v>7.2861601039325743</v>
      </c>
      <c r="X278" s="16">
        <v>4.613091416674</v>
      </c>
      <c r="Y278" s="16">
        <v>3.2839715865125725</v>
      </c>
      <c r="Z278" s="16">
        <v>3.235986558041875</v>
      </c>
      <c r="AA278" s="16">
        <v>3.1869162518609024</v>
      </c>
      <c r="AB278" s="67">
        <v>3.557420844265081</v>
      </c>
      <c r="AC278" s="3"/>
    </row>
    <row r="279" spans="2:29" x14ac:dyDescent="0.3">
      <c r="B279" s="66" t="s">
        <v>548</v>
      </c>
      <c r="C279" s="16">
        <v>3.6541123284926402</v>
      </c>
      <c r="D279" s="16">
        <v>4.7916089904332129</v>
      </c>
      <c r="E279" s="16">
        <v>6.3215400052513901</v>
      </c>
      <c r="F279" s="16">
        <v>6.3158526266390407</v>
      </c>
      <c r="G279" s="16">
        <v>5.5070699063350625</v>
      </c>
      <c r="H279" s="16">
        <v>5.0623453165302497</v>
      </c>
      <c r="I279" s="16">
        <v>4.7461072634366079</v>
      </c>
      <c r="J279" s="16">
        <v>4.5674537009699145</v>
      </c>
      <c r="K279" s="16">
        <v>5.9129872404307697</v>
      </c>
      <c r="L279" s="16">
        <v>10.3634905421998</v>
      </c>
      <c r="M279" s="16">
        <v>10.063445661557845</v>
      </c>
      <c r="N279" s="16">
        <v>9.6257483785728226</v>
      </c>
      <c r="O279" s="16">
        <v>9.0920294529463455</v>
      </c>
      <c r="P279" s="16">
        <v>7.5633807027345874</v>
      </c>
      <c r="Q279" s="16">
        <v>5.9321379822766973</v>
      </c>
      <c r="R279" s="16">
        <v>5.7277165708968951</v>
      </c>
      <c r="S279" s="16">
        <v>4.8504778576382801</v>
      </c>
      <c r="T279" s="16">
        <v>4.3196266898424129</v>
      </c>
      <c r="U279" s="16">
        <v>3.7863126258243254</v>
      </c>
      <c r="V279" s="16">
        <v>3.7556735021064247</v>
      </c>
      <c r="W279" s="16">
        <v>7.1229388024064235</v>
      </c>
      <c r="X279" s="16">
        <v>4.5635256902733197</v>
      </c>
      <c r="Y279" s="16">
        <v>3.6319365927336746</v>
      </c>
      <c r="Z279" s="16">
        <v>3.4446219704043655</v>
      </c>
      <c r="AA279" s="16">
        <v>3.4036212889287549</v>
      </c>
      <c r="AB279" s="67">
        <v>3.387636530186056</v>
      </c>
      <c r="AC279" s="3"/>
    </row>
    <row r="280" spans="2:29" x14ac:dyDescent="0.3">
      <c r="B280" s="66" t="s">
        <v>127</v>
      </c>
      <c r="C280" s="16">
        <v>4.4265842966137674</v>
      </c>
      <c r="D280" s="16">
        <v>4.8435155841751625</v>
      </c>
      <c r="E280" s="16">
        <v>5.6258441430270185</v>
      </c>
      <c r="F280" s="16">
        <v>5.8906454836492728</v>
      </c>
      <c r="G280" s="16">
        <v>5.6063832585235778</v>
      </c>
      <c r="H280" s="16">
        <v>5.2758416913255477</v>
      </c>
      <c r="I280" s="16">
        <v>4.8773838352148529</v>
      </c>
      <c r="J280" s="16">
        <v>4.6003803062131645</v>
      </c>
      <c r="K280" s="16">
        <v>5.1989947011506894</v>
      </c>
      <c r="L280" s="16">
        <v>7.369765460053662</v>
      </c>
      <c r="M280" s="16">
        <v>7.6986966351327997</v>
      </c>
      <c r="N280" s="16">
        <v>7.2080342951588134</v>
      </c>
      <c r="O280" s="16">
        <v>7.0055835067799492</v>
      </c>
      <c r="P280" s="16">
        <v>6.5774335288351971</v>
      </c>
      <c r="Q280" s="16">
        <v>5.7768438334906653</v>
      </c>
      <c r="R280" s="16">
        <v>5.4594178807951126</v>
      </c>
      <c r="S280" s="16">
        <v>5.5955476984881622</v>
      </c>
      <c r="T280" s="16">
        <v>5.1150729196485303</v>
      </c>
      <c r="U280" s="16">
        <v>4.3941508155377704</v>
      </c>
      <c r="V280" s="16">
        <v>4.2585025103162373</v>
      </c>
      <c r="W280" s="16">
        <v>8.9805112680654773</v>
      </c>
      <c r="X280" s="16">
        <v>5.9657928641650102</v>
      </c>
      <c r="Y280" s="16">
        <v>4.2661857646647645</v>
      </c>
      <c r="Z280" s="16">
        <v>3.6947380294743248</v>
      </c>
      <c r="AA280" s="16">
        <v>3.6215073432031728</v>
      </c>
      <c r="AB280" s="67">
        <v>3.8279274127833616</v>
      </c>
      <c r="AC280" s="3"/>
    </row>
    <row r="281" spans="2:29" x14ac:dyDescent="0.3">
      <c r="B281" s="66" t="s">
        <v>128</v>
      </c>
      <c r="C281" s="16">
        <v>3.0075023852306249</v>
      </c>
      <c r="D281" s="16">
        <v>3.5944741915348275</v>
      </c>
      <c r="E281" s="16">
        <v>4.5122037441936094</v>
      </c>
      <c r="F281" s="16">
        <v>5.0430553118050829</v>
      </c>
      <c r="G281" s="16">
        <v>4.644551953909315</v>
      </c>
      <c r="H281" s="16">
        <v>4.3090706981215101</v>
      </c>
      <c r="I281" s="16">
        <v>4.2872193308407347</v>
      </c>
      <c r="J281" s="16">
        <v>4.3900428869803383</v>
      </c>
      <c r="K281" s="16">
        <v>5.1271569773229633</v>
      </c>
      <c r="L281" s="16">
        <v>7.7278623316635233</v>
      </c>
      <c r="M281" s="16">
        <v>8.5225223488913198</v>
      </c>
      <c r="N281" s="16">
        <v>7.8481630385740235</v>
      </c>
      <c r="O281" s="16">
        <v>7.3825825834655276</v>
      </c>
      <c r="P281" s="16">
        <v>7.3730233661597078</v>
      </c>
      <c r="Q281" s="16">
        <v>6.5728276474856546</v>
      </c>
      <c r="R281" s="16">
        <v>5.3978186692584975</v>
      </c>
      <c r="S281" s="16">
        <v>4.5632349494999049</v>
      </c>
      <c r="T281" s="16">
        <v>4.4231097045910248</v>
      </c>
      <c r="U281" s="16">
        <v>4.1276671998450079</v>
      </c>
      <c r="V281" s="16">
        <v>3.62175643865312</v>
      </c>
      <c r="W281" s="16">
        <v>9.7130992679591781</v>
      </c>
      <c r="X281" s="16">
        <v>6.0996214373911446</v>
      </c>
      <c r="Y281" s="16">
        <v>4.1700877154415572</v>
      </c>
      <c r="Z281" s="16">
        <v>3.6985994697696896</v>
      </c>
      <c r="AA281" s="16">
        <v>4.0203347942922001</v>
      </c>
      <c r="AB281" s="67">
        <v>4.3623705689108627</v>
      </c>
      <c r="AC281" s="3"/>
    </row>
    <row r="282" spans="2:29" x14ac:dyDescent="0.3">
      <c r="B282" s="66" t="s">
        <v>129</v>
      </c>
      <c r="C282" s="16">
        <v>4.6018109178185851</v>
      </c>
      <c r="D282" s="16">
        <v>4.9690782072463549</v>
      </c>
      <c r="E282" s="16">
        <v>6.0059688693211246</v>
      </c>
      <c r="F282" s="16">
        <v>5.29275208532282</v>
      </c>
      <c r="G282" s="16">
        <v>4.7042351508564524</v>
      </c>
      <c r="H282" s="16">
        <v>3.8440542614195996</v>
      </c>
      <c r="I282" s="16">
        <v>3.3578476335351302</v>
      </c>
      <c r="J282" s="16">
        <v>2.8625022546678678</v>
      </c>
      <c r="K282" s="16">
        <v>4.6444356698737774</v>
      </c>
      <c r="L282" s="16">
        <v>8.0746414335036771</v>
      </c>
      <c r="M282" s="16">
        <v>8.0987824898500929</v>
      </c>
      <c r="N282" s="16">
        <v>7.5851561278869122</v>
      </c>
      <c r="O282" s="16">
        <v>7.207009206824333</v>
      </c>
      <c r="P282" s="16">
        <v>6.5965352057377471</v>
      </c>
      <c r="Q282" s="16">
        <v>4.1627739785648954</v>
      </c>
      <c r="R282" s="16">
        <v>3.7268986767650549</v>
      </c>
      <c r="S282" s="16">
        <v>3.8921909156474728</v>
      </c>
      <c r="T282" s="16">
        <v>3.3793974336099901</v>
      </c>
      <c r="U282" s="16">
        <v>3.0477292418908952</v>
      </c>
      <c r="V282" s="16">
        <v>3.0655669730475603</v>
      </c>
      <c r="W282" s="16">
        <v>5.5895042229421197</v>
      </c>
      <c r="X282" s="16">
        <v>3.9406262816918822</v>
      </c>
      <c r="Y282" s="16">
        <v>3.2282072322356674</v>
      </c>
      <c r="Z282" s="16">
        <v>3.4643609351710025</v>
      </c>
      <c r="AA282" s="16">
        <v>3.9657976160328352</v>
      </c>
      <c r="AB282" s="67">
        <v>4.0608772176868619</v>
      </c>
      <c r="AC282" s="3"/>
    </row>
    <row r="283" spans="2:29" x14ac:dyDescent="0.3">
      <c r="B283" s="66" t="s">
        <v>130</v>
      </c>
      <c r="C283" s="16">
        <v>12.341122533241926</v>
      </c>
      <c r="D283" s="16">
        <v>13.21946264930385</v>
      </c>
      <c r="E283" s="16">
        <v>13.810662119179124</v>
      </c>
      <c r="F283" s="16">
        <v>13.615764717043426</v>
      </c>
      <c r="G283" s="16">
        <v>11.650203637238599</v>
      </c>
      <c r="H283" s="16">
        <v>12.19279816841075</v>
      </c>
      <c r="I283" s="16">
        <v>11.6220394296144</v>
      </c>
      <c r="J283" s="16">
        <v>12.130106944290526</v>
      </c>
      <c r="K283" s="16">
        <v>12.639254068216751</v>
      </c>
      <c r="L283" s="16">
        <v>16.202946214350575</v>
      </c>
      <c r="M283" s="16">
        <v>19.072388466923275</v>
      </c>
      <c r="N283" s="16">
        <v>18.596685978763276</v>
      </c>
      <c r="O283" s="16">
        <v>17.525814564043227</v>
      </c>
      <c r="P283" s="16">
        <v>17.535236315984999</v>
      </c>
      <c r="Q283" s="16">
        <v>17.468322203523776</v>
      </c>
      <c r="R283" s="16">
        <v>15.787923669309599</v>
      </c>
      <c r="S283" s="16">
        <v>16.257393200708201</v>
      </c>
      <c r="T283" s="16">
        <v>14.841533427373424</v>
      </c>
      <c r="U283" s="16">
        <v>12.4057266771507</v>
      </c>
      <c r="V283" s="16">
        <v>12.301627674300775</v>
      </c>
      <c r="W283" s="16">
        <v>10.066802064953144</v>
      </c>
      <c r="X283" s="16">
        <v>10.226461891587437</v>
      </c>
      <c r="Y283" s="16">
        <v>8.5839713776494531</v>
      </c>
      <c r="Z283" s="16">
        <v>9.0176538769530303</v>
      </c>
      <c r="AA283" s="16">
        <v>8.8266173057707409</v>
      </c>
      <c r="AB283" s="67">
        <v>8.4461078177654709</v>
      </c>
      <c r="AC283" s="3"/>
    </row>
    <row r="284" spans="2:29" x14ac:dyDescent="0.3">
      <c r="B284" s="66" t="s">
        <v>131</v>
      </c>
      <c r="C284" s="16">
        <v>5.2228579744479271</v>
      </c>
      <c r="D284" s="16">
        <v>6.0188896269963452</v>
      </c>
      <c r="E284" s="16">
        <v>6.837506651427617</v>
      </c>
      <c r="F284" s="16">
        <v>6.3966654212019849</v>
      </c>
      <c r="G284" s="16">
        <v>5.9337946014053902</v>
      </c>
      <c r="H284" s="16">
        <v>4.5496786862160254</v>
      </c>
      <c r="I284" s="16">
        <v>4.0131708973942395</v>
      </c>
      <c r="J284" s="16">
        <v>5.2928188894810777</v>
      </c>
      <c r="K284" s="16">
        <v>8.34339807771339</v>
      </c>
      <c r="L284" s="16">
        <v>12.389117590454399</v>
      </c>
      <c r="M284" s="16">
        <v>12.751357977549125</v>
      </c>
      <c r="N284" s="16">
        <v>11.85028416756635</v>
      </c>
      <c r="O284" s="16">
        <v>10.404932663709987</v>
      </c>
      <c r="P284" s="16">
        <v>9.4217156208984214</v>
      </c>
      <c r="Q284" s="16">
        <v>7.62547613465608</v>
      </c>
      <c r="R284" s="16">
        <v>6.0823474304261822</v>
      </c>
      <c r="S284" s="16">
        <v>5.5046494417715195</v>
      </c>
      <c r="T284" s="16">
        <v>4.8824001902273002</v>
      </c>
      <c r="U284" s="16">
        <v>4.199009826425482</v>
      </c>
      <c r="V284" s="16">
        <v>3.7495456991866027</v>
      </c>
      <c r="W284" s="16">
        <v>7.5576311894451305</v>
      </c>
      <c r="X284" s="16">
        <v>4.6237655560662549</v>
      </c>
      <c r="Y284" s="16">
        <v>3.3324549859416277</v>
      </c>
      <c r="Z284" s="16">
        <v>3.3959649472374123</v>
      </c>
      <c r="AA284" s="16">
        <v>3.8130374917766421</v>
      </c>
      <c r="AB284" s="67">
        <v>4.0983454832726043</v>
      </c>
      <c r="AC284" s="3"/>
    </row>
    <row r="285" spans="2:29" x14ac:dyDescent="0.3">
      <c r="B285" s="66" t="s">
        <v>364</v>
      </c>
      <c r="C285" s="16">
        <v>2.5246508264520351</v>
      </c>
      <c r="D285" s="16">
        <v>3.0031759469061474</v>
      </c>
      <c r="E285" s="16">
        <v>3.6891522438415949</v>
      </c>
      <c r="F285" s="16">
        <v>4.0608633102956375</v>
      </c>
      <c r="G285" s="16">
        <v>3.6449193983163553</v>
      </c>
      <c r="H285" s="16">
        <v>3.9217491471048427</v>
      </c>
      <c r="I285" s="16">
        <v>3.7186516780728205</v>
      </c>
      <c r="J285" s="16">
        <v>3.7319899327821551</v>
      </c>
      <c r="K285" s="16">
        <v>4.4489411858617807</v>
      </c>
      <c r="L285" s="16">
        <v>7.170947554701165</v>
      </c>
      <c r="M285" s="16">
        <v>7.30101868760892</v>
      </c>
      <c r="N285" s="16">
        <v>6.6331205282583374</v>
      </c>
      <c r="O285" s="16">
        <v>6.1490832809158853</v>
      </c>
      <c r="P285" s="16">
        <v>5.7435193351639979</v>
      </c>
      <c r="Q285" s="16">
        <v>4.6631104121255724</v>
      </c>
      <c r="R285" s="16">
        <v>3.6389221579779525</v>
      </c>
      <c r="S285" s="16">
        <v>3.0709944732011278</v>
      </c>
      <c r="T285" s="16">
        <v>2.7711750177947723</v>
      </c>
      <c r="U285" s="16">
        <v>2.64470094385169</v>
      </c>
      <c r="V285" s="16">
        <v>2.3702064671258976</v>
      </c>
      <c r="W285" s="16">
        <v>4.8758291961461175</v>
      </c>
      <c r="X285" s="16">
        <v>4.1932229425506282</v>
      </c>
      <c r="Y285" s="16">
        <v>2.3854450550423776</v>
      </c>
      <c r="Z285" s="16">
        <v>2.2177416003863977</v>
      </c>
      <c r="AA285" s="16">
        <v>2.637311531770135</v>
      </c>
      <c r="AB285" s="67">
        <v>2.8654510077504152</v>
      </c>
      <c r="AC285" s="3"/>
    </row>
    <row r="286" spans="2:29" x14ac:dyDescent="0.3">
      <c r="B286" s="66" t="s">
        <v>365</v>
      </c>
      <c r="C286" s="16">
        <v>4.5436717027238398</v>
      </c>
      <c r="D286" s="16">
        <v>5.9937574280631223</v>
      </c>
      <c r="E286" s="16">
        <v>7.6612099025322173</v>
      </c>
      <c r="F286" s="16">
        <v>8.1945125532405552</v>
      </c>
      <c r="G286" s="16">
        <v>7.0972797510449945</v>
      </c>
      <c r="H286" s="16">
        <v>5.9456176954648905</v>
      </c>
      <c r="I286" s="16">
        <v>5.1956191846812052</v>
      </c>
      <c r="J286" s="16">
        <v>5.0136276813583178</v>
      </c>
      <c r="K286" s="16">
        <v>5.9060585658143179</v>
      </c>
      <c r="L286" s="16">
        <v>10.347447885247123</v>
      </c>
      <c r="M286" s="16">
        <v>10.052835870993565</v>
      </c>
      <c r="N286" s="16">
        <v>8.9003170579422353</v>
      </c>
      <c r="O286" s="16">
        <v>7.937968237958942</v>
      </c>
      <c r="P286" s="16">
        <v>6.9418598005164824</v>
      </c>
      <c r="Q286" s="16">
        <v>5.9949687053573646</v>
      </c>
      <c r="R286" s="16">
        <v>5.1202260927993599</v>
      </c>
      <c r="S286" s="16">
        <v>4.5372792132519351</v>
      </c>
      <c r="T286" s="16">
        <v>3.8345124154261674</v>
      </c>
      <c r="U286" s="16">
        <v>3.7892371692345201</v>
      </c>
      <c r="V286" s="16">
        <v>3.536483822178575</v>
      </c>
      <c r="W286" s="16">
        <v>7.6486449372095153</v>
      </c>
      <c r="X286" s="16">
        <v>4.9404055950969674</v>
      </c>
      <c r="Y286" s="16">
        <v>3.5986737286374249</v>
      </c>
      <c r="Z286" s="16">
        <v>3.5256725647660803</v>
      </c>
      <c r="AA286" s="16">
        <v>4.0093207342047457</v>
      </c>
      <c r="AB286" s="67">
        <v>4.4687859468676292</v>
      </c>
      <c r="AC286" s="3"/>
    </row>
    <row r="287" spans="2:29" x14ac:dyDescent="0.3">
      <c r="B287" s="66" t="s">
        <v>465</v>
      </c>
      <c r="C287" s="16">
        <v>4.0076401824415644</v>
      </c>
      <c r="D287" s="16">
        <v>4.4162681659473924</v>
      </c>
      <c r="E287" s="16">
        <v>5.4542193419701226</v>
      </c>
      <c r="F287" s="16">
        <v>5.1419708218219569</v>
      </c>
      <c r="G287" s="16">
        <v>4.5781937650916698</v>
      </c>
      <c r="H287" s="16">
        <v>4.3698942247133701</v>
      </c>
      <c r="I287" s="16">
        <v>4.0823675890278368</v>
      </c>
      <c r="J287" s="16">
        <v>3.5568882548787251</v>
      </c>
      <c r="K287" s="16">
        <v>5.7955643216594179</v>
      </c>
      <c r="L287" s="16">
        <v>10.238148843109228</v>
      </c>
      <c r="M287" s="16">
        <v>10.6581345383619</v>
      </c>
      <c r="N287" s="16">
        <v>9.8427208300922775</v>
      </c>
      <c r="O287" s="16">
        <v>8.6583818355216273</v>
      </c>
      <c r="P287" s="16">
        <v>7.8394504971725727</v>
      </c>
      <c r="Q287" s="16">
        <v>6.3738451939970977</v>
      </c>
      <c r="R287" s="16">
        <v>5.633541853507662</v>
      </c>
      <c r="S287" s="16">
        <v>5.3264188803295127</v>
      </c>
      <c r="T287" s="16">
        <v>4.874842649962245</v>
      </c>
      <c r="U287" s="16">
        <v>4.7098645050230754</v>
      </c>
      <c r="V287" s="16">
        <v>4.8238413623940879</v>
      </c>
      <c r="W287" s="16">
        <v>7.7919195843668732</v>
      </c>
      <c r="X287" s="16">
        <v>4.4930782750790748</v>
      </c>
      <c r="Y287" s="16">
        <v>3.5699657527914397</v>
      </c>
      <c r="Z287" s="16">
        <v>3.5968673947785277</v>
      </c>
      <c r="AA287" s="16">
        <v>3.4568184797579802</v>
      </c>
      <c r="AB287" s="67">
        <v>3.847889594359382</v>
      </c>
      <c r="AC287" s="3"/>
    </row>
    <row r="288" spans="2:29" x14ac:dyDescent="0.3">
      <c r="B288" s="66" t="s">
        <v>366</v>
      </c>
      <c r="C288" s="16">
        <v>3.9793844124006701</v>
      </c>
      <c r="D288" s="16">
        <v>4.6083841963544625</v>
      </c>
      <c r="E288" s="16">
        <v>5.4038941557107751</v>
      </c>
      <c r="F288" s="16">
        <v>5.8741030582614329</v>
      </c>
      <c r="G288" s="16">
        <v>5.5593999512024501</v>
      </c>
      <c r="H288" s="16">
        <v>5.3893858311785126</v>
      </c>
      <c r="I288" s="16">
        <v>5.4684639433351521</v>
      </c>
      <c r="J288" s="16">
        <v>5.3445666397691074</v>
      </c>
      <c r="K288" s="16">
        <v>7.4235191242272069</v>
      </c>
      <c r="L288" s="16">
        <v>11.015173956772024</v>
      </c>
      <c r="M288" s="16">
        <v>11.174988683662026</v>
      </c>
      <c r="N288" s="16">
        <v>10.530668715882324</v>
      </c>
      <c r="O288" s="16">
        <v>9.7783472966198008</v>
      </c>
      <c r="P288" s="16">
        <v>9.1988441797477023</v>
      </c>
      <c r="Q288" s="16">
        <v>7.6311599398831174</v>
      </c>
      <c r="R288" s="16">
        <v>6.0586402167409377</v>
      </c>
      <c r="S288" s="16">
        <v>5.2055338220368146</v>
      </c>
      <c r="T288" s="16">
        <v>4.6323971952447405</v>
      </c>
      <c r="U288" s="16">
        <v>4.1843732221303549</v>
      </c>
      <c r="V288" s="16">
        <v>3.6573216542684097</v>
      </c>
      <c r="W288" s="16">
        <v>9.8084208159234265</v>
      </c>
      <c r="X288" s="16">
        <v>5.7587039641692854</v>
      </c>
      <c r="Y288" s="16">
        <v>3.6796986014029649</v>
      </c>
      <c r="Z288" s="16">
        <v>3.4207729201154944</v>
      </c>
      <c r="AA288" s="16">
        <v>4.4490531780956148</v>
      </c>
      <c r="AB288" s="67">
        <v>4.8528315858816571</v>
      </c>
      <c r="AC288" s="3"/>
    </row>
    <row r="289" spans="2:29" x14ac:dyDescent="0.3">
      <c r="B289" s="66" t="s">
        <v>504</v>
      </c>
      <c r="C289" s="16">
        <v>2.9400954273593025</v>
      </c>
      <c r="D289" s="16">
        <v>4.0841688832013201</v>
      </c>
      <c r="E289" s="16">
        <v>5.7390475399958198</v>
      </c>
      <c r="F289" s="16">
        <v>5.2703529476006494</v>
      </c>
      <c r="G289" s="16">
        <v>4.8038047794509771</v>
      </c>
      <c r="H289" s="16">
        <v>3.9077850327783423</v>
      </c>
      <c r="I289" s="16">
        <v>2.7551205103216851</v>
      </c>
      <c r="J289" s="16">
        <v>2.42396834359934</v>
      </c>
      <c r="K289" s="16">
        <v>3.3129762758000698</v>
      </c>
      <c r="L289" s="16">
        <v>7.3581016112895901</v>
      </c>
      <c r="M289" s="16">
        <v>7.8669679830876849</v>
      </c>
      <c r="N289" s="16">
        <v>6.7822745583028103</v>
      </c>
      <c r="O289" s="16">
        <v>4.3988921925168096</v>
      </c>
      <c r="P289" s="16">
        <v>3.902499704609478</v>
      </c>
      <c r="Q289" s="16">
        <v>3.3304622168776676</v>
      </c>
      <c r="R289" s="16">
        <v>3.1762374427344873</v>
      </c>
      <c r="S289" s="16">
        <v>3.0111600531931524</v>
      </c>
      <c r="T289" s="16">
        <v>2.8557012093825</v>
      </c>
      <c r="U289" s="16">
        <v>2.6776453527283723</v>
      </c>
      <c r="V289" s="16">
        <v>2.3557621958111574</v>
      </c>
      <c r="W289" s="16">
        <v>3.8840603787947798</v>
      </c>
      <c r="X289" s="16">
        <v>2.4192466521303446</v>
      </c>
      <c r="Y289" s="16">
        <v>2.2268543411575528</v>
      </c>
      <c r="Z289" s="16">
        <v>2.6652883824193152</v>
      </c>
      <c r="AA289" s="16">
        <v>3.2634464113591024</v>
      </c>
      <c r="AB289" s="67">
        <v>3.3186309124450055</v>
      </c>
      <c r="AC289" s="3"/>
    </row>
    <row r="290" spans="2:29" x14ac:dyDescent="0.3">
      <c r="B290" s="66" t="s">
        <v>132</v>
      </c>
      <c r="C290" s="16">
        <v>3.89241074750114</v>
      </c>
      <c r="D290" s="16">
        <v>5.1636984978366698</v>
      </c>
      <c r="E290" s="16">
        <v>7.1585939995953982</v>
      </c>
      <c r="F290" s="16">
        <v>7.4932442136433925</v>
      </c>
      <c r="G290" s="16">
        <v>7.4470165056699695</v>
      </c>
      <c r="H290" s="16">
        <v>6.8604693188178931</v>
      </c>
      <c r="I290" s="16">
        <v>5.5524932980807371</v>
      </c>
      <c r="J290" s="16">
        <v>4.6223091415106667</v>
      </c>
      <c r="K290" s="16">
        <v>6.0891122969745402</v>
      </c>
      <c r="L290" s="16">
        <v>8.9311516760780911</v>
      </c>
      <c r="M290" s="16">
        <v>10.877824327844076</v>
      </c>
      <c r="N290" s="16">
        <v>10.955481064633174</v>
      </c>
      <c r="O290" s="16">
        <v>10.829778754956051</v>
      </c>
      <c r="P290" s="16">
        <v>9.6640590010379217</v>
      </c>
      <c r="Q290" s="16">
        <v>7.2000365552122876</v>
      </c>
      <c r="R290" s="16">
        <v>5.3925207221169078</v>
      </c>
      <c r="S290" s="16">
        <v>4.6521054134384547</v>
      </c>
      <c r="T290" s="16">
        <v>4.041197876096593</v>
      </c>
      <c r="U290" s="16">
        <v>4.60526721285897</v>
      </c>
      <c r="V290" s="16">
        <v>4.0341593002280876</v>
      </c>
      <c r="W290" s="16">
        <v>7.84808474287696</v>
      </c>
      <c r="X290" s="16">
        <v>8.1751953586106012</v>
      </c>
      <c r="Y290" s="16">
        <v>4.5812206204634673</v>
      </c>
      <c r="Z290" s="16">
        <v>4.6955449990463149</v>
      </c>
      <c r="AA290" s="16">
        <v>5.8498289178072849</v>
      </c>
      <c r="AB290" s="67">
        <v>6.1187227822667118</v>
      </c>
      <c r="AC290" s="3"/>
    </row>
    <row r="291" spans="2:29" x14ac:dyDescent="0.3">
      <c r="B291" s="66" t="s">
        <v>133</v>
      </c>
      <c r="C291" s="16">
        <v>3.7535065187746399</v>
      </c>
      <c r="D291" s="16">
        <v>4.5445002583514924</v>
      </c>
      <c r="E291" s="16">
        <v>5.7807257543453598</v>
      </c>
      <c r="F291" s="16">
        <v>5.5827120841085751</v>
      </c>
      <c r="G291" s="16">
        <v>5.4128510904743052</v>
      </c>
      <c r="H291" s="16">
        <v>4.0599620112624706</v>
      </c>
      <c r="I291" s="16">
        <v>3.4161679563805922</v>
      </c>
      <c r="J291" s="16">
        <v>5.1240762483310851</v>
      </c>
      <c r="K291" s="16">
        <v>8.3640955713697025</v>
      </c>
      <c r="L291" s="16">
        <v>11.682706078793275</v>
      </c>
      <c r="M291" s="16">
        <v>12.796032734465477</v>
      </c>
      <c r="N291" s="16">
        <v>11.469750609557975</v>
      </c>
      <c r="O291" s="16">
        <v>9.8569795509259315</v>
      </c>
      <c r="P291" s="16">
        <v>8.3808731690719895</v>
      </c>
      <c r="Q291" s="16">
        <v>7.162859230586295</v>
      </c>
      <c r="R291" s="16">
        <v>6.0314218658038552</v>
      </c>
      <c r="S291" s="16">
        <v>5.6098920229072924</v>
      </c>
      <c r="T291" s="16">
        <v>4.9890684286041775</v>
      </c>
      <c r="U291" s="16">
        <v>4.2651634713418574</v>
      </c>
      <c r="V291" s="16">
        <v>3.9466057240652401</v>
      </c>
      <c r="W291" s="16">
        <v>8.0333382174800079</v>
      </c>
      <c r="X291" s="16">
        <v>4.7786516056569628</v>
      </c>
      <c r="Y291" s="16">
        <v>3.80947838425167</v>
      </c>
      <c r="Z291" s="16">
        <v>3.6949848359820603</v>
      </c>
      <c r="AA291" s="16">
        <v>4.1358358519024252</v>
      </c>
      <c r="AB291" s="67">
        <v>4.6580326264653928</v>
      </c>
      <c r="AC291" s="3"/>
    </row>
    <row r="292" spans="2:29" x14ac:dyDescent="0.3">
      <c r="B292" s="66" t="s">
        <v>505</v>
      </c>
      <c r="C292" s="16">
        <v>3.90532605586895</v>
      </c>
      <c r="D292" s="16">
        <v>5.5521255779522551</v>
      </c>
      <c r="E292" s="16">
        <v>6.4118233502339699</v>
      </c>
      <c r="F292" s="16">
        <v>6.9835181203581351</v>
      </c>
      <c r="G292" s="16">
        <v>5.9671608943722623</v>
      </c>
      <c r="H292" s="16">
        <v>5.9172636281034823</v>
      </c>
      <c r="I292" s="16">
        <v>5.6218678020818222</v>
      </c>
      <c r="J292" s="16">
        <v>5.7707448017247156</v>
      </c>
      <c r="K292" s="16">
        <v>5.8432331257589247</v>
      </c>
      <c r="L292" s="16">
        <v>10.519427637967404</v>
      </c>
      <c r="M292" s="16">
        <v>9.8336743223458392</v>
      </c>
      <c r="N292" s="16">
        <v>8.7978418435155525</v>
      </c>
      <c r="O292" s="16">
        <v>8.2292166005556417</v>
      </c>
      <c r="P292" s="16">
        <v>8.2575839553561536</v>
      </c>
      <c r="Q292" s="16">
        <v>6.5275373904638645</v>
      </c>
      <c r="R292" s="16">
        <v>5.460992370195398</v>
      </c>
      <c r="S292" s="16">
        <v>4.7661585370386881</v>
      </c>
      <c r="T292" s="16">
        <v>3.9837569282302852</v>
      </c>
      <c r="U292" s="16">
        <v>3.5903739149142049</v>
      </c>
      <c r="V292" s="16">
        <v>3.8609967748475498</v>
      </c>
      <c r="W292" s="16">
        <v>7.3227773984211195</v>
      </c>
      <c r="X292" s="16">
        <v>4.6178053767838145</v>
      </c>
      <c r="Y292" s="16">
        <v>3.3462342305148454</v>
      </c>
      <c r="Z292" s="16">
        <v>3.2379321255707776</v>
      </c>
      <c r="AA292" s="16">
        <v>3.4893553780637721</v>
      </c>
      <c r="AB292" s="67">
        <v>3.7378017694249643</v>
      </c>
      <c r="AC292" s="3"/>
    </row>
    <row r="293" spans="2:29" x14ac:dyDescent="0.3">
      <c r="B293" s="66" t="s">
        <v>506</v>
      </c>
      <c r="C293" s="16">
        <v>2.5466027927492676</v>
      </c>
      <c r="D293" s="16">
        <v>3.9897222500737346</v>
      </c>
      <c r="E293" s="16">
        <v>5.602518318278773</v>
      </c>
      <c r="F293" s="16">
        <v>5.2285329748250868</v>
      </c>
      <c r="G293" s="16">
        <v>4.3776657099731899</v>
      </c>
      <c r="H293" s="16">
        <v>4.1458472933180452</v>
      </c>
      <c r="I293" s="16">
        <v>3.6947656290443698</v>
      </c>
      <c r="J293" s="16">
        <v>3.6244120117946248</v>
      </c>
      <c r="K293" s="16">
        <v>4.6611132142038256</v>
      </c>
      <c r="L293" s="16">
        <v>8.7690066913677818</v>
      </c>
      <c r="M293" s="16">
        <v>8.6030773158205918</v>
      </c>
      <c r="N293" s="16">
        <v>8.2895006624085568</v>
      </c>
      <c r="O293" s="16">
        <v>7.69109091711102</v>
      </c>
      <c r="P293" s="16">
        <v>6.0792075109504875</v>
      </c>
      <c r="Q293" s="16">
        <v>4.942674434343405</v>
      </c>
      <c r="R293" s="16">
        <v>4.7865872163064047</v>
      </c>
      <c r="S293" s="16">
        <v>4.2868381613573527</v>
      </c>
      <c r="T293" s="16">
        <v>3.9034890944256473</v>
      </c>
      <c r="U293" s="16">
        <v>3.455580400917853</v>
      </c>
      <c r="V293" s="16">
        <v>3.3659980820428475</v>
      </c>
      <c r="W293" s="16">
        <v>6.2720524525465899</v>
      </c>
      <c r="X293" s="16">
        <v>4.0301925479093477</v>
      </c>
      <c r="Y293" s="16">
        <v>3.0791370341822275</v>
      </c>
      <c r="Z293" s="16">
        <v>3.0192923605726349</v>
      </c>
      <c r="AA293" s="16">
        <v>3.11689094912678</v>
      </c>
      <c r="AB293" s="67">
        <v>3.0958233123738688</v>
      </c>
      <c r="AC293" s="3"/>
    </row>
    <row r="294" spans="2:29" x14ac:dyDescent="0.3">
      <c r="B294" s="66" t="s">
        <v>134</v>
      </c>
      <c r="C294" s="16">
        <v>2.3723424437306249</v>
      </c>
      <c r="D294" s="16">
        <v>2.853828751757975</v>
      </c>
      <c r="E294" s="16">
        <v>3.0478080359910225</v>
      </c>
      <c r="F294" s="16">
        <v>3.2415798151977429</v>
      </c>
      <c r="G294" s="16">
        <v>3.3959387094341804</v>
      </c>
      <c r="H294" s="16">
        <v>3.4029144952933477</v>
      </c>
      <c r="I294" s="16">
        <v>2.8932727662715427</v>
      </c>
      <c r="J294" s="16">
        <v>2.7413620717817953</v>
      </c>
      <c r="K294" s="16">
        <v>2.9655219974993172</v>
      </c>
      <c r="L294" s="16">
        <v>4.54823187577243</v>
      </c>
      <c r="M294" s="16">
        <v>5.1421499690917001</v>
      </c>
      <c r="N294" s="16">
        <v>4.7041897541858635</v>
      </c>
      <c r="O294" s="16">
        <v>4.1773279085679631</v>
      </c>
      <c r="P294" s="16">
        <v>3.8545126662504252</v>
      </c>
      <c r="Q294" s="16">
        <v>3.380484000744405</v>
      </c>
      <c r="R294" s="16">
        <v>3.1506580503558723</v>
      </c>
      <c r="S294" s="16">
        <v>3.1328011094483625</v>
      </c>
      <c r="T294" s="16">
        <v>3.107791171786852</v>
      </c>
      <c r="U294" s="16">
        <v>2.8800979549555152</v>
      </c>
      <c r="V294" s="16">
        <v>2.8583923510481175</v>
      </c>
      <c r="W294" s="16">
        <v>4.6674111166383154</v>
      </c>
      <c r="X294" s="16">
        <v>2.6128156588838602</v>
      </c>
      <c r="Y294" s="16">
        <v>1.916413267170155</v>
      </c>
      <c r="Z294" s="16">
        <v>1.78604292091802</v>
      </c>
      <c r="AA294" s="16">
        <v>1.7833683467463226</v>
      </c>
      <c r="AB294" s="67">
        <v>1.8366366594318473</v>
      </c>
      <c r="AC294" s="3"/>
    </row>
    <row r="295" spans="2:29" x14ac:dyDescent="0.3">
      <c r="B295" s="66" t="s">
        <v>135</v>
      </c>
      <c r="C295" s="16">
        <v>3.9823564550683823</v>
      </c>
      <c r="D295" s="16">
        <v>4.7805312113191949</v>
      </c>
      <c r="E295" s="16">
        <v>5.8761481247541871</v>
      </c>
      <c r="F295" s="16">
        <v>5.9602784547540724</v>
      </c>
      <c r="G295" s="16">
        <v>5.1859479568645455</v>
      </c>
      <c r="H295" s="16">
        <v>4.9006613767845408</v>
      </c>
      <c r="I295" s="16">
        <v>4.4981960500579774</v>
      </c>
      <c r="J295" s="16">
        <v>4.4377369201149381</v>
      </c>
      <c r="K295" s="16">
        <v>5.427578272350237</v>
      </c>
      <c r="L295" s="16">
        <v>8.70111857497416</v>
      </c>
      <c r="M295" s="16">
        <v>8.33229937327933</v>
      </c>
      <c r="N295" s="16">
        <v>7.6351871049426645</v>
      </c>
      <c r="O295" s="16">
        <v>7.4198053777496797</v>
      </c>
      <c r="P295" s="16">
        <v>6.8314398275708426</v>
      </c>
      <c r="Q295" s="16">
        <v>5.5874545884307043</v>
      </c>
      <c r="R295" s="16">
        <v>5.0340070945843571</v>
      </c>
      <c r="S295" s="16">
        <v>4.9015094347210972</v>
      </c>
      <c r="T295" s="16">
        <v>4.6296344427038454</v>
      </c>
      <c r="U295" s="16">
        <v>4.2620429661168977</v>
      </c>
      <c r="V295" s="16">
        <v>4.2325001588652524</v>
      </c>
      <c r="W295" s="16">
        <v>9.1886529856855947</v>
      </c>
      <c r="X295" s="16">
        <v>6.0431749318032724</v>
      </c>
      <c r="Y295" s="16">
        <v>4.0686434207214468</v>
      </c>
      <c r="Z295" s="16">
        <v>3.6999014090219622</v>
      </c>
      <c r="AA295" s="16">
        <v>3.6985620049995402</v>
      </c>
      <c r="AB295" s="67">
        <v>4.0138658342527131</v>
      </c>
      <c r="AC295" s="3"/>
    </row>
    <row r="296" spans="2:29" x14ac:dyDescent="0.3">
      <c r="B296" s="66" t="s">
        <v>136</v>
      </c>
      <c r="C296" s="16">
        <v>6.0021518602041128</v>
      </c>
      <c r="D296" s="16">
        <v>6.3476846001369225</v>
      </c>
      <c r="E296" s="16">
        <v>7.204223406574032</v>
      </c>
      <c r="F296" s="16">
        <v>7.6229669562973577</v>
      </c>
      <c r="G296" s="16">
        <v>7.5966608299478127</v>
      </c>
      <c r="H296" s="16">
        <v>7.2344108533810321</v>
      </c>
      <c r="I296" s="16">
        <v>6.608714247477752</v>
      </c>
      <c r="J296" s="16">
        <v>7.4351352915451461</v>
      </c>
      <c r="K296" s="16">
        <v>10.083700237498192</v>
      </c>
      <c r="L296" s="16">
        <v>14.815289471367924</v>
      </c>
      <c r="M296" s="16">
        <v>16.896563393064078</v>
      </c>
      <c r="N296" s="16">
        <v>15.951650115664599</v>
      </c>
      <c r="O296" s="16">
        <v>14.23862504854835</v>
      </c>
      <c r="P296" s="16">
        <v>11.913437740628801</v>
      </c>
      <c r="Q296" s="16">
        <v>9.7213601080777501</v>
      </c>
      <c r="R296" s="16">
        <v>7.791594086394813</v>
      </c>
      <c r="S296" s="16">
        <v>6.8339383952373396</v>
      </c>
      <c r="T296" s="16">
        <v>5.6916725474980625</v>
      </c>
      <c r="U296" s="16">
        <v>4.9086015109708647</v>
      </c>
      <c r="V296" s="16">
        <v>4.5965572584368601</v>
      </c>
      <c r="W296" s="16">
        <v>8.507922759357271</v>
      </c>
      <c r="X296" s="16">
        <v>6.6402450770302721</v>
      </c>
      <c r="Y296" s="16">
        <v>4.45260467419177</v>
      </c>
      <c r="Z296" s="16">
        <v>4.8384754590026295</v>
      </c>
      <c r="AA296" s="16">
        <v>5.3284485464096223</v>
      </c>
      <c r="AB296" s="67">
        <v>5.3889709175179741</v>
      </c>
      <c r="AC296" s="3"/>
    </row>
    <row r="297" spans="2:29" x14ac:dyDescent="0.3">
      <c r="B297" s="66" t="s">
        <v>137</v>
      </c>
      <c r="C297" s="16">
        <v>3.5939663774844273</v>
      </c>
      <c r="D297" s="16">
        <v>4.3821114007182249</v>
      </c>
      <c r="E297" s="16">
        <v>4.9504943411312645</v>
      </c>
      <c r="F297" s="16">
        <v>4.659089108457632</v>
      </c>
      <c r="G297" s="16">
        <v>4.1985747514927247</v>
      </c>
      <c r="H297" s="16">
        <v>4.2134094257041834</v>
      </c>
      <c r="I297" s="16">
        <v>4.1514330651877671</v>
      </c>
      <c r="J297" s="16">
        <v>4.7437288448859247</v>
      </c>
      <c r="K297" s="16">
        <v>7.2728988687763731</v>
      </c>
      <c r="L297" s="16">
        <v>11.261979013806826</v>
      </c>
      <c r="M297" s="16">
        <v>13.068959413295699</v>
      </c>
      <c r="N297" s="16">
        <v>12.938261927172299</v>
      </c>
      <c r="O297" s="16">
        <v>11.749954567289224</v>
      </c>
      <c r="P297" s="16">
        <v>10.123498128722829</v>
      </c>
      <c r="Q297" s="16">
        <v>8.1075997579028201</v>
      </c>
      <c r="R297" s="16">
        <v>6.6476864257933697</v>
      </c>
      <c r="S297" s="16">
        <v>5.3174434417271819</v>
      </c>
      <c r="T297" s="16">
        <v>4.3205543724633095</v>
      </c>
      <c r="U297" s="16">
        <v>3.6607895572921025</v>
      </c>
      <c r="V297" s="16">
        <v>3.5466780777420399</v>
      </c>
      <c r="W297" s="16">
        <v>8.3636662289286274</v>
      </c>
      <c r="X297" s="16">
        <v>4.2197903718361749</v>
      </c>
      <c r="Y297" s="16">
        <v>4.0843338447403577</v>
      </c>
      <c r="Z297" s="16">
        <v>4.45018441215948</v>
      </c>
      <c r="AA297" s="16">
        <v>4.7993392083044002</v>
      </c>
      <c r="AB297" s="67">
        <v>4.6649386708052614</v>
      </c>
      <c r="AC297" s="3"/>
    </row>
    <row r="298" spans="2:29" x14ac:dyDescent="0.3">
      <c r="B298" s="66" t="s">
        <v>138</v>
      </c>
      <c r="C298" s="16">
        <v>2.0716099093730551</v>
      </c>
      <c r="D298" s="16">
        <v>3.1020231975684998</v>
      </c>
      <c r="E298" s="16">
        <v>4.1031823775329821</v>
      </c>
      <c r="F298" s="16">
        <v>4.21112347988299</v>
      </c>
      <c r="G298" s="16">
        <v>3.921167826796645</v>
      </c>
      <c r="H298" s="16">
        <v>3.7217746650247001</v>
      </c>
      <c r="I298" s="16">
        <v>3.2499824012840302</v>
      </c>
      <c r="J298" s="16">
        <v>3.1640194371498627</v>
      </c>
      <c r="K298" s="16">
        <v>4.3168260174368376</v>
      </c>
      <c r="L298" s="16">
        <v>7.6037103967387569</v>
      </c>
      <c r="M298" s="16">
        <v>7.5798076549043056</v>
      </c>
      <c r="N298" s="16">
        <v>6.954833557041022</v>
      </c>
      <c r="O298" s="16">
        <v>6.2989980799734626</v>
      </c>
      <c r="P298" s="16">
        <v>5.8583311366419792</v>
      </c>
      <c r="Q298" s="16">
        <v>5.3278599549080479</v>
      </c>
      <c r="R298" s="16">
        <v>4.5449241968248071</v>
      </c>
      <c r="S298" s="16">
        <v>4.0574711555132472</v>
      </c>
      <c r="T298" s="16">
        <v>3.7177512175263749</v>
      </c>
      <c r="U298" s="16">
        <v>3.1109248264265075</v>
      </c>
      <c r="V298" s="16">
        <v>2.8274297701920825</v>
      </c>
      <c r="W298" s="16">
        <v>6.8564860060814343</v>
      </c>
      <c r="X298" s="16">
        <v>4.028189790514797</v>
      </c>
      <c r="Y298" s="16">
        <v>2.7694401734292597</v>
      </c>
      <c r="Z298" s="16">
        <v>2.8236998302401952</v>
      </c>
      <c r="AA298" s="16">
        <v>2.9585956998432676</v>
      </c>
      <c r="AB298" s="67">
        <v>3.2223161718088367</v>
      </c>
      <c r="AC298" s="3"/>
    </row>
    <row r="299" spans="2:29" x14ac:dyDescent="0.3">
      <c r="B299" s="66" t="s">
        <v>367</v>
      </c>
      <c r="C299" s="16">
        <v>5.0348954398039254</v>
      </c>
      <c r="D299" s="16">
        <v>5.2972898736830798</v>
      </c>
      <c r="E299" s="16">
        <v>6.285297444658358</v>
      </c>
      <c r="F299" s="16">
        <v>6.4563651333879077</v>
      </c>
      <c r="G299" s="16">
        <v>5.865177898189625</v>
      </c>
      <c r="H299" s="16">
        <v>5.2665139479472147</v>
      </c>
      <c r="I299" s="16">
        <v>4.9243880558068875</v>
      </c>
      <c r="J299" s="16">
        <v>5.7661190771483017</v>
      </c>
      <c r="K299" s="16">
        <v>8.3353808098690934</v>
      </c>
      <c r="L299" s="16">
        <v>13.324266174206825</v>
      </c>
      <c r="M299" s="16">
        <v>13.799996799559949</v>
      </c>
      <c r="N299" s="16">
        <v>13.041533536760575</v>
      </c>
      <c r="O299" s="16">
        <v>11.579072159758951</v>
      </c>
      <c r="P299" s="16">
        <v>9.9343254639090617</v>
      </c>
      <c r="Q299" s="16">
        <v>8.209658593497835</v>
      </c>
      <c r="R299" s="16">
        <v>6.5970324993883978</v>
      </c>
      <c r="S299" s="16">
        <v>6.0780078388638845</v>
      </c>
      <c r="T299" s="16">
        <v>5.1980452245348401</v>
      </c>
      <c r="U299" s="16">
        <v>4.3381094422841073</v>
      </c>
      <c r="V299" s="16">
        <v>4.0760724219845077</v>
      </c>
      <c r="W299" s="16">
        <v>9.9239159463862432</v>
      </c>
      <c r="X299" s="16">
        <v>7.4417825614546924</v>
      </c>
      <c r="Y299" s="16">
        <v>4.2223025401072176</v>
      </c>
      <c r="Z299" s="16">
        <v>4.6788536294805301</v>
      </c>
      <c r="AA299" s="16">
        <v>5.2178287269350045</v>
      </c>
      <c r="AB299" s="67">
        <v>5.381285847203082</v>
      </c>
      <c r="AC299" s="3"/>
    </row>
    <row r="300" spans="2:29" x14ac:dyDescent="0.3">
      <c r="B300" s="66" t="s">
        <v>139</v>
      </c>
      <c r="C300" s="16">
        <v>2.2069339269775603</v>
      </c>
      <c r="D300" s="16">
        <v>3.0668546666908374</v>
      </c>
      <c r="E300" s="16">
        <v>4.210781034826157</v>
      </c>
      <c r="F300" s="16">
        <v>4.1923419446946601</v>
      </c>
      <c r="G300" s="16">
        <v>3.7688613299967604</v>
      </c>
      <c r="H300" s="16">
        <v>3.4370774891078102</v>
      </c>
      <c r="I300" s="16">
        <v>3.0921857907132551</v>
      </c>
      <c r="J300" s="16">
        <v>3.1478071453215728</v>
      </c>
      <c r="K300" s="16">
        <v>4.0611990962771998</v>
      </c>
      <c r="L300" s="16">
        <v>7.3036655561322092</v>
      </c>
      <c r="M300" s="16">
        <v>7.1892839774019182</v>
      </c>
      <c r="N300" s="16">
        <v>6.5237964683710983</v>
      </c>
      <c r="O300" s="16">
        <v>5.9413602268416748</v>
      </c>
      <c r="P300" s="16">
        <v>5.6179802904554403</v>
      </c>
      <c r="Q300" s="16">
        <v>5.05597817478509</v>
      </c>
      <c r="R300" s="16">
        <v>4.3502795660595552</v>
      </c>
      <c r="S300" s="16">
        <v>4.0457364110484271</v>
      </c>
      <c r="T300" s="16">
        <v>3.7874402144816575</v>
      </c>
      <c r="U300" s="16">
        <v>3.06294123138554</v>
      </c>
      <c r="V300" s="16">
        <v>2.7984055941193926</v>
      </c>
      <c r="W300" s="16">
        <v>6.3934471627091805</v>
      </c>
      <c r="X300" s="16">
        <v>3.7780657489146598</v>
      </c>
      <c r="Y300" s="16">
        <v>2.7371856211864825</v>
      </c>
      <c r="Z300" s="16">
        <v>2.745452759404015</v>
      </c>
      <c r="AA300" s="16">
        <v>2.9176486205155574</v>
      </c>
      <c r="AB300" s="67">
        <v>3.1943525823671486</v>
      </c>
      <c r="AC300" s="3"/>
    </row>
    <row r="301" spans="2:29" x14ac:dyDescent="0.3">
      <c r="B301" s="66" t="s">
        <v>140</v>
      </c>
      <c r="C301" s="16">
        <v>2.7521186802253701</v>
      </c>
      <c r="D301" s="16">
        <v>3.011060314021615</v>
      </c>
      <c r="E301" s="16">
        <v>3.8143858060928899</v>
      </c>
      <c r="F301" s="16">
        <v>4.2848076627469176</v>
      </c>
      <c r="G301" s="16">
        <v>4.1496691592064625</v>
      </c>
      <c r="H301" s="16">
        <v>3.6826277907236875</v>
      </c>
      <c r="I301" s="16">
        <v>3.6332511387012874</v>
      </c>
      <c r="J301" s="16">
        <v>4.0491324173816619</v>
      </c>
      <c r="K301" s="16">
        <v>4.7519395331458192</v>
      </c>
      <c r="L301" s="16">
        <v>6.5275729508795273</v>
      </c>
      <c r="M301" s="16">
        <v>6.3021980291430442</v>
      </c>
      <c r="N301" s="16">
        <v>5.6396386899393578</v>
      </c>
      <c r="O301" s="16">
        <v>4.7185206939920272</v>
      </c>
      <c r="P301" s="16">
        <v>4.2868860933338606</v>
      </c>
      <c r="Q301" s="16">
        <v>3.7363828008065849</v>
      </c>
      <c r="R301" s="16">
        <v>3.2564392936208448</v>
      </c>
      <c r="S301" s="16">
        <v>3.2642151667225781</v>
      </c>
      <c r="T301" s="16">
        <v>2.940035085497545</v>
      </c>
      <c r="U301" s="16">
        <v>2.6314144939172404</v>
      </c>
      <c r="V301" s="16">
        <v>2.8637802186162302</v>
      </c>
      <c r="W301" s="16">
        <v>5.4664835462591652</v>
      </c>
      <c r="X301" s="16">
        <v>3.1471041366396375</v>
      </c>
      <c r="Y301" s="16">
        <v>2.1825728852275246</v>
      </c>
      <c r="Z301" s="16">
        <v>2.3814023299653124</v>
      </c>
      <c r="AA301" s="16">
        <v>2.5018319307045447</v>
      </c>
      <c r="AB301" s="67">
        <v>2.6270075061895808</v>
      </c>
      <c r="AC301" s="3"/>
    </row>
    <row r="302" spans="2:29" x14ac:dyDescent="0.3">
      <c r="B302" s="66" t="s">
        <v>141</v>
      </c>
      <c r="C302" s="16">
        <v>3.5940870627719272</v>
      </c>
      <c r="D302" s="16">
        <v>4.1923162362711253</v>
      </c>
      <c r="E302" s="16">
        <v>5.5106405543639827</v>
      </c>
      <c r="F302" s="16">
        <v>5.6503679726812548</v>
      </c>
      <c r="G302" s="16">
        <v>5.3538189180884794</v>
      </c>
      <c r="H302" s="16">
        <v>4.6477776673269453</v>
      </c>
      <c r="I302" s="16">
        <v>4.451342167322605</v>
      </c>
      <c r="J302" s="16">
        <v>4.40217066736255</v>
      </c>
      <c r="K302" s="16">
        <v>5.5173464440330626</v>
      </c>
      <c r="L302" s="16">
        <v>8.0561872393806269</v>
      </c>
      <c r="M302" s="16">
        <v>8.2725548027236417</v>
      </c>
      <c r="N302" s="16">
        <v>7.8027612685600243</v>
      </c>
      <c r="O302" s="16">
        <v>8.0805416348257992</v>
      </c>
      <c r="P302" s="16">
        <v>7.2100173363829754</v>
      </c>
      <c r="Q302" s="16">
        <v>5.8711727112545855</v>
      </c>
      <c r="R302" s="16">
        <v>5.1156602771453645</v>
      </c>
      <c r="S302" s="16">
        <v>4.7226063568775718</v>
      </c>
      <c r="T302" s="16">
        <v>4.8402502059081005</v>
      </c>
      <c r="U302" s="16">
        <v>4.1634933053467096</v>
      </c>
      <c r="V302" s="16">
        <v>3.9277589290776254</v>
      </c>
      <c r="W302" s="16">
        <v>7.8702345921500863</v>
      </c>
      <c r="X302" s="16">
        <v>4.9584313346581803</v>
      </c>
      <c r="Y302" s="16">
        <v>3.3813164595810177</v>
      </c>
      <c r="Z302" s="16">
        <v>3.3940297773687824</v>
      </c>
      <c r="AA302" s="16">
        <v>3.6468921646988051</v>
      </c>
      <c r="AB302" s="67">
        <v>3.6096236532255812</v>
      </c>
      <c r="AC302" s="3"/>
    </row>
    <row r="303" spans="2:29" x14ac:dyDescent="0.3">
      <c r="B303" s="66" t="s">
        <v>142</v>
      </c>
      <c r="C303" s="16">
        <v>4.4006401674867996</v>
      </c>
      <c r="D303" s="16">
        <v>5.7991508229808231</v>
      </c>
      <c r="E303" s="16">
        <v>6.9800792681375849</v>
      </c>
      <c r="F303" s="16">
        <v>8.0002462624052004</v>
      </c>
      <c r="G303" s="16">
        <v>7.2131975603872602</v>
      </c>
      <c r="H303" s="16">
        <v>6.3054033632762954</v>
      </c>
      <c r="I303" s="16">
        <v>5.3772356439299722</v>
      </c>
      <c r="J303" s="16">
        <v>6.1224618698759681</v>
      </c>
      <c r="K303" s="16">
        <v>8.91915682393706</v>
      </c>
      <c r="L303" s="16">
        <v>14.852108242786626</v>
      </c>
      <c r="M303" s="16">
        <v>14.092866832730676</v>
      </c>
      <c r="N303" s="16">
        <v>11.951246757935525</v>
      </c>
      <c r="O303" s="16">
        <v>10.610951935114802</v>
      </c>
      <c r="P303" s="16">
        <v>10.387540987958126</v>
      </c>
      <c r="Q303" s="16">
        <v>8.2077054985375106</v>
      </c>
      <c r="R303" s="16">
        <v>6.8848146051622825</v>
      </c>
      <c r="S303" s="16">
        <v>6.4655038843101575</v>
      </c>
      <c r="T303" s="16">
        <v>6.3559830078931157</v>
      </c>
      <c r="U303" s="16">
        <v>5.6791171861107301</v>
      </c>
      <c r="V303" s="16">
        <v>5.4019511733311374</v>
      </c>
      <c r="W303" s="16">
        <v>10.998199134111836</v>
      </c>
      <c r="X303" s="16">
        <v>8.3691258847902112</v>
      </c>
      <c r="Y303" s="16">
        <v>6.0433755442458033</v>
      </c>
      <c r="Z303" s="16">
        <v>6.2160838640097822</v>
      </c>
      <c r="AA303" s="16">
        <v>5.617114440977252</v>
      </c>
      <c r="AB303" s="67">
        <v>4.9685586902021344</v>
      </c>
      <c r="AC303" s="3"/>
    </row>
    <row r="304" spans="2:29" x14ac:dyDescent="0.3">
      <c r="B304" s="66" t="s">
        <v>143</v>
      </c>
      <c r="C304" s="16">
        <v>5.0799484850747021</v>
      </c>
      <c r="D304" s="16">
        <v>6.9130235874632406</v>
      </c>
      <c r="E304" s="16">
        <v>8.8533873491967476</v>
      </c>
      <c r="F304" s="16">
        <v>7.9691565750843036</v>
      </c>
      <c r="G304" s="16">
        <v>7.0866857860105954</v>
      </c>
      <c r="H304" s="16">
        <v>6.8172573221718151</v>
      </c>
      <c r="I304" s="16">
        <v>6.3529092323219132</v>
      </c>
      <c r="J304" s="16">
        <v>6.058171610705573</v>
      </c>
      <c r="K304" s="16">
        <v>8.0421943634537403</v>
      </c>
      <c r="L304" s="16">
        <v>13.623560667559975</v>
      </c>
      <c r="M304" s="16">
        <v>13.622255348967775</v>
      </c>
      <c r="N304" s="16">
        <v>13.656287804972575</v>
      </c>
      <c r="O304" s="16">
        <v>12.908611749789999</v>
      </c>
      <c r="P304" s="16">
        <v>10.954628367668592</v>
      </c>
      <c r="Q304" s="16">
        <v>8.5114878777123337</v>
      </c>
      <c r="R304" s="16">
        <v>7.9725375740398077</v>
      </c>
      <c r="S304" s="16">
        <v>7.1850796179773022</v>
      </c>
      <c r="T304" s="16">
        <v>6.5144245422561768</v>
      </c>
      <c r="U304" s="16">
        <v>5.6743724302435652</v>
      </c>
      <c r="V304" s="16">
        <v>5.044679729843808</v>
      </c>
      <c r="W304" s="16">
        <v>8.8251722950582074</v>
      </c>
      <c r="X304" s="16">
        <v>6.871110257478465</v>
      </c>
      <c r="Y304" s="16">
        <v>5.3861848494364146</v>
      </c>
      <c r="Z304" s="16">
        <v>4.7992978922986795</v>
      </c>
      <c r="AA304" s="16">
        <v>4.7529249656472832</v>
      </c>
      <c r="AB304" s="67">
        <v>4.8696378291106805</v>
      </c>
      <c r="AC304" s="3"/>
    </row>
    <row r="305" spans="2:29" x14ac:dyDescent="0.3">
      <c r="B305" s="66" t="s">
        <v>144</v>
      </c>
      <c r="C305" s="16">
        <v>3.8070347349916625</v>
      </c>
      <c r="D305" s="16">
        <v>4.4172198849471105</v>
      </c>
      <c r="E305" s="16">
        <v>4.9865114121451022</v>
      </c>
      <c r="F305" s="16">
        <v>4.6398771239406402</v>
      </c>
      <c r="G305" s="16">
        <v>4.7176857861318853</v>
      </c>
      <c r="H305" s="16">
        <v>5.1278738921397498</v>
      </c>
      <c r="I305" s="16">
        <v>4.4535789927900549</v>
      </c>
      <c r="J305" s="16">
        <v>4.7342727936870723</v>
      </c>
      <c r="K305" s="16">
        <v>6.6341163629076458</v>
      </c>
      <c r="L305" s="16">
        <v>10.532922717609061</v>
      </c>
      <c r="M305" s="16">
        <v>11.70463659915945</v>
      </c>
      <c r="N305" s="16">
        <v>11.8662345911968</v>
      </c>
      <c r="O305" s="16">
        <v>10.75110157630505</v>
      </c>
      <c r="P305" s="16">
        <v>9.4302968042018822</v>
      </c>
      <c r="Q305" s="16">
        <v>7.9489923906963966</v>
      </c>
      <c r="R305" s="16">
        <v>6.7642803609666897</v>
      </c>
      <c r="S305" s="16">
        <v>6.1374686883505927</v>
      </c>
      <c r="T305" s="16">
        <v>5.2953967161524176</v>
      </c>
      <c r="U305" s="16">
        <v>4.3826236168945751</v>
      </c>
      <c r="V305" s="16">
        <v>4.0837311006625425</v>
      </c>
      <c r="W305" s="16">
        <v>6.3411837902495076</v>
      </c>
      <c r="X305" s="16">
        <v>3.7459003298852203</v>
      </c>
      <c r="Y305" s="16">
        <v>3.1737571579083772</v>
      </c>
      <c r="Z305" s="16">
        <v>3.2389507559324349</v>
      </c>
      <c r="AA305" s="16">
        <v>3.530788828882645</v>
      </c>
      <c r="AB305" s="67">
        <v>3.5414423274412274</v>
      </c>
      <c r="AC305" s="3"/>
    </row>
    <row r="306" spans="2:29" x14ac:dyDescent="0.3">
      <c r="B306" s="66" t="s">
        <v>507</v>
      </c>
      <c r="C306" s="16">
        <v>4.2463470974985267</v>
      </c>
      <c r="D306" s="16">
        <v>4.5005504580851055</v>
      </c>
      <c r="E306" s="16">
        <v>5.574100416106595</v>
      </c>
      <c r="F306" s="16">
        <v>5.8361787136148253</v>
      </c>
      <c r="G306" s="16">
        <v>5.4829889700546897</v>
      </c>
      <c r="H306" s="16">
        <v>4.8648244660725144</v>
      </c>
      <c r="I306" s="16">
        <v>4.685582500450967</v>
      </c>
      <c r="J306" s="16">
        <v>5.2776822347440824</v>
      </c>
      <c r="K306" s="16">
        <v>7.1235057889084619</v>
      </c>
      <c r="L306" s="16">
        <v>11.233206387306176</v>
      </c>
      <c r="M306" s="16">
        <v>12.4467888444119</v>
      </c>
      <c r="N306" s="16">
        <v>11.841287878469402</v>
      </c>
      <c r="O306" s="16">
        <v>10.350847847824602</v>
      </c>
      <c r="P306" s="16">
        <v>8.7422642870973757</v>
      </c>
      <c r="Q306" s="16">
        <v>7.2053059881346693</v>
      </c>
      <c r="R306" s="16">
        <v>5.8745716958209702</v>
      </c>
      <c r="S306" s="16">
        <v>5.2077932335745878</v>
      </c>
      <c r="T306" s="16">
        <v>4.4872769842478224</v>
      </c>
      <c r="U306" s="16">
        <v>3.7277868278535027</v>
      </c>
      <c r="V306" s="16">
        <v>3.5833250063901101</v>
      </c>
      <c r="W306" s="16">
        <v>8.7047078971778529</v>
      </c>
      <c r="X306" s="16">
        <v>6.3430831326977053</v>
      </c>
      <c r="Y306" s="16">
        <v>3.7648194410843874</v>
      </c>
      <c r="Z306" s="16">
        <v>4.192206276316937</v>
      </c>
      <c r="AA306" s="16">
        <v>4.6689527993116293</v>
      </c>
      <c r="AB306" s="67">
        <v>4.8383894287797506</v>
      </c>
      <c r="AC306" s="3"/>
    </row>
    <row r="307" spans="2:29" x14ac:dyDescent="0.3">
      <c r="B307" s="66" t="s">
        <v>145</v>
      </c>
      <c r="C307" s="16">
        <v>4.2328852634588046</v>
      </c>
      <c r="D307" s="16">
        <v>5.9057044835892949</v>
      </c>
      <c r="E307" s="16">
        <v>7.1264933425718429</v>
      </c>
      <c r="F307" s="16">
        <v>8.8573605971304836</v>
      </c>
      <c r="G307" s="16">
        <v>8.4083559037810893</v>
      </c>
      <c r="H307" s="16">
        <v>7.8891960333260407</v>
      </c>
      <c r="I307" s="16">
        <v>7.56052874115111</v>
      </c>
      <c r="J307" s="16">
        <v>7.199948940555192</v>
      </c>
      <c r="K307" s="16">
        <v>8.4269308011099575</v>
      </c>
      <c r="L307" s="16">
        <v>12.651558798731976</v>
      </c>
      <c r="M307" s="16">
        <v>12.368894872474325</v>
      </c>
      <c r="N307" s="16">
        <v>9.944858890645909</v>
      </c>
      <c r="O307" s="16">
        <v>9.1742812613689928</v>
      </c>
      <c r="P307" s="16">
        <v>9.0221506956470119</v>
      </c>
      <c r="Q307" s="16">
        <v>7.4630094967044656</v>
      </c>
      <c r="R307" s="16">
        <v>5.6977125388100669</v>
      </c>
      <c r="S307" s="16">
        <v>5.2845748965298824</v>
      </c>
      <c r="T307" s="16">
        <v>5.2731604659578553</v>
      </c>
      <c r="U307" s="16">
        <v>4.7645832151410428</v>
      </c>
      <c r="V307" s="16">
        <v>4.8103159423624895</v>
      </c>
      <c r="W307" s="16">
        <v>10.399771237091469</v>
      </c>
      <c r="X307" s="16">
        <v>6.7896386526851851</v>
      </c>
      <c r="Y307" s="16">
        <v>5.3828268846664002</v>
      </c>
      <c r="Z307" s="16">
        <v>5.1913778017775281</v>
      </c>
      <c r="AA307" s="16">
        <v>5.8805406748503</v>
      </c>
      <c r="AB307" s="67">
        <v>6.8464023750502436</v>
      </c>
      <c r="AC307" s="3"/>
    </row>
    <row r="308" spans="2:29" x14ac:dyDescent="0.3">
      <c r="B308" s="66" t="s">
        <v>146</v>
      </c>
      <c r="C308" s="16">
        <v>5.445941722970046</v>
      </c>
      <c r="D308" s="16">
        <v>6.2242824589370347</v>
      </c>
      <c r="E308" s="16">
        <v>7.0053037578022748</v>
      </c>
      <c r="F308" s="16">
        <v>7.6510364507680828</v>
      </c>
      <c r="G308" s="16">
        <v>7.3934186731286182</v>
      </c>
      <c r="H308" s="16">
        <v>6.31896256040321</v>
      </c>
      <c r="I308" s="16">
        <v>5.5769828793941532</v>
      </c>
      <c r="J308" s="16">
        <v>5.3206048389298823</v>
      </c>
      <c r="K308" s="16">
        <v>6.2003975324624001</v>
      </c>
      <c r="L308" s="16">
        <v>10.173708687226387</v>
      </c>
      <c r="M308" s="16">
        <v>10.7790918895671</v>
      </c>
      <c r="N308" s="16">
        <v>10.1788254449731</v>
      </c>
      <c r="O308" s="16">
        <v>9.6224397319901129</v>
      </c>
      <c r="P308" s="16">
        <v>8.5553184138766589</v>
      </c>
      <c r="Q308" s="16">
        <v>7.111325823153595</v>
      </c>
      <c r="R308" s="16">
        <v>5.7896977755834422</v>
      </c>
      <c r="S308" s="16">
        <v>4.9399826165533973</v>
      </c>
      <c r="T308" s="16">
        <v>4.219708856642292</v>
      </c>
      <c r="U308" s="16">
        <v>4.1408558175694292</v>
      </c>
      <c r="V308" s="16">
        <v>3.8883994953493226</v>
      </c>
      <c r="W308" s="16">
        <v>6.7892967473483097</v>
      </c>
      <c r="X308" s="16">
        <v>4.9594305825421898</v>
      </c>
      <c r="Y308" s="16">
        <v>3.9679147055936324</v>
      </c>
      <c r="Z308" s="16">
        <v>3.7197176031944776</v>
      </c>
      <c r="AA308" s="16">
        <v>4.0779730685948596</v>
      </c>
      <c r="AB308" s="67">
        <v>4.5018216076557609</v>
      </c>
      <c r="AC308" s="3"/>
    </row>
    <row r="309" spans="2:29" x14ac:dyDescent="0.3">
      <c r="B309" s="66" t="s">
        <v>147</v>
      </c>
      <c r="C309" s="16">
        <v>7.2113931964258882</v>
      </c>
      <c r="D309" s="16">
        <v>7.7823071643755828</v>
      </c>
      <c r="E309" s="16">
        <v>8.973141852950139</v>
      </c>
      <c r="F309" s="16">
        <v>9.0306011794070749</v>
      </c>
      <c r="G309" s="16">
        <v>8.2557310625198852</v>
      </c>
      <c r="H309" s="16">
        <v>7.2638269080695474</v>
      </c>
      <c r="I309" s="16">
        <v>6.9274897999211147</v>
      </c>
      <c r="J309" s="16">
        <v>7.0725143725346449</v>
      </c>
      <c r="K309" s="16">
        <v>8.459539409487931</v>
      </c>
      <c r="L309" s="16">
        <v>11.912289383445774</v>
      </c>
      <c r="M309" s="16">
        <v>12.864667711931077</v>
      </c>
      <c r="N309" s="16">
        <v>12.69448899147185</v>
      </c>
      <c r="O309" s="16">
        <v>11.628919563126425</v>
      </c>
      <c r="P309" s="16">
        <v>10.419870277495853</v>
      </c>
      <c r="Q309" s="16">
        <v>9.180871585546738</v>
      </c>
      <c r="R309" s="16">
        <v>8.1435297875173447</v>
      </c>
      <c r="S309" s="16">
        <v>7.8550811134191152</v>
      </c>
      <c r="T309" s="16">
        <v>7.3305115252741029</v>
      </c>
      <c r="U309" s="16">
        <v>6.5006912585128296</v>
      </c>
      <c r="V309" s="16">
        <v>6.4155302295177528</v>
      </c>
      <c r="W309" s="16">
        <v>11.136256855160243</v>
      </c>
      <c r="X309" s="16">
        <v>8.4411633829940769</v>
      </c>
      <c r="Y309" s="16">
        <v>6.1849936132461032</v>
      </c>
      <c r="Z309" s="16">
        <v>7.0345331546173941</v>
      </c>
      <c r="AA309" s="16">
        <v>7.27104811250498</v>
      </c>
      <c r="AB309" s="67">
        <v>7.2335410751425373</v>
      </c>
      <c r="AC309" s="3"/>
    </row>
    <row r="310" spans="2:29" x14ac:dyDescent="0.3">
      <c r="B310" s="66" t="s">
        <v>549</v>
      </c>
      <c r="C310" s="16">
        <v>4.533292809252961</v>
      </c>
      <c r="D310" s="16">
        <v>5.2279479510872182</v>
      </c>
      <c r="E310" s="16">
        <v>5.2078466788013795</v>
      </c>
      <c r="F310" s="16">
        <v>5.1489190035127432</v>
      </c>
      <c r="G310" s="16">
        <v>4.8417139444856083</v>
      </c>
      <c r="H310" s="16">
        <v>4.5977842886844202</v>
      </c>
      <c r="I310" s="16">
        <v>4.3252176057345117</v>
      </c>
      <c r="J310" s="16">
        <v>4.1257240773100143</v>
      </c>
      <c r="K310" s="16">
        <v>5.4710876110226128</v>
      </c>
      <c r="L310" s="16">
        <v>8.681537703722741</v>
      </c>
      <c r="M310" s="16">
        <v>10.203803097866949</v>
      </c>
      <c r="N310" s="16">
        <v>10.15146313660105</v>
      </c>
      <c r="O310" s="16">
        <v>9.6052378043227673</v>
      </c>
      <c r="P310" s="16">
        <v>9.012394869622991</v>
      </c>
      <c r="Q310" s="16">
        <v>7.898851169064887</v>
      </c>
      <c r="R310" s="16">
        <v>6.9263504112225895</v>
      </c>
      <c r="S310" s="16">
        <v>5.7577238903792605</v>
      </c>
      <c r="T310" s="16">
        <v>5.546969707214302</v>
      </c>
      <c r="U310" s="16">
        <v>5.1785095753661423</v>
      </c>
      <c r="V310" s="16">
        <v>4.4495899704017123</v>
      </c>
      <c r="W310" s="16">
        <v>7.0414902512743254</v>
      </c>
      <c r="X310" s="16">
        <v>5.4381280189734449</v>
      </c>
      <c r="Y310" s="16">
        <v>3.4483521832944852</v>
      </c>
      <c r="Z310" s="16">
        <v>2.5543868361613651</v>
      </c>
      <c r="AA310" s="16">
        <v>3.4075256651211276</v>
      </c>
      <c r="AB310" s="67">
        <v>3.5590952637533917</v>
      </c>
      <c r="AC310" s="3"/>
    </row>
    <row r="311" spans="2:29" x14ac:dyDescent="0.3">
      <c r="B311" s="66" t="s">
        <v>508</v>
      </c>
      <c r="C311" s="16">
        <v>3.1642704268960351</v>
      </c>
      <c r="D311" s="16">
        <v>4.3608821261411226</v>
      </c>
      <c r="E311" s="16">
        <v>5.8286604736958845</v>
      </c>
      <c r="F311" s="16">
        <v>5.6853306065952678</v>
      </c>
      <c r="G311" s="16">
        <v>5.0513609314702448</v>
      </c>
      <c r="H311" s="16">
        <v>4.0052333202280952</v>
      </c>
      <c r="I311" s="16">
        <v>2.8076550758282726</v>
      </c>
      <c r="J311" s="16">
        <v>2.4939286972949022</v>
      </c>
      <c r="K311" s="16">
        <v>3.1850311861249327</v>
      </c>
      <c r="L311" s="16">
        <v>7.3892263707565427</v>
      </c>
      <c r="M311" s="16">
        <v>8.1238932121067542</v>
      </c>
      <c r="N311" s="16">
        <v>7.1075875120678571</v>
      </c>
      <c r="O311" s="16">
        <v>4.6648178225341947</v>
      </c>
      <c r="P311" s="16">
        <v>4.0633507126969972</v>
      </c>
      <c r="Q311" s="16">
        <v>3.5382017739251701</v>
      </c>
      <c r="R311" s="16">
        <v>3.3283350531963647</v>
      </c>
      <c r="S311" s="16">
        <v>3.1615755797576552</v>
      </c>
      <c r="T311" s="16">
        <v>3.0625736683849274</v>
      </c>
      <c r="U311" s="16">
        <v>2.8837224655014748</v>
      </c>
      <c r="V311" s="16">
        <v>2.4897090010337051</v>
      </c>
      <c r="W311" s="16">
        <v>5.2772214666819597</v>
      </c>
      <c r="X311" s="16">
        <v>2.8637546812797599</v>
      </c>
      <c r="Y311" s="16">
        <v>2.3794973616433124</v>
      </c>
      <c r="Z311" s="16">
        <v>2.7083401312402851</v>
      </c>
      <c r="AA311" s="16">
        <v>3.2027531182278999</v>
      </c>
      <c r="AB311" s="67">
        <v>3.3030894111512619</v>
      </c>
      <c r="AC311" s="3"/>
    </row>
    <row r="312" spans="2:29" x14ac:dyDescent="0.3">
      <c r="B312" s="66" t="s">
        <v>148</v>
      </c>
      <c r="C312" s="16">
        <v>3.9404311670886547</v>
      </c>
      <c r="D312" s="16">
        <v>3.8567814786437076</v>
      </c>
      <c r="E312" s="16">
        <v>4.7775213426951151</v>
      </c>
      <c r="F312" s="16">
        <v>5.1377222010281027</v>
      </c>
      <c r="G312" s="16">
        <v>4.7348725037561881</v>
      </c>
      <c r="H312" s="16">
        <v>4.3566621564151076</v>
      </c>
      <c r="I312" s="16">
        <v>4.1860369064458398</v>
      </c>
      <c r="J312" s="16">
        <v>3.6921698234121774</v>
      </c>
      <c r="K312" s="16">
        <v>4.1315960773792444</v>
      </c>
      <c r="L312" s="16">
        <v>6.3136455849895956</v>
      </c>
      <c r="M312" s="16">
        <v>6.6007646211297555</v>
      </c>
      <c r="N312" s="16">
        <v>6.4801575109533145</v>
      </c>
      <c r="O312" s="16">
        <v>5.2991132171690003</v>
      </c>
      <c r="P312" s="16">
        <v>5.1707378565480173</v>
      </c>
      <c r="Q312" s="16">
        <v>4.1009344009987423</v>
      </c>
      <c r="R312" s="16">
        <v>4.1088685268790446</v>
      </c>
      <c r="S312" s="16">
        <v>4.28018449880937</v>
      </c>
      <c r="T312" s="16">
        <v>3.5270410702298305</v>
      </c>
      <c r="U312" s="16">
        <v>3.028013546687653</v>
      </c>
      <c r="V312" s="16">
        <v>2.8647319483703475</v>
      </c>
      <c r="W312" s="16">
        <v>6.1218772390037524</v>
      </c>
      <c r="X312" s="16">
        <v>4.6029973508489679</v>
      </c>
      <c r="Y312" s="16">
        <v>3.2170012409233748</v>
      </c>
      <c r="Z312" s="16">
        <v>3.2408343821658852</v>
      </c>
      <c r="AA312" s="16">
        <v>3.2432029468995274</v>
      </c>
      <c r="AB312" s="67">
        <v>3.2079710338022838</v>
      </c>
      <c r="AC312" s="3"/>
    </row>
    <row r="313" spans="2:29" x14ac:dyDescent="0.3">
      <c r="B313" s="66" t="s">
        <v>368</v>
      </c>
      <c r="C313" s="16">
        <v>4.0069333208100426</v>
      </c>
      <c r="D313" s="16">
        <v>4.5252255402849251</v>
      </c>
      <c r="E313" s="16">
        <v>5.7294726885855525</v>
      </c>
      <c r="F313" s="16">
        <v>6.1602615782040901</v>
      </c>
      <c r="G313" s="16">
        <v>5.6287368088272123</v>
      </c>
      <c r="H313" s="16">
        <v>5.0781796671630932</v>
      </c>
      <c r="I313" s="16">
        <v>4.6615191309758472</v>
      </c>
      <c r="J313" s="16">
        <v>4.0891293463882281</v>
      </c>
      <c r="K313" s="16">
        <v>4.6390728471671823</v>
      </c>
      <c r="L313" s="16">
        <v>6.6894597020118676</v>
      </c>
      <c r="M313" s="16">
        <v>7.3170729706656426</v>
      </c>
      <c r="N313" s="16">
        <v>7.39773007889701</v>
      </c>
      <c r="O313" s="16">
        <v>6.2286927950276825</v>
      </c>
      <c r="P313" s="16">
        <v>5.8296955172263329</v>
      </c>
      <c r="Q313" s="16">
        <v>4.6962440313206546</v>
      </c>
      <c r="R313" s="16">
        <v>3.8225929265615446</v>
      </c>
      <c r="S313" s="16">
        <v>3.7680720919986723</v>
      </c>
      <c r="T313" s="16">
        <v>3.539889691465425</v>
      </c>
      <c r="U313" s="16">
        <v>3.3413748739068949</v>
      </c>
      <c r="V313" s="16">
        <v>3.092952183818892</v>
      </c>
      <c r="W313" s="16">
        <v>7.3556094783981028</v>
      </c>
      <c r="X313" s="16">
        <v>5.1775984992047395</v>
      </c>
      <c r="Y313" s="16">
        <v>3.6919536788927698</v>
      </c>
      <c r="Z313" s="16">
        <v>3.7299235872507399</v>
      </c>
      <c r="AA313" s="16">
        <v>3.7867261979953799</v>
      </c>
      <c r="AB313" s="67">
        <v>3.8280801404818612</v>
      </c>
      <c r="AC313" s="3"/>
    </row>
    <row r="314" spans="2:29" x14ac:dyDescent="0.3">
      <c r="B314" s="66" t="s">
        <v>509</v>
      </c>
      <c r="C314" s="16">
        <v>3.8840481623964576</v>
      </c>
      <c r="D314" s="16">
        <v>4.2001731100961974</v>
      </c>
      <c r="E314" s="16">
        <v>5.1757035884476998</v>
      </c>
      <c r="F314" s="16">
        <v>5.2553140541064591</v>
      </c>
      <c r="G314" s="16">
        <v>4.7155277914660179</v>
      </c>
      <c r="H314" s="16">
        <v>4.2877313492881894</v>
      </c>
      <c r="I314" s="16">
        <v>3.9684729027890024</v>
      </c>
      <c r="J314" s="16">
        <v>4.5063142211620226</v>
      </c>
      <c r="K314" s="16">
        <v>6.0534659404354949</v>
      </c>
      <c r="L314" s="16">
        <v>9.7200328750159795</v>
      </c>
      <c r="M314" s="16">
        <v>10.832172692605026</v>
      </c>
      <c r="N314" s="16">
        <v>10.331100606649738</v>
      </c>
      <c r="O314" s="16">
        <v>9.1713065151980331</v>
      </c>
      <c r="P314" s="16">
        <v>7.9062556512126125</v>
      </c>
      <c r="Q314" s="16">
        <v>6.5121883707596027</v>
      </c>
      <c r="R314" s="16">
        <v>5.2207228047025751</v>
      </c>
      <c r="S314" s="16">
        <v>4.6551723592643075</v>
      </c>
      <c r="T314" s="16">
        <v>3.9573130368147424</v>
      </c>
      <c r="U314" s="16">
        <v>3.2994145547315301</v>
      </c>
      <c r="V314" s="16">
        <v>3.1661669868027524</v>
      </c>
      <c r="W314" s="16">
        <v>9.2480749753869489</v>
      </c>
      <c r="X314" s="16">
        <v>6.3765566487201371</v>
      </c>
      <c r="Y314" s="16">
        <v>3.4109365884588949</v>
      </c>
      <c r="Z314" s="16">
        <v>3.7146182302211375</v>
      </c>
      <c r="AA314" s="16">
        <v>4.3165947176241772</v>
      </c>
      <c r="AB314" s="67">
        <v>4.4805584504054066</v>
      </c>
      <c r="AC314" s="3"/>
    </row>
    <row r="315" spans="2:29" x14ac:dyDescent="0.3">
      <c r="B315" s="66" t="s">
        <v>510</v>
      </c>
      <c r="C315" s="16">
        <v>3.3540738144837121</v>
      </c>
      <c r="D315" s="16">
        <v>4.4658895138406329</v>
      </c>
      <c r="E315" s="16">
        <v>6.28063431908895</v>
      </c>
      <c r="F315" s="16">
        <v>6.4325731260751677</v>
      </c>
      <c r="G315" s="16">
        <v>5.481707506953148</v>
      </c>
      <c r="H315" s="16">
        <v>4.7828648734585455</v>
      </c>
      <c r="I315" s="16">
        <v>4.1751558379074929</v>
      </c>
      <c r="J315" s="16">
        <v>4.3505177201431176</v>
      </c>
      <c r="K315" s="16">
        <v>5.7310809708017052</v>
      </c>
      <c r="L315" s="16">
        <v>9.6873985056684049</v>
      </c>
      <c r="M315" s="16">
        <v>9.9491030599656085</v>
      </c>
      <c r="N315" s="16">
        <v>9.1061478290225519</v>
      </c>
      <c r="O315" s="16">
        <v>7.8429123679489372</v>
      </c>
      <c r="P315" s="16">
        <v>6.5144909976909045</v>
      </c>
      <c r="Q315" s="16">
        <v>5.2792906008377125</v>
      </c>
      <c r="R315" s="16">
        <v>4.2750725406552501</v>
      </c>
      <c r="S315" s="16">
        <v>3.9101929850157702</v>
      </c>
      <c r="T315" s="16">
        <v>3.3924988400180749</v>
      </c>
      <c r="U315" s="16">
        <v>2.8063179869700603</v>
      </c>
      <c r="V315" s="16">
        <v>2.6526898058058475</v>
      </c>
      <c r="W315" s="16">
        <v>8.3512669289847299</v>
      </c>
      <c r="X315" s="16">
        <v>5.6375093023913294</v>
      </c>
      <c r="Y315" s="16">
        <v>3.0270943715142704</v>
      </c>
      <c r="Z315" s="16">
        <v>3.6018051365514601</v>
      </c>
      <c r="AA315" s="16">
        <v>4.18716873169544</v>
      </c>
      <c r="AB315" s="67">
        <v>4.3040752953361396</v>
      </c>
      <c r="AC315" s="3"/>
    </row>
    <row r="316" spans="2:29" x14ac:dyDescent="0.3">
      <c r="B316" s="66" t="s">
        <v>369</v>
      </c>
      <c r="C316" s="16">
        <v>3.1642266334891427</v>
      </c>
      <c r="D316" s="16">
        <v>5.1596209184135127</v>
      </c>
      <c r="E316" s="16">
        <v>8.4376121930751289</v>
      </c>
      <c r="F316" s="16">
        <v>8.4602273240130774</v>
      </c>
      <c r="G316" s="16">
        <v>6.5090317277692122</v>
      </c>
      <c r="H316" s="16">
        <v>5.3783764046695843</v>
      </c>
      <c r="I316" s="16">
        <v>4.5575820479224181</v>
      </c>
      <c r="J316" s="16">
        <v>4.7112620492210819</v>
      </c>
      <c r="K316" s="16">
        <v>6.1378820802568397</v>
      </c>
      <c r="L316" s="16">
        <v>11.046703499768752</v>
      </c>
      <c r="M316" s="16">
        <v>10.623169494661099</v>
      </c>
      <c r="N316" s="16">
        <v>9.4674782297457032</v>
      </c>
      <c r="O316" s="16">
        <v>8.0620826739980078</v>
      </c>
      <c r="P316" s="16">
        <v>6.6577759949134103</v>
      </c>
      <c r="Q316" s="16">
        <v>5.3394031848495418</v>
      </c>
      <c r="R316" s="16">
        <v>4.2542015961428472</v>
      </c>
      <c r="S316" s="16">
        <v>3.9768298119806529</v>
      </c>
      <c r="T316" s="16">
        <v>3.3961864306104377</v>
      </c>
      <c r="U316" s="16">
        <v>2.79721220310106</v>
      </c>
      <c r="V316" s="16">
        <v>2.6596416050293676</v>
      </c>
      <c r="W316" s="16">
        <v>7.3992422766499022</v>
      </c>
      <c r="X316" s="16">
        <v>5.0079967202280624</v>
      </c>
      <c r="Y316" s="16">
        <v>2.8391518264540627</v>
      </c>
      <c r="Z316" s="16">
        <v>3.5996139669816927</v>
      </c>
      <c r="AA316" s="16">
        <v>4.2010207191525</v>
      </c>
      <c r="AB316" s="67">
        <v>4.2662786662345109</v>
      </c>
      <c r="AC316" s="3"/>
    </row>
    <row r="317" spans="2:29" x14ac:dyDescent="0.3">
      <c r="B317" s="66" t="s">
        <v>511</v>
      </c>
      <c r="C317" s="16">
        <v>9.0061135469001403</v>
      </c>
      <c r="D317" s="16">
        <v>10.083737627223027</v>
      </c>
      <c r="E317" s="16">
        <v>10.891236706299649</v>
      </c>
      <c r="F317" s="16">
        <v>10.826307122090373</v>
      </c>
      <c r="G317" s="16">
        <v>9.64684993315832</v>
      </c>
      <c r="H317" s="16">
        <v>10.25429837044301</v>
      </c>
      <c r="I317" s="16">
        <v>9.618409762287552</v>
      </c>
      <c r="J317" s="16">
        <v>10.418774160212999</v>
      </c>
      <c r="K317" s="16">
        <v>11.136763183337649</v>
      </c>
      <c r="L317" s="16">
        <v>14.4771701157468</v>
      </c>
      <c r="M317" s="16">
        <v>14.674189035180202</v>
      </c>
      <c r="N317" s="16">
        <v>14.166034164334327</v>
      </c>
      <c r="O317" s="16">
        <v>12.501708143357625</v>
      </c>
      <c r="P317" s="16">
        <v>11.759473411425125</v>
      </c>
      <c r="Q317" s="16">
        <v>11.607506853665123</v>
      </c>
      <c r="R317" s="16">
        <v>10.234994809570825</v>
      </c>
      <c r="S317" s="16">
        <v>10.00473539633477</v>
      </c>
      <c r="T317" s="16">
        <v>9.1007106166443084</v>
      </c>
      <c r="U317" s="16">
        <v>7.7716310757028824</v>
      </c>
      <c r="V317" s="16">
        <v>6.8652568443568756</v>
      </c>
      <c r="W317" s="16">
        <v>8.5894553671275844</v>
      </c>
      <c r="X317" s="16">
        <v>7.3131147086108568</v>
      </c>
      <c r="Y317" s="16">
        <v>5.0986430260277826</v>
      </c>
      <c r="Z317" s="16">
        <v>4.9806438689037726</v>
      </c>
      <c r="AA317" s="16">
        <v>4.7357985522645976</v>
      </c>
      <c r="AB317" s="67">
        <v>4.4303627642201961</v>
      </c>
      <c r="AC317" s="3"/>
    </row>
    <row r="318" spans="2:29" x14ac:dyDescent="0.3">
      <c r="B318" s="66" t="s">
        <v>512</v>
      </c>
      <c r="C318" s="16">
        <v>3.9984874277979001</v>
      </c>
      <c r="D318" s="16">
        <v>4.04012591120867</v>
      </c>
      <c r="E318" s="16">
        <v>4.6875116478747243</v>
      </c>
      <c r="F318" s="16">
        <v>4.7633880820628427</v>
      </c>
      <c r="G318" s="16">
        <v>4.5603748405729014</v>
      </c>
      <c r="H318" s="16">
        <v>4.2493366546083129</v>
      </c>
      <c r="I318" s="16">
        <v>3.943417176571955</v>
      </c>
      <c r="J318" s="16">
        <v>4.2487736630570101</v>
      </c>
      <c r="K318" s="16">
        <v>5.8021464519142283</v>
      </c>
      <c r="L318" s="16">
        <v>9.1180418072336877</v>
      </c>
      <c r="M318" s="16">
        <v>10.065766529317578</v>
      </c>
      <c r="N318" s="16">
        <v>9.5561919314741459</v>
      </c>
      <c r="O318" s="16">
        <v>8.2802067990444659</v>
      </c>
      <c r="P318" s="16">
        <v>6.8836186107563524</v>
      </c>
      <c r="Q318" s="16">
        <v>5.65107283013106</v>
      </c>
      <c r="R318" s="16">
        <v>4.744552926016433</v>
      </c>
      <c r="S318" s="16">
        <v>4.5473595539780831</v>
      </c>
      <c r="T318" s="16">
        <v>3.788786554283655</v>
      </c>
      <c r="U318" s="16">
        <v>3.1620503972858103</v>
      </c>
      <c r="V318" s="16">
        <v>3.0326733263367354</v>
      </c>
      <c r="W318" s="16">
        <v>8.1626465510801687</v>
      </c>
      <c r="X318" s="16">
        <v>5.5261906967133019</v>
      </c>
      <c r="Y318" s="16">
        <v>3.2278427862333952</v>
      </c>
      <c r="Z318" s="16">
        <v>3.572528533549935</v>
      </c>
      <c r="AA318" s="16">
        <v>4.0814903975383494</v>
      </c>
      <c r="AB318" s="67">
        <v>4.3018891056818322</v>
      </c>
      <c r="AC318" s="3"/>
    </row>
    <row r="319" spans="2:29" x14ac:dyDescent="0.3">
      <c r="B319" s="66" t="s">
        <v>550</v>
      </c>
      <c r="C319" s="16">
        <v>4.83431492980508</v>
      </c>
      <c r="D319" s="16">
        <v>5.2374528377828948</v>
      </c>
      <c r="E319" s="16">
        <v>6.4815888646698525</v>
      </c>
      <c r="F319" s="16">
        <v>7.0258383171276799</v>
      </c>
      <c r="G319" s="16">
        <v>7.2827373788366305</v>
      </c>
      <c r="H319" s="16">
        <v>6.9822296793262968</v>
      </c>
      <c r="I319" s="16">
        <v>6.3003070556803449</v>
      </c>
      <c r="J319" s="16">
        <v>6.466080607075372</v>
      </c>
      <c r="K319" s="16">
        <v>7.9906146086015974</v>
      </c>
      <c r="L319" s="16">
        <v>12.719849514812125</v>
      </c>
      <c r="M319" s="16">
        <v>11.4515310612547</v>
      </c>
      <c r="N319" s="16">
        <v>10.023805979687385</v>
      </c>
      <c r="O319" s="16">
        <v>8.6000804744311896</v>
      </c>
      <c r="P319" s="16">
        <v>8.6110107839127785</v>
      </c>
      <c r="Q319" s="16">
        <v>6.8918285111196393</v>
      </c>
      <c r="R319" s="16">
        <v>6.0087060828984757</v>
      </c>
      <c r="S319" s="16">
        <v>6.008856318849217</v>
      </c>
      <c r="T319" s="16">
        <v>6.4286661282968147</v>
      </c>
      <c r="U319" s="16">
        <v>5.9056423383791472</v>
      </c>
      <c r="V319" s="16">
        <v>5.2897048085184144</v>
      </c>
      <c r="W319" s="16">
        <v>10.13046653804537</v>
      </c>
      <c r="X319" s="16">
        <v>6.5566598095785205</v>
      </c>
      <c r="Y319" s="16">
        <v>5.0579953350147449</v>
      </c>
      <c r="Z319" s="16">
        <v>4.7999567613345775</v>
      </c>
      <c r="AA319" s="16">
        <v>5.2490020593450302</v>
      </c>
      <c r="AB319" s="67">
        <v>5.7827383961750138</v>
      </c>
      <c r="AC319" s="3"/>
    </row>
    <row r="320" spans="2:29" x14ac:dyDescent="0.3">
      <c r="B320" s="66" t="s">
        <v>370</v>
      </c>
      <c r="C320" s="16">
        <v>5.06458152199012</v>
      </c>
      <c r="D320" s="16">
        <v>5.7387715825767796</v>
      </c>
      <c r="E320" s="16">
        <v>7.4400670401817877</v>
      </c>
      <c r="F320" s="16">
        <v>7.8250752886339026</v>
      </c>
      <c r="G320" s="16">
        <v>7.0030527871094304</v>
      </c>
      <c r="H320" s="16">
        <v>6.2409803696411306</v>
      </c>
      <c r="I320" s="16">
        <v>5.6458109864506643</v>
      </c>
      <c r="J320" s="16">
        <v>5.8759390436831724</v>
      </c>
      <c r="K320" s="16">
        <v>7.4201108919941596</v>
      </c>
      <c r="L320" s="16">
        <v>11.473437546395076</v>
      </c>
      <c r="M320" s="16">
        <v>13.413735421212248</v>
      </c>
      <c r="N320" s="16">
        <v>13.081125248086124</v>
      </c>
      <c r="O320" s="16">
        <v>11.887199270443876</v>
      </c>
      <c r="P320" s="16">
        <v>10.366450135941609</v>
      </c>
      <c r="Q320" s="16">
        <v>8.8516881385978206</v>
      </c>
      <c r="R320" s="16">
        <v>7.4792861174088179</v>
      </c>
      <c r="S320" s="16">
        <v>6.9357818724993106</v>
      </c>
      <c r="T320" s="16">
        <v>5.6618056519747828</v>
      </c>
      <c r="U320" s="16">
        <v>4.9388354062626325</v>
      </c>
      <c r="V320" s="16">
        <v>4.8618220271455925</v>
      </c>
      <c r="W320" s="16">
        <v>9.5893617470405896</v>
      </c>
      <c r="X320" s="16">
        <v>6.7422429528142471</v>
      </c>
      <c r="Y320" s="16">
        <v>4.7731358924188303</v>
      </c>
      <c r="Z320" s="16">
        <v>5.5227075074186178</v>
      </c>
      <c r="AA320" s="16">
        <v>5.938467425323573</v>
      </c>
      <c r="AB320" s="67">
        <v>6.0916706615503484</v>
      </c>
      <c r="AC320" s="3"/>
    </row>
    <row r="321" spans="2:29" x14ac:dyDescent="0.3">
      <c r="B321" s="66" t="s">
        <v>149</v>
      </c>
      <c r="C321" s="16">
        <v>3.6716844451947801</v>
      </c>
      <c r="D321" s="16">
        <v>3.6335694427144927</v>
      </c>
      <c r="E321" s="16">
        <v>3.8782557256487276</v>
      </c>
      <c r="F321" s="16">
        <v>4.3629608782909424</v>
      </c>
      <c r="G321" s="16">
        <v>4.3174457207851322</v>
      </c>
      <c r="H321" s="16">
        <v>4.181654913462113</v>
      </c>
      <c r="I321" s="16">
        <v>3.4515405567320001</v>
      </c>
      <c r="J321" s="16">
        <v>2.8438545650940426</v>
      </c>
      <c r="K321" s="16">
        <v>3.6910214103953676</v>
      </c>
      <c r="L321" s="16">
        <v>6.1426438976342173</v>
      </c>
      <c r="M321" s="16">
        <v>6.526656902282987</v>
      </c>
      <c r="N321" s="16">
        <v>5.9593928416277357</v>
      </c>
      <c r="O321" s="16">
        <v>5.633549046359092</v>
      </c>
      <c r="P321" s="16">
        <v>5.5560277074956019</v>
      </c>
      <c r="Q321" s="16">
        <v>5.3401206401656598</v>
      </c>
      <c r="R321" s="16">
        <v>5.4058907807603171</v>
      </c>
      <c r="S321" s="16">
        <v>5.4425319630030806</v>
      </c>
      <c r="T321" s="16">
        <v>5.1414168043669424</v>
      </c>
      <c r="U321" s="16">
        <v>4.2413137078905923</v>
      </c>
      <c r="V321" s="16">
        <v>4.1576492082346101</v>
      </c>
      <c r="W321" s="16">
        <v>7.7426323917471525</v>
      </c>
      <c r="X321" s="16">
        <v>6.50865219309875</v>
      </c>
      <c r="Y321" s="16">
        <v>3.6689665602990278</v>
      </c>
      <c r="Z321" s="16">
        <v>3.3010665020662424</v>
      </c>
      <c r="AA321" s="16">
        <v>3.6806747231336474</v>
      </c>
      <c r="AB321" s="67">
        <v>3.762908414295195</v>
      </c>
      <c r="AC321" s="3"/>
    </row>
    <row r="322" spans="2:29" x14ac:dyDescent="0.3">
      <c r="B322" s="66" t="s">
        <v>371</v>
      </c>
      <c r="C322" s="16">
        <v>4.3230660528148972</v>
      </c>
      <c r="D322" s="16">
        <v>4.416082345874238</v>
      </c>
      <c r="E322" s="16">
        <v>5.1996818265922951</v>
      </c>
      <c r="F322" s="16">
        <v>5.1017032552055497</v>
      </c>
      <c r="G322" s="16">
        <v>4.7200530018368196</v>
      </c>
      <c r="H322" s="16">
        <v>4.3274647603886924</v>
      </c>
      <c r="I322" s="16">
        <v>4.0455227817198649</v>
      </c>
      <c r="J322" s="16">
        <v>4.3183523048009267</v>
      </c>
      <c r="K322" s="16">
        <v>5.5062533540384972</v>
      </c>
      <c r="L322" s="16">
        <v>8.5241517403101508</v>
      </c>
      <c r="M322" s="16">
        <v>9.7639420538303359</v>
      </c>
      <c r="N322" s="16">
        <v>9.386347015504116</v>
      </c>
      <c r="O322" s="16">
        <v>8.4208440542897147</v>
      </c>
      <c r="P322" s="16">
        <v>7.2787479076313506</v>
      </c>
      <c r="Q322" s="16">
        <v>6.188530916778527</v>
      </c>
      <c r="R322" s="16">
        <v>5.3186513059288281</v>
      </c>
      <c r="S322" s="16">
        <v>5.0170354193454898</v>
      </c>
      <c r="T322" s="16">
        <v>4.51350649889108</v>
      </c>
      <c r="U322" s="16">
        <v>3.8984811969052928</v>
      </c>
      <c r="V322" s="16">
        <v>3.6622127878158923</v>
      </c>
      <c r="W322" s="16">
        <v>8.216112341516423</v>
      </c>
      <c r="X322" s="16">
        <v>5.8204763785603699</v>
      </c>
      <c r="Y322" s="16">
        <v>3.6274674098102753</v>
      </c>
      <c r="Z322" s="16">
        <v>4.036351740488838</v>
      </c>
      <c r="AA322" s="16">
        <v>4.470768603236202</v>
      </c>
      <c r="AB322" s="67">
        <v>4.5743649407173175</v>
      </c>
      <c r="AC322" s="3"/>
    </row>
    <row r="323" spans="2:29" x14ac:dyDescent="0.3">
      <c r="B323" s="66" t="s">
        <v>513</v>
      </c>
      <c r="C323" s="16">
        <v>3.33297637887408</v>
      </c>
      <c r="D323" s="16">
        <v>3.6851200710688579</v>
      </c>
      <c r="E323" s="16">
        <v>5.1072929557041453</v>
      </c>
      <c r="F323" s="16">
        <v>5.5043544511762352</v>
      </c>
      <c r="G323" s="16">
        <v>4.9396699356013549</v>
      </c>
      <c r="H323" s="16">
        <v>4.40936919461328</v>
      </c>
      <c r="I323" s="16">
        <v>4.0046587077157723</v>
      </c>
      <c r="J323" s="16">
        <v>4.3002164073120275</v>
      </c>
      <c r="K323" s="16">
        <v>5.7969228965959907</v>
      </c>
      <c r="L323" s="16">
        <v>9.7340296320366839</v>
      </c>
      <c r="M323" s="16">
        <v>10.874809471417002</v>
      </c>
      <c r="N323" s="16">
        <v>10.218439797465333</v>
      </c>
      <c r="O323" s="16">
        <v>8.8938409623620203</v>
      </c>
      <c r="P323" s="16">
        <v>7.1758524733606954</v>
      </c>
      <c r="Q323" s="16">
        <v>5.6827085044289696</v>
      </c>
      <c r="R323" s="16">
        <v>4.4887664101192799</v>
      </c>
      <c r="S323" s="16">
        <v>4.0487463749699542</v>
      </c>
      <c r="T323" s="16">
        <v>3.4189981960442171</v>
      </c>
      <c r="U323" s="16">
        <v>2.8136392595010573</v>
      </c>
      <c r="V323" s="16">
        <v>2.7347561841503651</v>
      </c>
      <c r="W323" s="16">
        <v>8.1346817512277312</v>
      </c>
      <c r="X323" s="16">
        <v>5.5966132456373199</v>
      </c>
      <c r="Y323" s="16">
        <v>3.1933004156403872</v>
      </c>
      <c r="Z323" s="16">
        <v>3.5745366125450246</v>
      </c>
      <c r="AA323" s="16">
        <v>4.1217557621747725</v>
      </c>
      <c r="AB323" s="67">
        <v>4.2999228916164265</v>
      </c>
      <c r="AC323" s="3"/>
    </row>
    <row r="324" spans="2:29" x14ac:dyDescent="0.3">
      <c r="B324" s="66" t="s">
        <v>150</v>
      </c>
      <c r="C324" s="16">
        <v>3.4795845889337778</v>
      </c>
      <c r="D324" s="16">
        <v>3.4430705432326674</v>
      </c>
      <c r="E324" s="16">
        <v>4.1703011593944517</v>
      </c>
      <c r="F324" s="16">
        <v>4.1694275749408849</v>
      </c>
      <c r="G324" s="16">
        <v>4.0982405335853977</v>
      </c>
      <c r="H324" s="16">
        <v>4.3919753821720402</v>
      </c>
      <c r="I324" s="16">
        <v>3.8955747691443823</v>
      </c>
      <c r="J324" s="16">
        <v>3.8305196139740776</v>
      </c>
      <c r="K324" s="16">
        <v>5.6075172562783928</v>
      </c>
      <c r="L324" s="16">
        <v>8.4872279144107061</v>
      </c>
      <c r="M324" s="16">
        <v>9.6671371771931334</v>
      </c>
      <c r="N324" s="16">
        <v>9.6948163917212185</v>
      </c>
      <c r="O324" s="16">
        <v>8.8801064957236004</v>
      </c>
      <c r="P324" s="16">
        <v>7.9711317628420648</v>
      </c>
      <c r="Q324" s="16">
        <v>7.1075716784714205</v>
      </c>
      <c r="R324" s="16">
        <v>5.7471234995105451</v>
      </c>
      <c r="S324" s="16">
        <v>5.0980571912273076</v>
      </c>
      <c r="T324" s="16">
        <v>4.3492555658485799</v>
      </c>
      <c r="U324" s="16">
        <v>3.6020945987260502</v>
      </c>
      <c r="V324" s="16">
        <v>3.2926108421212001</v>
      </c>
      <c r="W324" s="16">
        <v>6.898335962146362</v>
      </c>
      <c r="X324" s="16">
        <v>3.9236219138859303</v>
      </c>
      <c r="Y324" s="16">
        <v>2.9994152924175626</v>
      </c>
      <c r="Z324" s="16">
        <v>2.9269120971166727</v>
      </c>
      <c r="AA324" s="16">
        <v>3.0727837677990926</v>
      </c>
      <c r="AB324" s="67">
        <v>3.040886747253678</v>
      </c>
      <c r="AC324" s="3"/>
    </row>
    <row r="325" spans="2:29" x14ac:dyDescent="0.3">
      <c r="B325" s="66" t="s">
        <v>514</v>
      </c>
      <c r="C325" s="16">
        <v>4.9494073315973326</v>
      </c>
      <c r="D325" s="16">
        <v>5.5984696279769324</v>
      </c>
      <c r="E325" s="16">
        <v>6.2539688908336473</v>
      </c>
      <c r="F325" s="16">
        <v>6.2461909662455231</v>
      </c>
      <c r="G325" s="16">
        <v>6.27791618266148</v>
      </c>
      <c r="H325" s="16">
        <v>5.5821866847938528</v>
      </c>
      <c r="I325" s="16">
        <v>5.3430073746216991</v>
      </c>
      <c r="J325" s="16">
        <v>5.1517816671795371</v>
      </c>
      <c r="K325" s="16">
        <v>6.1590214505137322</v>
      </c>
      <c r="L325" s="16">
        <v>8.6460612297255288</v>
      </c>
      <c r="M325" s="16">
        <v>9.1502069846155738</v>
      </c>
      <c r="N325" s="16">
        <v>9.0019913419530955</v>
      </c>
      <c r="O325" s="16">
        <v>9.0883815712536151</v>
      </c>
      <c r="P325" s="16">
        <v>8.5698422784370525</v>
      </c>
      <c r="Q325" s="16">
        <v>7.1191983162142174</v>
      </c>
      <c r="R325" s="16">
        <v>6.3336651177085219</v>
      </c>
      <c r="S325" s="16">
        <v>5.9990980247257317</v>
      </c>
      <c r="T325" s="16">
        <v>5.6684638542429653</v>
      </c>
      <c r="U325" s="16">
        <v>5.2157252679939976</v>
      </c>
      <c r="V325" s="16">
        <v>5.2440418931039918</v>
      </c>
      <c r="W325" s="16">
        <v>10.042673483777405</v>
      </c>
      <c r="X325" s="16">
        <v>7.0705528288882178</v>
      </c>
      <c r="Y325" s="16">
        <v>4.829880927963865</v>
      </c>
      <c r="Z325" s="16">
        <v>4.3964678275227724</v>
      </c>
      <c r="AA325" s="16">
        <v>4.2387368769753628</v>
      </c>
      <c r="AB325" s="67">
        <v>4.5167011265729498</v>
      </c>
      <c r="AC325" s="3"/>
    </row>
    <row r="326" spans="2:29" x14ac:dyDescent="0.3">
      <c r="B326" s="66" t="s">
        <v>372</v>
      </c>
      <c r="C326" s="16">
        <v>4.1583333333333323</v>
      </c>
      <c r="D326" s="16">
        <v>5.0999999999999996</v>
      </c>
      <c r="E326" s="16">
        <v>6.533333333333335</v>
      </c>
      <c r="F326" s="16">
        <v>6.4416666666666673</v>
      </c>
      <c r="G326" s="16">
        <v>5.4416666666666673</v>
      </c>
      <c r="H326" s="16">
        <v>4.6500000000000021</v>
      </c>
      <c r="I326" s="16">
        <v>3.966666666666665</v>
      </c>
      <c r="J326" s="16">
        <v>3.4333333333333327</v>
      </c>
      <c r="K326" s="16">
        <v>4.1500000000000021</v>
      </c>
      <c r="L326" s="16">
        <v>8.6833333333333407</v>
      </c>
      <c r="M326" s="16">
        <v>10.274999999999975</v>
      </c>
      <c r="N326" s="16">
        <v>9.1166666666666671</v>
      </c>
      <c r="O326" s="16">
        <v>7.541666666666667</v>
      </c>
      <c r="P326" s="16">
        <v>5.4083333333333323</v>
      </c>
      <c r="Q326" s="16">
        <v>5.0500000000000025</v>
      </c>
      <c r="R326" s="16">
        <v>4.4416666666666647</v>
      </c>
      <c r="S326" s="16">
        <v>4.200000000000002</v>
      </c>
      <c r="T326" s="16">
        <v>3.9250000000000003</v>
      </c>
      <c r="U326" s="16">
        <v>3.5249999999999999</v>
      </c>
      <c r="V326" s="16">
        <v>2.9999999999999996</v>
      </c>
      <c r="W326" s="16">
        <v>8.8749999999999929</v>
      </c>
      <c r="X326" s="16">
        <v>4.9833333333333325</v>
      </c>
      <c r="Y326" s="16">
        <v>3.7416666666666676</v>
      </c>
      <c r="Z326" s="16">
        <v>4.0333333333333323</v>
      </c>
      <c r="AA326" s="16">
        <v>4.1916666666666673</v>
      </c>
      <c r="AB326" s="67">
        <v>4.208333333333333</v>
      </c>
      <c r="AC326" s="3"/>
    </row>
    <row r="327" spans="2:29" x14ac:dyDescent="0.3">
      <c r="B327" s="66" t="s">
        <v>515</v>
      </c>
      <c r="C327" s="16">
        <v>5.1923433105663008</v>
      </c>
      <c r="D327" s="16">
        <v>6.1039017319687376</v>
      </c>
      <c r="E327" s="16">
        <v>7.4564424999598904</v>
      </c>
      <c r="F327" s="16">
        <v>7.0940939078023533</v>
      </c>
      <c r="G327" s="16">
        <v>6.9308611462137728</v>
      </c>
      <c r="H327" s="16">
        <v>4.8305198795587128</v>
      </c>
      <c r="I327" s="16">
        <v>4.1977746510025309</v>
      </c>
      <c r="J327" s="16">
        <v>5.6522065995906514</v>
      </c>
      <c r="K327" s="16">
        <v>8.2624729576766285</v>
      </c>
      <c r="L327" s="16">
        <v>12.715699241887824</v>
      </c>
      <c r="M327" s="16">
        <v>13.919791259055124</v>
      </c>
      <c r="N327" s="16">
        <v>12.8305931179307</v>
      </c>
      <c r="O327" s="16">
        <v>11.34989449282315</v>
      </c>
      <c r="P327" s="16">
        <v>10.063941727466613</v>
      </c>
      <c r="Q327" s="16">
        <v>8.1636986697063776</v>
      </c>
      <c r="R327" s="16">
        <v>6.9104715530901144</v>
      </c>
      <c r="S327" s="16">
        <v>6.2535984882299829</v>
      </c>
      <c r="T327" s="16">
        <v>5.2470808475829678</v>
      </c>
      <c r="U327" s="16">
        <v>4.5445809296689879</v>
      </c>
      <c r="V327" s="16">
        <v>4.0373427208540056</v>
      </c>
      <c r="W327" s="16">
        <v>8.0079616058218246</v>
      </c>
      <c r="X327" s="16">
        <v>5.0445571569990877</v>
      </c>
      <c r="Y327" s="16">
        <v>3.6376486448081748</v>
      </c>
      <c r="Z327" s="16">
        <v>3.6391296817204051</v>
      </c>
      <c r="AA327" s="16">
        <v>4.0651657503345602</v>
      </c>
      <c r="AB327" s="67">
        <v>4.4642532983009504</v>
      </c>
      <c r="AC327" s="3"/>
    </row>
    <row r="328" spans="2:29" x14ac:dyDescent="0.3">
      <c r="B328" s="66" t="s">
        <v>428</v>
      </c>
      <c r="C328" s="16">
        <v>4.8538308582975551</v>
      </c>
      <c r="D328" s="16">
        <v>5.3753428812012825</v>
      </c>
      <c r="E328" s="16">
        <v>6.2951201957998721</v>
      </c>
      <c r="F328" s="16">
        <v>5.8208188473040625</v>
      </c>
      <c r="G328" s="16">
        <v>5.3204828313957977</v>
      </c>
      <c r="H328" s="16">
        <v>4.2509666621875297</v>
      </c>
      <c r="I328" s="16">
        <v>3.8163639026954752</v>
      </c>
      <c r="J328" s="16">
        <v>4.8412597816922229</v>
      </c>
      <c r="K328" s="16">
        <v>7.4024427494536118</v>
      </c>
      <c r="L328" s="16">
        <v>10.623683530028147</v>
      </c>
      <c r="M328" s="16">
        <v>12.535295147606774</v>
      </c>
      <c r="N328" s="16">
        <v>11.66055613810455</v>
      </c>
      <c r="O328" s="16">
        <v>10.644184825433101</v>
      </c>
      <c r="P328" s="16">
        <v>9.9633352414582887</v>
      </c>
      <c r="Q328" s="16">
        <v>8.6467174105295097</v>
      </c>
      <c r="R328" s="16">
        <v>7.5410664004185444</v>
      </c>
      <c r="S328" s="16">
        <v>6.7372026459688321</v>
      </c>
      <c r="T328" s="16">
        <v>5.7479476274337058</v>
      </c>
      <c r="U328" s="16">
        <v>4.9153599121878724</v>
      </c>
      <c r="V328" s="16">
        <v>4.6549284144788627</v>
      </c>
      <c r="W328" s="16">
        <v>8.1623107361009826</v>
      </c>
      <c r="X328" s="16">
        <v>6.0508695425016477</v>
      </c>
      <c r="Y328" s="16">
        <v>4.277045403049363</v>
      </c>
      <c r="Z328" s="16">
        <v>4.3256992199644149</v>
      </c>
      <c r="AA328" s="16">
        <v>4.870571331841985</v>
      </c>
      <c r="AB328" s="67">
        <v>5.2893590890656625</v>
      </c>
      <c r="AC328" s="3"/>
    </row>
    <row r="329" spans="2:29" x14ac:dyDescent="0.3">
      <c r="B329" s="66" t="s">
        <v>151</v>
      </c>
      <c r="C329" s="16">
        <v>2.4997831487057574</v>
      </c>
      <c r="D329" s="16">
        <v>3.816842200589325</v>
      </c>
      <c r="E329" s="16">
        <v>4.8105547101311599</v>
      </c>
      <c r="F329" s="16">
        <v>5.0516235402571326</v>
      </c>
      <c r="G329" s="16">
        <v>4.4225923074116729</v>
      </c>
      <c r="H329" s="16">
        <v>3.9649118159092853</v>
      </c>
      <c r="I329" s="16">
        <v>3.9404781059223453</v>
      </c>
      <c r="J329" s="16">
        <v>4.1553446809576347</v>
      </c>
      <c r="K329" s="16">
        <v>4.5569479810690803</v>
      </c>
      <c r="L329" s="16">
        <v>9.4416906963897915</v>
      </c>
      <c r="M329" s="16">
        <v>9.0206054834824005</v>
      </c>
      <c r="N329" s="16">
        <v>7.9476945772100613</v>
      </c>
      <c r="O329" s="16">
        <v>6.7420934882967147</v>
      </c>
      <c r="P329" s="16">
        <v>6.0386015358740428</v>
      </c>
      <c r="Q329" s="16">
        <v>4.4827527640367553</v>
      </c>
      <c r="R329" s="16">
        <v>3.6707195158371277</v>
      </c>
      <c r="S329" s="16">
        <v>3.3141345397915396</v>
      </c>
      <c r="T329" s="16">
        <v>2.7575101277572598</v>
      </c>
      <c r="U329" s="16">
        <v>2.5031969939414926</v>
      </c>
      <c r="V329" s="16">
        <v>2.6141530745923802</v>
      </c>
      <c r="W329" s="16">
        <v>5.7847460161008577</v>
      </c>
      <c r="X329" s="16">
        <v>3.1285441410192925</v>
      </c>
      <c r="Y329" s="16">
        <v>2.3639322458500374</v>
      </c>
      <c r="Z329" s="16">
        <v>2.2832499049195825</v>
      </c>
      <c r="AA329" s="16">
        <v>2.4816784699256225</v>
      </c>
      <c r="AB329" s="67">
        <v>2.6950722680145716</v>
      </c>
      <c r="AC329" s="3"/>
    </row>
    <row r="330" spans="2:29" x14ac:dyDescent="0.3">
      <c r="B330" s="66" t="s">
        <v>373</v>
      </c>
      <c r="C330" s="16">
        <v>4.0771153160077667</v>
      </c>
      <c r="D330" s="16">
        <v>5.2883695421208099</v>
      </c>
      <c r="E330" s="16">
        <v>6.6634427837094128</v>
      </c>
      <c r="F330" s="16">
        <v>7.1329428218789577</v>
      </c>
      <c r="G330" s="16">
        <v>6.1693605313442701</v>
      </c>
      <c r="H330" s="16">
        <v>5.4534409112099755</v>
      </c>
      <c r="I330" s="16">
        <v>4.9255136815177902</v>
      </c>
      <c r="J330" s="16">
        <v>4.6333064238832495</v>
      </c>
      <c r="K330" s="16">
        <v>5.1831512218824702</v>
      </c>
      <c r="L330" s="16">
        <v>7.9697682689565674</v>
      </c>
      <c r="M330" s="16">
        <v>8.2711433336084994</v>
      </c>
      <c r="N330" s="16">
        <v>8.1699994412823962</v>
      </c>
      <c r="O330" s="16">
        <v>6.8155605767961323</v>
      </c>
      <c r="P330" s="16">
        <v>6.3244574872488455</v>
      </c>
      <c r="Q330" s="16">
        <v>4.915719018114217</v>
      </c>
      <c r="R330" s="16">
        <v>4.0471755190674878</v>
      </c>
      <c r="S330" s="16">
        <v>3.9033333265867629</v>
      </c>
      <c r="T330" s="16">
        <v>3.5817464728385451</v>
      </c>
      <c r="U330" s="16">
        <v>3.3203565340101875</v>
      </c>
      <c r="V330" s="16">
        <v>3.0510719653858178</v>
      </c>
      <c r="W330" s="16">
        <v>5.9213958388543269</v>
      </c>
      <c r="X330" s="16">
        <v>4.6197902375965851</v>
      </c>
      <c r="Y330" s="16">
        <v>3.7010941028624273</v>
      </c>
      <c r="Z330" s="16">
        <v>3.7994618966303699</v>
      </c>
      <c r="AA330" s="16">
        <v>3.8703985307672175</v>
      </c>
      <c r="AB330" s="67">
        <v>3.8010832868322559</v>
      </c>
      <c r="AC330" s="3"/>
    </row>
    <row r="331" spans="2:29" x14ac:dyDescent="0.3">
      <c r="B331" s="66" t="s">
        <v>374</v>
      </c>
      <c r="C331" s="16">
        <v>4.965731274019932</v>
      </c>
      <c r="D331" s="16">
        <v>5.7203977094844412</v>
      </c>
      <c r="E331" s="16">
        <v>6.5906451255690603</v>
      </c>
      <c r="F331" s="16">
        <v>6.8510803247985503</v>
      </c>
      <c r="G331" s="16">
        <v>5.8608979664286727</v>
      </c>
      <c r="H331" s="16">
        <v>5.798991687401915</v>
      </c>
      <c r="I331" s="16">
        <v>4.0948738720081703</v>
      </c>
      <c r="J331" s="16">
        <v>4.7134642783061729</v>
      </c>
      <c r="K331" s="16">
        <v>5.1539395337529674</v>
      </c>
      <c r="L331" s="16">
        <v>7.1135503672262796</v>
      </c>
      <c r="M331" s="16">
        <v>7.0354535812700405</v>
      </c>
      <c r="N331" s="16">
        <v>6.8824229164409827</v>
      </c>
      <c r="O331" s="16">
        <v>6.8185420961962375</v>
      </c>
      <c r="P331" s="16">
        <v>6.9992693266720938</v>
      </c>
      <c r="Q331" s="16">
        <v>6.7748511151176594</v>
      </c>
      <c r="R331" s="16">
        <v>6.6412551866751226</v>
      </c>
      <c r="S331" s="16">
        <v>6.2211686664952079</v>
      </c>
      <c r="T331" s="16">
        <v>5.3559023714370175</v>
      </c>
      <c r="U331" s="16">
        <v>5.0461727148399929</v>
      </c>
      <c r="V331" s="16">
        <v>4.8356256784191149</v>
      </c>
      <c r="W331" s="16">
        <v>8.4942649592394321</v>
      </c>
      <c r="X331" s="16">
        <v>5.4694340437249682</v>
      </c>
      <c r="Y331" s="16">
        <v>3.68585870656774</v>
      </c>
      <c r="Z331" s="16">
        <v>3.7962904130564423</v>
      </c>
      <c r="AA331" s="16">
        <v>4.4257376579712275</v>
      </c>
      <c r="AB331" s="67">
        <v>4.4700202955825796</v>
      </c>
      <c r="AC331" s="3"/>
    </row>
    <row r="332" spans="2:29" x14ac:dyDescent="0.3">
      <c r="B332" s="66" t="s">
        <v>375</v>
      </c>
      <c r="C332" s="16">
        <v>4.4732103897972602</v>
      </c>
      <c r="D332" s="16">
        <v>4.8210716150709967</v>
      </c>
      <c r="E332" s="16">
        <v>5.9532837332809674</v>
      </c>
      <c r="F332" s="16">
        <v>5.70097417416582</v>
      </c>
      <c r="G332" s="16">
        <v>4.8945757658915827</v>
      </c>
      <c r="H332" s="16">
        <v>4.7397605857793623</v>
      </c>
      <c r="I332" s="16">
        <v>4.571692506316027</v>
      </c>
      <c r="J332" s="16">
        <v>3.925406418472305</v>
      </c>
      <c r="K332" s="16">
        <v>5.4911179489695474</v>
      </c>
      <c r="L332" s="16">
        <v>7.8058269970363554</v>
      </c>
      <c r="M332" s="16">
        <v>9.3327418654943308</v>
      </c>
      <c r="N332" s="16">
        <v>9.5170509412209938</v>
      </c>
      <c r="O332" s="16">
        <v>9.0846664805001041</v>
      </c>
      <c r="P332" s="16">
        <v>9.2864729999974074</v>
      </c>
      <c r="Q332" s="16">
        <v>8.4527183198932452</v>
      </c>
      <c r="R332" s="16">
        <v>7.3272254253287725</v>
      </c>
      <c r="S332" s="16">
        <v>6.7144835577179354</v>
      </c>
      <c r="T332" s="16">
        <v>5.9947782222568122</v>
      </c>
      <c r="U332" s="16">
        <v>5.8544297570277397</v>
      </c>
      <c r="V332" s="16">
        <v>6.0602918694939794</v>
      </c>
      <c r="W332" s="16">
        <v>7.2404148265781103</v>
      </c>
      <c r="X332" s="16">
        <v>5.2075062630834301</v>
      </c>
      <c r="Y332" s="16">
        <v>4.4556080959839903</v>
      </c>
      <c r="Z332" s="16">
        <v>4.3925233310363145</v>
      </c>
      <c r="AA332" s="16">
        <v>4.2445657030249482</v>
      </c>
      <c r="AB332" s="67">
        <v>4.7649276032497347</v>
      </c>
      <c r="AC332" s="3"/>
    </row>
    <row r="333" spans="2:29" x14ac:dyDescent="0.3">
      <c r="B333" s="66" t="s">
        <v>376</v>
      </c>
      <c r="C333" s="16">
        <v>2.6912279184365402</v>
      </c>
      <c r="D333" s="16">
        <v>3.1613215947310174</v>
      </c>
      <c r="E333" s="16">
        <v>3.9286209585218375</v>
      </c>
      <c r="F333" s="16">
        <v>4.592320238209572</v>
      </c>
      <c r="G333" s="16">
        <v>4.8518314139164893</v>
      </c>
      <c r="H333" s="16">
        <v>4.7277262506925402</v>
      </c>
      <c r="I333" s="16">
        <v>4.0841745323671299</v>
      </c>
      <c r="J333" s="16">
        <v>3.8076637134121851</v>
      </c>
      <c r="K333" s="16">
        <v>3.8006399347816124</v>
      </c>
      <c r="L333" s="16">
        <v>5.7712283000893478</v>
      </c>
      <c r="M333" s="16">
        <v>6.6545650032096617</v>
      </c>
      <c r="N333" s="16">
        <v>5.7119248757963046</v>
      </c>
      <c r="O333" s="16">
        <v>5.1947722592091257</v>
      </c>
      <c r="P333" s="16">
        <v>4.6835577523434448</v>
      </c>
      <c r="Q333" s="16">
        <v>4.2170966448221598</v>
      </c>
      <c r="R333" s="16">
        <v>3.6731626803237027</v>
      </c>
      <c r="S333" s="16">
        <v>3.5622611846819625</v>
      </c>
      <c r="T333" s="16">
        <v>3.3363999048545976</v>
      </c>
      <c r="U333" s="16">
        <v>2.7643256570990475</v>
      </c>
      <c r="V333" s="16">
        <v>2.8699052900111601</v>
      </c>
      <c r="W333" s="16">
        <v>5.1948852541180575</v>
      </c>
      <c r="X333" s="16">
        <v>3.7579514528261626</v>
      </c>
      <c r="Y333" s="16">
        <v>2.7481635339671726</v>
      </c>
      <c r="Z333" s="16">
        <v>2.778422492110125</v>
      </c>
      <c r="AA333" s="16">
        <v>2.8934044246136801</v>
      </c>
      <c r="AB333" s="67">
        <v>3.3131079256809666</v>
      </c>
      <c r="AC333" s="3"/>
    </row>
    <row r="334" spans="2:29" x14ac:dyDescent="0.3">
      <c r="B334" s="66" t="s">
        <v>551</v>
      </c>
      <c r="C334" s="16">
        <v>2.0007708371397626</v>
      </c>
      <c r="D334" s="16">
        <v>2.407905715666645</v>
      </c>
      <c r="E334" s="16">
        <v>2.7365602921757679</v>
      </c>
      <c r="F334" s="16">
        <v>3.0125347166485552</v>
      </c>
      <c r="G334" s="16">
        <v>3.2896443069356351</v>
      </c>
      <c r="H334" s="16">
        <v>3.148547136040285</v>
      </c>
      <c r="I334" s="16">
        <v>2.6430647818174853</v>
      </c>
      <c r="J334" s="16">
        <v>2.5306002738018649</v>
      </c>
      <c r="K334" s="16">
        <v>2.8535223264482203</v>
      </c>
      <c r="L334" s="16">
        <v>4.6231709487426675</v>
      </c>
      <c r="M334" s="16">
        <v>4.6574113330930134</v>
      </c>
      <c r="N334" s="16">
        <v>4.1391813373372868</v>
      </c>
      <c r="O334" s="16">
        <v>3.5723587060277948</v>
      </c>
      <c r="P334" s="16">
        <v>3.1088721067717975</v>
      </c>
      <c r="Q334" s="16">
        <v>2.7938400512745076</v>
      </c>
      <c r="R334" s="16">
        <v>2.521874605449915</v>
      </c>
      <c r="S334" s="16">
        <v>2.5241827409584454</v>
      </c>
      <c r="T334" s="16">
        <v>2.5551365315992447</v>
      </c>
      <c r="U334" s="16">
        <v>2.3728170262940824</v>
      </c>
      <c r="V334" s="16">
        <v>2.3758206944845952</v>
      </c>
      <c r="W334" s="16">
        <v>3.8622991632107349</v>
      </c>
      <c r="X334" s="16">
        <v>2.3093105241188998</v>
      </c>
      <c r="Y334" s="16">
        <v>1.714193256297885</v>
      </c>
      <c r="Z334" s="16">
        <v>1.68031451935884</v>
      </c>
      <c r="AA334" s="16">
        <v>1.6901713177502273</v>
      </c>
      <c r="AB334" s="67">
        <v>1.7990287735849526</v>
      </c>
      <c r="AC334" s="3"/>
    </row>
    <row r="335" spans="2:29" x14ac:dyDescent="0.3">
      <c r="B335" s="66" t="s">
        <v>552</v>
      </c>
      <c r="C335" s="16">
        <v>4.1897435949176023</v>
      </c>
      <c r="D335" s="16">
        <v>4.5470239270234227</v>
      </c>
      <c r="E335" s="16">
        <v>4.8461222511013222</v>
      </c>
      <c r="F335" s="16">
        <v>4.7191452739518276</v>
      </c>
      <c r="G335" s="16">
        <v>4.1469622253978304</v>
      </c>
      <c r="H335" s="16">
        <v>5.7163629804840825</v>
      </c>
      <c r="I335" s="16">
        <v>3.2939489273989375</v>
      </c>
      <c r="J335" s="16">
        <v>3.0748079622013602</v>
      </c>
      <c r="K335" s="16">
        <v>3.783244298146315</v>
      </c>
      <c r="L335" s="16">
        <v>5.3153536412850642</v>
      </c>
      <c r="M335" s="16">
        <v>5.8561868658478327</v>
      </c>
      <c r="N335" s="16">
        <v>5.9054275369569558</v>
      </c>
      <c r="O335" s="16">
        <v>5.6038772666645373</v>
      </c>
      <c r="P335" s="16">
        <v>5.4717419936995624</v>
      </c>
      <c r="Q335" s="16">
        <v>5.5293618894062027</v>
      </c>
      <c r="R335" s="16">
        <v>5.3383371899827869</v>
      </c>
      <c r="S335" s="16">
        <v>4.7738480053294268</v>
      </c>
      <c r="T335" s="16">
        <v>4.1289137125720305</v>
      </c>
      <c r="U335" s="16">
        <v>4.03136896092707</v>
      </c>
      <c r="V335" s="16">
        <v>3.9017275645382927</v>
      </c>
      <c r="W335" s="16">
        <v>6.858233565145575</v>
      </c>
      <c r="X335" s="16">
        <v>3.8263640241411503</v>
      </c>
      <c r="Y335" s="16">
        <v>2.8337203224625047</v>
      </c>
      <c r="Z335" s="16">
        <v>3.1799421724570078</v>
      </c>
      <c r="AA335" s="16">
        <v>3.8872651153636402</v>
      </c>
      <c r="AB335" s="67">
        <v>4.0428463923178866</v>
      </c>
      <c r="AC335" s="3"/>
    </row>
    <row r="336" spans="2:29" x14ac:dyDescent="0.3">
      <c r="B336" s="66" t="s">
        <v>377</v>
      </c>
      <c r="C336" s="16">
        <v>3.2105934479649303</v>
      </c>
      <c r="D336" s="16">
        <v>4.5567109852775323</v>
      </c>
      <c r="E336" s="16">
        <v>5.2214844025314004</v>
      </c>
      <c r="F336" s="16">
        <v>5.1949737339850071</v>
      </c>
      <c r="G336" s="16">
        <v>5.1279215283893009</v>
      </c>
      <c r="H336" s="16">
        <v>5.2224646742040521</v>
      </c>
      <c r="I336" s="16">
        <v>5.19725671609927</v>
      </c>
      <c r="J336" s="16">
        <v>5.0810872975478567</v>
      </c>
      <c r="K336" s="16">
        <v>6.6319284653806623</v>
      </c>
      <c r="L336" s="16">
        <v>11.377422754728752</v>
      </c>
      <c r="M336" s="16">
        <v>11.192435817308725</v>
      </c>
      <c r="N336" s="16">
        <v>9.8314189079792094</v>
      </c>
      <c r="O336" s="16">
        <v>9.1759901386950098</v>
      </c>
      <c r="P336" s="16">
        <v>8.4797515542106652</v>
      </c>
      <c r="Q336" s="16">
        <v>6.5619543712280048</v>
      </c>
      <c r="R336" s="16">
        <v>5.0152602005006557</v>
      </c>
      <c r="S336" s="16">
        <v>4.5189710228639797</v>
      </c>
      <c r="T336" s="16">
        <v>3.7204314930026272</v>
      </c>
      <c r="U336" s="16">
        <v>3.6442941347908575</v>
      </c>
      <c r="V336" s="16">
        <v>3.7086542800659648</v>
      </c>
      <c r="W336" s="16">
        <v>8.8514245900503674</v>
      </c>
      <c r="X336" s="16">
        <v>4.65350235380195</v>
      </c>
      <c r="Y336" s="16">
        <v>3.6282897367888625</v>
      </c>
      <c r="Z336" s="16">
        <v>4.1072792884117524</v>
      </c>
      <c r="AA336" s="16">
        <v>4.9110526607904177</v>
      </c>
      <c r="AB336" s="67">
        <v>4.5612095258406278</v>
      </c>
      <c r="AC336" s="3"/>
    </row>
    <row r="337" spans="2:29" x14ac:dyDescent="0.3">
      <c r="B337" s="66" t="s">
        <v>152</v>
      </c>
      <c r="C337" s="16">
        <v>3.7854237938806472</v>
      </c>
      <c r="D337" s="16">
        <v>5.6926314676057128</v>
      </c>
      <c r="E337" s="16">
        <v>7.2249626022674516</v>
      </c>
      <c r="F337" s="16">
        <v>7.6171300374610054</v>
      </c>
      <c r="G337" s="16">
        <v>8.0759134474757985</v>
      </c>
      <c r="H337" s="16">
        <v>7.8077595309299301</v>
      </c>
      <c r="I337" s="16">
        <v>6.9010579076200598</v>
      </c>
      <c r="J337" s="16">
        <v>5.8589036884382395</v>
      </c>
      <c r="K337" s="16">
        <v>7.254101955676612</v>
      </c>
      <c r="L337" s="16">
        <v>12.194984245042701</v>
      </c>
      <c r="M337" s="16">
        <v>12.264492697571049</v>
      </c>
      <c r="N337" s="16">
        <v>11.155936204342826</v>
      </c>
      <c r="O337" s="16">
        <v>9.5767085093333879</v>
      </c>
      <c r="P337" s="16">
        <v>7.8028282082080693</v>
      </c>
      <c r="Q337" s="16">
        <v>6.3712191495853396</v>
      </c>
      <c r="R337" s="16">
        <v>5.813971766403327</v>
      </c>
      <c r="S337" s="16">
        <v>4.780559103269578</v>
      </c>
      <c r="T337" s="16">
        <v>4.0884973521299228</v>
      </c>
      <c r="U337" s="16">
        <v>3.1747483038419375</v>
      </c>
      <c r="V337" s="16">
        <v>2.578998042621055</v>
      </c>
      <c r="W337" s="16">
        <v>6.5411788267664202</v>
      </c>
      <c r="X337" s="16">
        <v>4.1207063831638653</v>
      </c>
      <c r="Y337" s="16">
        <v>3.2858159075616324</v>
      </c>
      <c r="Z337" s="16">
        <v>3.0711599100597673</v>
      </c>
      <c r="AA337" s="16">
        <v>4.2819770486965822</v>
      </c>
      <c r="AB337" s="67">
        <v>4.4065489767223385</v>
      </c>
      <c r="AC337" s="3"/>
    </row>
    <row r="338" spans="2:29" x14ac:dyDescent="0.3">
      <c r="B338" s="66" t="s">
        <v>378</v>
      </c>
      <c r="C338" s="16">
        <v>5.7441932337819246</v>
      </c>
      <c r="D338" s="16">
        <v>6.8234458172943029</v>
      </c>
      <c r="E338" s="16">
        <v>7.6511459819823777</v>
      </c>
      <c r="F338" s="16">
        <v>7.8232723631238095</v>
      </c>
      <c r="G338" s="16">
        <v>6.9326444767816096</v>
      </c>
      <c r="H338" s="16">
        <v>6.3288075565843096</v>
      </c>
      <c r="I338" s="16">
        <v>5.7610514043962748</v>
      </c>
      <c r="J338" s="16">
        <v>5.6274051901687221</v>
      </c>
      <c r="K338" s="16">
        <v>6.1394817700411846</v>
      </c>
      <c r="L338" s="16">
        <v>9.3189438324683547</v>
      </c>
      <c r="M338" s="16">
        <v>9.631991973961604</v>
      </c>
      <c r="N338" s="16">
        <v>9.6805118310359255</v>
      </c>
      <c r="O338" s="16">
        <v>9.5489681675255476</v>
      </c>
      <c r="P338" s="16">
        <v>8.0025628213212929</v>
      </c>
      <c r="Q338" s="16">
        <v>6.9251401452739323</v>
      </c>
      <c r="R338" s="16">
        <v>6.7369678105265631</v>
      </c>
      <c r="S338" s="16">
        <v>6.2085004107203696</v>
      </c>
      <c r="T338" s="16">
        <v>5.4753581323214204</v>
      </c>
      <c r="U338" s="16">
        <v>5.4942744185817025</v>
      </c>
      <c r="V338" s="16">
        <v>5.5341696337920974</v>
      </c>
      <c r="W338" s="16">
        <v>8.4592415365088183</v>
      </c>
      <c r="X338" s="16">
        <v>5.1266131648853799</v>
      </c>
      <c r="Y338" s="16">
        <v>4.1850381611963154</v>
      </c>
      <c r="Z338" s="16">
        <v>4.138366864650072</v>
      </c>
      <c r="AA338" s="16">
        <v>4.6217753474344496</v>
      </c>
      <c r="AB338" s="67">
        <v>4.4312849382234045</v>
      </c>
      <c r="AC338" s="3"/>
    </row>
    <row r="339" spans="2:29" x14ac:dyDescent="0.3">
      <c r="B339" s="66" t="s">
        <v>153</v>
      </c>
      <c r="C339" s="16">
        <v>3.5140220256510251</v>
      </c>
      <c r="D339" s="16">
        <v>3.8467933445791651</v>
      </c>
      <c r="E339" s="16">
        <v>4.4625717708929695</v>
      </c>
      <c r="F339" s="16">
        <v>5.327719727418275</v>
      </c>
      <c r="G339" s="16">
        <v>5.0974582335146126</v>
      </c>
      <c r="H339" s="16">
        <v>4.4474311156422601</v>
      </c>
      <c r="I339" s="16">
        <v>4.2007427445629544</v>
      </c>
      <c r="J339" s="16">
        <v>4.4937910619470927</v>
      </c>
      <c r="K339" s="16">
        <v>5.8150763212082079</v>
      </c>
      <c r="L339" s="16">
        <v>7.3336688061354343</v>
      </c>
      <c r="M339" s="16">
        <v>7.8665181916964109</v>
      </c>
      <c r="N339" s="16">
        <v>7.5514902474191121</v>
      </c>
      <c r="O339" s="16">
        <v>7.4531095533911795</v>
      </c>
      <c r="P339" s="16">
        <v>7.4726397642921851</v>
      </c>
      <c r="Q339" s="16">
        <v>5.9164790136652767</v>
      </c>
      <c r="R339" s="16">
        <v>5.2374245818036398</v>
      </c>
      <c r="S339" s="16">
        <v>5.10598358532945</v>
      </c>
      <c r="T339" s="16">
        <v>4.544111143106548</v>
      </c>
      <c r="U339" s="16">
        <v>4.6464453037488473</v>
      </c>
      <c r="V339" s="16">
        <v>4.0970690279201349</v>
      </c>
      <c r="W339" s="16">
        <v>8.2947393143701351</v>
      </c>
      <c r="X339" s="16">
        <v>5.7107973627675523</v>
      </c>
      <c r="Y339" s="16">
        <v>4.310268598987907</v>
      </c>
      <c r="Z339" s="16">
        <v>4.3448798585304846</v>
      </c>
      <c r="AA339" s="16">
        <v>4.2695366098531427</v>
      </c>
      <c r="AB339" s="67">
        <v>3.9697521524889141</v>
      </c>
      <c r="AC339" s="3"/>
    </row>
    <row r="340" spans="2:29" x14ac:dyDescent="0.3">
      <c r="B340" s="66" t="s">
        <v>154</v>
      </c>
      <c r="C340" s="16">
        <v>3.4118260538602971</v>
      </c>
      <c r="D340" s="16">
        <v>4.3015356814066728</v>
      </c>
      <c r="E340" s="16">
        <v>5.6722056696971368</v>
      </c>
      <c r="F340" s="16">
        <v>6.4903329661910503</v>
      </c>
      <c r="G340" s="16">
        <v>6.0710548202394179</v>
      </c>
      <c r="H340" s="16">
        <v>5.7502486429048023</v>
      </c>
      <c r="I340" s="16">
        <v>5.8064327191267173</v>
      </c>
      <c r="J340" s="16">
        <v>5.5670876264451996</v>
      </c>
      <c r="K340" s="16">
        <v>6.4298052252256381</v>
      </c>
      <c r="L340" s="16">
        <v>9.3453691216985106</v>
      </c>
      <c r="M340" s="16">
        <v>10.019712170839442</v>
      </c>
      <c r="N340" s="16">
        <v>9.2955273613849378</v>
      </c>
      <c r="O340" s="16">
        <v>8.5978253424379609</v>
      </c>
      <c r="P340" s="16">
        <v>8.5974138080954177</v>
      </c>
      <c r="Q340" s="16">
        <v>7.5848400488604497</v>
      </c>
      <c r="R340" s="16">
        <v>6.4033078665070793</v>
      </c>
      <c r="S340" s="16">
        <v>5.5287664284666649</v>
      </c>
      <c r="T340" s="16">
        <v>5.3142078592384649</v>
      </c>
      <c r="U340" s="16">
        <v>4.8911864264990728</v>
      </c>
      <c r="V340" s="16">
        <v>4.3286372921236129</v>
      </c>
      <c r="W340" s="16">
        <v>11.027129356242311</v>
      </c>
      <c r="X340" s="16">
        <v>6.8378133116951272</v>
      </c>
      <c r="Y340" s="16">
        <v>4.7808927146506974</v>
      </c>
      <c r="Z340" s="16">
        <v>4.4633455751334106</v>
      </c>
      <c r="AA340" s="16">
        <v>5.05629291612453</v>
      </c>
      <c r="AB340" s="67">
        <v>5.5089638972152786</v>
      </c>
      <c r="AC340" s="3"/>
    </row>
    <row r="341" spans="2:29" x14ac:dyDescent="0.3">
      <c r="B341" s="66" t="s">
        <v>155</v>
      </c>
      <c r="C341" s="16">
        <v>2.9429831756712774</v>
      </c>
      <c r="D341" s="16">
        <v>3.9527007499430802</v>
      </c>
      <c r="E341" s="16">
        <v>4.7007785725400257</v>
      </c>
      <c r="F341" s="16">
        <v>4.7349605878163779</v>
      </c>
      <c r="G341" s="16">
        <v>4.7942736809223678</v>
      </c>
      <c r="H341" s="16">
        <v>4.3667978250889075</v>
      </c>
      <c r="I341" s="16">
        <v>3.920267143641845</v>
      </c>
      <c r="J341" s="16">
        <v>4.1242274604816229</v>
      </c>
      <c r="K341" s="16">
        <v>5.2848350863897746</v>
      </c>
      <c r="L341" s="16">
        <v>8.4931834315408281</v>
      </c>
      <c r="M341" s="16">
        <v>8.6277672341448497</v>
      </c>
      <c r="N341" s="16">
        <v>7.8005451357921096</v>
      </c>
      <c r="O341" s="16">
        <v>6.3722917029024222</v>
      </c>
      <c r="P341" s="16">
        <v>5.8388899574861428</v>
      </c>
      <c r="Q341" s="16">
        <v>5.1615891353985095</v>
      </c>
      <c r="R341" s="16">
        <v>4.4478146805868519</v>
      </c>
      <c r="S341" s="16">
        <v>4.0857607931065179</v>
      </c>
      <c r="T341" s="16">
        <v>3.3221361519914447</v>
      </c>
      <c r="U341" s="16">
        <v>2.8022423412064774</v>
      </c>
      <c r="V341" s="16">
        <v>2.8606833791991853</v>
      </c>
      <c r="W341" s="16">
        <v>5.4616450646240882</v>
      </c>
      <c r="X341" s="16">
        <v>3.3290851365934251</v>
      </c>
      <c r="Y341" s="16">
        <v>2.2575443788624652</v>
      </c>
      <c r="Z341" s="16">
        <v>2.7844386337830702</v>
      </c>
      <c r="AA341" s="16">
        <v>3.3435031002390394</v>
      </c>
      <c r="AB341" s="67">
        <v>3.5581737323652245</v>
      </c>
      <c r="AC341" s="3"/>
    </row>
    <row r="342" spans="2:29" x14ac:dyDescent="0.3">
      <c r="B342" s="66" t="s">
        <v>156</v>
      </c>
      <c r="C342" s="16">
        <v>4.6634539271074349</v>
      </c>
      <c r="D342" s="16">
        <v>5.2907969678637947</v>
      </c>
      <c r="E342" s="16">
        <v>7.2733588549544779</v>
      </c>
      <c r="F342" s="16">
        <v>7.5249454818001951</v>
      </c>
      <c r="G342" s="16">
        <v>6.9394130160266974</v>
      </c>
      <c r="H342" s="16">
        <v>6.472876774612307</v>
      </c>
      <c r="I342" s="16">
        <v>5.6448367075823151</v>
      </c>
      <c r="J342" s="16">
        <v>6.241403068921775</v>
      </c>
      <c r="K342" s="16">
        <v>6.8339253863942533</v>
      </c>
      <c r="L342" s="16">
        <v>10.680304925193138</v>
      </c>
      <c r="M342" s="16">
        <v>10.839007736414949</v>
      </c>
      <c r="N342" s="16">
        <v>9.4594831209237036</v>
      </c>
      <c r="O342" s="16">
        <v>7.8154397447963202</v>
      </c>
      <c r="P342" s="16">
        <v>7.4626325586824196</v>
      </c>
      <c r="Q342" s="16">
        <v>5.8220105814700451</v>
      </c>
      <c r="R342" s="16">
        <v>5.046641648674675</v>
      </c>
      <c r="S342" s="16">
        <v>5.3514090142120097</v>
      </c>
      <c r="T342" s="16">
        <v>4.8906950144881698</v>
      </c>
      <c r="U342" s="16">
        <v>4.6315175658849475</v>
      </c>
      <c r="V342" s="16">
        <v>4.3999409599111505</v>
      </c>
      <c r="W342" s="16">
        <v>8.3247663999450729</v>
      </c>
      <c r="X342" s="16">
        <v>5.5920767190539227</v>
      </c>
      <c r="Y342" s="16">
        <v>4.1481694717862672</v>
      </c>
      <c r="Z342" s="16">
        <v>3.8395141185279149</v>
      </c>
      <c r="AA342" s="16">
        <v>4.6646982979340823</v>
      </c>
      <c r="AB342" s="67">
        <v>5.3790494293086839</v>
      </c>
      <c r="AC342" s="3"/>
    </row>
    <row r="343" spans="2:29" x14ac:dyDescent="0.3">
      <c r="B343" s="66" t="s">
        <v>157</v>
      </c>
      <c r="C343" s="16">
        <v>3.1429688276749301</v>
      </c>
      <c r="D343" s="16">
        <v>3.8773100873804651</v>
      </c>
      <c r="E343" s="16">
        <v>4.4278219385880675</v>
      </c>
      <c r="F343" s="16">
        <v>4.7697785190840252</v>
      </c>
      <c r="G343" s="16">
        <v>4.684510389377075</v>
      </c>
      <c r="H343" s="16">
        <v>4.4338928361121601</v>
      </c>
      <c r="I343" s="16">
        <v>4.1440861110416654</v>
      </c>
      <c r="J343" s="16">
        <v>4.6717806556167929</v>
      </c>
      <c r="K343" s="16">
        <v>5.6649134650391595</v>
      </c>
      <c r="L343" s="16">
        <v>7.8481161858676121</v>
      </c>
      <c r="M343" s="16">
        <v>7.4741680383973392</v>
      </c>
      <c r="N343" s="16">
        <v>6.59177913651365</v>
      </c>
      <c r="O343" s="16">
        <v>5.6473177934216752</v>
      </c>
      <c r="P343" s="16">
        <v>5.1789828962662527</v>
      </c>
      <c r="Q343" s="16">
        <v>4.3412770784732828</v>
      </c>
      <c r="R343" s="16">
        <v>3.8558564058601696</v>
      </c>
      <c r="S343" s="16">
        <v>3.947202628518597</v>
      </c>
      <c r="T343" s="16">
        <v>3.5614471663048874</v>
      </c>
      <c r="U343" s="16">
        <v>3.2042219585667326</v>
      </c>
      <c r="V343" s="16">
        <v>3.4158172712445172</v>
      </c>
      <c r="W343" s="16">
        <v>6.0919945204957298</v>
      </c>
      <c r="X343" s="16">
        <v>4.0666448308079826</v>
      </c>
      <c r="Y343" s="16">
        <v>2.6916019304424603</v>
      </c>
      <c r="Z343" s="16">
        <v>2.9970801260819471</v>
      </c>
      <c r="AA343" s="16">
        <v>3.1603600394894826</v>
      </c>
      <c r="AB343" s="67">
        <v>3.4363141274534308</v>
      </c>
      <c r="AC343" s="3"/>
    </row>
    <row r="344" spans="2:29" x14ac:dyDescent="0.3">
      <c r="B344" s="66" t="s">
        <v>158</v>
      </c>
      <c r="C344" s="16">
        <v>3.5047658013249805</v>
      </c>
      <c r="D344" s="16">
        <v>4.0960196350749731</v>
      </c>
      <c r="E344" s="16">
        <v>5.1429035534684573</v>
      </c>
      <c r="F344" s="16">
        <v>5.2762177715766372</v>
      </c>
      <c r="G344" s="16">
        <v>4.8647788365325546</v>
      </c>
      <c r="H344" s="16">
        <v>4.0386830905958124</v>
      </c>
      <c r="I344" s="16">
        <v>2.8937183345428372</v>
      </c>
      <c r="J344" s="16">
        <v>2.7285393732040175</v>
      </c>
      <c r="K344" s="16">
        <v>4.4312123196166153</v>
      </c>
      <c r="L344" s="16">
        <v>10.170296896604608</v>
      </c>
      <c r="M344" s="16">
        <v>11.029975601082</v>
      </c>
      <c r="N344" s="16">
        <v>9.4606810748679226</v>
      </c>
      <c r="O344" s="16">
        <v>6.0823377302605719</v>
      </c>
      <c r="P344" s="16">
        <v>5.0550069514000553</v>
      </c>
      <c r="Q344" s="16">
        <v>4.1676091259800216</v>
      </c>
      <c r="R344" s="16">
        <v>3.965163684957238</v>
      </c>
      <c r="S344" s="16">
        <v>3.6217161806077627</v>
      </c>
      <c r="T344" s="16">
        <v>3.3886126321718324</v>
      </c>
      <c r="U344" s="16">
        <v>3.2429384732345277</v>
      </c>
      <c r="V344" s="16">
        <v>2.9255443903036675</v>
      </c>
      <c r="W344" s="16">
        <v>5.5532930971951622</v>
      </c>
      <c r="X344" s="16">
        <v>3.0321887322041725</v>
      </c>
      <c r="Y344" s="16">
        <v>2.6562466834864975</v>
      </c>
      <c r="Z344" s="16">
        <v>2.9298528738964253</v>
      </c>
      <c r="AA344" s="16">
        <v>3.3487571021202349</v>
      </c>
      <c r="AB344" s="67">
        <v>3.2863695145756253</v>
      </c>
      <c r="AC344" s="3"/>
    </row>
    <row r="345" spans="2:29" x14ac:dyDescent="0.3">
      <c r="B345" s="66" t="s">
        <v>379</v>
      </c>
      <c r="C345" s="16">
        <v>3.5826516922934424</v>
      </c>
      <c r="D345" s="16">
        <v>5.0768932121722479</v>
      </c>
      <c r="E345" s="16">
        <v>5.9103814642067878</v>
      </c>
      <c r="F345" s="16">
        <v>5.8630165492066624</v>
      </c>
      <c r="G345" s="16">
        <v>6.1276527012883824</v>
      </c>
      <c r="H345" s="16">
        <v>5.8066353440820428</v>
      </c>
      <c r="I345" s="16">
        <v>4.6116530901237169</v>
      </c>
      <c r="J345" s="16">
        <v>4.4473819857460599</v>
      </c>
      <c r="K345" s="16">
        <v>5.2658204460837776</v>
      </c>
      <c r="L345" s="16">
        <v>8.4340936996833449</v>
      </c>
      <c r="M345" s="16">
        <v>8.8386777600918514</v>
      </c>
      <c r="N345" s="16">
        <v>7.9647044013961983</v>
      </c>
      <c r="O345" s="16">
        <v>6.2630085748565154</v>
      </c>
      <c r="P345" s="16">
        <v>6.0532247999273547</v>
      </c>
      <c r="Q345" s="16">
        <v>5.5480078852635843</v>
      </c>
      <c r="R345" s="16">
        <v>4.5864008020822098</v>
      </c>
      <c r="S345" s="16">
        <v>4.4207836107819922</v>
      </c>
      <c r="T345" s="16">
        <v>3.7901075751088853</v>
      </c>
      <c r="U345" s="16">
        <v>3.21401700419417</v>
      </c>
      <c r="V345" s="16">
        <v>3.1900099689491102</v>
      </c>
      <c r="W345" s="16">
        <v>5.1992234343049422</v>
      </c>
      <c r="X345" s="16">
        <v>3.7707790729010049</v>
      </c>
      <c r="Y345" s="16">
        <v>2.6863545458012874</v>
      </c>
      <c r="Z345" s="16">
        <v>3.1597671563373275</v>
      </c>
      <c r="AA345" s="16">
        <v>3.7354988672085052</v>
      </c>
      <c r="AB345" s="67">
        <v>3.9149778889882683</v>
      </c>
      <c r="AC345" s="3"/>
    </row>
    <row r="346" spans="2:29" x14ac:dyDescent="0.3">
      <c r="B346" s="66" t="s">
        <v>380</v>
      </c>
      <c r="C346" s="16">
        <v>3.5652694275508576</v>
      </c>
      <c r="D346" s="16">
        <v>4.5356446607612124</v>
      </c>
      <c r="E346" s="16">
        <v>5.35658916653622</v>
      </c>
      <c r="F346" s="16">
        <v>5.8687367334588201</v>
      </c>
      <c r="G346" s="16">
        <v>6.0134766037043894</v>
      </c>
      <c r="H346" s="16">
        <v>5.5480139155262069</v>
      </c>
      <c r="I346" s="16">
        <v>5.0478374728719455</v>
      </c>
      <c r="J346" s="16">
        <v>5.286799618559777</v>
      </c>
      <c r="K346" s="16">
        <v>6.5927388781459753</v>
      </c>
      <c r="L346" s="16">
        <v>9.6567273497303532</v>
      </c>
      <c r="M346" s="16">
        <v>9.4703304843981595</v>
      </c>
      <c r="N346" s="16">
        <v>8.5421949547105349</v>
      </c>
      <c r="O346" s="16">
        <v>7.47175571474809</v>
      </c>
      <c r="P346" s="16">
        <v>7.1444223830359448</v>
      </c>
      <c r="Q346" s="16">
        <v>6.2772398122971005</v>
      </c>
      <c r="R346" s="16">
        <v>5.1114299665576803</v>
      </c>
      <c r="S346" s="16">
        <v>4.6211201712786325</v>
      </c>
      <c r="T346" s="16">
        <v>3.8048125497706105</v>
      </c>
      <c r="U346" s="16">
        <v>3.4742259713660126</v>
      </c>
      <c r="V346" s="16">
        <v>3.2601092319207852</v>
      </c>
      <c r="W346" s="16">
        <v>6.8355201681765374</v>
      </c>
      <c r="X346" s="16">
        <v>4.4563425399755303</v>
      </c>
      <c r="Y346" s="16">
        <v>2.8821638752868823</v>
      </c>
      <c r="Z346" s="16">
        <v>3.2874602714609149</v>
      </c>
      <c r="AA346" s="16">
        <v>3.7061219046377376</v>
      </c>
      <c r="AB346" s="67">
        <v>3.824923883947021</v>
      </c>
      <c r="AC346" s="3"/>
    </row>
    <row r="347" spans="2:29" x14ac:dyDescent="0.3">
      <c r="B347" s="66" t="s">
        <v>159</v>
      </c>
      <c r="C347" s="16">
        <v>3.5001929457295073</v>
      </c>
      <c r="D347" s="16">
        <v>3.8101175536943774</v>
      </c>
      <c r="E347" s="16">
        <v>4.1998937481991767</v>
      </c>
      <c r="F347" s="16">
        <v>4.377400154025155</v>
      </c>
      <c r="G347" s="16">
        <v>4.4266347127290073</v>
      </c>
      <c r="H347" s="16">
        <v>4.0159219631651828</v>
      </c>
      <c r="I347" s="16">
        <v>3.845387511882703</v>
      </c>
      <c r="J347" s="16">
        <v>3.6689118072884401</v>
      </c>
      <c r="K347" s="16">
        <v>4.3655551259122243</v>
      </c>
      <c r="L347" s="16">
        <v>5.79246783780789</v>
      </c>
      <c r="M347" s="16">
        <v>5.684781781013772</v>
      </c>
      <c r="N347" s="16">
        <v>5.271461336038012</v>
      </c>
      <c r="O347" s="16">
        <v>5.3092897619189454</v>
      </c>
      <c r="P347" s="16">
        <v>5.0523992140758223</v>
      </c>
      <c r="Q347" s="16">
        <v>4.4131963020840379</v>
      </c>
      <c r="R347" s="16">
        <v>4.0586315042774821</v>
      </c>
      <c r="S347" s="16">
        <v>4.2160963388508126</v>
      </c>
      <c r="T347" s="16">
        <v>3.7839629249011772</v>
      </c>
      <c r="U347" s="16">
        <v>3.3704473077869448</v>
      </c>
      <c r="V347" s="16">
        <v>3.2864492877679679</v>
      </c>
      <c r="W347" s="16">
        <v>5.7794002821681998</v>
      </c>
      <c r="X347" s="16">
        <v>4.3852727655758077</v>
      </c>
      <c r="Y347" s="16">
        <v>3.3837006875371651</v>
      </c>
      <c r="Z347" s="16">
        <v>2.9030218898228024</v>
      </c>
      <c r="AA347" s="16">
        <v>2.8694094168440047</v>
      </c>
      <c r="AB347" s="67">
        <v>3.0346871232177666</v>
      </c>
      <c r="AC347" s="3"/>
    </row>
    <row r="348" spans="2:29" x14ac:dyDescent="0.3">
      <c r="B348" s="66" t="s">
        <v>516</v>
      </c>
      <c r="C348" s="16">
        <v>2.1036922015315254</v>
      </c>
      <c r="D348" s="16">
        <v>2.9108739947769395</v>
      </c>
      <c r="E348" s="16">
        <v>3.7818058956635299</v>
      </c>
      <c r="F348" s="16">
        <v>3.7097909971011322</v>
      </c>
      <c r="G348" s="16">
        <v>3.2560333132745325</v>
      </c>
      <c r="H348" s="16">
        <v>3.1686680850777824</v>
      </c>
      <c r="I348" s="16">
        <v>2.826135117234637</v>
      </c>
      <c r="J348" s="16">
        <v>2.9054793921504496</v>
      </c>
      <c r="K348" s="16">
        <v>4.1157331453140573</v>
      </c>
      <c r="L348" s="16">
        <v>7.0433234733050032</v>
      </c>
      <c r="M348" s="16">
        <v>7.2373289368493001</v>
      </c>
      <c r="N348" s="16">
        <v>6.4772666023752716</v>
      </c>
      <c r="O348" s="16">
        <v>5.8844796246386828</v>
      </c>
      <c r="P348" s="16">
        <v>5.3152957830688026</v>
      </c>
      <c r="Q348" s="16">
        <v>4.7400059185948091</v>
      </c>
      <c r="R348" s="16">
        <v>4.1785428004679579</v>
      </c>
      <c r="S348" s="16">
        <v>3.6474267878381577</v>
      </c>
      <c r="T348" s="16">
        <v>3.3716109591541996</v>
      </c>
      <c r="U348" s="16">
        <v>2.7542001355854473</v>
      </c>
      <c r="V348" s="16">
        <v>2.4498718673214452</v>
      </c>
      <c r="W348" s="16">
        <v>5.3772299302235753</v>
      </c>
      <c r="X348" s="16">
        <v>3.2449925702627871</v>
      </c>
      <c r="Y348" s="16">
        <v>2.4548364563611176</v>
      </c>
      <c r="Z348" s="16">
        <v>2.3935020647118073</v>
      </c>
      <c r="AA348" s="16">
        <v>2.5628486160380275</v>
      </c>
      <c r="AB348" s="67">
        <v>2.842748871055861</v>
      </c>
      <c r="AC348" s="3"/>
    </row>
    <row r="349" spans="2:29" x14ac:dyDescent="0.3">
      <c r="B349" s="66" t="s">
        <v>429</v>
      </c>
      <c r="C349" s="16">
        <v>6.886691840424187</v>
      </c>
      <c r="D349" s="16">
        <v>7.4863352648937349</v>
      </c>
      <c r="E349" s="16">
        <v>8.9150343927550484</v>
      </c>
      <c r="F349" s="16">
        <v>9.2600183940050371</v>
      </c>
      <c r="G349" s="16">
        <v>8.7229154996599441</v>
      </c>
      <c r="H349" s="16">
        <v>7.852609035564682</v>
      </c>
      <c r="I349" s="16">
        <v>7.4270034319351428</v>
      </c>
      <c r="J349" s="16">
        <v>8.0197277456272182</v>
      </c>
      <c r="K349" s="16">
        <v>10.441203476094277</v>
      </c>
      <c r="L349" s="16">
        <v>15.427943012736675</v>
      </c>
      <c r="M349" s="16">
        <v>16.655191149815899</v>
      </c>
      <c r="N349" s="16">
        <v>16.195619457452299</v>
      </c>
      <c r="O349" s="16">
        <v>14.412414859168425</v>
      </c>
      <c r="P349" s="16">
        <v>12.419240408825576</v>
      </c>
      <c r="Q349" s="16">
        <v>10.666479914830036</v>
      </c>
      <c r="R349" s="16">
        <v>8.9153626643089439</v>
      </c>
      <c r="S349" s="16">
        <v>7.8729506831346798</v>
      </c>
      <c r="T349" s="16">
        <v>6.7853636306398428</v>
      </c>
      <c r="U349" s="16">
        <v>5.8751942090918776</v>
      </c>
      <c r="V349" s="16">
        <v>5.7465870402643446</v>
      </c>
      <c r="W349" s="16">
        <v>11.046056785771333</v>
      </c>
      <c r="X349" s="16">
        <v>8.3361520188371987</v>
      </c>
      <c r="Y349" s="16">
        <v>5.1752038715222106</v>
      </c>
      <c r="Z349" s="16">
        <v>5.9681056744400092</v>
      </c>
      <c r="AA349" s="16">
        <v>6.458039172857287</v>
      </c>
      <c r="AB349" s="67">
        <v>6.5726197788549614</v>
      </c>
      <c r="AC349" s="3"/>
    </row>
    <row r="350" spans="2:29" x14ac:dyDescent="0.3">
      <c r="B350" s="66" t="s">
        <v>160</v>
      </c>
      <c r="C350" s="16">
        <v>4.3204548739713724</v>
      </c>
      <c r="D350" s="16">
        <v>6.4864153768122454</v>
      </c>
      <c r="E350" s="16">
        <v>7.3824390665042925</v>
      </c>
      <c r="F350" s="16">
        <v>7.5189177417186901</v>
      </c>
      <c r="G350" s="16">
        <v>7.9103219209662381</v>
      </c>
      <c r="H350" s="16">
        <v>8.5496661424209037</v>
      </c>
      <c r="I350" s="16">
        <v>7.6702553185932025</v>
      </c>
      <c r="J350" s="16">
        <v>6.9792082979838597</v>
      </c>
      <c r="K350" s="16">
        <v>8.3872007120758454</v>
      </c>
      <c r="L350" s="16">
        <v>12.006457174386</v>
      </c>
      <c r="M350" s="16">
        <v>12.370447716297825</v>
      </c>
      <c r="N350" s="16">
        <v>11.847856955699374</v>
      </c>
      <c r="O350" s="16">
        <v>10.440640569710187</v>
      </c>
      <c r="P350" s="16">
        <v>8.5163425344497448</v>
      </c>
      <c r="Q350" s="16">
        <v>7.1402033011642754</v>
      </c>
      <c r="R350" s="16">
        <v>6.7623295422413356</v>
      </c>
      <c r="S350" s="16">
        <v>5.822079808934352</v>
      </c>
      <c r="T350" s="16">
        <v>5.1719197101634053</v>
      </c>
      <c r="U350" s="16">
        <v>4.0229636124667776</v>
      </c>
      <c r="V350" s="16">
        <v>3.3065076942899898</v>
      </c>
      <c r="W350" s="16">
        <v>6.591457859324855</v>
      </c>
      <c r="X350" s="16">
        <v>4.5298356065226324</v>
      </c>
      <c r="Y350" s="16">
        <v>3.7638823808740924</v>
      </c>
      <c r="Z350" s="16">
        <v>3.7940592391375603</v>
      </c>
      <c r="AA350" s="16">
        <v>5.1975667270908854</v>
      </c>
      <c r="AB350" s="67">
        <v>5.2825703640963519</v>
      </c>
      <c r="AC350" s="3"/>
    </row>
    <row r="351" spans="2:29" x14ac:dyDescent="0.3">
      <c r="B351" s="66" t="s">
        <v>161</v>
      </c>
      <c r="C351" s="16">
        <v>3.7449699386141773</v>
      </c>
      <c r="D351" s="16">
        <v>4.3090593766856546</v>
      </c>
      <c r="E351" s="16">
        <v>5.2646149294472924</v>
      </c>
      <c r="F351" s="16">
        <v>5.6137706839580943</v>
      </c>
      <c r="G351" s="16">
        <v>5.528294572673385</v>
      </c>
      <c r="H351" s="16">
        <v>4.890868722648082</v>
      </c>
      <c r="I351" s="16">
        <v>4.5796053130680816</v>
      </c>
      <c r="J351" s="16">
        <v>4.3201056729074052</v>
      </c>
      <c r="K351" s="16">
        <v>5.5291458623372023</v>
      </c>
      <c r="L351" s="16">
        <v>8.2264762151246238</v>
      </c>
      <c r="M351" s="16">
        <v>8.6967046636878536</v>
      </c>
      <c r="N351" s="16">
        <v>8.3787416517734101</v>
      </c>
      <c r="O351" s="16">
        <v>8.6417257712532169</v>
      </c>
      <c r="P351" s="16">
        <v>7.6424764639374168</v>
      </c>
      <c r="Q351" s="16">
        <v>6.1143574772328204</v>
      </c>
      <c r="R351" s="16">
        <v>5.4091086393840726</v>
      </c>
      <c r="S351" s="16">
        <v>4.9045982977313773</v>
      </c>
      <c r="T351" s="16">
        <v>4.9811319452164229</v>
      </c>
      <c r="U351" s="16">
        <v>4.2137906460559504</v>
      </c>
      <c r="V351" s="16">
        <v>4.0464993789638148</v>
      </c>
      <c r="W351" s="16">
        <v>7.9836700009073827</v>
      </c>
      <c r="X351" s="16">
        <v>4.9447579689935797</v>
      </c>
      <c r="Y351" s="16">
        <v>3.4339467745055998</v>
      </c>
      <c r="Z351" s="16">
        <v>3.4567286865385123</v>
      </c>
      <c r="AA351" s="16">
        <v>3.6363226161719822</v>
      </c>
      <c r="AB351" s="67">
        <v>3.5852894780838547</v>
      </c>
      <c r="AC351" s="3"/>
    </row>
    <row r="352" spans="2:29" x14ac:dyDescent="0.3">
      <c r="B352" s="66" t="s">
        <v>162</v>
      </c>
      <c r="C352" s="16">
        <v>3.23014182755385</v>
      </c>
      <c r="D352" s="16">
        <v>3.8708595907124774</v>
      </c>
      <c r="E352" s="16">
        <v>4.5996126999623979</v>
      </c>
      <c r="F352" s="16">
        <v>4.3659276566954794</v>
      </c>
      <c r="G352" s="16">
        <v>3.8910964692927648</v>
      </c>
      <c r="H352" s="16">
        <v>3.2327869950251849</v>
      </c>
      <c r="I352" s="16">
        <v>2.8575111791116501</v>
      </c>
      <c r="J352" s="16">
        <v>3.2598225518402399</v>
      </c>
      <c r="K352" s="16">
        <v>4.847268514021227</v>
      </c>
      <c r="L352" s="16">
        <v>7.2872317889585627</v>
      </c>
      <c r="M352" s="16">
        <v>8.44006501647387</v>
      </c>
      <c r="N352" s="16">
        <v>8.4048477621787168</v>
      </c>
      <c r="O352" s="16">
        <v>7.6942403855227886</v>
      </c>
      <c r="P352" s="16">
        <v>6.7390115059970199</v>
      </c>
      <c r="Q352" s="16">
        <v>6.0234670001181225</v>
      </c>
      <c r="R352" s="16">
        <v>5.2608966452342054</v>
      </c>
      <c r="S352" s="16">
        <v>4.6734579452358957</v>
      </c>
      <c r="T352" s="16">
        <v>4.0740136363432704</v>
      </c>
      <c r="U352" s="16">
        <v>3.5277551274668699</v>
      </c>
      <c r="V352" s="16">
        <v>3.1999102423551076</v>
      </c>
      <c r="W352" s="16">
        <v>6.1013776782248321</v>
      </c>
      <c r="X352" s="16">
        <v>4.3673880398793603</v>
      </c>
      <c r="Y352" s="16">
        <v>3.0994780469210976</v>
      </c>
      <c r="Z352" s="16">
        <v>3.0923714999560952</v>
      </c>
      <c r="AA352" s="16">
        <v>3.4698089518639126</v>
      </c>
      <c r="AB352" s="67">
        <v>3.7944566441446548</v>
      </c>
      <c r="AC352" s="3"/>
    </row>
    <row r="353" spans="2:29" x14ac:dyDescent="0.3">
      <c r="B353" s="66" t="s">
        <v>381</v>
      </c>
      <c r="C353" s="16">
        <v>3.4131218933033427</v>
      </c>
      <c r="D353" s="16">
        <v>4.5045013066115374</v>
      </c>
      <c r="E353" s="16">
        <v>5.7578787879823476</v>
      </c>
      <c r="F353" s="16">
        <v>5.4919098223530103</v>
      </c>
      <c r="G353" s="16">
        <v>4.6536632115372347</v>
      </c>
      <c r="H353" s="16">
        <v>3.9921105700176547</v>
      </c>
      <c r="I353" s="16">
        <v>3.533186990649765</v>
      </c>
      <c r="J353" s="16">
        <v>4.3252081827696172</v>
      </c>
      <c r="K353" s="16">
        <v>6.8423426820879447</v>
      </c>
      <c r="L353" s="16">
        <v>10.81033165013746</v>
      </c>
      <c r="M353" s="16">
        <v>11.107236884520802</v>
      </c>
      <c r="N353" s="16">
        <v>10.107051643140762</v>
      </c>
      <c r="O353" s="16">
        <v>8.5223258921820246</v>
      </c>
      <c r="P353" s="16">
        <v>7.1956858246000603</v>
      </c>
      <c r="Q353" s="16">
        <v>6.2631175805060346</v>
      </c>
      <c r="R353" s="16">
        <v>5.2778942699006528</v>
      </c>
      <c r="S353" s="16">
        <v>4.64358557885254</v>
      </c>
      <c r="T353" s="16">
        <v>4.0740304748039922</v>
      </c>
      <c r="U353" s="16">
        <v>3.5816008261480325</v>
      </c>
      <c r="V353" s="16">
        <v>3.2314252751753627</v>
      </c>
      <c r="W353" s="16">
        <v>7.4979774236519887</v>
      </c>
      <c r="X353" s="16">
        <v>4.3460479391122169</v>
      </c>
      <c r="Y353" s="16">
        <v>2.8973660755628701</v>
      </c>
      <c r="Z353" s="16">
        <v>2.9964448674451298</v>
      </c>
      <c r="AA353" s="16">
        <v>3.459342060320985</v>
      </c>
      <c r="AB353" s="67">
        <v>3.708098262889187</v>
      </c>
      <c r="AC353" s="3"/>
    </row>
    <row r="354" spans="2:29" x14ac:dyDescent="0.3">
      <c r="B354" s="66" t="s">
        <v>163</v>
      </c>
      <c r="C354" s="16">
        <v>4.2276359827690602</v>
      </c>
      <c r="D354" s="16">
        <v>5.153746409290437</v>
      </c>
      <c r="E354" s="16">
        <v>5.8852105736979903</v>
      </c>
      <c r="F354" s="16">
        <v>6.0037450263432284</v>
      </c>
      <c r="G354" s="16">
        <v>7.343341180614738</v>
      </c>
      <c r="H354" s="16">
        <v>6.8871715787714001</v>
      </c>
      <c r="I354" s="16">
        <v>6.2122273687046601</v>
      </c>
      <c r="J354" s="16">
        <v>5.5017937826154997</v>
      </c>
      <c r="K354" s="16">
        <v>6.6787751739983969</v>
      </c>
      <c r="L354" s="16">
        <v>10.346017168327172</v>
      </c>
      <c r="M354" s="16">
        <v>10.807736398897426</v>
      </c>
      <c r="N354" s="16">
        <v>10.155867129699601</v>
      </c>
      <c r="O354" s="16">
        <v>9.8386165296605341</v>
      </c>
      <c r="P354" s="16">
        <v>9.225448144774349</v>
      </c>
      <c r="Q354" s="16">
        <v>7.5066568534521156</v>
      </c>
      <c r="R354" s="16">
        <v>6.083214312961795</v>
      </c>
      <c r="S354" s="16">
        <v>5.13080162988535</v>
      </c>
      <c r="T354" s="16">
        <v>4.0558848540395323</v>
      </c>
      <c r="U354" s="16">
        <v>4.2275368389895771</v>
      </c>
      <c r="V354" s="16">
        <v>4.0321083861429798</v>
      </c>
      <c r="W354" s="16">
        <v>7.2443078972855881</v>
      </c>
      <c r="X354" s="16">
        <v>4.1691159155544719</v>
      </c>
      <c r="Y354" s="16">
        <v>3.3972450177409099</v>
      </c>
      <c r="Z354" s="16">
        <v>3.6122238515967848</v>
      </c>
      <c r="AA354" s="16">
        <v>4.3920026382919852</v>
      </c>
      <c r="AB354" s="67">
        <v>4.1448529124973978</v>
      </c>
      <c r="AC354" s="3"/>
    </row>
    <row r="355" spans="2:29" x14ac:dyDescent="0.3">
      <c r="B355" s="66" t="s">
        <v>382</v>
      </c>
      <c r="C355" s="16">
        <v>4.765729125839635</v>
      </c>
      <c r="D355" s="16">
        <v>4.788358615542025</v>
      </c>
      <c r="E355" s="16">
        <v>5.4997578156365847</v>
      </c>
      <c r="F355" s="16">
        <v>5.9666713089361494</v>
      </c>
      <c r="G355" s="16">
        <v>5.5760614501380177</v>
      </c>
      <c r="H355" s="16">
        <v>5.2212000327957924</v>
      </c>
      <c r="I355" s="16">
        <v>5.1289930180466703</v>
      </c>
      <c r="J355" s="16">
        <v>4.6455060630445555</v>
      </c>
      <c r="K355" s="16">
        <v>4.6256101103869174</v>
      </c>
      <c r="L355" s="16">
        <v>6.2757659158455628</v>
      </c>
      <c r="M355" s="16">
        <v>7.5474854070223341</v>
      </c>
      <c r="N355" s="16">
        <v>7.7146787205916656</v>
      </c>
      <c r="O355" s="16">
        <v>6.8492619942010249</v>
      </c>
      <c r="P355" s="16">
        <v>7.2263728946710994</v>
      </c>
      <c r="Q355" s="16">
        <v>6.1658264837009078</v>
      </c>
      <c r="R355" s="16">
        <v>4.9029984430335105</v>
      </c>
      <c r="S355" s="16">
        <v>4.724209410924785</v>
      </c>
      <c r="T355" s="16">
        <v>4.7346921142698655</v>
      </c>
      <c r="U355" s="16">
        <v>5.1144229243963899</v>
      </c>
      <c r="V355" s="16">
        <v>4.46207456822947</v>
      </c>
      <c r="W355" s="16">
        <v>7.51645356057917</v>
      </c>
      <c r="X355" s="16">
        <v>5.6524701628770124</v>
      </c>
      <c r="Y355" s="16">
        <v>4.3871240269922396</v>
      </c>
      <c r="Z355" s="16">
        <v>4.0149804357920997</v>
      </c>
      <c r="AA355" s="16">
        <v>4.1552716900172229</v>
      </c>
      <c r="AB355" s="67">
        <v>4.1484870515212835</v>
      </c>
      <c r="AC355" s="3"/>
    </row>
    <row r="356" spans="2:29" x14ac:dyDescent="0.3">
      <c r="B356" s="66" t="s">
        <v>164</v>
      </c>
      <c r="C356" s="16">
        <v>4.6090079293902901</v>
      </c>
      <c r="D356" s="16">
        <v>4.9220727721507505</v>
      </c>
      <c r="E356" s="16">
        <v>6.7211839368695596</v>
      </c>
      <c r="F356" s="16">
        <v>7.3160357213379701</v>
      </c>
      <c r="G356" s="16">
        <v>7.2263994669123326</v>
      </c>
      <c r="H356" s="16">
        <v>6.6777153529383577</v>
      </c>
      <c r="I356" s="16">
        <v>6.109840894571585</v>
      </c>
      <c r="J356" s="16">
        <v>6.4320811828448559</v>
      </c>
      <c r="K356" s="16">
        <v>8.0749334872587699</v>
      </c>
      <c r="L356" s="16">
        <v>12.462054687284574</v>
      </c>
      <c r="M356" s="16">
        <v>10.964516844261601</v>
      </c>
      <c r="N356" s="16">
        <v>9.4433362674247228</v>
      </c>
      <c r="O356" s="16">
        <v>7.9800840557801109</v>
      </c>
      <c r="P356" s="16">
        <v>8.157995909449367</v>
      </c>
      <c r="Q356" s="16">
        <v>6.1289171667299147</v>
      </c>
      <c r="R356" s="16">
        <v>5.0763448145495644</v>
      </c>
      <c r="S356" s="16">
        <v>5.016116501738165</v>
      </c>
      <c r="T356" s="16">
        <v>5.5090488575653174</v>
      </c>
      <c r="U356" s="16">
        <v>4.9251055189105823</v>
      </c>
      <c r="V356" s="16">
        <v>4.460575382237332</v>
      </c>
      <c r="W356" s="16">
        <v>9.6078313584338169</v>
      </c>
      <c r="X356" s="16">
        <v>5.8852683263039056</v>
      </c>
      <c r="Y356" s="16">
        <v>4.2085594520270799</v>
      </c>
      <c r="Z356" s="16">
        <v>4.1387294569778525</v>
      </c>
      <c r="AA356" s="16">
        <v>5.4641109639093255</v>
      </c>
      <c r="AB356" s="67">
        <v>6.0684466763261184</v>
      </c>
      <c r="AC356" s="3"/>
    </row>
    <row r="357" spans="2:29" x14ac:dyDescent="0.3">
      <c r="B357" s="66" t="s">
        <v>165</v>
      </c>
      <c r="C357" s="16">
        <v>4.043807489632897</v>
      </c>
      <c r="D357" s="16">
        <v>4.2364794279656355</v>
      </c>
      <c r="E357" s="16">
        <v>4.6789479325323997</v>
      </c>
      <c r="F357" s="16">
        <v>5.3328340332251853</v>
      </c>
      <c r="G357" s="16">
        <v>6.06871355028305</v>
      </c>
      <c r="H357" s="16">
        <v>5.5201807957525322</v>
      </c>
      <c r="I357" s="16">
        <v>4.8556239012057798</v>
      </c>
      <c r="J357" s="16">
        <v>4.7709499900817303</v>
      </c>
      <c r="K357" s="16">
        <v>5.1126044603585274</v>
      </c>
      <c r="L357" s="16">
        <v>6.9375857542684773</v>
      </c>
      <c r="M357" s="16">
        <v>6.9707849339218475</v>
      </c>
      <c r="N357" s="16">
        <v>6.6996156495592381</v>
      </c>
      <c r="O357" s="16">
        <v>6.1286899852343684</v>
      </c>
      <c r="P357" s="16">
        <v>5.7667769684490429</v>
      </c>
      <c r="Q357" s="16">
        <v>4.7613939689264022</v>
      </c>
      <c r="R357" s="16">
        <v>4.2362403689833474</v>
      </c>
      <c r="S357" s="16">
        <v>4.1580691248800097</v>
      </c>
      <c r="T357" s="16">
        <v>3.795554055893485</v>
      </c>
      <c r="U357" s="16">
        <v>3.5618753471628475</v>
      </c>
      <c r="V357" s="16">
        <v>3.4421885479301721</v>
      </c>
      <c r="W357" s="16">
        <v>5.8273978653384626</v>
      </c>
      <c r="X357" s="16">
        <v>3.3375235537062848</v>
      </c>
      <c r="Y357" s="16">
        <v>2.8930521949815176</v>
      </c>
      <c r="Z357" s="16">
        <v>3.0177165430483774</v>
      </c>
      <c r="AA357" s="16">
        <v>3.7232261894217826</v>
      </c>
      <c r="AB357" s="67">
        <v>3.889238309627268</v>
      </c>
      <c r="AC357" s="3"/>
    </row>
    <row r="358" spans="2:29" x14ac:dyDescent="0.3">
      <c r="B358" s="66" t="s">
        <v>553</v>
      </c>
      <c r="C358" s="16">
        <v>3.7615016555093628</v>
      </c>
      <c r="D358" s="16">
        <v>5.1289486749285347</v>
      </c>
      <c r="E358" s="16">
        <v>5.8901563210201422</v>
      </c>
      <c r="F358" s="16">
        <v>6.5057198140100505</v>
      </c>
      <c r="G358" s="16">
        <v>6.4272652838907698</v>
      </c>
      <c r="H358" s="16">
        <v>6.1879863557692927</v>
      </c>
      <c r="I358" s="16">
        <v>6.331556431559215</v>
      </c>
      <c r="J358" s="16">
        <v>6.7701317167470467</v>
      </c>
      <c r="K358" s="16">
        <v>7.5706526283621347</v>
      </c>
      <c r="L358" s="16">
        <v>12.084255347012425</v>
      </c>
      <c r="M358" s="16">
        <v>12.235400098193299</v>
      </c>
      <c r="N358" s="16">
        <v>10.062505889817917</v>
      </c>
      <c r="O358" s="16">
        <v>8.757904391720011</v>
      </c>
      <c r="P358" s="16">
        <v>8.291483089178314</v>
      </c>
      <c r="Q358" s="16">
        <v>6.7587268840274817</v>
      </c>
      <c r="R358" s="16">
        <v>5.3082637375764108</v>
      </c>
      <c r="S358" s="16">
        <v>4.9250876870352425</v>
      </c>
      <c r="T358" s="16">
        <v>4.7299946409228371</v>
      </c>
      <c r="U358" s="16">
        <v>4.1822656680494124</v>
      </c>
      <c r="V358" s="16">
        <v>3.9719878923179626</v>
      </c>
      <c r="W358" s="16">
        <v>8.9910585607604165</v>
      </c>
      <c r="X358" s="16">
        <v>5.2033045180652202</v>
      </c>
      <c r="Y358" s="16">
        <v>4.1419889264412753</v>
      </c>
      <c r="Z358" s="16">
        <v>3.9120104362783876</v>
      </c>
      <c r="AA358" s="16">
        <v>4.2818595676282971</v>
      </c>
      <c r="AB358" s="67">
        <v>4.8417720255516521</v>
      </c>
      <c r="AC358" s="3"/>
    </row>
    <row r="359" spans="2:29" x14ac:dyDescent="0.3">
      <c r="B359" s="66" t="s">
        <v>517</v>
      </c>
      <c r="C359" s="16">
        <v>3.2493364443330401</v>
      </c>
      <c r="D359" s="16">
        <v>3.6996226580065628</v>
      </c>
      <c r="E359" s="16">
        <v>5.2560640953801503</v>
      </c>
      <c r="F359" s="16">
        <v>5.1738802198802354</v>
      </c>
      <c r="G359" s="16">
        <v>4.2761577793845724</v>
      </c>
      <c r="H359" s="16">
        <v>3.8743171780555024</v>
      </c>
      <c r="I359" s="16">
        <v>4.2878032855586028</v>
      </c>
      <c r="J359" s="16">
        <v>3.7639391759971277</v>
      </c>
      <c r="K359" s="16">
        <v>4.7983852346578351</v>
      </c>
      <c r="L359" s="16">
        <v>7.387450529355398</v>
      </c>
      <c r="M359" s="16">
        <v>8.4612922910153525</v>
      </c>
      <c r="N359" s="16">
        <v>8.2972667404604419</v>
      </c>
      <c r="O359" s="16">
        <v>8.3328189021683841</v>
      </c>
      <c r="P359" s="16">
        <v>7.4193397695532228</v>
      </c>
      <c r="Q359" s="16">
        <v>5.8001949619067172</v>
      </c>
      <c r="R359" s="16">
        <v>4.91017395247877</v>
      </c>
      <c r="S359" s="16">
        <v>4.7273192584913044</v>
      </c>
      <c r="T359" s="16">
        <v>4.3694638641266348</v>
      </c>
      <c r="U359" s="16">
        <v>3.8643122446391676</v>
      </c>
      <c r="V359" s="16">
        <v>3.4051032436584823</v>
      </c>
      <c r="W359" s="16">
        <v>7.970710203269407</v>
      </c>
      <c r="X359" s="16">
        <v>6.0738215877687569</v>
      </c>
      <c r="Y359" s="16">
        <v>3.6350893926327674</v>
      </c>
      <c r="Z359" s="16">
        <v>4.1072317740866975</v>
      </c>
      <c r="AA359" s="16">
        <v>4.3881540478350773</v>
      </c>
      <c r="AB359" s="67">
        <v>4.7274578097388664</v>
      </c>
      <c r="AC359" s="3"/>
    </row>
    <row r="360" spans="2:29" x14ac:dyDescent="0.3">
      <c r="B360" s="66" t="s">
        <v>166</v>
      </c>
      <c r="C360" s="16">
        <v>3.7035608856483599</v>
      </c>
      <c r="D360" s="16">
        <v>4.330356159572105</v>
      </c>
      <c r="E360" s="16">
        <v>5.7675396733959845</v>
      </c>
      <c r="F360" s="16">
        <v>5.3611951067893822</v>
      </c>
      <c r="G360" s="16">
        <v>4.6158251241023498</v>
      </c>
      <c r="H360" s="16">
        <v>4.4277286307793977</v>
      </c>
      <c r="I360" s="16">
        <v>4.1097603482368879</v>
      </c>
      <c r="J360" s="16">
        <v>3.5466284521549327</v>
      </c>
      <c r="K360" s="16">
        <v>5.4575478295549376</v>
      </c>
      <c r="L360" s="16">
        <v>8.8657323455011721</v>
      </c>
      <c r="M360" s="16">
        <v>9.3448792206382993</v>
      </c>
      <c r="N360" s="16">
        <v>8.4892466780837577</v>
      </c>
      <c r="O360" s="16">
        <v>7.4224092222014102</v>
      </c>
      <c r="P360" s="16">
        <v>6.8340612448699476</v>
      </c>
      <c r="Q360" s="16">
        <v>6.055123838130557</v>
      </c>
      <c r="R360" s="16">
        <v>5.5206470139771078</v>
      </c>
      <c r="S360" s="16">
        <v>5.0970887807002123</v>
      </c>
      <c r="T360" s="16">
        <v>4.5968937295564505</v>
      </c>
      <c r="U360" s="16">
        <v>4.455752796921697</v>
      </c>
      <c r="V360" s="16">
        <v>4.5301500454522774</v>
      </c>
      <c r="W360" s="16">
        <v>7.6517142366433308</v>
      </c>
      <c r="X360" s="16">
        <v>5.0892499269402931</v>
      </c>
      <c r="Y360" s="16">
        <v>3.7293703512744951</v>
      </c>
      <c r="Z360" s="16">
        <v>3.6007012226963599</v>
      </c>
      <c r="AA360" s="16">
        <v>3.5676136460961074</v>
      </c>
      <c r="AB360" s="67">
        <v>4.0225189131196322</v>
      </c>
      <c r="AC360" s="3"/>
    </row>
    <row r="361" spans="2:29" x14ac:dyDescent="0.3">
      <c r="B361" s="66" t="s">
        <v>167</v>
      </c>
      <c r="C361" s="16">
        <v>2.8474117150348275</v>
      </c>
      <c r="D361" s="16">
        <v>3.3411669112953075</v>
      </c>
      <c r="E361" s="16">
        <v>4.7798442555294951</v>
      </c>
      <c r="F361" s="16">
        <v>5.827666556945708</v>
      </c>
      <c r="G361" s="16">
        <v>4.8134452198929054</v>
      </c>
      <c r="H361" s="16">
        <v>4.2231867670379026</v>
      </c>
      <c r="I361" s="16">
        <v>3.783068011542535</v>
      </c>
      <c r="J361" s="16">
        <v>3.8347844925324952</v>
      </c>
      <c r="K361" s="16">
        <v>3.6019073965920576</v>
      </c>
      <c r="L361" s="16">
        <v>6.9921088183854803</v>
      </c>
      <c r="M361" s="16">
        <v>6.9068332370205345</v>
      </c>
      <c r="N361" s="16">
        <v>5.8989416749740098</v>
      </c>
      <c r="O361" s="16">
        <v>5.1808767908193527</v>
      </c>
      <c r="P361" s="16">
        <v>5.1231892215230275</v>
      </c>
      <c r="Q361" s="16">
        <v>4.3229911131218124</v>
      </c>
      <c r="R361" s="16">
        <v>4.2728254165332178</v>
      </c>
      <c r="S361" s="16">
        <v>4.7282293384947254</v>
      </c>
      <c r="T361" s="16">
        <v>4.1924285608196277</v>
      </c>
      <c r="U361" s="16">
        <v>3.3335897014783922</v>
      </c>
      <c r="V361" s="16">
        <v>3.1090533869034371</v>
      </c>
      <c r="W361" s="16">
        <v>6.5550216585543053</v>
      </c>
      <c r="X361" s="16">
        <v>4.1553921533956704</v>
      </c>
      <c r="Y361" s="16">
        <v>3.1083234344892876</v>
      </c>
      <c r="Z361" s="16">
        <v>3.1908539377686327</v>
      </c>
      <c r="AA361" s="16">
        <v>3.3034616401653727</v>
      </c>
      <c r="AB361" s="67">
        <v>3.1646237288330101</v>
      </c>
      <c r="AC361" s="3"/>
    </row>
    <row r="362" spans="2:29" x14ac:dyDescent="0.3">
      <c r="B362" s="66" t="s">
        <v>168</v>
      </c>
      <c r="C362" s="16">
        <v>4.5431747877053805</v>
      </c>
      <c r="D362" s="16">
        <v>4.8593102204464671</v>
      </c>
      <c r="E362" s="16">
        <v>5.3200514480951604</v>
      </c>
      <c r="F362" s="16">
        <v>5.4995871285152047</v>
      </c>
      <c r="G362" s="16">
        <v>5.2158322068476703</v>
      </c>
      <c r="H362" s="16">
        <v>4.0647928772566351</v>
      </c>
      <c r="I362" s="16">
        <v>3.6175708733489298</v>
      </c>
      <c r="J362" s="16">
        <v>3.7299118331793224</v>
      </c>
      <c r="K362" s="16">
        <v>5.4298992942052822</v>
      </c>
      <c r="L362" s="16">
        <v>9.5680046477386647</v>
      </c>
      <c r="M362" s="16">
        <v>9.9146671587603592</v>
      </c>
      <c r="N362" s="16">
        <v>9.0731316713948598</v>
      </c>
      <c r="O362" s="16">
        <v>7.8334887335133381</v>
      </c>
      <c r="P362" s="16">
        <v>7.1444663953388554</v>
      </c>
      <c r="Q362" s="16">
        <v>6.4219896624432575</v>
      </c>
      <c r="R362" s="16">
        <v>5.8011143611971105</v>
      </c>
      <c r="S362" s="16">
        <v>5.8180630354261016</v>
      </c>
      <c r="T362" s="16">
        <v>4.4756714454204802</v>
      </c>
      <c r="U362" s="16">
        <v>3.8152287111874275</v>
      </c>
      <c r="V362" s="16">
        <v>3.0688615596443625</v>
      </c>
      <c r="W362" s="16">
        <v>7.4628432291922602</v>
      </c>
      <c r="X362" s="16">
        <v>3.7358761824673974</v>
      </c>
      <c r="Y362" s="16">
        <v>2.7017836763672922</v>
      </c>
      <c r="Z362" s="16">
        <v>2.5622373069064697</v>
      </c>
      <c r="AA362" s="16">
        <v>3.2646644671104772</v>
      </c>
      <c r="AB362" s="67">
        <v>3.4185099236423611</v>
      </c>
      <c r="AC362" s="3"/>
    </row>
    <row r="363" spans="2:29" x14ac:dyDescent="0.3">
      <c r="B363" s="66" t="s">
        <v>420</v>
      </c>
      <c r="C363" s="16">
        <v>4.1936032309319877</v>
      </c>
      <c r="D363" s="16">
        <v>4.2463172477769993</v>
      </c>
      <c r="E363" s="16">
        <v>4.4159004693927528</v>
      </c>
      <c r="F363" s="16">
        <v>4.5429896053669925</v>
      </c>
      <c r="G363" s="16">
        <v>4.4441057253332801</v>
      </c>
      <c r="H363" s="16">
        <v>3.666946829813885</v>
      </c>
      <c r="I363" s="16">
        <v>3.2765092094247024</v>
      </c>
      <c r="J363" s="16">
        <v>2.6863250823215847</v>
      </c>
      <c r="K363" s="16">
        <v>4.0294053163684351</v>
      </c>
      <c r="L363" s="16">
        <v>7.2395468961972975</v>
      </c>
      <c r="M363" s="16">
        <v>8.5107598397105235</v>
      </c>
      <c r="N363" s="16">
        <v>7.9162038549882068</v>
      </c>
      <c r="O363" s="16">
        <v>7.1016993190932931</v>
      </c>
      <c r="P363" s="16">
        <v>6.3829313700606374</v>
      </c>
      <c r="Q363" s="16">
        <v>3.8651736516484902</v>
      </c>
      <c r="R363" s="16">
        <v>3.3586220718733122</v>
      </c>
      <c r="S363" s="16">
        <v>3.1642863005397399</v>
      </c>
      <c r="T363" s="16">
        <v>2.8429820572320779</v>
      </c>
      <c r="U363" s="16">
        <v>2.5639220329195052</v>
      </c>
      <c r="V363" s="16">
        <v>2.60559393505268</v>
      </c>
      <c r="W363" s="16">
        <v>4.9288888095854624</v>
      </c>
      <c r="X363" s="16">
        <v>3.3544511259968877</v>
      </c>
      <c r="Y363" s="16">
        <v>2.7692403538726627</v>
      </c>
      <c r="Z363" s="16">
        <v>3.1565512327686776</v>
      </c>
      <c r="AA363" s="16">
        <v>3.5006497444142277</v>
      </c>
      <c r="AB363" s="67">
        <v>3.5119056353829401</v>
      </c>
      <c r="AC363" s="3"/>
    </row>
    <row r="364" spans="2:29" x14ac:dyDescent="0.3">
      <c r="B364" s="66" t="s">
        <v>169</v>
      </c>
      <c r="C364" s="16">
        <v>4.4506005933634754</v>
      </c>
      <c r="D364" s="16">
        <v>4.8831896499886875</v>
      </c>
      <c r="E364" s="16">
        <v>5.6198402893814894</v>
      </c>
      <c r="F364" s="16">
        <v>5.9940221708319505</v>
      </c>
      <c r="G364" s="16">
        <v>5.3481860794449041</v>
      </c>
      <c r="H364" s="16">
        <v>5.1013122227836396</v>
      </c>
      <c r="I364" s="16">
        <v>4.7178442861105445</v>
      </c>
      <c r="J364" s="16">
        <v>4.2088800588519275</v>
      </c>
      <c r="K364" s="16">
        <v>4.8816060847553207</v>
      </c>
      <c r="L364" s="16">
        <v>7.5743471987842543</v>
      </c>
      <c r="M364" s="16">
        <v>8.054227090126453</v>
      </c>
      <c r="N364" s="16">
        <v>8.0772050304954561</v>
      </c>
      <c r="O364" s="16">
        <v>6.9969404352135296</v>
      </c>
      <c r="P364" s="16">
        <v>6.5925615487184999</v>
      </c>
      <c r="Q364" s="16">
        <v>5.2779338242532399</v>
      </c>
      <c r="R364" s="16">
        <v>4.5000341123980174</v>
      </c>
      <c r="S364" s="16">
        <v>4.6100736121224131</v>
      </c>
      <c r="T364" s="16">
        <v>4.1297282634703354</v>
      </c>
      <c r="U364" s="16">
        <v>3.67469758444427</v>
      </c>
      <c r="V364" s="16">
        <v>3.3452985495074401</v>
      </c>
      <c r="W364" s="16">
        <v>6.8743460437738264</v>
      </c>
      <c r="X364" s="16">
        <v>5.1790830112308797</v>
      </c>
      <c r="Y364" s="16">
        <v>3.7774587689172954</v>
      </c>
      <c r="Z364" s="16">
        <v>3.7075632910616001</v>
      </c>
      <c r="AA364" s="16">
        <v>3.8297391013425828</v>
      </c>
      <c r="AB364" s="67">
        <v>3.8742692121545024</v>
      </c>
      <c r="AC364" s="3"/>
    </row>
    <row r="365" spans="2:29" x14ac:dyDescent="0.3">
      <c r="B365" s="66" t="s">
        <v>383</v>
      </c>
      <c r="C365" s="16">
        <v>4.1152401387702175</v>
      </c>
      <c r="D365" s="16">
        <v>4.1163861455309902</v>
      </c>
      <c r="E365" s="16">
        <v>3.9456258449584198</v>
      </c>
      <c r="F365" s="16">
        <v>3.7780364591101128</v>
      </c>
      <c r="G365" s="16">
        <v>3.2089957453716726</v>
      </c>
      <c r="H365" s="16">
        <v>2.7561215932122578</v>
      </c>
      <c r="I365" s="16">
        <v>2.4850538598804053</v>
      </c>
      <c r="J365" s="16">
        <v>2.5869142596008547</v>
      </c>
      <c r="K365" s="16">
        <v>3.6471869875136225</v>
      </c>
      <c r="L365" s="16">
        <v>5.4819520533832069</v>
      </c>
      <c r="M365" s="16">
        <v>5.7598847231581676</v>
      </c>
      <c r="N365" s="16">
        <v>5.823348081932207</v>
      </c>
      <c r="O365" s="16">
        <v>5.2423575721166129</v>
      </c>
      <c r="P365" s="16">
        <v>4.3197321469352854</v>
      </c>
      <c r="Q365" s="16">
        <v>3.9788617437960898</v>
      </c>
      <c r="R365" s="16">
        <v>3.2258002652210527</v>
      </c>
      <c r="S365" s="16">
        <v>2.7094381262890272</v>
      </c>
      <c r="T365" s="16">
        <v>2.10059654682231</v>
      </c>
      <c r="U365" s="16">
        <v>2.2737285698300624</v>
      </c>
      <c r="V365" s="16">
        <v>2.3536896379888521</v>
      </c>
      <c r="W365" s="16">
        <v>10.139985001387267</v>
      </c>
      <c r="X365" s="16">
        <v>5.4401576956557474</v>
      </c>
      <c r="Y365" s="16">
        <v>3.1825905033894526</v>
      </c>
      <c r="Z365" s="16">
        <v>2.6329496608687899</v>
      </c>
      <c r="AA365" s="16">
        <v>2.7125410023032828</v>
      </c>
      <c r="AB365" s="67">
        <v>2.7022963626297543</v>
      </c>
      <c r="AC365" s="3"/>
    </row>
    <row r="366" spans="2:29" x14ac:dyDescent="0.3">
      <c r="B366" s="66" t="s">
        <v>384</v>
      </c>
      <c r="C366" s="16">
        <v>3.9252743362766149</v>
      </c>
      <c r="D366" s="16">
        <v>4.5317983095495027</v>
      </c>
      <c r="E366" s="16">
        <v>5.3593396831116751</v>
      </c>
      <c r="F366" s="16">
        <v>5.5435802493182029</v>
      </c>
      <c r="G366" s="16">
        <v>5.3545528875390822</v>
      </c>
      <c r="H366" s="16">
        <v>4.8853835747934102</v>
      </c>
      <c r="I366" s="16">
        <v>4.4701267261952129</v>
      </c>
      <c r="J366" s="16">
        <v>4.3138832489810248</v>
      </c>
      <c r="K366" s="16">
        <v>5.504409629462125</v>
      </c>
      <c r="L366" s="16">
        <v>7.6343173186621227</v>
      </c>
      <c r="M366" s="16">
        <v>8.0192642036020469</v>
      </c>
      <c r="N366" s="16">
        <v>8.2246155518521427</v>
      </c>
      <c r="O366" s="16">
        <v>8.4991307964690144</v>
      </c>
      <c r="P366" s="16">
        <v>7.7046628513769644</v>
      </c>
      <c r="Q366" s="16">
        <v>6.2791861176350618</v>
      </c>
      <c r="R366" s="16">
        <v>5.5330232889235278</v>
      </c>
      <c r="S366" s="16">
        <v>4.9802255784560296</v>
      </c>
      <c r="T366" s="16">
        <v>5.058186122699178</v>
      </c>
      <c r="U366" s="16">
        <v>4.43445390105183</v>
      </c>
      <c r="V366" s="16">
        <v>4.1475782104933856</v>
      </c>
      <c r="W366" s="16">
        <v>7.765683394271707</v>
      </c>
      <c r="X366" s="16">
        <v>5.1894742365961779</v>
      </c>
      <c r="Y366" s="16">
        <v>3.5943896961483421</v>
      </c>
      <c r="Z366" s="16">
        <v>3.5706705650022177</v>
      </c>
      <c r="AA366" s="16">
        <v>3.8363755961082027</v>
      </c>
      <c r="AB366" s="67">
        <v>3.8258985166652493</v>
      </c>
      <c r="AC366" s="3"/>
    </row>
    <row r="367" spans="2:29" x14ac:dyDescent="0.3">
      <c r="B367" s="66" t="s">
        <v>170</v>
      </c>
      <c r="C367" s="16">
        <v>4.4563877356263255</v>
      </c>
      <c r="D367" s="16">
        <v>3.8914609842098873</v>
      </c>
      <c r="E367" s="16">
        <v>3.9471281248868824</v>
      </c>
      <c r="F367" s="16">
        <v>3.4877338505080751</v>
      </c>
      <c r="G367" s="16">
        <v>3.4809400147793275</v>
      </c>
      <c r="H367" s="16">
        <v>3.9832282658654226</v>
      </c>
      <c r="I367" s="16">
        <v>3.8586859109094749</v>
      </c>
      <c r="J367" s="16">
        <v>3.8897358636238701</v>
      </c>
      <c r="K367" s="16">
        <v>5.6070029025267853</v>
      </c>
      <c r="L367" s="16">
        <v>8.4731693258170147</v>
      </c>
      <c r="M367" s="16">
        <v>9.5006908935079277</v>
      </c>
      <c r="N367" s="16">
        <v>9.7325492451658384</v>
      </c>
      <c r="O367" s="16">
        <v>8.9467927253529549</v>
      </c>
      <c r="P367" s="16">
        <v>7.9820445552613952</v>
      </c>
      <c r="Q367" s="16">
        <v>7.3059217967206198</v>
      </c>
      <c r="R367" s="16">
        <v>6.0192553939746523</v>
      </c>
      <c r="S367" s="16">
        <v>5.4959262030627096</v>
      </c>
      <c r="T367" s="16">
        <v>4.8334017030394927</v>
      </c>
      <c r="U367" s="16">
        <v>4.2310018810931673</v>
      </c>
      <c r="V367" s="16">
        <v>3.787106406905195</v>
      </c>
      <c r="W367" s="16">
        <v>6.1121598921621629</v>
      </c>
      <c r="X367" s="16">
        <v>4.1554326500443306</v>
      </c>
      <c r="Y367" s="16">
        <v>3.433009266297145</v>
      </c>
      <c r="Z367" s="16">
        <v>3.6023883117908699</v>
      </c>
      <c r="AA367" s="16">
        <v>3.9284895822400396</v>
      </c>
      <c r="AB367" s="67">
        <v>3.9573374025300105</v>
      </c>
      <c r="AC367" s="3"/>
    </row>
    <row r="368" spans="2:29" x14ac:dyDescent="0.3">
      <c r="B368" s="66" t="s">
        <v>518</v>
      </c>
      <c r="C368" s="16">
        <v>4.5949219646934401</v>
      </c>
      <c r="D368" s="16">
        <v>4.6127898981577999</v>
      </c>
      <c r="E368" s="16">
        <v>5.8275937210713042</v>
      </c>
      <c r="F368" s="16">
        <v>6.3518572511202072</v>
      </c>
      <c r="G368" s="16">
        <v>5.8063955705693395</v>
      </c>
      <c r="H368" s="16">
        <v>5.3315007129718897</v>
      </c>
      <c r="I368" s="16">
        <v>4.8725790787829197</v>
      </c>
      <c r="J368" s="16">
        <v>5.2248089795945543</v>
      </c>
      <c r="K368" s="16">
        <v>6.9182171694994263</v>
      </c>
      <c r="L368" s="16">
        <v>10.750677897135283</v>
      </c>
      <c r="M368" s="16">
        <v>12.640439697810676</v>
      </c>
      <c r="N368" s="16">
        <v>12.175329073308674</v>
      </c>
      <c r="O368" s="16">
        <v>10.739692859153026</v>
      </c>
      <c r="P368" s="16">
        <v>9.1629069990366396</v>
      </c>
      <c r="Q368" s="16">
        <v>7.6073179415067553</v>
      </c>
      <c r="R368" s="16">
        <v>6.1442698239393145</v>
      </c>
      <c r="S368" s="16">
        <v>5.3990845136163124</v>
      </c>
      <c r="T368" s="16">
        <v>4.6720386688261897</v>
      </c>
      <c r="U368" s="16">
        <v>3.8593552813997154</v>
      </c>
      <c r="V368" s="16">
        <v>3.7010809115260774</v>
      </c>
      <c r="W368" s="16">
        <v>9.4130075345598456</v>
      </c>
      <c r="X368" s="16">
        <v>7.2108090270323579</v>
      </c>
      <c r="Y368" s="16">
        <v>4.1197710775088199</v>
      </c>
      <c r="Z368" s="16">
        <v>4.3788842785413973</v>
      </c>
      <c r="AA368" s="16">
        <v>4.9802256255882646</v>
      </c>
      <c r="AB368" s="67">
        <v>5.2179075247196449</v>
      </c>
      <c r="AC368" s="3"/>
    </row>
    <row r="369" spans="2:29" x14ac:dyDescent="0.3">
      <c r="B369" s="66" t="s">
        <v>171</v>
      </c>
      <c r="C369" s="16">
        <v>3.7587927469048648</v>
      </c>
      <c r="D369" s="16">
        <v>4.24483193034545</v>
      </c>
      <c r="E369" s="16">
        <v>5.5513848493981754</v>
      </c>
      <c r="F369" s="16">
        <v>5.809902341651533</v>
      </c>
      <c r="G369" s="16">
        <v>5.2818384713639475</v>
      </c>
      <c r="H369" s="16">
        <v>4.6032711273076696</v>
      </c>
      <c r="I369" s="16">
        <v>4.1243045110395204</v>
      </c>
      <c r="J369" s="16">
        <v>3.5023256745224347</v>
      </c>
      <c r="K369" s="16">
        <v>3.8231225694719546</v>
      </c>
      <c r="L369" s="16">
        <v>6.9287681428124825</v>
      </c>
      <c r="M369" s="16">
        <v>7.7451623438249548</v>
      </c>
      <c r="N369" s="16">
        <v>6.9946733213120549</v>
      </c>
      <c r="O369" s="16">
        <v>5.5537462025560744</v>
      </c>
      <c r="P369" s="16">
        <v>5.3697034472100622</v>
      </c>
      <c r="Q369" s="16">
        <v>4.2134677166755097</v>
      </c>
      <c r="R369" s="16">
        <v>4.2247887852925601</v>
      </c>
      <c r="S369" s="16">
        <v>5.4604877550963078</v>
      </c>
      <c r="T369" s="16">
        <v>4.8785927171404477</v>
      </c>
      <c r="U369" s="16">
        <v>3.8628481578824472</v>
      </c>
      <c r="V369" s="16">
        <v>3.4467889434254326</v>
      </c>
      <c r="W369" s="16">
        <v>8.27755384234049</v>
      </c>
      <c r="X369" s="16">
        <v>6.2282872514205181</v>
      </c>
      <c r="Y369" s="16">
        <v>4.1616425419505498</v>
      </c>
      <c r="Z369" s="16">
        <v>3.9978339141707822</v>
      </c>
      <c r="AA369" s="16">
        <v>4.0696984105882823</v>
      </c>
      <c r="AB369" s="67">
        <v>4.0881255904348386</v>
      </c>
      <c r="AC369" s="3"/>
    </row>
    <row r="370" spans="2:29" x14ac:dyDescent="0.3">
      <c r="B370" s="66" t="s">
        <v>519</v>
      </c>
      <c r="C370" s="16">
        <v>5.7640821324538871</v>
      </c>
      <c r="D370" s="16">
        <v>6.4354197556314006</v>
      </c>
      <c r="E370" s="16">
        <v>7.5234412714929775</v>
      </c>
      <c r="F370" s="16">
        <v>7.8921792902627299</v>
      </c>
      <c r="G370" s="16">
        <v>6.6366760247818872</v>
      </c>
      <c r="H370" s="16">
        <v>6.34317760359112</v>
      </c>
      <c r="I370" s="16">
        <v>6.9816767699035829</v>
      </c>
      <c r="J370" s="16">
        <v>6.4207423099579071</v>
      </c>
      <c r="K370" s="16">
        <v>7.9648922797244852</v>
      </c>
      <c r="L370" s="16">
        <v>12.23065541259335</v>
      </c>
      <c r="M370" s="16">
        <v>13.2164654831549</v>
      </c>
      <c r="N370" s="16">
        <v>13.034475429038775</v>
      </c>
      <c r="O370" s="16">
        <v>13.327978653822701</v>
      </c>
      <c r="P370" s="16">
        <v>12.025402682392475</v>
      </c>
      <c r="Q370" s="16">
        <v>9.8372118327109419</v>
      </c>
      <c r="R370" s="16">
        <v>8.7338364857654227</v>
      </c>
      <c r="S370" s="16">
        <v>7.873866287138295</v>
      </c>
      <c r="T370" s="16">
        <v>7.2220404915308229</v>
      </c>
      <c r="U370" s="16">
        <v>6.648496792624127</v>
      </c>
      <c r="V370" s="16">
        <v>5.6936071312081102</v>
      </c>
      <c r="W370" s="16">
        <v>11.075066626425308</v>
      </c>
      <c r="X370" s="16">
        <v>8.5940799536132051</v>
      </c>
      <c r="Y370" s="16">
        <v>5.6202295246415597</v>
      </c>
      <c r="Z370" s="16">
        <v>6.6714916181740103</v>
      </c>
      <c r="AA370" s="16">
        <v>7.0419883459032349</v>
      </c>
      <c r="AB370" s="67">
        <v>7.3111091923866249</v>
      </c>
      <c r="AC370" s="3"/>
    </row>
    <row r="371" spans="2:29" x14ac:dyDescent="0.3">
      <c r="B371" s="66" t="s">
        <v>554</v>
      </c>
      <c r="C371" s="16">
        <v>2.5469361508235875</v>
      </c>
      <c r="D371" s="16">
        <v>3.2386207230096224</v>
      </c>
      <c r="E371" s="16">
        <v>4.1140156948796509</v>
      </c>
      <c r="F371" s="16">
        <v>4.2258378918542574</v>
      </c>
      <c r="G371" s="16">
        <v>4.0276581183587075</v>
      </c>
      <c r="H371" s="16">
        <v>3.8852646557845851</v>
      </c>
      <c r="I371" s="16">
        <v>3.3955459063291</v>
      </c>
      <c r="J371" s="16">
        <v>3.2727912092032576</v>
      </c>
      <c r="K371" s="16">
        <v>4.3321012055129877</v>
      </c>
      <c r="L371" s="16">
        <v>6.9617094174785112</v>
      </c>
      <c r="M371" s="16">
        <v>7.2509994151801118</v>
      </c>
      <c r="N371" s="16">
        <v>7.0109063711119175</v>
      </c>
      <c r="O371" s="16">
        <v>6.5454648950552521</v>
      </c>
      <c r="P371" s="16">
        <v>6.0570042647134894</v>
      </c>
      <c r="Q371" s="16">
        <v>5.5007035384609777</v>
      </c>
      <c r="R371" s="16">
        <v>4.8331323545183578</v>
      </c>
      <c r="S371" s="16">
        <v>4.6464909116350821</v>
      </c>
      <c r="T371" s="16">
        <v>4.0641464593303978</v>
      </c>
      <c r="U371" s="16">
        <v>3.3248485958259026</v>
      </c>
      <c r="V371" s="16">
        <v>3.0779005773569725</v>
      </c>
      <c r="W371" s="16">
        <v>7.4634799217525352</v>
      </c>
      <c r="X371" s="16">
        <v>4.4428321906345776</v>
      </c>
      <c r="Y371" s="16">
        <v>3.0359306515381252</v>
      </c>
      <c r="Z371" s="16">
        <v>2.9381643158215449</v>
      </c>
      <c r="AA371" s="16">
        <v>3.0545086801600299</v>
      </c>
      <c r="AB371" s="67">
        <v>3.4292777398301761</v>
      </c>
      <c r="AC371" s="3"/>
    </row>
    <row r="372" spans="2:29" x14ac:dyDescent="0.3">
      <c r="B372" s="66" t="s">
        <v>520</v>
      </c>
      <c r="C372" s="16">
        <v>10.3223520350284</v>
      </c>
      <c r="D372" s="16">
        <v>11.48428638907575</v>
      </c>
      <c r="E372" s="16">
        <v>12.034222048489001</v>
      </c>
      <c r="F372" s="16">
        <v>12.3695301432166</v>
      </c>
      <c r="G372" s="16">
        <v>11.561524082717899</v>
      </c>
      <c r="H372" s="16">
        <v>9.4175986508942913</v>
      </c>
      <c r="I372" s="16">
        <v>8.5172100748613992</v>
      </c>
      <c r="J372" s="16">
        <v>9.1708352017543024</v>
      </c>
      <c r="K372" s="16">
        <v>10.848811274649101</v>
      </c>
      <c r="L372" s="16">
        <v>15.342458194413725</v>
      </c>
      <c r="M372" s="16">
        <v>17.337767762736974</v>
      </c>
      <c r="N372" s="16">
        <v>17.122708232573324</v>
      </c>
      <c r="O372" s="16">
        <v>16.213214131350149</v>
      </c>
      <c r="P372" s="16">
        <v>14.482756934259701</v>
      </c>
      <c r="Q372" s="16">
        <v>13.275011626896125</v>
      </c>
      <c r="R372" s="16">
        <v>11.664076781732426</v>
      </c>
      <c r="S372" s="16">
        <v>11.156011865743601</v>
      </c>
      <c r="T372" s="16">
        <v>10.452583837884651</v>
      </c>
      <c r="U372" s="16">
        <v>9.7224370149617041</v>
      </c>
      <c r="V372" s="16">
        <v>9.6882787641349815</v>
      </c>
      <c r="W372" s="16">
        <v>13.28128953886065</v>
      </c>
      <c r="X372" s="16">
        <v>10.564851325230203</v>
      </c>
      <c r="Y372" s="16">
        <v>8.232276702811145</v>
      </c>
      <c r="Z372" s="16">
        <v>9.777050747349481</v>
      </c>
      <c r="AA372" s="16">
        <v>10.33690146237095</v>
      </c>
      <c r="AB372" s="67">
        <v>10.441950164936536</v>
      </c>
      <c r="AC372" s="3"/>
    </row>
    <row r="373" spans="2:29" x14ac:dyDescent="0.3">
      <c r="B373" s="66" t="s">
        <v>172</v>
      </c>
      <c r="C373" s="16">
        <v>4.2654104193159377</v>
      </c>
      <c r="D373" s="16">
        <v>4.8012061485132556</v>
      </c>
      <c r="E373" s="16">
        <v>5.74722008734234</v>
      </c>
      <c r="F373" s="16">
        <v>6.1997034284815395</v>
      </c>
      <c r="G373" s="16">
        <v>5.4376173548887596</v>
      </c>
      <c r="H373" s="16">
        <v>5.1572695328666072</v>
      </c>
      <c r="I373" s="16">
        <v>4.9305492732186149</v>
      </c>
      <c r="J373" s="16">
        <v>4.3123045194353402</v>
      </c>
      <c r="K373" s="16">
        <v>4.6076355225534371</v>
      </c>
      <c r="L373" s="16">
        <v>6.9205652223728844</v>
      </c>
      <c r="M373" s="16">
        <v>7.604162457488572</v>
      </c>
      <c r="N373" s="16">
        <v>7.8262001672507404</v>
      </c>
      <c r="O373" s="16">
        <v>6.6864262042210925</v>
      </c>
      <c r="P373" s="16">
        <v>6.292341681863955</v>
      </c>
      <c r="Q373" s="16">
        <v>5.152811066594948</v>
      </c>
      <c r="R373" s="16">
        <v>4.1230914322960626</v>
      </c>
      <c r="S373" s="16">
        <v>4.0849563077346076</v>
      </c>
      <c r="T373" s="16">
        <v>4.0150124895153549</v>
      </c>
      <c r="U373" s="16">
        <v>3.7003660895036226</v>
      </c>
      <c r="V373" s="16">
        <v>3.3813608770813923</v>
      </c>
      <c r="W373" s="16">
        <v>6.2416294110634647</v>
      </c>
      <c r="X373" s="16">
        <v>4.9639739355215298</v>
      </c>
      <c r="Y373" s="16">
        <v>3.7424765210207176</v>
      </c>
      <c r="Z373" s="16">
        <v>3.8048818901168526</v>
      </c>
      <c r="AA373" s="16">
        <v>3.8323517413989778</v>
      </c>
      <c r="AB373" s="67">
        <v>3.8401019897343764</v>
      </c>
      <c r="AC373" s="3"/>
    </row>
    <row r="374" spans="2:29" x14ac:dyDescent="0.3">
      <c r="B374" s="66" t="s">
        <v>385</v>
      </c>
      <c r="C374" s="16">
        <v>6.1222199567760081</v>
      </c>
      <c r="D374" s="16">
        <v>6.5672873804589917</v>
      </c>
      <c r="E374" s="16">
        <v>6.7453795535330343</v>
      </c>
      <c r="F374" s="16">
        <v>7.1294070388623751</v>
      </c>
      <c r="G374" s="16">
        <v>6.42827103227365</v>
      </c>
      <c r="H374" s="16">
        <v>6.2756518530761323</v>
      </c>
      <c r="I374" s="16">
        <v>6.0457666943720625</v>
      </c>
      <c r="J374" s="16">
        <v>5.4749989811661175</v>
      </c>
      <c r="K374" s="16">
        <v>5.2101284725234649</v>
      </c>
      <c r="L374" s="16">
        <v>6.6641987235540254</v>
      </c>
      <c r="M374" s="16">
        <v>7.4622046668392752</v>
      </c>
      <c r="N374" s="16">
        <v>7.8416325736766579</v>
      </c>
      <c r="O374" s="16">
        <v>7.6879289605362526</v>
      </c>
      <c r="P374" s="16">
        <v>6.8067486556274579</v>
      </c>
      <c r="Q374" s="16">
        <v>5.9808294946846967</v>
      </c>
      <c r="R374" s="16">
        <v>5.8906296510398457</v>
      </c>
      <c r="S374" s="16">
        <v>5.429111573509215</v>
      </c>
      <c r="T374" s="16">
        <v>4.9722851918669528</v>
      </c>
      <c r="U374" s="16">
        <v>4.8967296640407625</v>
      </c>
      <c r="V374" s="16">
        <v>5.1380701748213475</v>
      </c>
      <c r="W374" s="16">
        <v>6.7407994662286752</v>
      </c>
      <c r="X374" s="16">
        <v>4.5928906838941899</v>
      </c>
      <c r="Y374" s="16">
        <v>3.9588570788813673</v>
      </c>
      <c r="Z374" s="16">
        <v>3.8835165211982225</v>
      </c>
      <c r="AA374" s="16">
        <v>4.245278770276812</v>
      </c>
      <c r="AB374" s="67">
        <v>3.9757851536362643</v>
      </c>
      <c r="AC374" s="3"/>
    </row>
    <row r="375" spans="2:29" x14ac:dyDescent="0.3">
      <c r="B375" s="66" t="s">
        <v>173</v>
      </c>
      <c r="C375" s="16">
        <v>3.584247164225375</v>
      </c>
      <c r="D375" s="16">
        <v>3.5103891675502674</v>
      </c>
      <c r="E375" s="16">
        <v>4.0496789186881958</v>
      </c>
      <c r="F375" s="16">
        <v>4.0249784583625079</v>
      </c>
      <c r="G375" s="16">
        <v>4.3712271732889425</v>
      </c>
      <c r="H375" s="16">
        <v>5.0463279419455169</v>
      </c>
      <c r="I375" s="16">
        <v>4.4474276108522544</v>
      </c>
      <c r="J375" s="16">
        <v>4.1128973313939081</v>
      </c>
      <c r="K375" s="16">
        <v>5.6317255786128069</v>
      </c>
      <c r="L375" s="16">
        <v>7.6434279007665182</v>
      </c>
      <c r="M375" s="16">
        <v>8.9068894383452228</v>
      </c>
      <c r="N375" s="16">
        <v>8.8929438616139276</v>
      </c>
      <c r="O375" s="16">
        <v>8.3769906038383759</v>
      </c>
      <c r="P375" s="16">
        <v>7.9369712930374927</v>
      </c>
      <c r="Q375" s="16">
        <v>7.2711967094332568</v>
      </c>
      <c r="R375" s="16">
        <v>6.2216739088572552</v>
      </c>
      <c r="S375" s="16">
        <v>5.3309678927959725</v>
      </c>
      <c r="T375" s="16">
        <v>4.6709357365132025</v>
      </c>
      <c r="U375" s="16">
        <v>4.0169396959441777</v>
      </c>
      <c r="V375" s="16">
        <v>3.42345600888186</v>
      </c>
      <c r="W375" s="16">
        <v>5.1347016517919473</v>
      </c>
      <c r="X375" s="16">
        <v>3.6782854604041773</v>
      </c>
      <c r="Y375" s="16">
        <v>3.1954428403364101</v>
      </c>
      <c r="Z375" s="16">
        <v>3.0134581655770574</v>
      </c>
      <c r="AA375" s="16">
        <v>3.1804754572747003</v>
      </c>
      <c r="AB375" s="67">
        <v>3.1812376769352544</v>
      </c>
      <c r="AC375" s="3"/>
    </row>
    <row r="376" spans="2:29" x14ac:dyDescent="0.3">
      <c r="B376" s="66" t="s">
        <v>386</v>
      </c>
      <c r="C376" s="16">
        <v>2.7278979628561251</v>
      </c>
      <c r="D376" s="16">
        <v>3.3798676907309901</v>
      </c>
      <c r="E376" s="16">
        <v>4.0128432424630578</v>
      </c>
      <c r="F376" s="16">
        <v>3.8664309557192853</v>
      </c>
      <c r="G376" s="16">
        <v>3.6935593079946449</v>
      </c>
      <c r="H376" s="16">
        <v>3.4470990039729346</v>
      </c>
      <c r="I376" s="16">
        <v>3.1337484795322927</v>
      </c>
      <c r="J376" s="16">
        <v>2.9678526140289452</v>
      </c>
      <c r="K376" s="16">
        <v>3.7697478634550099</v>
      </c>
      <c r="L376" s="16">
        <v>6.0580471679494599</v>
      </c>
      <c r="M376" s="16">
        <v>6.2901557018311234</v>
      </c>
      <c r="N376" s="16">
        <v>6.0249426921455029</v>
      </c>
      <c r="O376" s="16">
        <v>5.660407015526042</v>
      </c>
      <c r="P376" s="16">
        <v>5.4709117804055793</v>
      </c>
      <c r="Q376" s="16">
        <v>4.98786098949485</v>
      </c>
      <c r="R376" s="16">
        <v>4.3557447599665622</v>
      </c>
      <c r="S376" s="16">
        <v>3.7784288446772099</v>
      </c>
      <c r="T376" s="16">
        <v>3.5852308781201723</v>
      </c>
      <c r="U376" s="16">
        <v>3.2291412354360776</v>
      </c>
      <c r="V376" s="16">
        <v>2.9612636111212476</v>
      </c>
      <c r="W376" s="16">
        <v>6.4017220198288607</v>
      </c>
      <c r="X376" s="16">
        <v>4.5437971153422021</v>
      </c>
      <c r="Y376" s="16">
        <v>2.7962175535251301</v>
      </c>
      <c r="Z376" s="16">
        <v>2.5327542887256826</v>
      </c>
      <c r="AA376" s="16">
        <v>2.9922528275426701</v>
      </c>
      <c r="AB376" s="67">
        <v>3.3959536978079061</v>
      </c>
      <c r="AC376" s="3"/>
    </row>
    <row r="377" spans="2:29" x14ac:dyDescent="0.3">
      <c r="B377" s="66" t="s">
        <v>555</v>
      </c>
      <c r="C377" s="16">
        <v>2.3567642883200772</v>
      </c>
      <c r="D377" s="16">
        <v>3.4364583050744599</v>
      </c>
      <c r="E377" s="16">
        <v>5.0312809847931632</v>
      </c>
      <c r="F377" s="16">
        <v>6.1955255169994583</v>
      </c>
      <c r="G377" s="16">
        <v>5.5971298103482168</v>
      </c>
      <c r="H377" s="16">
        <v>5.4298260027355383</v>
      </c>
      <c r="I377" s="16">
        <v>4.8910487081566973</v>
      </c>
      <c r="J377" s="16">
        <v>5.0627623861412827</v>
      </c>
      <c r="K377" s="16">
        <v>6.3924570300178525</v>
      </c>
      <c r="L377" s="16">
        <v>9.3883704912043093</v>
      </c>
      <c r="M377" s="16">
        <v>10.760402244871525</v>
      </c>
      <c r="N377" s="16">
        <v>10.023259378748371</v>
      </c>
      <c r="O377" s="16">
        <v>9.2176443206306793</v>
      </c>
      <c r="P377" s="16">
        <v>8.8303690422398837</v>
      </c>
      <c r="Q377" s="16">
        <v>7.5037115871706002</v>
      </c>
      <c r="R377" s="16">
        <v>6.4049657966913394</v>
      </c>
      <c r="S377" s="16">
        <v>5.4280626861083778</v>
      </c>
      <c r="T377" s="16">
        <v>4.9306442788013225</v>
      </c>
      <c r="U377" s="16">
        <v>4.3968413293093302</v>
      </c>
      <c r="V377" s="16">
        <v>3.9923247868912601</v>
      </c>
      <c r="W377" s="16">
        <v>8.4823839367568787</v>
      </c>
      <c r="X377" s="16">
        <v>7.0676770951858723</v>
      </c>
      <c r="Y377" s="16">
        <v>4.4648481965323121</v>
      </c>
      <c r="Z377" s="16">
        <v>3.6494846519402522</v>
      </c>
      <c r="AA377" s="16">
        <v>3.6229076994411451</v>
      </c>
      <c r="AB377" s="67">
        <v>4.0033987404409581</v>
      </c>
      <c r="AC377" s="3"/>
    </row>
    <row r="378" spans="2:29" x14ac:dyDescent="0.3">
      <c r="B378" s="66" t="s">
        <v>387</v>
      </c>
      <c r="C378" s="16">
        <v>2.7099159765555303</v>
      </c>
      <c r="D378" s="16">
        <v>3.3330813705180575</v>
      </c>
      <c r="E378" s="16">
        <v>3.8628688762145797</v>
      </c>
      <c r="F378" s="16">
        <v>4.3968572614482095</v>
      </c>
      <c r="G378" s="16">
        <v>4.3556722099303968</v>
      </c>
      <c r="H378" s="16">
        <v>4.2180091426254851</v>
      </c>
      <c r="I378" s="16">
        <v>3.6921822220899623</v>
      </c>
      <c r="J378" s="16">
        <v>3.615261792691765</v>
      </c>
      <c r="K378" s="16">
        <v>3.9496461683083348</v>
      </c>
      <c r="L378" s="16">
        <v>6.0459400294464949</v>
      </c>
      <c r="M378" s="16">
        <v>6.0152854742585768</v>
      </c>
      <c r="N378" s="16">
        <v>5.6002613522404046</v>
      </c>
      <c r="O378" s="16">
        <v>5.1118056662409899</v>
      </c>
      <c r="P378" s="16">
        <v>4.8462576429955853</v>
      </c>
      <c r="Q378" s="16">
        <v>4.6543635318644752</v>
      </c>
      <c r="R378" s="16">
        <v>4.3118541438281976</v>
      </c>
      <c r="S378" s="16">
        <v>4.3068098089021705</v>
      </c>
      <c r="T378" s="16">
        <v>3.4534375160064377</v>
      </c>
      <c r="U378" s="16">
        <v>2.6453426389776977</v>
      </c>
      <c r="V378" s="16">
        <v>2.8683620839084423</v>
      </c>
      <c r="W378" s="16">
        <v>5.4891298295915574</v>
      </c>
      <c r="X378" s="16">
        <v>3.8334985344050225</v>
      </c>
      <c r="Y378" s="16">
        <v>2.8026834140385928</v>
      </c>
      <c r="Z378" s="16">
        <v>2.9634693766800297</v>
      </c>
      <c r="AA378" s="16">
        <v>3.4635780921160948</v>
      </c>
      <c r="AB378" s="67">
        <v>4.0247841599751348</v>
      </c>
      <c r="AC378" s="3"/>
    </row>
    <row r="379" spans="2:29" x14ac:dyDescent="0.3">
      <c r="B379" s="66" t="s">
        <v>388</v>
      </c>
      <c r="C379" s="16">
        <v>5.8072332487554172</v>
      </c>
      <c r="D379" s="16">
        <v>6.2919642875679846</v>
      </c>
      <c r="E379" s="16">
        <v>6.8188682979293205</v>
      </c>
      <c r="F379" s="16">
        <v>6.8820906531574604</v>
      </c>
      <c r="G379" s="16">
        <v>7.0313884850833519</v>
      </c>
      <c r="H379" s="16">
        <v>6.1567402301008674</v>
      </c>
      <c r="I379" s="16">
        <v>5.4499358816954668</v>
      </c>
      <c r="J379" s="16">
        <v>5.3346455687409149</v>
      </c>
      <c r="K379" s="16">
        <v>6.7655486207377002</v>
      </c>
      <c r="L379" s="16">
        <v>8.9893956899624339</v>
      </c>
      <c r="M379" s="16">
        <v>9.4314462164104569</v>
      </c>
      <c r="N379" s="16">
        <v>9.8257672556217077</v>
      </c>
      <c r="O379" s="16">
        <v>10.012969389748061</v>
      </c>
      <c r="P379" s="16">
        <v>9.4606486012333288</v>
      </c>
      <c r="Q379" s="16">
        <v>7.6607402769589559</v>
      </c>
      <c r="R379" s="16">
        <v>6.6218343327177278</v>
      </c>
      <c r="S379" s="16">
        <v>6.2444081088722374</v>
      </c>
      <c r="T379" s="16">
        <v>6.4058416402286973</v>
      </c>
      <c r="U379" s="16">
        <v>5.5043345780014148</v>
      </c>
      <c r="V379" s="16">
        <v>5.3278295174722397</v>
      </c>
      <c r="W379" s="16">
        <v>8.3904479843190938</v>
      </c>
      <c r="X379" s="16">
        <v>5.1218026481630394</v>
      </c>
      <c r="Y379" s="16">
        <v>4.0436237840846321</v>
      </c>
      <c r="Z379" s="16">
        <v>4.1449141715520073</v>
      </c>
      <c r="AA379" s="16">
        <v>4.4268618221547724</v>
      </c>
      <c r="AB379" s="67">
        <v>4.3396686292139739</v>
      </c>
      <c r="AC379" s="3"/>
    </row>
    <row r="380" spans="2:29" x14ac:dyDescent="0.3">
      <c r="B380" s="66" t="s">
        <v>174</v>
      </c>
      <c r="C380" s="16">
        <v>3.2574980055089524</v>
      </c>
      <c r="D380" s="16">
        <v>4.0500679287171897</v>
      </c>
      <c r="E380" s="16">
        <v>4.7194855879066102</v>
      </c>
      <c r="F380" s="16">
        <v>4.8346175627988472</v>
      </c>
      <c r="G380" s="16">
        <v>4.3003385356071844</v>
      </c>
      <c r="H380" s="16">
        <v>4.1030824261280499</v>
      </c>
      <c r="I380" s="16">
        <v>4.2507402231125502</v>
      </c>
      <c r="J380" s="16">
        <v>4.2887421617452324</v>
      </c>
      <c r="K380" s="16">
        <v>4.600859425688288</v>
      </c>
      <c r="L380" s="16">
        <v>9.0092056585305578</v>
      </c>
      <c r="M380" s="16">
        <v>9.0057677803225218</v>
      </c>
      <c r="N380" s="16">
        <v>7.6723357290590277</v>
      </c>
      <c r="O380" s="16">
        <v>7.2044237161162377</v>
      </c>
      <c r="P380" s="16">
        <v>6.6523599629133781</v>
      </c>
      <c r="Q380" s="16">
        <v>4.9849589600954616</v>
      </c>
      <c r="R380" s="16">
        <v>3.9243675449156927</v>
      </c>
      <c r="S380" s="16">
        <v>3.4326159748098597</v>
      </c>
      <c r="T380" s="16">
        <v>2.8793660089529745</v>
      </c>
      <c r="U380" s="16">
        <v>2.6213185409555599</v>
      </c>
      <c r="V380" s="16">
        <v>2.7535288627779648</v>
      </c>
      <c r="W380" s="16">
        <v>5.0249829519096778</v>
      </c>
      <c r="X380" s="16">
        <v>2.9741277581543679</v>
      </c>
      <c r="Y380" s="16">
        <v>2.3902110673930852</v>
      </c>
      <c r="Z380" s="16">
        <v>2.4876799030565526</v>
      </c>
      <c r="AA380" s="16">
        <v>2.5946516543488451</v>
      </c>
      <c r="AB380" s="67">
        <v>2.7096589267971898</v>
      </c>
      <c r="AC380" s="3"/>
    </row>
    <row r="381" spans="2:29" x14ac:dyDescent="0.3">
      <c r="B381" s="66" t="s">
        <v>389</v>
      </c>
      <c r="C381" s="16">
        <v>5.4676007907346129</v>
      </c>
      <c r="D381" s="16">
        <v>5.5263717532040779</v>
      </c>
      <c r="E381" s="16">
        <v>6.4325221061532218</v>
      </c>
      <c r="F381" s="16">
        <v>6.93649362626212</v>
      </c>
      <c r="G381" s="16">
        <v>7.9889695640034502</v>
      </c>
      <c r="H381" s="16">
        <v>7.5269607223815154</v>
      </c>
      <c r="I381" s="16">
        <v>7.1130451541377653</v>
      </c>
      <c r="J381" s="16">
        <v>6.0936818921917704</v>
      </c>
      <c r="K381" s="16">
        <v>6.6824113346748231</v>
      </c>
      <c r="L381" s="16">
        <v>12.015261223455409</v>
      </c>
      <c r="M381" s="16">
        <v>13.03283797252365</v>
      </c>
      <c r="N381" s="16">
        <v>11.015297283073149</v>
      </c>
      <c r="O381" s="16">
        <v>9.931814493725545</v>
      </c>
      <c r="P381" s="16">
        <v>9.5147046970135136</v>
      </c>
      <c r="Q381" s="16">
        <v>7.8739402907772371</v>
      </c>
      <c r="R381" s="16">
        <v>7.4424821429701939</v>
      </c>
      <c r="S381" s="16">
        <v>7.4332382095361078</v>
      </c>
      <c r="T381" s="16">
        <v>6.3488466729301454</v>
      </c>
      <c r="U381" s="16">
        <v>5.7303953668812548</v>
      </c>
      <c r="V381" s="16">
        <v>5.221212372638373</v>
      </c>
      <c r="W381" s="16">
        <v>9.2702560084570251</v>
      </c>
      <c r="X381" s="16">
        <v>6.0972689623254457</v>
      </c>
      <c r="Y381" s="16">
        <v>4.7842639837307699</v>
      </c>
      <c r="Z381" s="16">
        <v>5.0265649090086324</v>
      </c>
      <c r="AA381" s="16">
        <v>5.6772204719541</v>
      </c>
      <c r="AB381" s="67">
        <v>5.6661180972342136</v>
      </c>
      <c r="AC381" s="3"/>
    </row>
    <row r="382" spans="2:29" x14ac:dyDescent="0.3">
      <c r="B382" s="66" t="s">
        <v>521</v>
      </c>
      <c r="C382" s="16">
        <v>6.7992006990575646</v>
      </c>
      <c r="D382" s="16">
        <v>7.9095181190958019</v>
      </c>
      <c r="E382" s="16">
        <v>8.1141756457705174</v>
      </c>
      <c r="F382" s="16">
        <v>8.2643552357471997</v>
      </c>
      <c r="G382" s="16">
        <v>7.0198928515274401</v>
      </c>
      <c r="H382" s="16">
        <v>6.2602209831416475</v>
      </c>
      <c r="I382" s="16">
        <v>5.7008266692698877</v>
      </c>
      <c r="J382" s="16">
        <v>5.5219030436693579</v>
      </c>
      <c r="K382" s="16">
        <v>5.8232788415566317</v>
      </c>
      <c r="L382" s="16">
        <v>7.8968959303096096</v>
      </c>
      <c r="M382" s="16">
        <v>8.5737965348925442</v>
      </c>
      <c r="N382" s="16">
        <v>8.591485183409965</v>
      </c>
      <c r="O382" s="16">
        <v>8.6484381378594097</v>
      </c>
      <c r="P382" s="16">
        <v>7.3061904095166152</v>
      </c>
      <c r="Q382" s="16">
        <v>6.3242370593722352</v>
      </c>
      <c r="R382" s="16">
        <v>5.881727547410077</v>
      </c>
      <c r="S382" s="16">
        <v>6.3656663496616179</v>
      </c>
      <c r="T382" s="16">
        <v>5.3628574110089602</v>
      </c>
      <c r="U382" s="16">
        <v>5.2278620999910377</v>
      </c>
      <c r="V382" s="16">
        <v>5.5289800217573148</v>
      </c>
      <c r="W382" s="16">
        <v>8.4634136462183793</v>
      </c>
      <c r="X382" s="16">
        <v>5.3952862061222202</v>
      </c>
      <c r="Y382" s="16">
        <v>4.5203617716139677</v>
      </c>
      <c r="Z382" s="16">
        <v>4.4658061720440871</v>
      </c>
      <c r="AA382" s="16">
        <v>4.8475518249491447</v>
      </c>
      <c r="AB382" s="67">
        <v>4.6167164013382695</v>
      </c>
      <c r="AC382" s="3"/>
    </row>
    <row r="383" spans="2:29" x14ac:dyDescent="0.3">
      <c r="B383" s="66" t="s">
        <v>390</v>
      </c>
      <c r="C383" s="16">
        <v>5.7216862879101731</v>
      </c>
      <c r="D383" s="16">
        <v>5.45408367304797</v>
      </c>
      <c r="E383" s="16">
        <v>6.4842729546296427</v>
      </c>
      <c r="F383" s="16">
        <v>6.4402535969156549</v>
      </c>
      <c r="G383" s="16">
        <v>6.275172443859165</v>
      </c>
      <c r="H383" s="16">
        <v>5.8775773663041555</v>
      </c>
      <c r="I383" s="16">
        <v>5.4222936736362444</v>
      </c>
      <c r="J383" s="16">
        <v>5.0562946565254894</v>
      </c>
      <c r="K383" s="16">
        <v>5.459103263461472</v>
      </c>
      <c r="L383" s="16">
        <v>8.7785279788378254</v>
      </c>
      <c r="M383" s="16">
        <v>9.6708391799662117</v>
      </c>
      <c r="N383" s="16">
        <v>8.5083639984344259</v>
      </c>
      <c r="O383" s="16">
        <v>7.4857729330912948</v>
      </c>
      <c r="P383" s="16">
        <v>7.1662815439966847</v>
      </c>
      <c r="Q383" s="16">
        <v>6.4931138577687877</v>
      </c>
      <c r="R383" s="16">
        <v>6.5122183488450149</v>
      </c>
      <c r="S383" s="16">
        <v>7.1750874239177351</v>
      </c>
      <c r="T383" s="16">
        <v>5.7963108422675704</v>
      </c>
      <c r="U383" s="16">
        <v>5.2784486568154172</v>
      </c>
      <c r="V383" s="16">
        <v>5.5167443520682697</v>
      </c>
      <c r="W383" s="16">
        <v>9.6548099848021973</v>
      </c>
      <c r="X383" s="16">
        <v>6.0548441937790196</v>
      </c>
      <c r="Y383" s="16">
        <v>4.7515746405688972</v>
      </c>
      <c r="Z383" s="16">
        <v>4.4490076458349526</v>
      </c>
      <c r="AA383" s="16">
        <v>4.766663123092755</v>
      </c>
      <c r="AB383" s="67">
        <v>4.7582546237873737</v>
      </c>
      <c r="AC383" s="3"/>
    </row>
    <row r="384" spans="2:29" x14ac:dyDescent="0.3">
      <c r="B384" s="66" t="s">
        <v>175</v>
      </c>
      <c r="C384" s="16">
        <v>4.4855987351058921</v>
      </c>
      <c r="D384" s="16">
        <v>4.3085666026276126</v>
      </c>
      <c r="E384" s="16">
        <v>5.6762348239182501</v>
      </c>
      <c r="F384" s="16">
        <v>5.7996583974746478</v>
      </c>
      <c r="G384" s="16">
        <v>4.9874375248724174</v>
      </c>
      <c r="H384" s="16">
        <v>4.6044912404702369</v>
      </c>
      <c r="I384" s="16">
        <v>4.2960319271659202</v>
      </c>
      <c r="J384" s="16">
        <v>4.0981508850280868</v>
      </c>
      <c r="K384" s="16">
        <v>4.731682171348738</v>
      </c>
      <c r="L384" s="16">
        <v>7.3910711642171476</v>
      </c>
      <c r="M384" s="16">
        <v>7.746402216862303</v>
      </c>
      <c r="N384" s="16">
        <v>7.0602478978591501</v>
      </c>
      <c r="O384" s="16">
        <v>5.9808188870204422</v>
      </c>
      <c r="P384" s="16">
        <v>5.8389810591577227</v>
      </c>
      <c r="Q384" s="16">
        <v>4.8826680847458022</v>
      </c>
      <c r="R384" s="16">
        <v>4.3244986440912729</v>
      </c>
      <c r="S384" s="16">
        <v>4.2774479850640521</v>
      </c>
      <c r="T384" s="16">
        <v>3.5988163055393252</v>
      </c>
      <c r="U384" s="16">
        <v>3.3169667759451298</v>
      </c>
      <c r="V384" s="16">
        <v>3.0448264022149396</v>
      </c>
      <c r="W384" s="16">
        <v>6.3972939755744704</v>
      </c>
      <c r="X384" s="16">
        <v>5.0644551304633971</v>
      </c>
      <c r="Y384" s="16">
        <v>3.7538856019728701</v>
      </c>
      <c r="Z384" s="16">
        <v>3.7019663577697752</v>
      </c>
      <c r="AA384" s="16">
        <v>3.8220369807368071</v>
      </c>
      <c r="AB384" s="67">
        <v>3.770117444409951</v>
      </c>
      <c r="AC384" s="3"/>
    </row>
    <row r="385" spans="2:29" x14ac:dyDescent="0.3">
      <c r="B385" s="66" t="s">
        <v>176</v>
      </c>
      <c r="C385" s="16">
        <v>4.1532480398959031</v>
      </c>
      <c r="D385" s="16">
        <v>4.0916070887282672</v>
      </c>
      <c r="E385" s="16">
        <v>5.8833966615591651</v>
      </c>
      <c r="F385" s="16">
        <v>6.7292772970133976</v>
      </c>
      <c r="G385" s="16">
        <v>6.1193818839776997</v>
      </c>
      <c r="H385" s="16">
        <v>5.460652996508192</v>
      </c>
      <c r="I385" s="16">
        <v>4.6077345223260995</v>
      </c>
      <c r="J385" s="16">
        <v>4.2073112811708926</v>
      </c>
      <c r="K385" s="16">
        <v>4.4532261565679967</v>
      </c>
      <c r="L385" s="16">
        <v>8.4443395886142927</v>
      </c>
      <c r="M385" s="16">
        <v>8.4737077260922931</v>
      </c>
      <c r="N385" s="16">
        <v>7.56134051426399</v>
      </c>
      <c r="O385" s="16">
        <v>6.6438062200855548</v>
      </c>
      <c r="P385" s="16">
        <v>5.9909356418746151</v>
      </c>
      <c r="Q385" s="16">
        <v>5.226547556564225</v>
      </c>
      <c r="R385" s="16">
        <v>4.6460120846897297</v>
      </c>
      <c r="S385" s="16">
        <v>4.4509287143291392</v>
      </c>
      <c r="T385" s="16">
        <v>4.0447215499743479</v>
      </c>
      <c r="U385" s="16">
        <v>3.5545961050236925</v>
      </c>
      <c r="V385" s="16">
        <v>3.2951296589002923</v>
      </c>
      <c r="W385" s="16">
        <v>8.0976156999497846</v>
      </c>
      <c r="X385" s="16">
        <v>4.4202293405919555</v>
      </c>
      <c r="Y385" s="16">
        <v>3.0542724580754177</v>
      </c>
      <c r="Z385" s="16">
        <v>3.0860590372630501</v>
      </c>
      <c r="AA385" s="16">
        <v>3.8992264497579274</v>
      </c>
      <c r="AB385" s="67">
        <v>4.140456426584012</v>
      </c>
      <c r="AC385" s="3"/>
    </row>
    <row r="386" spans="2:29" x14ac:dyDescent="0.3">
      <c r="B386" s="66" t="s">
        <v>556</v>
      </c>
      <c r="C386" s="16">
        <v>4.3511966526321046</v>
      </c>
      <c r="D386" s="16">
        <v>5.6225165407203033</v>
      </c>
      <c r="E386" s="16">
        <v>5.9909892426934102</v>
      </c>
      <c r="F386" s="16">
        <v>5.379703755587645</v>
      </c>
      <c r="G386" s="16">
        <v>4.6488599040936753</v>
      </c>
      <c r="H386" s="16">
        <v>3.4542606636484674</v>
      </c>
      <c r="I386" s="16">
        <v>2.8645429058481549</v>
      </c>
      <c r="J386" s="16">
        <v>3.5444334152761598</v>
      </c>
      <c r="K386" s="16">
        <v>5.7873894607816121</v>
      </c>
      <c r="L386" s="16">
        <v>8.9727025309783226</v>
      </c>
      <c r="M386" s="16">
        <v>13.3167979391865</v>
      </c>
      <c r="N386" s="16">
        <v>12.398039048279475</v>
      </c>
      <c r="O386" s="16">
        <v>10.952419563827826</v>
      </c>
      <c r="P386" s="16">
        <v>9.6808877399249198</v>
      </c>
      <c r="Q386" s="16">
        <v>8.6832598307210898</v>
      </c>
      <c r="R386" s="16">
        <v>7.7676287811288347</v>
      </c>
      <c r="S386" s="16">
        <v>8.1760934688358482</v>
      </c>
      <c r="T386" s="16">
        <v>7.043701727456785</v>
      </c>
      <c r="U386" s="16">
        <v>5.9721456622996403</v>
      </c>
      <c r="V386" s="16">
        <v>5.4303657650201709</v>
      </c>
      <c r="W386" s="16">
        <v>9.440145268201185</v>
      </c>
      <c r="X386" s="16">
        <v>6.2862998133583075</v>
      </c>
      <c r="Y386" s="16">
        <v>4.9827097426249072</v>
      </c>
      <c r="Z386" s="16">
        <v>5.1748833140368848</v>
      </c>
      <c r="AA386" s="16">
        <v>5.911410985873788</v>
      </c>
      <c r="AB386" s="67">
        <v>6.4348285999259929</v>
      </c>
      <c r="AC386" s="3"/>
    </row>
    <row r="387" spans="2:29" x14ac:dyDescent="0.3">
      <c r="B387" s="66" t="s">
        <v>177</v>
      </c>
      <c r="C387" s="16">
        <v>4.3672310036126945</v>
      </c>
      <c r="D387" s="16">
        <v>5.4128459134001901</v>
      </c>
      <c r="E387" s="16">
        <v>6.1421155665031302</v>
      </c>
      <c r="F387" s="16">
        <v>6.040964201102403</v>
      </c>
      <c r="G387" s="16">
        <v>5.9778891744448348</v>
      </c>
      <c r="H387" s="16">
        <v>5.4489194759806852</v>
      </c>
      <c r="I387" s="16">
        <v>5.3644733043678077</v>
      </c>
      <c r="J387" s="16">
        <v>5.1465849386269698</v>
      </c>
      <c r="K387" s="16">
        <v>5.9726128082758825</v>
      </c>
      <c r="L387" s="16">
        <v>8.7817668497231978</v>
      </c>
      <c r="M387" s="16">
        <v>8.5770662406413614</v>
      </c>
      <c r="N387" s="16">
        <v>7.5195181415586703</v>
      </c>
      <c r="O387" s="16">
        <v>7.6171237342489082</v>
      </c>
      <c r="P387" s="16">
        <v>7.5040056669449076</v>
      </c>
      <c r="Q387" s="16">
        <v>6.2719851807202724</v>
      </c>
      <c r="R387" s="16">
        <v>6.1629449444363829</v>
      </c>
      <c r="S387" s="16">
        <v>6.8921648473653976</v>
      </c>
      <c r="T387" s="16">
        <v>5.9632522567065225</v>
      </c>
      <c r="U387" s="16">
        <v>5.173555051463107</v>
      </c>
      <c r="V387" s="16">
        <v>4.9689459316120201</v>
      </c>
      <c r="W387" s="16">
        <v>8.9961677004967839</v>
      </c>
      <c r="X387" s="16">
        <v>6.5709555883985225</v>
      </c>
      <c r="Y387" s="16">
        <v>4.7295607037897494</v>
      </c>
      <c r="Z387" s="16">
        <v>3.9750270122920996</v>
      </c>
      <c r="AA387" s="16">
        <v>3.947697716927272</v>
      </c>
      <c r="AB387" s="67">
        <v>4.2168960416750911</v>
      </c>
      <c r="AC387" s="3"/>
    </row>
    <row r="388" spans="2:29" x14ac:dyDescent="0.3">
      <c r="B388" s="66" t="s">
        <v>178</v>
      </c>
      <c r="C388" s="16">
        <v>3.9687803699269573</v>
      </c>
      <c r="D388" s="16">
        <v>5.1216675604267552</v>
      </c>
      <c r="E388" s="16">
        <v>6.5307871651727973</v>
      </c>
      <c r="F388" s="16">
        <v>5.856171394283658</v>
      </c>
      <c r="G388" s="16">
        <v>4.7145978460028326</v>
      </c>
      <c r="H388" s="16">
        <v>4.4140193379061321</v>
      </c>
      <c r="I388" s="16">
        <v>3.9493658226913446</v>
      </c>
      <c r="J388" s="16">
        <v>4.0535823541316596</v>
      </c>
      <c r="K388" s="16">
        <v>5.4360434082768299</v>
      </c>
      <c r="L388" s="16">
        <v>10.121940166923224</v>
      </c>
      <c r="M388" s="16">
        <v>10.63973650540775</v>
      </c>
      <c r="N388" s="16">
        <v>10.601330870059474</v>
      </c>
      <c r="O388" s="16">
        <v>9.8960239713341736</v>
      </c>
      <c r="P388" s="16">
        <v>8.1284206548181892</v>
      </c>
      <c r="Q388" s="16">
        <v>6.3810468913504703</v>
      </c>
      <c r="R388" s="16">
        <v>5.8898742309966146</v>
      </c>
      <c r="S388" s="16">
        <v>5.3082668157867516</v>
      </c>
      <c r="T388" s="16">
        <v>4.7049834991994475</v>
      </c>
      <c r="U388" s="16">
        <v>4.37411182567282</v>
      </c>
      <c r="V388" s="16">
        <v>4.0634372131950709</v>
      </c>
      <c r="W388" s="16">
        <v>7.6087783514848972</v>
      </c>
      <c r="X388" s="16">
        <v>4.8091952578261257</v>
      </c>
      <c r="Y388" s="16">
        <v>3.7495512542439675</v>
      </c>
      <c r="Z388" s="16">
        <v>3.5447070105431999</v>
      </c>
      <c r="AA388" s="16">
        <v>3.5242720242784449</v>
      </c>
      <c r="AB388" s="67">
        <v>3.6355396944885179</v>
      </c>
      <c r="AC388" s="3"/>
    </row>
    <row r="389" spans="2:29" x14ac:dyDescent="0.3">
      <c r="B389" s="66" t="s">
        <v>391</v>
      </c>
      <c r="C389" s="16">
        <v>2.2939185881598152</v>
      </c>
      <c r="D389" s="16">
        <v>3.0241782330008977</v>
      </c>
      <c r="E389" s="16">
        <v>3.7847857019932727</v>
      </c>
      <c r="F389" s="16">
        <v>3.8854439112858774</v>
      </c>
      <c r="G389" s="16">
        <v>3.3088904127304728</v>
      </c>
      <c r="H389" s="16">
        <v>3.0366220153404626</v>
      </c>
      <c r="I389" s="16">
        <v>2.9075281539503326</v>
      </c>
      <c r="J389" s="16">
        <v>3.1408396741748321</v>
      </c>
      <c r="K389" s="16">
        <v>4.4325262492101372</v>
      </c>
      <c r="L389" s="16">
        <v>7.8672896594350199</v>
      </c>
      <c r="M389" s="16">
        <v>7.5311982394983108</v>
      </c>
      <c r="N389" s="16">
        <v>6.7004679092214419</v>
      </c>
      <c r="O389" s="16">
        <v>6.0269408187950173</v>
      </c>
      <c r="P389" s="16">
        <v>5.4890652769376205</v>
      </c>
      <c r="Q389" s="16">
        <v>4.8660681623671653</v>
      </c>
      <c r="R389" s="16">
        <v>4.186610594746452</v>
      </c>
      <c r="S389" s="16">
        <v>3.8402421466655601</v>
      </c>
      <c r="T389" s="16">
        <v>3.4704468848621826</v>
      </c>
      <c r="U389" s="16">
        <v>3.0385274544806973</v>
      </c>
      <c r="V389" s="16">
        <v>2.7776364048575077</v>
      </c>
      <c r="W389" s="16">
        <v>5.4090575629064075</v>
      </c>
      <c r="X389" s="16">
        <v>3.2257131679489</v>
      </c>
      <c r="Y389" s="16">
        <v>2.52673022619132</v>
      </c>
      <c r="Z389" s="16">
        <v>2.6185251390764099</v>
      </c>
      <c r="AA389" s="16">
        <v>2.7331811763676925</v>
      </c>
      <c r="AB389" s="67">
        <v>2.9527958609069724</v>
      </c>
      <c r="AC389" s="3"/>
    </row>
    <row r="390" spans="2:29" s="14" customFormat="1" x14ac:dyDescent="0.3">
      <c r="B390" s="66" t="s">
        <v>392</v>
      </c>
      <c r="C390" s="16">
        <v>3.3501312974453299</v>
      </c>
      <c r="D390" s="16">
        <v>5.0756782476582547</v>
      </c>
      <c r="E390" s="16">
        <v>5.8744509028254184</v>
      </c>
      <c r="F390" s="16">
        <v>5.936625786380251</v>
      </c>
      <c r="G390" s="16">
        <v>5.3508590069873954</v>
      </c>
      <c r="H390" s="16">
        <v>4.9735438984223101</v>
      </c>
      <c r="I390" s="16">
        <v>4.6537453617268598</v>
      </c>
      <c r="J390" s="16">
        <v>4.722823310977958</v>
      </c>
      <c r="K390" s="16">
        <v>5.8255585336084925</v>
      </c>
      <c r="L390" s="16">
        <v>10.752046494917899</v>
      </c>
      <c r="M390" s="16">
        <v>10.884970106193625</v>
      </c>
      <c r="N390" s="16">
        <v>10.346550308761699</v>
      </c>
      <c r="O390" s="16">
        <v>9.4516648384185782</v>
      </c>
      <c r="P390" s="16">
        <v>7.5279425758490301</v>
      </c>
      <c r="Q390" s="16">
        <v>5.878713667272617</v>
      </c>
      <c r="R390" s="16">
        <v>5.3918825436033373</v>
      </c>
      <c r="S390" s="16">
        <v>4.8715857455460618</v>
      </c>
      <c r="T390" s="16">
        <v>4.3946768589201604</v>
      </c>
      <c r="U390" s="16">
        <v>3.8874904754093729</v>
      </c>
      <c r="V390" s="16">
        <v>3.7430244058797624</v>
      </c>
      <c r="W390" s="16">
        <v>7.3354873776302654</v>
      </c>
      <c r="X390" s="16">
        <v>4.9009251012813824</v>
      </c>
      <c r="Y390" s="16">
        <v>3.7168098038885873</v>
      </c>
      <c r="Z390" s="16">
        <v>3.527774785252455</v>
      </c>
      <c r="AA390" s="16">
        <v>3.6413016786985</v>
      </c>
      <c r="AB390" s="67">
        <v>3.6787347721502868</v>
      </c>
    </row>
    <row r="391" spans="2:29" x14ac:dyDescent="0.3">
      <c r="B391" s="66" t="s">
        <v>557</v>
      </c>
      <c r="C391" s="16">
        <v>2.8373095292607529</v>
      </c>
      <c r="D391" s="16">
        <v>3.9536562844486696</v>
      </c>
      <c r="E391" s="16">
        <v>5.5905635322891749</v>
      </c>
      <c r="F391" s="16">
        <v>6.1286236075287981</v>
      </c>
      <c r="G391" s="16">
        <v>5.4925405146226325</v>
      </c>
      <c r="H391" s="16">
        <v>5.1617195846662698</v>
      </c>
      <c r="I391" s="16">
        <v>5.0619963505813255</v>
      </c>
      <c r="J391" s="16">
        <v>4.9373273600325547</v>
      </c>
      <c r="K391" s="16">
        <v>5.7924535386411371</v>
      </c>
      <c r="L391" s="16">
        <v>8.9066609180964313</v>
      </c>
      <c r="M391" s="16">
        <v>8.6209960891572255</v>
      </c>
      <c r="N391" s="16">
        <v>7.6900830543838055</v>
      </c>
      <c r="O391" s="16">
        <v>7.2176840215966127</v>
      </c>
      <c r="P391" s="16">
        <v>7.1332755024498171</v>
      </c>
      <c r="Q391" s="16">
        <v>6.1157868903646957</v>
      </c>
      <c r="R391" s="16">
        <v>5.0735184765245327</v>
      </c>
      <c r="S391" s="16">
        <v>4.2454400058901927</v>
      </c>
      <c r="T391" s="16">
        <v>4.0024505144778075</v>
      </c>
      <c r="U391" s="16">
        <v>3.6485631197280273</v>
      </c>
      <c r="V391" s="16">
        <v>3.2709443921256174</v>
      </c>
      <c r="W391" s="16">
        <v>9.1625252599715914</v>
      </c>
      <c r="X391" s="16">
        <v>5.3772077882386604</v>
      </c>
      <c r="Y391" s="16">
        <v>3.7721350180855073</v>
      </c>
      <c r="Z391" s="16">
        <v>3.5977464863377078</v>
      </c>
      <c r="AA391" s="16">
        <v>4.1102243085957797</v>
      </c>
      <c r="AB391" s="67">
        <v>4.6436223285744953</v>
      </c>
    </row>
    <row r="392" spans="2:29" x14ac:dyDescent="0.3">
      <c r="B392" s="66" t="s">
        <v>179</v>
      </c>
      <c r="C392" s="16">
        <v>8.1541663655437073</v>
      </c>
      <c r="D392" s="16">
        <v>9.5126683229374276</v>
      </c>
      <c r="E392" s="16">
        <v>9.4240337009135651</v>
      </c>
      <c r="F392" s="16">
        <v>9.6851296075693654</v>
      </c>
      <c r="G392" s="16">
        <v>8.8317077949980796</v>
      </c>
      <c r="H392" s="16">
        <v>8.0370565285392921</v>
      </c>
      <c r="I392" s="16">
        <v>7.6529887260148604</v>
      </c>
      <c r="J392" s="16">
        <v>7.1256576142466521</v>
      </c>
      <c r="K392" s="16">
        <v>7.2977572205634544</v>
      </c>
      <c r="L392" s="16">
        <v>8.7882401294158896</v>
      </c>
      <c r="M392" s="16">
        <v>9.9267944856408388</v>
      </c>
      <c r="N392" s="16">
        <v>10.525758953840677</v>
      </c>
      <c r="O392" s="16">
        <v>10.930498619755712</v>
      </c>
      <c r="P392" s="16">
        <v>9.5945282384336235</v>
      </c>
      <c r="Q392" s="16">
        <v>8.4838870861364661</v>
      </c>
      <c r="R392" s="16">
        <v>8.1589939780761327</v>
      </c>
      <c r="S392" s="16">
        <v>7.6849891240617527</v>
      </c>
      <c r="T392" s="16">
        <v>6.9405161207027177</v>
      </c>
      <c r="U392" s="16">
        <v>6.6827530481376733</v>
      </c>
      <c r="V392" s="16">
        <v>7.3626579032949557</v>
      </c>
      <c r="W392" s="16">
        <v>9.4268141104419989</v>
      </c>
      <c r="X392" s="16">
        <v>6.648315358249353</v>
      </c>
      <c r="Y392" s="16">
        <v>5.6399488321855751</v>
      </c>
      <c r="Z392" s="16">
        <v>5.6149602281338398</v>
      </c>
      <c r="AA392" s="16">
        <v>6.1383267461757329</v>
      </c>
      <c r="AB392" s="67">
        <v>5.897925061869409</v>
      </c>
    </row>
    <row r="393" spans="2:29" x14ac:dyDescent="0.3">
      <c r="B393" s="66" t="s">
        <v>393</v>
      </c>
      <c r="C393" s="16">
        <v>3.3640910947260001</v>
      </c>
      <c r="D393" s="16">
        <v>4.3251098876963727</v>
      </c>
      <c r="E393" s="16">
        <v>4.7909573612496024</v>
      </c>
      <c r="F393" s="16">
        <v>4.909791821935217</v>
      </c>
      <c r="G393" s="16">
        <v>4.4312811443940827</v>
      </c>
      <c r="H393" s="16">
        <v>4.2342960075993075</v>
      </c>
      <c r="I393" s="16">
        <v>4.117251446335235</v>
      </c>
      <c r="J393" s="16">
        <v>3.9722969585591823</v>
      </c>
      <c r="K393" s="16">
        <v>4.7715200702705207</v>
      </c>
      <c r="L393" s="16">
        <v>8.0984331023938445</v>
      </c>
      <c r="M393" s="16">
        <v>8.0696368648852683</v>
      </c>
      <c r="N393" s="16">
        <v>7.2837353001996403</v>
      </c>
      <c r="O393" s="16">
        <v>7.1827125578674975</v>
      </c>
      <c r="P393" s="16">
        <v>6.4461882920970899</v>
      </c>
      <c r="Q393" s="16">
        <v>5.486426814738885</v>
      </c>
      <c r="R393" s="16">
        <v>4.847762003817695</v>
      </c>
      <c r="S393" s="16">
        <v>4.6322403027524448</v>
      </c>
      <c r="T393" s="16">
        <v>4.4605658371754204</v>
      </c>
      <c r="U393" s="16">
        <v>4.0080842183732299</v>
      </c>
      <c r="V393" s="16">
        <v>3.7944316846654953</v>
      </c>
      <c r="W393" s="16">
        <v>7.8679666356569777</v>
      </c>
      <c r="X393" s="16">
        <v>5.1367638457095346</v>
      </c>
      <c r="Y393" s="16">
        <v>3.6276734598792979</v>
      </c>
      <c r="Z393" s="16">
        <v>3.2317734753522127</v>
      </c>
      <c r="AA393" s="16">
        <v>3.400546942523845</v>
      </c>
      <c r="AB393" s="67">
        <v>3.6883609508109867</v>
      </c>
    </row>
    <row r="394" spans="2:29" x14ac:dyDescent="0.3">
      <c r="B394" s="66" t="s">
        <v>558</v>
      </c>
      <c r="C394" s="16">
        <v>5.4541782671848349</v>
      </c>
      <c r="D394" s="16">
        <v>6.2053330366682902</v>
      </c>
      <c r="E394" s="16">
        <v>7.282906406003268</v>
      </c>
      <c r="F394" s="16">
        <v>7.7646598328182002</v>
      </c>
      <c r="G394" s="16">
        <v>7.8023967353835175</v>
      </c>
      <c r="H394" s="16">
        <v>7.0430194719617605</v>
      </c>
      <c r="I394" s="16">
        <v>6.404613119430052</v>
      </c>
      <c r="J394" s="16">
        <v>6.2673624260550902</v>
      </c>
      <c r="K394" s="16">
        <v>7.4858018308889225</v>
      </c>
      <c r="L394" s="16">
        <v>13.352323910774224</v>
      </c>
      <c r="M394" s="16">
        <v>12.160100077490675</v>
      </c>
      <c r="N394" s="16">
        <v>10.148401906892701</v>
      </c>
      <c r="O394" s="16">
        <v>8.6705476577262708</v>
      </c>
      <c r="P394" s="16">
        <v>8.8491830665644908</v>
      </c>
      <c r="Q394" s="16">
        <v>6.9990227926669748</v>
      </c>
      <c r="R394" s="16">
        <v>6.3514860607365797</v>
      </c>
      <c r="S394" s="16">
        <v>6.3432784724930231</v>
      </c>
      <c r="T394" s="16">
        <v>6.731756119179825</v>
      </c>
      <c r="U394" s="16">
        <v>5.7835183286591558</v>
      </c>
      <c r="V394" s="16">
        <v>5.7323716802758105</v>
      </c>
      <c r="W394" s="16">
        <v>10.02123774184779</v>
      </c>
      <c r="X394" s="16">
        <v>6.3250625016292776</v>
      </c>
      <c r="Y394" s="16">
        <v>4.636386015989693</v>
      </c>
      <c r="Z394" s="16">
        <v>4.287616580680635</v>
      </c>
      <c r="AA394" s="16">
        <v>5.0338277740160651</v>
      </c>
      <c r="AB394" s="67">
        <v>5.66138246237887</v>
      </c>
    </row>
    <row r="395" spans="2:29" x14ac:dyDescent="0.3">
      <c r="B395" s="66" t="s">
        <v>180</v>
      </c>
      <c r="C395" s="16">
        <v>8.7293380445409348</v>
      </c>
      <c r="D395" s="16">
        <v>9.2633910805325677</v>
      </c>
      <c r="E395" s="16">
        <v>10.597534382102825</v>
      </c>
      <c r="F395" s="16">
        <v>11.09644506950055</v>
      </c>
      <c r="G395" s="16">
        <v>10.223024141816197</v>
      </c>
      <c r="H395" s="16">
        <v>9.3731734252478667</v>
      </c>
      <c r="I395" s="16">
        <v>8.8851356775397878</v>
      </c>
      <c r="J395" s="16">
        <v>9.4277066041952224</v>
      </c>
      <c r="K395" s="16">
        <v>12.197181671432698</v>
      </c>
      <c r="L395" s="16">
        <v>17.157888619969849</v>
      </c>
      <c r="M395" s="16">
        <v>18.279158307817326</v>
      </c>
      <c r="N395" s="16">
        <v>17.715783860492799</v>
      </c>
      <c r="O395" s="16">
        <v>16.315196276521725</v>
      </c>
      <c r="P395" s="16">
        <v>14.167888528889325</v>
      </c>
      <c r="Q395" s="16">
        <v>12.226255377893127</v>
      </c>
      <c r="R395" s="16">
        <v>10.172857444709182</v>
      </c>
      <c r="S395" s="16">
        <v>9.3002633849646745</v>
      </c>
      <c r="T395" s="16">
        <v>8.2395278945561898</v>
      </c>
      <c r="U395" s="16">
        <v>7.1708103294255201</v>
      </c>
      <c r="V395" s="16">
        <v>6.8996994087886723</v>
      </c>
      <c r="W395" s="16">
        <v>10.962854414422495</v>
      </c>
      <c r="X395" s="16">
        <v>8.7603556893565102</v>
      </c>
      <c r="Y395" s="16">
        <v>6.2708221790239147</v>
      </c>
      <c r="Z395" s="16">
        <v>7.2515083289889875</v>
      </c>
      <c r="AA395" s="16">
        <v>7.8139095025850951</v>
      </c>
      <c r="AB395" s="67">
        <v>7.7943512723124959</v>
      </c>
    </row>
    <row r="396" spans="2:29" x14ac:dyDescent="0.3">
      <c r="B396" s="66" t="s">
        <v>181</v>
      </c>
      <c r="C396" s="16">
        <v>16.532724235922675</v>
      </c>
      <c r="D396" s="16">
        <v>16.654782936425999</v>
      </c>
      <c r="E396" s="16">
        <v>17.125065340168575</v>
      </c>
      <c r="F396" s="16">
        <v>17.021615525852177</v>
      </c>
      <c r="G396" s="16">
        <v>15.623404669408025</v>
      </c>
      <c r="H396" s="16">
        <v>15.780409020401201</v>
      </c>
      <c r="I396" s="16">
        <v>15.141236682135625</v>
      </c>
      <c r="J396" s="16">
        <v>13.577559655526525</v>
      </c>
      <c r="K396" s="16">
        <v>17.331263827579924</v>
      </c>
      <c r="L396" s="16">
        <v>22.565873997806023</v>
      </c>
      <c r="M396" s="16">
        <v>25.127249757287775</v>
      </c>
      <c r="N396" s="16">
        <v>24.161069902766574</v>
      </c>
      <c r="O396" s="16">
        <v>23.988670829578151</v>
      </c>
      <c r="P396" s="16">
        <v>25.712941450600802</v>
      </c>
      <c r="Q396" s="16">
        <v>22.917661572207251</v>
      </c>
      <c r="R396" s="16">
        <v>21.806206384348727</v>
      </c>
      <c r="S396" s="16">
        <v>19.130058277976051</v>
      </c>
      <c r="T396" s="16">
        <v>17.2849762240423</v>
      </c>
      <c r="U396" s="16">
        <v>16.932303123612797</v>
      </c>
      <c r="V396" s="16">
        <v>16.762133863379326</v>
      </c>
      <c r="W396" s="16">
        <v>17.090797084748452</v>
      </c>
      <c r="X396" s="16">
        <v>12.910978665102325</v>
      </c>
      <c r="Y396" s="16">
        <v>12.133186073387749</v>
      </c>
      <c r="Z396" s="16">
        <v>12.227893040929599</v>
      </c>
      <c r="AA396" s="16">
        <v>12.185803239699725</v>
      </c>
      <c r="AB396" s="67">
        <v>13.438828852484066</v>
      </c>
    </row>
    <row r="397" spans="2:29" x14ac:dyDescent="0.3">
      <c r="B397" s="66" t="s">
        <v>236</v>
      </c>
      <c r="C397" s="16">
        <v>3.966666666666665</v>
      </c>
      <c r="D397" s="16">
        <v>4.7416666666666654</v>
      </c>
      <c r="E397" s="16">
        <v>5.7833333333333332</v>
      </c>
      <c r="F397" s="16">
        <v>5.9916666666666654</v>
      </c>
      <c r="G397" s="16">
        <v>5.5416666666666652</v>
      </c>
      <c r="H397" s="16">
        <v>5.0833333333333348</v>
      </c>
      <c r="I397" s="16">
        <v>4.6083333333333298</v>
      </c>
      <c r="J397" s="16">
        <v>4.6166666666666671</v>
      </c>
      <c r="K397" s="16">
        <v>5.8</v>
      </c>
      <c r="L397" s="16">
        <v>9.2833333333333314</v>
      </c>
      <c r="M397" s="16">
        <v>9.6083333333333325</v>
      </c>
      <c r="N397" s="16">
        <v>8.9333333333333336</v>
      </c>
      <c r="O397" s="16">
        <v>8.0749999999999993</v>
      </c>
      <c r="P397" s="16">
        <v>7.3583333333333298</v>
      </c>
      <c r="Q397" s="16">
        <v>6.158333333333335</v>
      </c>
      <c r="R397" s="16">
        <v>5.2749999999999968</v>
      </c>
      <c r="S397" s="16">
        <v>4.875</v>
      </c>
      <c r="T397" s="16">
        <v>4.3583333333333352</v>
      </c>
      <c r="U397" s="16">
        <v>3.8916666666666653</v>
      </c>
      <c r="V397" s="16">
        <v>3.6749999999999998</v>
      </c>
      <c r="W397" s="16">
        <v>8.1</v>
      </c>
      <c r="X397" s="16">
        <v>5.35</v>
      </c>
      <c r="Y397" s="16">
        <v>3.65</v>
      </c>
      <c r="Z397" s="16">
        <v>3.6249999999999973</v>
      </c>
      <c r="AA397" s="16">
        <v>4.0249999999999995</v>
      </c>
      <c r="AB397" s="67">
        <v>4.1999999999999993</v>
      </c>
    </row>
    <row r="398" spans="2:29" x14ac:dyDescent="0.3">
      <c r="B398" t="s">
        <v>416</v>
      </c>
    </row>
  </sheetData>
  <mergeCells count="2">
    <mergeCell ref="B2:AA2"/>
    <mergeCell ref="B1:AA1"/>
  </mergeCells>
  <phoneticPr fontId="6" type="noConversion"/>
  <pageMargins left="0.7" right="0.7" top="0.75" bottom="0.75" header="0.3" footer="0.3"/>
  <pageSetup scale="33" orientation="landscape" r:id="rId1"/>
  <rowBreaks count="3" manualBreakCount="3">
    <brk id="99" min="1" max="25" man="1"/>
    <brk id="199" min="1" max="25" man="1"/>
    <brk id="299" min="1" max="25"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C58"/>
  <sheetViews>
    <sheetView showGridLines="0" topLeftCell="JJ1" zoomScale="76" zoomScaleNormal="76" zoomScaleSheetLayoutView="54" workbookViewId="0">
      <pane ySplit="3" topLeftCell="A4" activePane="bottomLeft" state="frozen"/>
      <selection pane="bottomLeft" activeCell="JS14" sqref="JS14"/>
    </sheetView>
  </sheetViews>
  <sheetFormatPr defaultRowHeight="14.4" x14ac:dyDescent="0.3"/>
  <cols>
    <col min="1" max="1" width="2.44140625" customWidth="1"/>
    <col min="2" max="2" width="17.6640625" bestFit="1" customWidth="1"/>
    <col min="3" max="19" width="10.88671875" bestFit="1" customWidth="1"/>
    <col min="20" max="27" width="10.88671875" customWidth="1"/>
    <col min="28" max="28" width="1.109375" customWidth="1"/>
    <col min="29" max="29" width="19" customWidth="1"/>
    <col min="30" max="53" width="12.6640625" customWidth="1"/>
    <col min="54" max="54" width="19" customWidth="1"/>
    <col min="55" max="74" width="12.6640625" customWidth="1"/>
    <col min="75" max="75" width="19" customWidth="1"/>
    <col min="76" max="95" width="12.6640625" customWidth="1"/>
    <col min="96" max="96" width="17.6640625" customWidth="1"/>
    <col min="97" max="99" width="12.6640625" customWidth="1"/>
    <col min="100" max="100" width="1.5546875" customWidth="1"/>
    <col min="101" max="101" width="18.44140625" bestFit="1" customWidth="1"/>
    <col min="102" max="125" width="12.6640625" customWidth="1"/>
    <col min="126" max="126" width="18.44140625" bestFit="1" customWidth="1"/>
    <col min="127" max="150" width="12.6640625" customWidth="1"/>
    <col min="151" max="151" width="18.44140625" bestFit="1" customWidth="1"/>
    <col min="152" max="175" width="12.6640625" customWidth="1"/>
    <col min="176" max="176" width="18.44140625" bestFit="1" customWidth="1"/>
    <col min="177" max="200" width="12.6640625" customWidth="1"/>
    <col min="201" max="201" width="18.44140625" bestFit="1" customWidth="1"/>
    <col min="202" max="225" width="12.6640625" customWidth="1"/>
    <col min="226" max="226" width="18.44140625" bestFit="1" customWidth="1"/>
    <col min="227" max="250" width="12.6640625" customWidth="1"/>
    <col min="251" max="251" width="18.44140625" bestFit="1" customWidth="1"/>
    <col min="252" max="275" width="12.6640625" customWidth="1"/>
    <col min="276" max="276" width="18.44140625" bestFit="1" customWidth="1"/>
    <col min="277" max="287" width="12.6640625" style="21" customWidth="1"/>
    <col min="288" max="288" width="6.88671875" customWidth="1"/>
    <col min="289" max="289" width="21.88671875" bestFit="1" customWidth="1"/>
  </cols>
  <sheetData>
    <row r="1" spans="1:289" ht="18" x14ac:dyDescent="0.35">
      <c r="A1" s="73" t="s">
        <v>458</v>
      </c>
      <c r="B1" s="95" t="s">
        <v>410</v>
      </c>
      <c r="C1" s="96"/>
      <c r="D1" s="96"/>
      <c r="E1" s="96"/>
      <c r="F1" s="96"/>
      <c r="G1" s="96"/>
      <c r="H1" s="96"/>
      <c r="I1" s="96"/>
      <c r="J1" s="96"/>
      <c r="K1" s="96"/>
      <c r="L1" s="96"/>
      <c r="M1" s="96"/>
      <c r="N1" s="96"/>
      <c r="O1" s="96"/>
      <c r="P1" s="96"/>
      <c r="Q1" s="96"/>
      <c r="R1" s="96"/>
      <c r="S1" s="96"/>
      <c r="T1" s="96"/>
      <c r="U1" s="96"/>
      <c r="V1" s="96"/>
      <c r="W1" s="96"/>
      <c r="X1" s="96"/>
      <c r="Y1" s="96"/>
      <c r="Z1" s="96"/>
      <c r="AA1" s="96"/>
      <c r="AB1" s="40"/>
      <c r="AC1" s="95" t="s">
        <v>410</v>
      </c>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97" t="s">
        <v>410</v>
      </c>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40"/>
      <c r="CW1" s="97" t="s">
        <v>410</v>
      </c>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97" t="s">
        <v>410</v>
      </c>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97" t="s">
        <v>410</v>
      </c>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97" t="s">
        <v>410</v>
      </c>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97" t="s">
        <v>410</v>
      </c>
      <c r="GT1" s="97"/>
      <c r="GU1" s="97"/>
      <c r="GV1" s="97"/>
      <c r="GW1" s="97"/>
      <c r="GX1" s="97"/>
      <c r="GY1" s="97"/>
      <c r="GZ1" s="97"/>
      <c r="HA1" s="97"/>
      <c r="HB1" s="97"/>
      <c r="HC1" s="97"/>
      <c r="HD1" s="97"/>
      <c r="HE1" s="97"/>
      <c r="HF1" s="97"/>
      <c r="HG1" s="97"/>
      <c r="HH1" s="97"/>
      <c r="HI1" s="97"/>
      <c r="HJ1" s="97"/>
      <c r="HK1" s="97"/>
      <c r="HL1" s="97"/>
      <c r="HM1" s="97"/>
      <c r="HN1" s="97"/>
      <c r="HO1" s="97"/>
      <c r="HP1" s="97"/>
      <c r="HQ1" s="97"/>
      <c r="HR1" s="97" t="s">
        <v>410</v>
      </c>
      <c r="HS1" s="97"/>
      <c r="HT1" s="97"/>
      <c r="HU1" s="97"/>
      <c r="HV1" s="97"/>
      <c r="HW1" s="97"/>
      <c r="HX1" s="97"/>
      <c r="HY1" s="97"/>
      <c r="HZ1" s="97"/>
      <c r="IA1" s="97"/>
      <c r="IB1" s="97"/>
      <c r="IC1" s="97"/>
      <c r="ID1" s="97"/>
      <c r="IE1" s="97"/>
      <c r="IF1" s="97"/>
      <c r="IG1" s="97"/>
      <c r="IH1" s="97"/>
      <c r="II1" s="97"/>
      <c r="IJ1" s="97"/>
      <c r="IK1" s="97"/>
      <c r="IL1" s="97"/>
      <c r="IM1" s="97"/>
      <c r="IN1" s="97"/>
      <c r="IO1" s="97"/>
      <c r="IP1" s="97"/>
      <c r="IQ1" s="97" t="s">
        <v>410</v>
      </c>
      <c r="IR1" s="97"/>
      <c r="IS1" s="97"/>
      <c r="IT1" s="97"/>
      <c r="IU1" s="97"/>
      <c r="IV1" s="97"/>
      <c r="IW1" s="97"/>
      <c r="IX1" s="97"/>
      <c r="IY1" s="97"/>
      <c r="IZ1" s="97"/>
      <c r="JA1" s="97"/>
      <c r="JB1" s="97"/>
      <c r="JC1" s="97"/>
      <c r="JD1" s="97"/>
      <c r="JE1" s="97"/>
      <c r="JF1" s="97"/>
      <c r="JG1" s="97"/>
      <c r="JH1" s="97"/>
      <c r="JI1" s="97"/>
      <c r="JJ1" s="97"/>
      <c r="JK1" s="97"/>
      <c r="JL1" s="97"/>
      <c r="JM1" s="97"/>
      <c r="JN1" s="97"/>
      <c r="JO1" s="97"/>
      <c r="JP1" s="121" t="s">
        <v>410</v>
      </c>
      <c r="JQ1" s="122"/>
      <c r="JR1" s="122"/>
      <c r="JS1" s="122"/>
      <c r="JT1" s="122"/>
      <c r="JU1" s="122"/>
      <c r="JV1" s="122"/>
      <c r="JW1" s="122"/>
      <c r="JX1" s="122"/>
      <c r="JY1" s="122"/>
      <c r="JZ1" s="122"/>
      <c r="KA1" s="122"/>
    </row>
    <row r="2" spans="1:289" s="71" customFormat="1" ht="18" x14ac:dyDescent="0.35">
      <c r="B2" s="91" t="s">
        <v>467</v>
      </c>
      <c r="C2" s="102"/>
      <c r="D2" s="102"/>
      <c r="E2" s="102"/>
      <c r="F2" s="102"/>
      <c r="G2" s="102"/>
      <c r="H2" s="102"/>
      <c r="I2" s="102"/>
      <c r="J2" s="102"/>
      <c r="K2" s="102"/>
      <c r="L2" s="102"/>
      <c r="M2" s="102"/>
      <c r="N2" s="102"/>
      <c r="O2" s="102"/>
      <c r="P2" s="102"/>
      <c r="Q2" s="102"/>
      <c r="R2" s="102"/>
      <c r="S2" s="102"/>
      <c r="T2" s="102"/>
      <c r="U2" s="102"/>
      <c r="V2" s="102"/>
      <c r="W2" s="102"/>
      <c r="X2" s="102"/>
      <c r="Y2" s="102"/>
      <c r="Z2" s="102"/>
      <c r="AA2" s="103"/>
      <c r="AB2" s="104"/>
      <c r="AC2" s="105" t="s">
        <v>468</v>
      </c>
      <c r="AD2" s="99"/>
      <c r="AE2" s="99"/>
      <c r="AF2" s="99"/>
      <c r="AG2" s="99"/>
      <c r="AH2" s="99"/>
      <c r="AI2" s="99"/>
      <c r="AJ2" s="99"/>
      <c r="AK2" s="99"/>
      <c r="AL2" s="99"/>
      <c r="AM2" s="99"/>
      <c r="AN2" s="99"/>
      <c r="AO2" s="99"/>
      <c r="AP2" s="99"/>
      <c r="AQ2" s="99"/>
      <c r="AR2" s="99"/>
      <c r="AS2" s="99"/>
      <c r="AT2" s="99"/>
      <c r="AU2" s="99"/>
      <c r="AV2" s="99"/>
      <c r="AW2" s="99"/>
      <c r="AX2" s="99"/>
      <c r="AY2" s="99"/>
      <c r="AZ2" s="99"/>
      <c r="BA2" s="100"/>
      <c r="BB2" s="106" t="s">
        <v>468</v>
      </c>
      <c r="BC2" s="99"/>
      <c r="BD2" s="99"/>
      <c r="BE2" s="99"/>
      <c r="BF2" s="99"/>
      <c r="BG2" s="99"/>
      <c r="BH2" s="99"/>
      <c r="BI2" s="99"/>
      <c r="BJ2" s="99"/>
      <c r="BK2" s="99"/>
      <c r="BL2" s="99"/>
      <c r="BM2" s="99"/>
      <c r="BN2" s="99"/>
      <c r="BO2" s="99"/>
      <c r="BP2" s="99"/>
      <c r="BQ2" s="99"/>
      <c r="BR2" s="99"/>
      <c r="BS2" s="99"/>
      <c r="BT2" s="99"/>
      <c r="BU2" s="99"/>
      <c r="BV2" s="99"/>
      <c r="BW2" s="107" t="s">
        <v>468</v>
      </c>
      <c r="BX2" s="99"/>
      <c r="BY2" s="99"/>
      <c r="BZ2" s="99"/>
      <c r="CA2" s="99"/>
      <c r="CB2" s="99"/>
      <c r="CC2" s="99"/>
      <c r="CD2" s="99"/>
      <c r="CE2" s="99"/>
      <c r="CF2" s="99"/>
      <c r="CG2" s="99"/>
      <c r="CH2" s="99"/>
      <c r="CI2" s="99"/>
      <c r="CJ2" s="99"/>
      <c r="CK2" s="99"/>
      <c r="CL2" s="99"/>
      <c r="CM2" s="99"/>
      <c r="CN2" s="99"/>
      <c r="CO2" s="99"/>
      <c r="CP2" s="99"/>
      <c r="CQ2" s="99"/>
      <c r="CR2" s="99"/>
      <c r="CS2" s="99"/>
      <c r="CT2" s="99"/>
      <c r="CU2" s="100"/>
      <c r="CV2" s="111"/>
      <c r="CW2" s="98" t="s">
        <v>469</v>
      </c>
      <c r="CX2" s="99"/>
      <c r="CY2" s="99"/>
      <c r="CZ2" s="99"/>
      <c r="DA2" s="99"/>
      <c r="DB2" s="99"/>
      <c r="DC2" s="99"/>
      <c r="DD2" s="99"/>
      <c r="DE2" s="99"/>
      <c r="DF2" s="99"/>
      <c r="DG2" s="99"/>
      <c r="DH2" s="99"/>
      <c r="DI2" s="99"/>
      <c r="DJ2" s="99"/>
      <c r="DK2" s="99"/>
      <c r="DL2" s="99"/>
      <c r="DM2" s="99"/>
      <c r="DN2" s="99"/>
      <c r="DO2" s="99"/>
      <c r="DP2" s="99"/>
      <c r="DQ2" s="99"/>
      <c r="DR2" s="99"/>
      <c r="DS2" s="99"/>
      <c r="DT2" s="99"/>
      <c r="DU2" s="100"/>
      <c r="DV2" s="98" t="s">
        <v>469</v>
      </c>
      <c r="DW2" s="99"/>
      <c r="DX2" s="99"/>
      <c r="DY2" s="99"/>
      <c r="DZ2" s="99"/>
      <c r="EA2" s="99"/>
      <c r="EB2" s="99"/>
      <c r="EC2" s="99"/>
      <c r="ED2" s="99"/>
      <c r="EE2" s="99"/>
      <c r="EF2" s="99"/>
      <c r="EG2" s="99"/>
      <c r="EH2" s="99"/>
      <c r="EI2" s="99"/>
      <c r="EJ2" s="99"/>
      <c r="EK2" s="99"/>
      <c r="EL2" s="99"/>
      <c r="EM2" s="99"/>
      <c r="EN2" s="99"/>
      <c r="EO2" s="99"/>
      <c r="EP2" s="99"/>
      <c r="EQ2" s="99"/>
      <c r="ER2" s="99"/>
      <c r="ES2" s="99"/>
      <c r="ET2" s="100"/>
      <c r="EU2" s="98" t="s">
        <v>469</v>
      </c>
      <c r="EV2" s="99"/>
      <c r="EW2" s="99"/>
      <c r="EX2" s="99"/>
      <c r="EY2" s="99"/>
      <c r="EZ2" s="99"/>
      <c r="FA2" s="99"/>
      <c r="FB2" s="99"/>
      <c r="FC2" s="99"/>
      <c r="FD2" s="99"/>
      <c r="FE2" s="99"/>
      <c r="FF2" s="99"/>
      <c r="FG2" s="99"/>
      <c r="FH2" s="99"/>
      <c r="FI2" s="99"/>
      <c r="FJ2" s="99"/>
      <c r="FK2" s="99"/>
      <c r="FL2" s="99"/>
      <c r="FM2" s="99"/>
      <c r="FN2" s="99"/>
      <c r="FO2" s="99"/>
      <c r="FP2" s="99"/>
      <c r="FQ2" s="99"/>
      <c r="FR2" s="99"/>
      <c r="FS2" s="100"/>
      <c r="FT2" s="98" t="s">
        <v>469</v>
      </c>
      <c r="FU2" s="99"/>
      <c r="FV2" s="99"/>
      <c r="FW2" s="99"/>
      <c r="FX2" s="99"/>
      <c r="FY2" s="99"/>
      <c r="FZ2" s="99"/>
      <c r="GA2" s="99"/>
      <c r="GB2" s="99"/>
      <c r="GC2" s="99"/>
      <c r="GD2" s="99"/>
      <c r="GE2" s="99"/>
      <c r="GF2" s="99"/>
      <c r="GG2" s="99"/>
      <c r="GH2" s="99"/>
      <c r="GI2" s="99"/>
      <c r="GJ2" s="99"/>
      <c r="GK2" s="99"/>
      <c r="GL2" s="99"/>
      <c r="GM2" s="99"/>
      <c r="GN2" s="99"/>
      <c r="GO2" s="99"/>
      <c r="GP2" s="99"/>
      <c r="GQ2" s="99"/>
      <c r="GR2" s="100"/>
      <c r="GS2" s="108" t="s">
        <v>469</v>
      </c>
      <c r="GT2" s="109"/>
      <c r="GU2" s="109"/>
      <c r="GV2" s="109"/>
      <c r="GW2" s="109"/>
      <c r="GX2" s="109"/>
      <c r="GY2" s="109"/>
      <c r="GZ2" s="109"/>
      <c r="HA2" s="109"/>
      <c r="HB2" s="109"/>
      <c r="HC2" s="109"/>
      <c r="HD2" s="109"/>
      <c r="HE2" s="109"/>
      <c r="HF2" s="109"/>
      <c r="HG2" s="109"/>
      <c r="HH2" s="109"/>
      <c r="HI2" s="109"/>
      <c r="HJ2" s="109"/>
      <c r="HK2" s="109"/>
      <c r="HL2" s="109"/>
      <c r="HM2" s="109"/>
      <c r="HN2" s="109"/>
      <c r="HO2" s="109"/>
      <c r="HP2" s="109"/>
      <c r="HQ2" s="110"/>
      <c r="HR2" s="108" t="s">
        <v>469</v>
      </c>
      <c r="HS2" s="109"/>
      <c r="HT2" s="109"/>
      <c r="HU2" s="109"/>
      <c r="HV2" s="109"/>
      <c r="HW2" s="109"/>
      <c r="HX2" s="109"/>
      <c r="HY2" s="109"/>
      <c r="HZ2" s="109"/>
      <c r="IA2" s="109"/>
      <c r="IB2" s="109"/>
      <c r="IC2" s="109"/>
      <c r="ID2" s="109"/>
      <c r="IE2" s="109"/>
      <c r="IF2" s="109"/>
      <c r="IG2" s="109"/>
      <c r="IH2" s="109"/>
      <c r="II2" s="109"/>
      <c r="IJ2" s="109"/>
      <c r="IK2" s="109"/>
      <c r="IL2" s="109"/>
      <c r="IM2" s="109"/>
      <c r="IN2" s="109"/>
      <c r="IO2" s="109"/>
      <c r="IP2" s="110"/>
      <c r="IQ2" s="108" t="s">
        <v>469</v>
      </c>
      <c r="IR2" s="109"/>
      <c r="IS2" s="109"/>
      <c r="IT2" s="109"/>
      <c r="IU2" s="109"/>
      <c r="IV2" s="109"/>
      <c r="IW2" s="109"/>
      <c r="IX2" s="109"/>
      <c r="IY2" s="109"/>
      <c r="IZ2" s="109"/>
      <c r="JA2" s="109"/>
      <c r="JB2" s="109"/>
      <c r="JC2" s="109"/>
      <c r="JD2" s="109"/>
      <c r="JE2" s="109"/>
      <c r="JF2" s="109"/>
      <c r="JG2" s="109"/>
      <c r="JH2" s="109"/>
      <c r="JI2" s="109"/>
      <c r="JJ2" s="109"/>
      <c r="JK2" s="109"/>
      <c r="JL2" s="109"/>
      <c r="JM2" s="109"/>
      <c r="JN2" s="109"/>
      <c r="JO2" s="110"/>
      <c r="JP2" s="118" t="s">
        <v>469</v>
      </c>
      <c r="JQ2" s="119"/>
      <c r="JR2" s="119"/>
      <c r="JS2" s="119"/>
      <c r="JT2" s="119"/>
      <c r="JU2" s="119"/>
      <c r="JV2" s="119"/>
      <c r="JW2" s="119"/>
      <c r="JX2" s="119"/>
      <c r="JY2" s="119"/>
      <c r="JZ2" s="119"/>
      <c r="KA2" s="120"/>
      <c r="KC2" s="72" t="s">
        <v>444</v>
      </c>
    </row>
    <row r="3" spans="1:289" s="87" customFormat="1" ht="18" x14ac:dyDescent="0.35">
      <c r="A3" s="90"/>
      <c r="B3" s="37" t="s">
        <v>244</v>
      </c>
      <c r="C3" s="31" t="s">
        <v>245</v>
      </c>
      <c r="D3" s="20" t="s">
        <v>246</v>
      </c>
      <c r="E3" s="20" t="s">
        <v>247</v>
      </c>
      <c r="F3" s="20" t="s">
        <v>248</v>
      </c>
      <c r="G3" s="20" t="s">
        <v>249</v>
      </c>
      <c r="H3" s="20" t="s">
        <v>250</v>
      </c>
      <c r="I3" s="20" t="s">
        <v>251</v>
      </c>
      <c r="J3" s="20" t="s">
        <v>252</v>
      </c>
      <c r="K3" s="20" t="s">
        <v>253</v>
      </c>
      <c r="L3" s="20" t="s">
        <v>254</v>
      </c>
      <c r="M3" s="20" t="s">
        <v>255</v>
      </c>
      <c r="N3" s="20" t="s">
        <v>261</v>
      </c>
      <c r="O3" s="30" t="s">
        <v>268</v>
      </c>
      <c r="P3" s="30" t="s">
        <v>273</v>
      </c>
      <c r="Q3" s="30" t="s">
        <v>278</v>
      </c>
      <c r="R3" s="30" t="s">
        <v>397</v>
      </c>
      <c r="S3" s="30" t="s">
        <v>403</v>
      </c>
      <c r="T3" s="30" t="s">
        <v>407</v>
      </c>
      <c r="U3" s="30" t="s">
        <v>413</v>
      </c>
      <c r="V3" s="30" t="s">
        <v>430</v>
      </c>
      <c r="W3" s="30" t="s">
        <v>435</v>
      </c>
      <c r="X3" s="30" t="s">
        <v>440</v>
      </c>
      <c r="Y3" s="30" t="s">
        <v>448</v>
      </c>
      <c r="Z3" s="30" t="s">
        <v>459</v>
      </c>
      <c r="AA3" s="30" t="s">
        <v>472</v>
      </c>
      <c r="AB3" s="96"/>
      <c r="AC3" s="24" t="s">
        <v>244</v>
      </c>
      <c r="AD3" s="23" t="s">
        <v>237</v>
      </c>
      <c r="AE3" s="24" t="s">
        <v>238</v>
      </c>
      <c r="AF3" s="24" t="s">
        <v>239</v>
      </c>
      <c r="AG3" s="24" t="s">
        <v>240</v>
      </c>
      <c r="AH3" s="24" t="s">
        <v>241</v>
      </c>
      <c r="AI3" s="24" t="s">
        <v>242</v>
      </c>
      <c r="AJ3" s="24" t="s">
        <v>243</v>
      </c>
      <c r="AK3" s="24" t="s">
        <v>183</v>
      </c>
      <c r="AL3" s="24" t="s">
        <v>257</v>
      </c>
      <c r="AM3" s="24" t="s">
        <v>258</v>
      </c>
      <c r="AN3" s="24" t="s">
        <v>259</v>
      </c>
      <c r="AO3" s="24" t="s">
        <v>260</v>
      </c>
      <c r="AP3" s="25" t="s">
        <v>262</v>
      </c>
      <c r="AQ3" s="25" t="s">
        <v>266</v>
      </c>
      <c r="AR3" s="25" t="s">
        <v>267</v>
      </c>
      <c r="AS3" s="25" t="s">
        <v>269</v>
      </c>
      <c r="AT3" s="25" t="s">
        <v>270</v>
      </c>
      <c r="AU3" s="25" t="s">
        <v>271</v>
      </c>
      <c r="AV3" s="24" t="s">
        <v>272</v>
      </c>
      <c r="AW3" s="24" t="s">
        <v>274</v>
      </c>
      <c r="AX3" s="24" t="s">
        <v>275</v>
      </c>
      <c r="AY3" s="24" t="s">
        <v>276</v>
      </c>
      <c r="AZ3" s="24" t="s">
        <v>277</v>
      </c>
      <c r="BA3" s="24" t="s">
        <v>279</v>
      </c>
      <c r="BB3" s="24" t="s">
        <v>244</v>
      </c>
      <c r="BC3" s="25" t="s">
        <v>394</v>
      </c>
      <c r="BD3" s="25" t="s">
        <v>395</v>
      </c>
      <c r="BE3" s="25" t="s">
        <v>396</v>
      </c>
      <c r="BF3" s="25" t="s">
        <v>398</v>
      </c>
      <c r="BG3" s="25" t="s">
        <v>399</v>
      </c>
      <c r="BH3" s="25" t="s">
        <v>400</v>
      </c>
      <c r="BI3" s="25" t="s">
        <v>401</v>
      </c>
      <c r="BJ3" s="25" t="s">
        <v>404</v>
      </c>
      <c r="BK3" s="25" t="s">
        <v>405</v>
      </c>
      <c r="BL3" s="25" t="s">
        <v>406</v>
      </c>
      <c r="BM3" s="25" t="s">
        <v>408</v>
      </c>
      <c r="BN3" s="25" t="s">
        <v>409</v>
      </c>
      <c r="BO3" s="25" t="s">
        <v>411</v>
      </c>
      <c r="BP3" s="25" t="s">
        <v>412</v>
      </c>
      <c r="BQ3" s="25" t="s">
        <v>414</v>
      </c>
      <c r="BR3" s="25" t="s">
        <v>415</v>
      </c>
      <c r="BS3" s="25" t="s">
        <v>421</v>
      </c>
      <c r="BT3" s="25" t="s">
        <v>422</v>
      </c>
      <c r="BU3" s="25" t="s">
        <v>423</v>
      </c>
      <c r="BV3" s="25" t="s">
        <v>431</v>
      </c>
      <c r="BW3" s="68" t="s">
        <v>439</v>
      </c>
      <c r="BX3" s="25" t="s">
        <v>432</v>
      </c>
      <c r="BY3" s="25" t="s">
        <v>433</v>
      </c>
      <c r="BZ3" s="25" t="s">
        <v>434</v>
      </c>
      <c r="CA3" s="25" t="s">
        <v>436</v>
      </c>
      <c r="CB3" s="25" t="s">
        <v>437</v>
      </c>
      <c r="CC3" s="25" t="s">
        <v>438</v>
      </c>
      <c r="CD3" s="25" t="s">
        <v>441</v>
      </c>
      <c r="CE3" s="25" t="s">
        <v>442</v>
      </c>
      <c r="CF3" s="25" t="s">
        <v>443</v>
      </c>
      <c r="CG3" s="25" t="s">
        <v>446</v>
      </c>
      <c r="CH3" s="25" t="s">
        <v>449</v>
      </c>
      <c r="CI3" s="25" t="s">
        <v>447</v>
      </c>
      <c r="CJ3" s="25" t="s">
        <v>450</v>
      </c>
      <c r="CK3" s="25" t="s">
        <v>451</v>
      </c>
      <c r="CL3" s="25" t="s">
        <v>452</v>
      </c>
      <c r="CM3" s="25" t="s">
        <v>460</v>
      </c>
      <c r="CN3" s="25" t="s">
        <v>461</v>
      </c>
      <c r="CO3" s="25" t="s">
        <v>471</v>
      </c>
      <c r="CP3" s="25" t="s">
        <v>473</v>
      </c>
      <c r="CQ3" s="25" t="s">
        <v>474</v>
      </c>
      <c r="CR3" s="25" t="s">
        <v>418</v>
      </c>
      <c r="CS3" s="25" t="s">
        <v>522</v>
      </c>
      <c r="CT3" s="25" t="s">
        <v>523</v>
      </c>
      <c r="CU3" s="25" t="s">
        <v>562</v>
      </c>
      <c r="CV3" s="111"/>
      <c r="CW3" s="22" t="s">
        <v>244</v>
      </c>
      <c r="CX3" s="43">
        <v>40574</v>
      </c>
      <c r="CY3" s="43">
        <v>40602</v>
      </c>
      <c r="CZ3" s="43">
        <v>40633</v>
      </c>
      <c r="DA3" s="43">
        <v>40663</v>
      </c>
      <c r="DB3" s="43">
        <v>40694</v>
      </c>
      <c r="DC3" s="43">
        <v>40724</v>
      </c>
      <c r="DD3" s="43">
        <v>40755</v>
      </c>
      <c r="DE3" s="43">
        <v>40786</v>
      </c>
      <c r="DF3" s="44">
        <v>40816</v>
      </c>
      <c r="DG3" s="44">
        <v>40847</v>
      </c>
      <c r="DH3" s="44">
        <v>40877</v>
      </c>
      <c r="DI3" s="44">
        <v>40908</v>
      </c>
      <c r="DJ3" s="44">
        <v>40939</v>
      </c>
      <c r="DK3" s="44">
        <v>40968</v>
      </c>
      <c r="DL3" s="44">
        <v>40999</v>
      </c>
      <c r="DM3" s="44">
        <v>41029</v>
      </c>
      <c r="DN3" s="44">
        <v>41060</v>
      </c>
      <c r="DO3" s="44">
        <v>41090</v>
      </c>
      <c r="DP3" s="44">
        <v>41121</v>
      </c>
      <c r="DQ3" s="44">
        <v>41152</v>
      </c>
      <c r="DR3" s="44">
        <v>41182</v>
      </c>
      <c r="DS3" s="44">
        <v>41213</v>
      </c>
      <c r="DT3" s="44">
        <v>41243</v>
      </c>
      <c r="DU3" s="46">
        <v>41274</v>
      </c>
      <c r="DV3" s="43" t="s">
        <v>244</v>
      </c>
      <c r="DW3" s="43">
        <v>41305</v>
      </c>
      <c r="DX3" s="44">
        <v>41333</v>
      </c>
      <c r="DY3" s="44">
        <v>41364</v>
      </c>
      <c r="DZ3" s="44">
        <v>41394</v>
      </c>
      <c r="EA3" s="44">
        <v>41425</v>
      </c>
      <c r="EB3" s="44">
        <v>41455</v>
      </c>
      <c r="EC3" s="44">
        <v>41486</v>
      </c>
      <c r="ED3" s="44">
        <v>41517</v>
      </c>
      <c r="EE3" s="44">
        <v>41547</v>
      </c>
      <c r="EF3" s="44">
        <v>41578</v>
      </c>
      <c r="EG3" s="44">
        <v>41608</v>
      </c>
      <c r="EH3" s="44">
        <v>41639</v>
      </c>
      <c r="EI3" s="44">
        <v>41670</v>
      </c>
      <c r="EJ3" s="44">
        <v>41698</v>
      </c>
      <c r="EK3" s="44">
        <v>41729</v>
      </c>
      <c r="EL3" s="44">
        <v>41759</v>
      </c>
      <c r="EM3" s="44">
        <v>41790</v>
      </c>
      <c r="EN3" s="44">
        <v>41820</v>
      </c>
      <c r="EO3" s="44">
        <v>41851</v>
      </c>
      <c r="EP3" s="44">
        <v>41882</v>
      </c>
      <c r="EQ3" s="44">
        <v>41912</v>
      </c>
      <c r="ER3" s="44">
        <v>41943</v>
      </c>
      <c r="ES3" s="44">
        <v>41973</v>
      </c>
      <c r="ET3" s="46">
        <v>42004</v>
      </c>
      <c r="EU3" s="43" t="s">
        <v>418</v>
      </c>
      <c r="EV3" s="43">
        <v>42035</v>
      </c>
      <c r="EW3" s="44">
        <v>42063</v>
      </c>
      <c r="EX3" s="44">
        <v>42094</v>
      </c>
      <c r="EY3" s="44">
        <v>42124</v>
      </c>
      <c r="EZ3" s="44">
        <v>42155</v>
      </c>
      <c r="FA3" s="44">
        <v>42185</v>
      </c>
      <c r="FB3" s="44">
        <v>42216</v>
      </c>
      <c r="FC3" s="44">
        <v>42247</v>
      </c>
      <c r="FD3" s="44">
        <v>42277</v>
      </c>
      <c r="FE3" s="44">
        <v>42308</v>
      </c>
      <c r="FF3" s="44">
        <v>42338</v>
      </c>
      <c r="FG3" s="44">
        <v>42369</v>
      </c>
      <c r="FH3" s="44">
        <v>42400</v>
      </c>
      <c r="FI3" s="44">
        <v>42429</v>
      </c>
      <c r="FJ3" s="44">
        <v>42460</v>
      </c>
      <c r="FK3" s="44">
        <v>42490</v>
      </c>
      <c r="FL3" s="44">
        <v>42521</v>
      </c>
      <c r="FM3" s="44">
        <v>42551</v>
      </c>
      <c r="FN3" s="44">
        <v>42582</v>
      </c>
      <c r="FO3" s="44">
        <v>42613</v>
      </c>
      <c r="FP3" s="44">
        <v>42643</v>
      </c>
      <c r="FQ3" s="44">
        <v>42674</v>
      </c>
      <c r="FR3" s="44">
        <v>42704</v>
      </c>
      <c r="FS3" s="46">
        <v>42735</v>
      </c>
      <c r="FT3" s="45" t="s">
        <v>244</v>
      </c>
      <c r="FU3" s="43">
        <v>42766</v>
      </c>
      <c r="FV3" s="44">
        <v>42794</v>
      </c>
      <c r="FW3" s="44">
        <v>42825</v>
      </c>
      <c r="FX3" s="44">
        <v>42855</v>
      </c>
      <c r="FY3" s="44">
        <v>42886</v>
      </c>
      <c r="FZ3" s="44">
        <v>42916</v>
      </c>
      <c r="GA3" s="44">
        <v>42947</v>
      </c>
      <c r="GB3" s="44">
        <v>42978</v>
      </c>
      <c r="GC3" s="44">
        <v>43008</v>
      </c>
      <c r="GD3" s="44">
        <v>43039</v>
      </c>
      <c r="GE3" s="44">
        <v>43069</v>
      </c>
      <c r="GF3" s="44">
        <v>43100</v>
      </c>
      <c r="GG3" s="44">
        <v>43131</v>
      </c>
      <c r="GH3" s="44">
        <v>43159</v>
      </c>
      <c r="GI3" s="44">
        <v>43190</v>
      </c>
      <c r="GJ3" s="44">
        <v>43220</v>
      </c>
      <c r="GK3" s="44">
        <v>43251</v>
      </c>
      <c r="GL3" s="44">
        <v>43281</v>
      </c>
      <c r="GM3" s="44">
        <v>43312</v>
      </c>
      <c r="GN3" s="44">
        <v>43343</v>
      </c>
      <c r="GO3" s="44">
        <v>43373</v>
      </c>
      <c r="GP3" s="44">
        <v>43404</v>
      </c>
      <c r="GQ3" s="44">
        <v>43434</v>
      </c>
      <c r="GR3" s="44">
        <v>43465</v>
      </c>
      <c r="GS3" s="45" t="s">
        <v>244</v>
      </c>
      <c r="GT3" s="44">
        <v>43496</v>
      </c>
      <c r="GU3" s="44">
        <v>43524</v>
      </c>
      <c r="GV3" s="44">
        <v>43555</v>
      </c>
      <c r="GW3" s="44">
        <v>43585</v>
      </c>
      <c r="GX3" s="44">
        <v>43616</v>
      </c>
      <c r="GY3" s="44">
        <v>43646</v>
      </c>
      <c r="GZ3" s="44">
        <v>43677</v>
      </c>
      <c r="HA3" s="44">
        <v>43708</v>
      </c>
      <c r="HB3" s="44">
        <v>43738</v>
      </c>
      <c r="HC3" s="44">
        <v>43769</v>
      </c>
      <c r="HD3" s="44">
        <v>43799</v>
      </c>
      <c r="HE3" s="44">
        <v>43830</v>
      </c>
      <c r="HF3" s="44">
        <v>43861</v>
      </c>
      <c r="HG3" s="44">
        <v>43890</v>
      </c>
      <c r="HH3" s="44">
        <v>43921</v>
      </c>
      <c r="HI3" s="44">
        <v>43951</v>
      </c>
      <c r="HJ3" s="44">
        <v>43982</v>
      </c>
      <c r="HK3" s="44">
        <v>44012</v>
      </c>
      <c r="HL3" s="44">
        <v>44043</v>
      </c>
      <c r="HM3" s="44">
        <v>44074</v>
      </c>
      <c r="HN3" s="44">
        <v>44104</v>
      </c>
      <c r="HO3" s="44">
        <v>44135</v>
      </c>
      <c r="HP3" s="44">
        <v>44165</v>
      </c>
      <c r="HQ3" s="46">
        <v>44196</v>
      </c>
      <c r="HR3" s="45" t="s">
        <v>244</v>
      </c>
      <c r="HS3" s="44">
        <v>44227</v>
      </c>
      <c r="HT3" s="44">
        <v>44255</v>
      </c>
      <c r="HU3" s="44">
        <v>44286</v>
      </c>
      <c r="HV3" s="44">
        <v>44316</v>
      </c>
      <c r="HW3" s="44">
        <v>44347</v>
      </c>
      <c r="HX3" s="44">
        <v>44377</v>
      </c>
      <c r="HY3" s="44">
        <v>44408</v>
      </c>
      <c r="HZ3" s="44">
        <v>44439</v>
      </c>
      <c r="IA3" s="44">
        <v>44469</v>
      </c>
      <c r="IB3" s="44">
        <v>44500</v>
      </c>
      <c r="IC3" s="44">
        <v>44530</v>
      </c>
      <c r="ID3" s="44">
        <v>44561</v>
      </c>
      <c r="IE3" s="44">
        <v>44592</v>
      </c>
      <c r="IF3" s="44">
        <v>44620</v>
      </c>
      <c r="IG3" s="44">
        <v>44651</v>
      </c>
      <c r="IH3" s="44">
        <v>44681</v>
      </c>
      <c r="II3" s="44">
        <v>44712</v>
      </c>
      <c r="IJ3" s="44">
        <v>44742</v>
      </c>
      <c r="IK3" s="44">
        <v>44773</v>
      </c>
      <c r="IL3" s="44">
        <v>44804</v>
      </c>
      <c r="IM3" s="44">
        <v>44834</v>
      </c>
      <c r="IN3" s="44">
        <v>44865</v>
      </c>
      <c r="IO3" s="44">
        <v>44895</v>
      </c>
      <c r="IP3" s="46">
        <v>44926</v>
      </c>
      <c r="IQ3" s="45" t="s">
        <v>244</v>
      </c>
      <c r="IR3" s="44">
        <v>44957</v>
      </c>
      <c r="IS3" s="44">
        <v>44985</v>
      </c>
      <c r="IT3" s="44">
        <v>45016</v>
      </c>
      <c r="IU3" s="44">
        <v>45046</v>
      </c>
      <c r="IV3" s="44">
        <v>45077</v>
      </c>
      <c r="IW3" s="44">
        <v>45107</v>
      </c>
      <c r="IX3" s="44">
        <v>45138</v>
      </c>
      <c r="IY3" s="44">
        <v>45169</v>
      </c>
      <c r="IZ3" s="44">
        <v>45199</v>
      </c>
      <c r="JA3" s="44">
        <v>45230</v>
      </c>
      <c r="JB3" s="44">
        <v>45260</v>
      </c>
      <c r="JC3" s="44">
        <v>45291</v>
      </c>
      <c r="JD3" s="44">
        <v>45322</v>
      </c>
      <c r="JE3" s="44">
        <v>45351</v>
      </c>
      <c r="JF3" s="44">
        <v>45382</v>
      </c>
      <c r="JG3" s="44">
        <v>45412</v>
      </c>
      <c r="JH3" s="44">
        <v>45443</v>
      </c>
      <c r="JI3" s="44">
        <v>45473</v>
      </c>
      <c r="JJ3" s="44">
        <v>45504</v>
      </c>
      <c r="JK3" s="44">
        <v>45535</v>
      </c>
      <c r="JL3" s="44">
        <v>45565</v>
      </c>
      <c r="JM3" s="44">
        <v>45596</v>
      </c>
      <c r="JN3" s="44">
        <v>45626</v>
      </c>
      <c r="JO3" s="46">
        <v>45657</v>
      </c>
      <c r="JP3" s="43" t="s">
        <v>244</v>
      </c>
      <c r="JQ3" s="43">
        <v>45688</v>
      </c>
      <c r="JR3" s="43">
        <v>45716</v>
      </c>
      <c r="JS3" s="43">
        <v>45747</v>
      </c>
      <c r="JT3" s="43">
        <v>45777</v>
      </c>
      <c r="JU3" s="43">
        <v>45808</v>
      </c>
      <c r="JV3" s="43">
        <v>45838</v>
      </c>
      <c r="JW3" s="43">
        <v>45869</v>
      </c>
      <c r="JX3" s="43">
        <v>45900</v>
      </c>
      <c r="JY3" s="43">
        <v>45930</v>
      </c>
      <c r="JZ3" s="43">
        <v>45961</v>
      </c>
      <c r="KA3" s="76">
        <v>45991</v>
      </c>
      <c r="KC3" s="117" t="s">
        <v>445</v>
      </c>
    </row>
    <row r="4" spans="1:289" ht="18" x14ac:dyDescent="0.35">
      <c r="B4" s="38" t="s">
        <v>184</v>
      </c>
      <c r="C4" s="17">
        <v>4.6416666666666648</v>
      </c>
      <c r="D4" s="17">
        <v>5.15</v>
      </c>
      <c r="E4" s="17">
        <v>5.8916666666666675</v>
      </c>
      <c r="F4" s="17">
        <v>5.95</v>
      </c>
      <c r="G4" s="17">
        <v>5.5750000000000002</v>
      </c>
      <c r="H4" s="17">
        <v>4.4583333333333321</v>
      </c>
      <c r="I4" s="17">
        <v>4.0083333333333329</v>
      </c>
      <c r="J4" s="17">
        <v>4.0666666666666673</v>
      </c>
      <c r="K4" s="17">
        <v>5.9166666666666652</v>
      </c>
      <c r="L4" s="17">
        <v>9.7333333333333485</v>
      </c>
      <c r="M4" s="17">
        <v>10.375</v>
      </c>
      <c r="N4" s="17">
        <v>9.5583333333333318</v>
      </c>
      <c r="O4" s="19">
        <v>8.1750000000000007</v>
      </c>
      <c r="P4" s="19">
        <v>7.3583333333333325</v>
      </c>
      <c r="Q4" s="19">
        <v>6.7666666666666648</v>
      </c>
      <c r="R4" s="19">
        <v>6.0833333333333321</v>
      </c>
      <c r="S4" s="19">
        <v>5.8</v>
      </c>
      <c r="T4" s="19">
        <v>4.5083333333333329</v>
      </c>
      <c r="U4" s="19">
        <v>3.9249999999999998</v>
      </c>
      <c r="V4" s="19">
        <v>3.1916666666666673</v>
      </c>
      <c r="W4" s="19">
        <v>6.4083333333333243</v>
      </c>
      <c r="X4" s="19">
        <v>3.3500000000000023</v>
      </c>
      <c r="Y4" s="19">
        <v>2.4916666666666676</v>
      </c>
      <c r="Z4" s="19">
        <v>2.4666666666666677</v>
      </c>
      <c r="AA4" s="19">
        <v>3.0583333333333327</v>
      </c>
      <c r="AB4" s="96"/>
      <c r="AC4" s="34" t="str">
        <f>Table11[[#This Row],[State]]</f>
        <v>Alabama</v>
      </c>
      <c r="AD4" s="26">
        <v>8.4</v>
      </c>
      <c r="AE4" s="26">
        <v>9.4</v>
      </c>
      <c r="AF4" s="26">
        <v>10.266666666666699</v>
      </c>
      <c r="AG4" s="26">
        <v>10.866666666666699</v>
      </c>
      <c r="AH4" s="26">
        <v>10.966666666666701</v>
      </c>
      <c r="AI4" s="26">
        <v>10.3333333333333</v>
      </c>
      <c r="AJ4" s="26">
        <v>10.1</v>
      </c>
      <c r="AK4" s="26">
        <v>10.1</v>
      </c>
      <c r="AL4" s="26">
        <v>10</v>
      </c>
      <c r="AM4" s="26">
        <v>9.8333333333333304</v>
      </c>
      <c r="AN4" s="26">
        <v>9.5</v>
      </c>
      <c r="AO4" s="26">
        <v>8.9</v>
      </c>
      <c r="AP4" s="26">
        <v>8.5</v>
      </c>
      <c r="AQ4" s="26">
        <v>8.3666666666666707</v>
      </c>
      <c r="AR4" s="26">
        <v>8.0666666666666593</v>
      </c>
      <c r="AS4" s="26">
        <v>7.7666666666666702</v>
      </c>
      <c r="AT4" s="26">
        <v>7.6</v>
      </c>
      <c r="AU4" s="26">
        <v>7.3333333333333304</v>
      </c>
      <c r="AV4" s="26">
        <v>7.3</v>
      </c>
      <c r="AW4" s="26">
        <v>7.2</v>
      </c>
      <c r="AX4" s="26">
        <v>7.1333333333333302</v>
      </c>
      <c r="AY4" s="26">
        <v>6.93333333333333</v>
      </c>
      <c r="AZ4" s="26">
        <v>6.7</v>
      </c>
      <c r="BA4" s="26">
        <v>6.3</v>
      </c>
      <c r="BB4" s="34" t="str">
        <f>AC4</f>
        <v>Alabama</v>
      </c>
      <c r="BC4" s="26">
        <v>6.1333333333333302</v>
      </c>
      <c r="BD4" s="26">
        <v>6.1</v>
      </c>
      <c r="BE4" s="26">
        <v>6.1</v>
      </c>
      <c r="BF4" s="26">
        <v>6</v>
      </c>
      <c r="BG4" s="26">
        <v>5.9</v>
      </c>
      <c r="BH4" s="26">
        <v>5.8</v>
      </c>
      <c r="BI4" s="26">
        <v>5.8</v>
      </c>
      <c r="BJ4" s="26">
        <v>5.7</v>
      </c>
      <c r="BK4" s="26">
        <v>5.2</v>
      </c>
      <c r="BL4" s="26">
        <v>4.6333333333333302</v>
      </c>
      <c r="BM4" s="26">
        <v>4.2</v>
      </c>
      <c r="BN4" s="26">
        <v>4</v>
      </c>
      <c r="BO4" s="26">
        <v>4</v>
      </c>
      <c r="BP4" s="26">
        <v>4</v>
      </c>
      <c r="BQ4" s="26">
        <v>3.9</v>
      </c>
      <c r="BR4" s="26">
        <v>3.8</v>
      </c>
      <c r="BS4" s="26">
        <v>3.56666666666667</v>
      </c>
      <c r="BT4" s="26">
        <v>3.1666666666666701</v>
      </c>
      <c r="BU4" s="26">
        <v>3</v>
      </c>
      <c r="BV4" s="26">
        <v>3.0333333333333301</v>
      </c>
      <c r="BW4" s="34" t="str">
        <f>Table13[[#This Row],[State]]</f>
        <v>Alabama</v>
      </c>
      <c r="BX4" s="26">
        <v>3.3</v>
      </c>
      <c r="BY4" s="26">
        <v>10.9333333333333</v>
      </c>
      <c r="BZ4" s="26">
        <v>6.56666666666667</v>
      </c>
      <c r="CA4" s="26">
        <v>4.8333333333333304</v>
      </c>
      <c r="CB4" s="26">
        <v>3.9</v>
      </c>
      <c r="CC4" s="26">
        <v>3.56666666666667</v>
      </c>
      <c r="CD4" s="26">
        <v>3.1666666666666701</v>
      </c>
      <c r="CE4" s="26">
        <v>2.7666666666666702</v>
      </c>
      <c r="CF4" s="26">
        <v>2.56666666666667</v>
      </c>
      <c r="CG4" s="26">
        <v>2.5</v>
      </c>
      <c r="CH4" s="26">
        <v>2.5</v>
      </c>
      <c r="CI4" s="26">
        <v>2.4</v>
      </c>
      <c r="CJ4" s="26">
        <v>2.2999999999999998</v>
      </c>
      <c r="CK4" s="26">
        <v>2.2999999999999998</v>
      </c>
      <c r="CL4" s="26">
        <v>2.5</v>
      </c>
      <c r="CM4" s="26">
        <v>2.7666666666666702</v>
      </c>
      <c r="CN4" s="26">
        <v>2.9</v>
      </c>
      <c r="CO4" s="26">
        <v>2.9</v>
      </c>
      <c r="CP4" s="26">
        <v>3.1333333333333302</v>
      </c>
      <c r="CQ4" s="26">
        <v>3.3</v>
      </c>
      <c r="CR4" s="78" t="str">
        <f>Table13[[#This Row],[ State]]</f>
        <v>Alabama</v>
      </c>
      <c r="CS4" s="26">
        <v>3.3</v>
      </c>
      <c r="CT4" s="26">
        <v>3.2666666666666702</v>
      </c>
      <c r="CU4" s="26">
        <v>2.9</v>
      </c>
      <c r="CV4" s="111"/>
      <c r="CW4" s="41" t="s">
        <v>184</v>
      </c>
      <c r="CX4" s="47">
        <v>10.1</v>
      </c>
      <c r="CY4" s="48">
        <v>10</v>
      </c>
      <c r="CZ4" s="48">
        <v>9.9</v>
      </c>
      <c r="DA4" s="48">
        <v>9.9</v>
      </c>
      <c r="DB4" s="48">
        <v>9.8000000000000007</v>
      </c>
      <c r="DC4" s="48">
        <v>9.8000000000000007</v>
      </c>
      <c r="DD4" s="48">
        <v>9.6999999999999993</v>
      </c>
      <c r="DE4" s="48">
        <v>9.5</v>
      </c>
      <c r="DF4" s="48">
        <v>9.3000000000000007</v>
      </c>
      <c r="DG4" s="48">
        <v>9.1</v>
      </c>
      <c r="DH4" s="48">
        <v>8.9</v>
      </c>
      <c r="DI4" s="48">
        <v>8.6999999999999993</v>
      </c>
      <c r="DJ4" s="48">
        <v>8.6</v>
      </c>
      <c r="DK4" s="48">
        <v>8.5</v>
      </c>
      <c r="DL4" s="48">
        <v>8.4</v>
      </c>
      <c r="DM4" s="48">
        <v>8.4</v>
      </c>
      <c r="DN4" s="48">
        <v>8.4</v>
      </c>
      <c r="DO4" s="48">
        <v>8.3000000000000007</v>
      </c>
      <c r="DP4" s="48">
        <v>8.1999999999999993</v>
      </c>
      <c r="DQ4" s="48">
        <v>8.1</v>
      </c>
      <c r="DR4" s="48">
        <v>7.9</v>
      </c>
      <c r="DS4" s="48">
        <v>7.8</v>
      </c>
      <c r="DT4" s="48">
        <v>7.8</v>
      </c>
      <c r="DU4" s="62">
        <v>7.7</v>
      </c>
      <c r="DV4" s="49" t="s">
        <v>184</v>
      </c>
      <c r="DW4" s="48">
        <v>7.7</v>
      </c>
      <c r="DX4" s="48">
        <v>7.6</v>
      </c>
      <c r="DY4" s="48">
        <v>7.5</v>
      </c>
      <c r="DZ4" s="48">
        <v>7.4</v>
      </c>
      <c r="EA4" s="48">
        <v>7.3</v>
      </c>
      <c r="EB4" s="48">
        <v>7.3</v>
      </c>
      <c r="EC4" s="48">
        <v>7.3</v>
      </c>
      <c r="ED4" s="48">
        <v>7.3</v>
      </c>
      <c r="EE4" s="48">
        <v>7.3</v>
      </c>
      <c r="EF4" s="48">
        <v>7.2</v>
      </c>
      <c r="EG4" s="50">
        <v>7.2</v>
      </c>
      <c r="EH4" s="50">
        <v>7.2</v>
      </c>
      <c r="EI4" s="50">
        <v>7.2</v>
      </c>
      <c r="EJ4" s="50">
        <v>7.1</v>
      </c>
      <c r="EK4" s="48">
        <v>7.1</v>
      </c>
      <c r="EL4" s="50">
        <v>7</v>
      </c>
      <c r="EM4" s="50">
        <v>6.9</v>
      </c>
      <c r="EN4" s="50">
        <v>6.9</v>
      </c>
      <c r="EO4" s="50">
        <v>6.8</v>
      </c>
      <c r="EP4" s="50">
        <v>6.7</v>
      </c>
      <c r="EQ4" s="50">
        <v>6.6</v>
      </c>
      <c r="ER4" s="48">
        <v>6.4</v>
      </c>
      <c r="ES4" s="50">
        <v>6.3</v>
      </c>
      <c r="ET4" s="51">
        <v>6.2</v>
      </c>
      <c r="EU4" s="49" t="s">
        <v>184</v>
      </c>
      <c r="EV4" s="48">
        <v>6.2</v>
      </c>
      <c r="EW4" s="50">
        <v>6.1</v>
      </c>
      <c r="EX4" s="50">
        <v>6.1</v>
      </c>
      <c r="EY4" s="50">
        <v>6.1</v>
      </c>
      <c r="EZ4" s="50">
        <v>6.1</v>
      </c>
      <c r="FA4" s="50">
        <v>6.1</v>
      </c>
      <c r="FB4" s="50">
        <v>6.1</v>
      </c>
      <c r="FC4" s="50">
        <v>6.1</v>
      </c>
      <c r="FD4" s="50">
        <v>6.1</v>
      </c>
      <c r="FE4" s="50">
        <v>6</v>
      </c>
      <c r="FF4" s="50">
        <v>6</v>
      </c>
      <c r="FG4" s="50">
        <v>6</v>
      </c>
      <c r="FH4" s="50">
        <v>5.9</v>
      </c>
      <c r="FI4" s="50">
        <v>5.9</v>
      </c>
      <c r="FJ4" s="50">
        <v>5.9</v>
      </c>
      <c r="FK4" s="50">
        <v>5.8</v>
      </c>
      <c r="FL4" s="50">
        <v>5.8</v>
      </c>
      <c r="FM4" s="50">
        <v>5.8</v>
      </c>
      <c r="FN4" s="50">
        <v>5.8</v>
      </c>
      <c r="FO4" s="50">
        <v>5.8</v>
      </c>
      <c r="FP4" s="50">
        <v>5.8</v>
      </c>
      <c r="FQ4" s="50">
        <v>5.8</v>
      </c>
      <c r="FR4" s="50">
        <v>5.7</v>
      </c>
      <c r="FS4" s="51">
        <v>5.6</v>
      </c>
      <c r="FT4" s="49" t="s">
        <v>184</v>
      </c>
      <c r="FU4" s="48">
        <v>5.4</v>
      </c>
      <c r="FV4" s="50">
        <v>5.2</v>
      </c>
      <c r="FW4" s="50">
        <v>5</v>
      </c>
      <c r="FX4" s="50">
        <v>4.8</v>
      </c>
      <c r="FY4" s="50">
        <v>4.5999999999999996</v>
      </c>
      <c r="FZ4" s="50">
        <v>4.5</v>
      </c>
      <c r="GA4" s="50">
        <v>4.3</v>
      </c>
      <c r="GB4" s="50">
        <v>4.2</v>
      </c>
      <c r="GC4" s="50">
        <v>4.0999999999999996</v>
      </c>
      <c r="GD4" s="50">
        <v>4</v>
      </c>
      <c r="GE4" s="50">
        <v>4</v>
      </c>
      <c r="GF4" s="50">
        <v>4</v>
      </c>
      <c r="GG4" s="50">
        <v>4</v>
      </c>
      <c r="GH4" s="50">
        <v>4</v>
      </c>
      <c r="GI4" s="50">
        <v>4</v>
      </c>
      <c r="GJ4" s="50">
        <v>4</v>
      </c>
      <c r="GK4" s="50">
        <v>4</v>
      </c>
      <c r="GL4" s="50">
        <v>4</v>
      </c>
      <c r="GM4" s="50">
        <v>3.9</v>
      </c>
      <c r="GN4" s="50">
        <v>3.9</v>
      </c>
      <c r="GO4" s="50">
        <v>3.9</v>
      </c>
      <c r="GP4" s="50">
        <v>3.8</v>
      </c>
      <c r="GQ4" s="50">
        <v>3.8</v>
      </c>
      <c r="GR4" s="50">
        <v>3.8</v>
      </c>
      <c r="GS4" s="49" t="s">
        <v>184</v>
      </c>
      <c r="GT4" s="50">
        <v>3.7</v>
      </c>
      <c r="GU4" s="50">
        <v>3.6</v>
      </c>
      <c r="GV4" s="50">
        <v>3.4</v>
      </c>
      <c r="GW4" s="50">
        <v>3.3</v>
      </c>
      <c r="GX4" s="50">
        <v>3.2</v>
      </c>
      <c r="GY4" s="50">
        <v>3</v>
      </c>
      <c r="GZ4" s="50">
        <v>3</v>
      </c>
      <c r="HA4" s="50">
        <v>3</v>
      </c>
      <c r="HB4" s="50">
        <v>3</v>
      </c>
      <c r="HC4" s="50">
        <v>3</v>
      </c>
      <c r="HD4" s="50">
        <v>3</v>
      </c>
      <c r="HE4" s="50">
        <v>3.1</v>
      </c>
      <c r="HF4" s="50">
        <v>3.2</v>
      </c>
      <c r="HG4" s="50">
        <v>3.3</v>
      </c>
      <c r="HH4" s="50">
        <v>3.4</v>
      </c>
      <c r="HI4" s="50">
        <v>13.8</v>
      </c>
      <c r="HJ4" s="50">
        <v>10.4</v>
      </c>
      <c r="HK4" s="50">
        <v>8.6</v>
      </c>
      <c r="HL4" s="50">
        <v>7.5</v>
      </c>
      <c r="HM4" s="50">
        <v>6.3</v>
      </c>
      <c r="HN4" s="50">
        <v>5.9</v>
      </c>
      <c r="HO4" s="50">
        <v>5.2</v>
      </c>
      <c r="HP4" s="50">
        <v>4.8</v>
      </c>
      <c r="HQ4" s="51">
        <v>4.5</v>
      </c>
      <c r="HR4" s="49" t="s">
        <v>184</v>
      </c>
      <c r="HS4" s="50">
        <v>4.0999999999999996</v>
      </c>
      <c r="HT4" s="50">
        <v>3.9</v>
      </c>
      <c r="HU4" s="50">
        <v>3.7</v>
      </c>
      <c r="HV4" s="50">
        <v>3.7</v>
      </c>
      <c r="HW4" s="50">
        <v>3.5</v>
      </c>
      <c r="HX4" s="50">
        <v>3.5</v>
      </c>
      <c r="HY4" s="50">
        <v>3.3</v>
      </c>
      <c r="HZ4" s="50">
        <v>3.2</v>
      </c>
      <c r="IA4" s="50">
        <v>3</v>
      </c>
      <c r="IB4" s="50">
        <v>2.9</v>
      </c>
      <c r="IC4" s="50">
        <v>2.7</v>
      </c>
      <c r="ID4" s="50">
        <v>2.7</v>
      </c>
      <c r="IE4" s="50">
        <v>2.6</v>
      </c>
      <c r="IF4" s="50">
        <v>2.6</v>
      </c>
      <c r="IG4" s="50">
        <v>2.5</v>
      </c>
      <c r="IH4" s="50">
        <v>2.5</v>
      </c>
      <c r="II4" s="50">
        <v>2.5</v>
      </c>
      <c r="IJ4" s="50">
        <v>2.5</v>
      </c>
      <c r="IK4" s="50">
        <v>2.5</v>
      </c>
      <c r="IL4" s="50">
        <v>2.5</v>
      </c>
      <c r="IM4" s="50">
        <v>2.5</v>
      </c>
      <c r="IN4" s="50">
        <v>2.5</v>
      </c>
      <c r="IO4" s="50">
        <v>2.4</v>
      </c>
      <c r="IP4" s="51">
        <v>2.2999999999999998</v>
      </c>
      <c r="IQ4" s="49" t="s">
        <v>184</v>
      </c>
      <c r="IR4" s="50">
        <v>2.2999999999999998</v>
      </c>
      <c r="IS4" s="50">
        <v>2.2999999999999998</v>
      </c>
      <c r="IT4" s="50">
        <v>2.2999999999999998</v>
      </c>
      <c r="IU4" s="50">
        <v>2.2999999999999998</v>
      </c>
      <c r="IV4" s="50">
        <v>2.2999999999999998</v>
      </c>
      <c r="IW4" s="50">
        <v>2.2999999999999998</v>
      </c>
      <c r="IX4" s="50">
        <v>2.4</v>
      </c>
      <c r="IY4" s="50">
        <v>2.5</v>
      </c>
      <c r="IZ4" s="50">
        <v>2.6</v>
      </c>
      <c r="JA4" s="50">
        <v>2.7</v>
      </c>
      <c r="JB4" s="50">
        <v>2.8</v>
      </c>
      <c r="JC4" s="50">
        <v>2.8</v>
      </c>
      <c r="JD4" s="50">
        <v>2.9</v>
      </c>
      <c r="JE4" s="50">
        <v>2.9</v>
      </c>
      <c r="JF4" s="50">
        <v>2.9</v>
      </c>
      <c r="JG4" s="50">
        <v>2.9</v>
      </c>
      <c r="JH4" s="50">
        <v>2.9</v>
      </c>
      <c r="JI4" s="50">
        <v>2.9</v>
      </c>
      <c r="JJ4" s="50">
        <v>3</v>
      </c>
      <c r="JK4" s="50">
        <v>3.1</v>
      </c>
      <c r="JL4" s="50">
        <v>3.3</v>
      </c>
      <c r="JM4" s="50">
        <v>3.3</v>
      </c>
      <c r="JN4" s="50">
        <v>3.3</v>
      </c>
      <c r="JO4" s="51">
        <v>3.3</v>
      </c>
      <c r="JP4" s="49" t="s">
        <v>184</v>
      </c>
      <c r="JQ4" s="80">
        <v>3.3</v>
      </c>
      <c r="JR4" s="80">
        <v>3.3</v>
      </c>
      <c r="JS4" s="80">
        <v>3.3</v>
      </c>
      <c r="JT4" s="80">
        <v>3.3</v>
      </c>
      <c r="JU4" s="80">
        <v>3.3</v>
      </c>
      <c r="JV4" s="80">
        <v>3.2</v>
      </c>
      <c r="JW4" s="80">
        <v>3</v>
      </c>
      <c r="JX4" s="80">
        <v>2.9</v>
      </c>
      <c r="JY4" s="80">
        <v>2.8</v>
      </c>
      <c r="JZ4" s="80" t="s">
        <v>402</v>
      </c>
      <c r="KA4" s="81">
        <v>2.7</v>
      </c>
      <c r="KC4" s="77"/>
    </row>
    <row r="5" spans="1:289" x14ac:dyDescent="0.3">
      <c r="B5" s="39" t="s">
        <v>185</v>
      </c>
      <c r="C5" s="17">
        <v>6.2916666666666679</v>
      </c>
      <c r="D5" s="17">
        <v>6.2833333333333332</v>
      </c>
      <c r="E5" s="17">
        <v>7.166666666666667</v>
      </c>
      <c r="F5" s="17">
        <v>7.6749999999999998</v>
      </c>
      <c r="G5" s="17">
        <v>7.4166666666666652</v>
      </c>
      <c r="H5" s="17">
        <v>6.9249999999999998</v>
      </c>
      <c r="I5" s="17">
        <v>6.616666666666668</v>
      </c>
      <c r="J5" s="17">
        <v>6.25</v>
      </c>
      <c r="K5" s="17">
        <v>6.508333333333332</v>
      </c>
      <c r="L5" s="17">
        <v>7.8333333333333321</v>
      </c>
      <c r="M5" s="17">
        <v>7.9916666666666671</v>
      </c>
      <c r="N5" s="17">
        <v>7.6083333333333343</v>
      </c>
      <c r="O5" s="19">
        <v>7.1333333333333346</v>
      </c>
      <c r="P5" s="19">
        <v>6.9250000000000007</v>
      </c>
      <c r="Q5" s="19">
        <v>6.7416666666666671</v>
      </c>
      <c r="R5" s="19">
        <v>6.2833333333333332</v>
      </c>
      <c r="S5" s="19">
        <v>6.625</v>
      </c>
      <c r="T5" s="19">
        <v>6.6083333333333325</v>
      </c>
      <c r="U5" s="19">
        <v>6.091666666666665</v>
      </c>
      <c r="V5" s="19">
        <v>5.6000000000000005</v>
      </c>
      <c r="W5" s="19">
        <v>8.283333333333335</v>
      </c>
      <c r="X5" s="19">
        <v>6.4</v>
      </c>
      <c r="Y5" s="19">
        <v>4.2583333333333329</v>
      </c>
      <c r="Z5" s="19">
        <v>4.2416666666666671</v>
      </c>
      <c r="AA5" s="19">
        <v>4.591666666666665</v>
      </c>
      <c r="AB5" s="96"/>
      <c r="AC5" s="35" t="str">
        <f>Table11[[#This Row],[State]]</f>
        <v>Alaska</v>
      </c>
      <c r="AD5" s="17">
        <v>7.3666666666666698</v>
      </c>
      <c r="AE5" s="17">
        <v>7.8</v>
      </c>
      <c r="AF5" s="17">
        <v>8.0333333333333297</v>
      </c>
      <c r="AG5" s="17">
        <v>8.1333333333333293</v>
      </c>
      <c r="AH5" s="17">
        <v>8.2666666666666693</v>
      </c>
      <c r="AI5" s="17">
        <v>8</v>
      </c>
      <c r="AJ5" s="17">
        <v>7.8</v>
      </c>
      <c r="AK5" s="17">
        <v>7.9</v>
      </c>
      <c r="AL5" s="17">
        <v>7.7666666666666702</v>
      </c>
      <c r="AM5" s="17">
        <v>7.6</v>
      </c>
      <c r="AN5" s="19">
        <v>7.6</v>
      </c>
      <c r="AO5" s="19">
        <v>7.4666666666666703</v>
      </c>
      <c r="AP5" s="19">
        <v>7.2666666666666702</v>
      </c>
      <c r="AQ5" s="19">
        <v>7.2</v>
      </c>
      <c r="AR5" s="19">
        <v>7.06666666666667</v>
      </c>
      <c r="AS5" s="19">
        <v>7</v>
      </c>
      <c r="AT5" s="19">
        <v>6.9666666666666703</v>
      </c>
      <c r="AU5" s="19">
        <v>6.9</v>
      </c>
      <c r="AV5" s="17">
        <v>6.93333333333333</v>
      </c>
      <c r="AW5" s="17">
        <v>6.9</v>
      </c>
      <c r="AX5" s="17">
        <v>6.9</v>
      </c>
      <c r="AY5" s="17">
        <v>6.8666666666666698</v>
      </c>
      <c r="AZ5" s="17">
        <v>6.7666666666666702</v>
      </c>
      <c r="BA5" s="17">
        <v>6.43333333333333</v>
      </c>
      <c r="BB5" s="35" t="str">
        <f t="shared" ref="BB5:BB56" si="0">AC5</f>
        <v>Alaska</v>
      </c>
      <c r="BC5" s="19">
        <v>6.3</v>
      </c>
      <c r="BD5" s="19">
        <v>6.2666666666666702</v>
      </c>
      <c r="BE5" s="19">
        <v>6.2333333333333298</v>
      </c>
      <c r="BF5" s="19">
        <v>6.3333333333333304</v>
      </c>
      <c r="BG5" s="17">
        <v>6.4666666666666703</v>
      </c>
      <c r="BH5" s="17">
        <v>6.6333333333333302</v>
      </c>
      <c r="BI5" s="17">
        <v>6.7</v>
      </c>
      <c r="BJ5" s="17">
        <v>6.7</v>
      </c>
      <c r="BK5" s="17">
        <v>6.6333333333333302</v>
      </c>
      <c r="BL5" s="17">
        <v>6.6</v>
      </c>
      <c r="BM5" s="17">
        <v>6.6</v>
      </c>
      <c r="BN5" s="17">
        <v>6.6</v>
      </c>
      <c r="BO5" s="17">
        <v>6.4</v>
      </c>
      <c r="BP5" s="17">
        <v>6.0333333333333297</v>
      </c>
      <c r="BQ5" s="17">
        <v>5.9</v>
      </c>
      <c r="BR5" s="17">
        <v>6.0333333333333297</v>
      </c>
      <c r="BS5" s="17">
        <v>5.9</v>
      </c>
      <c r="BT5" s="17">
        <v>5.6333333333333302</v>
      </c>
      <c r="BU5" s="17">
        <v>5.56666666666667</v>
      </c>
      <c r="BV5" s="17">
        <v>5.3</v>
      </c>
      <c r="BW5" s="35" t="str">
        <f>Table13[[#This Row],[State]]</f>
        <v>Alaska</v>
      </c>
      <c r="BX5" s="17">
        <v>5.3666666666666698</v>
      </c>
      <c r="BY5" s="17">
        <v>11.5</v>
      </c>
      <c r="BZ5" s="17">
        <v>9.1666666666666696</v>
      </c>
      <c r="CA5" s="17">
        <v>7.1</v>
      </c>
      <c r="CB5" s="17">
        <v>7</v>
      </c>
      <c r="CC5" s="17">
        <v>6.93333333333333</v>
      </c>
      <c r="CD5" s="17">
        <v>6.1666666666666696</v>
      </c>
      <c r="CE5" s="17">
        <v>5.5</v>
      </c>
      <c r="CF5" s="17">
        <v>4.9000000000000004</v>
      </c>
      <c r="CG5" s="17">
        <v>4.2333333333333298</v>
      </c>
      <c r="CH5" s="17">
        <v>3.9</v>
      </c>
      <c r="CI5" s="17">
        <v>4</v>
      </c>
      <c r="CJ5" s="17">
        <v>4</v>
      </c>
      <c r="CK5" s="17">
        <v>4.0999999999999996</v>
      </c>
      <c r="CL5" s="17">
        <v>4.3666666666666698</v>
      </c>
      <c r="CM5" s="17">
        <v>4.5</v>
      </c>
      <c r="CN5" s="17">
        <v>4.4000000000000004</v>
      </c>
      <c r="CO5" s="17">
        <v>4.5333333333333297</v>
      </c>
      <c r="CP5" s="17">
        <v>4.7333333333333298</v>
      </c>
      <c r="CQ5" s="17">
        <v>4.7</v>
      </c>
      <c r="CR5" s="42" t="str">
        <f>Table13[[#This Row],[ State]]</f>
        <v>Alaska</v>
      </c>
      <c r="CS5" s="17">
        <v>4.7</v>
      </c>
      <c r="CT5" s="17">
        <v>4.7</v>
      </c>
      <c r="CU5" s="17">
        <v>4.7333333333333298</v>
      </c>
      <c r="CV5" s="111"/>
      <c r="CW5" s="42" t="s">
        <v>185</v>
      </c>
      <c r="CX5" s="52">
        <v>7.8</v>
      </c>
      <c r="CY5" s="53">
        <v>7.8</v>
      </c>
      <c r="CZ5" s="53">
        <v>7.7</v>
      </c>
      <c r="DA5" s="53">
        <v>7.6</v>
      </c>
      <c r="DB5" s="53">
        <v>7.6</v>
      </c>
      <c r="DC5" s="53">
        <v>7.6</v>
      </c>
      <c r="DD5" s="53">
        <v>7.6</v>
      </c>
      <c r="DE5" s="53">
        <v>7.6</v>
      </c>
      <c r="DF5" s="53">
        <v>7.6</v>
      </c>
      <c r="DG5" s="53">
        <v>7.5</v>
      </c>
      <c r="DH5" s="53">
        <v>7.5</v>
      </c>
      <c r="DI5" s="53">
        <v>7.4</v>
      </c>
      <c r="DJ5" s="53">
        <v>7.3</v>
      </c>
      <c r="DK5" s="53">
        <v>7.3</v>
      </c>
      <c r="DL5" s="53">
        <v>7.2</v>
      </c>
      <c r="DM5" s="53">
        <v>7.2</v>
      </c>
      <c r="DN5" s="53">
        <v>7.2</v>
      </c>
      <c r="DO5" s="53">
        <v>7.2</v>
      </c>
      <c r="DP5" s="53">
        <v>7.1</v>
      </c>
      <c r="DQ5" s="53">
        <v>7.1</v>
      </c>
      <c r="DR5" s="53">
        <v>7</v>
      </c>
      <c r="DS5" s="53">
        <v>7</v>
      </c>
      <c r="DT5" s="53">
        <v>7</v>
      </c>
      <c r="DU5" s="63">
        <v>7</v>
      </c>
      <c r="DV5" s="54" t="s">
        <v>185</v>
      </c>
      <c r="DW5" s="53">
        <v>7</v>
      </c>
      <c r="DX5" s="53">
        <v>7</v>
      </c>
      <c r="DY5" s="53">
        <v>6.9</v>
      </c>
      <c r="DZ5" s="53">
        <v>6.9</v>
      </c>
      <c r="EA5" s="53">
        <v>6.9</v>
      </c>
      <c r="EB5" s="53">
        <v>6.9</v>
      </c>
      <c r="EC5" s="53">
        <v>6.9</v>
      </c>
      <c r="ED5" s="53">
        <v>7</v>
      </c>
      <c r="EE5" s="53">
        <v>6.9</v>
      </c>
      <c r="EF5" s="53">
        <v>6.9</v>
      </c>
      <c r="EG5" s="55">
        <v>6.9</v>
      </c>
      <c r="EH5" s="55">
        <v>6.9</v>
      </c>
      <c r="EI5" s="55">
        <v>6.9</v>
      </c>
      <c r="EJ5" s="55">
        <v>6.9</v>
      </c>
      <c r="EK5" s="53">
        <v>6.9</v>
      </c>
      <c r="EL5" s="55">
        <v>6.9</v>
      </c>
      <c r="EM5" s="55">
        <v>6.9</v>
      </c>
      <c r="EN5" s="55">
        <v>6.8</v>
      </c>
      <c r="EO5" s="55">
        <v>6.8</v>
      </c>
      <c r="EP5" s="55">
        <v>6.8</v>
      </c>
      <c r="EQ5" s="55">
        <v>6.7</v>
      </c>
      <c r="ER5" s="53">
        <v>6.6</v>
      </c>
      <c r="ES5" s="55">
        <v>6.4</v>
      </c>
      <c r="ET5" s="56">
        <v>6.3</v>
      </c>
      <c r="EU5" s="54" t="s">
        <v>185</v>
      </c>
      <c r="EV5" s="53">
        <v>6.3</v>
      </c>
      <c r="EW5" s="55">
        <v>6.3</v>
      </c>
      <c r="EX5" s="55">
        <v>6.3</v>
      </c>
      <c r="EY5" s="55">
        <v>6.3</v>
      </c>
      <c r="EZ5" s="55">
        <v>6.3</v>
      </c>
      <c r="FA5" s="55">
        <v>6.2</v>
      </c>
      <c r="FB5" s="55">
        <v>6.2</v>
      </c>
      <c r="FC5" s="55">
        <v>6.2</v>
      </c>
      <c r="FD5" s="55">
        <v>6.3</v>
      </c>
      <c r="FE5" s="55">
        <v>6.3</v>
      </c>
      <c r="FF5" s="55">
        <v>6.3</v>
      </c>
      <c r="FG5" s="55">
        <v>6.4</v>
      </c>
      <c r="FH5" s="55">
        <v>6.4</v>
      </c>
      <c r="FI5" s="55">
        <v>6.5</v>
      </c>
      <c r="FJ5" s="55">
        <v>6.5</v>
      </c>
      <c r="FK5" s="55">
        <v>6.6</v>
      </c>
      <c r="FL5" s="55">
        <v>6.6</v>
      </c>
      <c r="FM5" s="55">
        <v>6.7</v>
      </c>
      <c r="FN5" s="55">
        <v>6.7</v>
      </c>
      <c r="FO5" s="55">
        <v>6.7</v>
      </c>
      <c r="FP5" s="55">
        <v>6.7</v>
      </c>
      <c r="FQ5" s="55">
        <v>6.7</v>
      </c>
      <c r="FR5" s="55">
        <v>6.7</v>
      </c>
      <c r="FS5" s="56">
        <v>6.7</v>
      </c>
      <c r="FT5" s="54" t="s">
        <v>185</v>
      </c>
      <c r="FU5" s="53">
        <v>6.7</v>
      </c>
      <c r="FV5" s="55">
        <v>6.6</v>
      </c>
      <c r="FW5" s="55">
        <v>6.6</v>
      </c>
      <c r="FX5" s="55">
        <v>6.6</v>
      </c>
      <c r="FY5" s="55">
        <v>6.6</v>
      </c>
      <c r="FZ5" s="55">
        <v>6.6</v>
      </c>
      <c r="GA5" s="55">
        <v>6.6</v>
      </c>
      <c r="GB5" s="55">
        <v>6.6</v>
      </c>
      <c r="GC5" s="55">
        <v>6.6</v>
      </c>
      <c r="GD5" s="55">
        <v>6.6</v>
      </c>
      <c r="GE5" s="55">
        <v>6.6</v>
      </c>
      <c r="GF5" s="55">
        <v>6.6</v>
      </c>
      <c r="GG5" s="55">
        <v>6.5</v>
      </c>
      <c r="GH5" s="55">
        <v>6.4</v>
      </c>
      <c r="GI5" s="55">
        <v>6.3</v>
      </c>
      <c r="GJ5" s="55">
        <v>6.1</v>
      </c>
      <c r="GK5" s="55">
        <v>6</v>
      </c>
      <c r="GL5" s="55">
        <v>6</v>
      </c>
      <c r="GM5" s="55">
        <v>5.9</v>
      </c>
      <c r="GN5" s="55">
        <v>5.9</v>
      </c>
      <c r="GO5" s="55">
        <v>5.9</v>
      </c>
      <c r="GP5" s="55">
        <v>6</v>
      </c>
      <c r="GQ5" s="55">
        <v>6</v>
      </c>
      <c r="GR5" s="55">
        <v>6.1</v>
      </c>
      <c r="GS5" s="54" t="s">
        <v>185</v>
      </c>
      <c r="GT5" s="55">
        <v>6</v>
      </c>
      <c r="GU5" s="55">
        <v>5.9</v>
      </c>
      <c r="GV5" s="55">
        <v>5.8</v>
      </c>
      <c r="GW5" s="55">
        <v>5.7</v>
      </c>
      <c r="GX5" s="55">
        <v>5.6</v>
      </c>
      <c r="GY5" s="55">
        <v>5.6</v>
      </c>
      <c r="GZ5" s="55">
        <v>5.6</v>
      </c>
      <c r="HA5" s="55">
        <v>5.6</v>
      </c>
      <c r="HB5" s="55">
        <v>5.5</v>
      </c>
      <c r="HC5" s="55">
        <v>5.4</v>
      </c>
      <c r="HD5" s="55">
        <v>5.3</v>
      </c>
      <c r="HE5" s="55">
        <v>5.2</v>
      </c>
      <c r="HF5" s="55">
        <v>5.3</v>
      </c>
      <c r="HG5" s="55">
        <v>5.4</v>
      </c>
      <c r="HH5" s="55">
        <v>5.4</v>
      </c>
      <c r="HI5" s="55">
        <v>11.6</v>
      </c>
      <c r="HJ5" s="55">
        <v>11.7</v>
      </c>
      <c r="HK5" s="55">
        <v>11.2</v>
      </c>
      <c r="HL5" s="55">
        <v>11.1</v>
      </c>
      <c r="HM5" s="55">
        <v>8.6</v>
      </c>
      <c r="HN5" s="55">
        <v>7.8</v>
      </c>
      <c r="HO5" s="55">
        <v>7.2</v>
      </c>
      <c r="HP5" s="55">
        <v>7</v>
      </c>
      <c r="HQ5" s="56">
        <v>7.1</v>
      </c>
      <c r="HR5" s="54" t="s">
        <v>185</v>
      </c>
      <c r="HS5" s="55">
        <v>7</v>
      </c>
      <c r="HT5" s="55">
        <v>7</v>
      </c>
      <c r="HU5" s="55">
        <v>7</v>
      </c>
      <c r="HV5" s="55">
        <v>7.1</v>
      </c>
      <c r="HW5" s="55">
        <v>6.9</v>
      </c>
      <c r="HX5" s="55">
        <v>6.8</v>
      </c>
      <c r="HY5" s="55">
        <v>6.4</v>
      </c>
      <c r="HZ5" s="55">
        <v>6.2</v>
      </c>
      <c r="IA5" s="55">
        <v>5.9</v>
      </c>
      <c r="IB5" s="55">
        <v>5.7</v>
      </c>
      <c r="IC5" s="55">
        <v>5.4</v>
      </c>
      <c r="ID5" s="55">
        <v>5.4</v>
      </c>
      <c r="IE5" s="55">
        <v>5.2</v>
      </c>
      <c r="IF5" s="55">
        <v>4.9000000000000004</v>
      </c>
      <c r="IG5" s="55">
        <v>4.5999999999999996</v>
      </c>
      <c r="IH5" s="55">
        <v>4.4000000000000004</v>
      </c>
      <c r="II5" s="55">
        <v>4.2</v>
      </c>
      <c r="IJ5" s="55">
        <v>4.0999999999999996</v>
      </c>
      <c r="IK5" s="55">
        <v>4</v>
      </c>
      <c r="IL5" s="55">
        <v>3.8</v>
      </c>
      <c r="IM5" s="55">
        <v>3.9</v>
      </c>
      <c r="IN5" s="55">
        <v>4</v>
      </c>
      <c r="IO5" s="55">
        <v>4</v>
      </c>
      <c r="IP5" s="56">
        <v>4</v>
      </c>
      <c r="IQ5" s="54" t="s">
        <v>185</v>
      </c>
      <c r="IR5" s="55">
        <v>4</v>
      </c>
      <c r="IS5" s="55">
        <v>4</v>
      </c>
      <c r="IT5" s="55">
        <v>4</v>
      </c>
      <c r="IU5" s="55">
        <v>4</v>
      </c>
      <c r="IV5" s="55">
        <v>4.0999999999999996</v>
      </c>
      <c r="IW5" s="55">
        <v>4.2</v>
      </c>
      <c r="IX5" s="55">
        <v>4.3</v>
      </c>
      <c r="IY5" s="55">
        <v>4.4000000000000004</v>
      </c>
      <c r="IZ5" s="55">
        <v>4.4000000000000004</v>
      </c>
      <c r="JA5" s="55">
        <v>4.5</v>
      </c>
      <c r="JB5" s="55">
        <v>4.5</v>
      </c>
      <c r="JC5" s="55">
        <v>4.5</v>
      </c>
      <c r="JD5" s="55">
        <v>4.4000000000000004</v>
      </c>
      <c r="JE5" s="55">
        <v>4.4000000000000004</v>
      </c>
      <c r="JF5" s="55">
        <v>4.4000000000000004</v>
      </c>
      <c r="JG5" s="55">
        <v>4.5</v>
      </c>
      <c r="JH5" s="55">
        <v>4.5</v>
      </c>
      <c r="JI5" s="55">
        <v>4.5999999999999996</v>
      </c>
      <c r="JJ5" s="55">
        <v>4.7</v>
      </c>
      <c r="JK5" s="55">
        <v>4.7</v>
      </c>
      <c r="JL5" s="55">
        <v>4.8</v>
      </c>
      <c r="JM5" s="55">
        <v>4.7</v>
      </c>
      <c r="JN5" s="55">
        <v>4.7</v>
      </c>
      <c r="JO5" s="56">
        <v>4.7</v>
      </c>
      <c r="JP5" s="54" t="s">
        <v>185</v>
      </c>
      <c r="JQ5" s="82">
        <v>4.7</v>
      </c>
      <c r="JR5" s="82">
        <v>4.7</v>
      </c>
      <c r="JS5" s="82">
        <v>4.7</v>
      </c>
      <c r="JT5" s="82">
        <v>4.7</v>
      </c>
      <c r="JU5" s="82">
        <v>4.7</v>
      </c>
      <c r="JV5" s="82">
        <v>4.7</v>
      </c>
      <c r="JW5" s="82">
        <v>4.8</v>
      </c>
      <c r="JX5" s="82">
        <v>4.7</v>
      </c>
      <c r="JY5" s="82">
        <v>4.7</v>
      </c>
      <c r="JZ5" s="82" t="s">
        <v>402</v>
      </c>
      <c r="KA5" s="83">
        <v>4.7</v>
      </c>
    </row>
    <row r="6" spans="1:289" x14ac:dyDescent="0.3">
      <c r="B6" s="39" t="s">
        <v>186</v>
      </c>
      <c r="C6" s="17">
        <v>3.9833333333333325</v>
      </c>
      <c r="D6" s="17">
        <v>4.7249999999999996</v>
      </c>
      <c r="E6" s="17">
        <v>6.158333333333335</v>
      </c>
      <c r="F6" s="17">
        <v>5.7833333333333323</v>
      </c>
      <c r="G6" s="17">
        <v>4.9583333333333321</v>
      </c>
      <c r="H6" s="17">
        <v>4.6416666666666675</v>
      </c>
      <c r="I6" s="17">
        <v>4.2666666666666702</v>
      </c>
      <c r="J6" s="17">
        <v>3.7</v>
      </c>
      <c r="K6" s="17">
        <v>5.7666666666666657</v>
      </c>
      <c r="L6" s="17">
        <v>9.7166666666666757</v>
      </c>
      <c r="M6" s="17">
        <v>10.358333333333325</v>
      </c>
      <c r="N6" s="17">
        <v>9.4999999999999964</v>
      </c>
      <c r="O6" s="19">
        <v>8.3916666666666675</v>
      </c>
      <c r="P6" s="19">
        <v>7.8416666666666677</v>
      </c>
      <c r="Q6" s="19">
        <v>6.8166666666666647</v>
      </c>
      <c r="R6" s="19">
        <v>6.1083333333333352</v>
      </c>
      <c r="S6" s="19">
        <v>5.5</v>
      </c>
      <c r="T6" s="19">
        <v>4.9583333333333348</v>
      </c>
      <c r="U6" s="19">
        <v>4.8083333333333336</v>
      </c>
      <c r="V6" s="19">
        <v>4.8166666666666673</v>
      </c>
      <c r="W6" s="19">
        <v>7.8249999999999975</v>
      </c>
      <c r="X6" s="19">
        <v>5.041666666666667</v>
      </c>
      <c r="Y6" s="19">
        <v>3.7166666666666677</v>
      </c>
      <c r="Z6" s="19">
        <v>3.6666666666666647</v>
      </c>
      <c r="AA6" s="19">
        <v>3.6000000000000005</v>
      </c>
      <c r="AB6" s="96"/>
      <c r="AC6" s="36" t="str">
        <f>Table11[[#This Row],[State]]</f>
        <v>Arizona</v>
      </c>
      <c r="AD6" s="27">
        <v>8.6</v>
      </c>
      <c r="AE6" s="27">
        <v>9.6</v>
      </c>
      <c r="AF6" s="27">
        <v>10.1666666666667</v>
      </c>
      <c r="AG6" s="27">
        <v>10.5</v>
      </c>
      <c r="AH6" s="27">
        <v>10.633333333333301</v>
      </c>
      <c r="AI6" s="27">
        <v>10.5</v>
      </c>
      <c r="AJ6" s="27">
        <v>10.233333333333301</v>
      </c>
      <c r="AK6" s="27">
        <v>10.0666666666667</v>
      </c>
      <c r="AL6" s="27">
        <v>9.8000000000000007</v>
      </c>
      <c r="AM6" s="27">
        <v>9.6333333333333293</v>
      </c>
      <c r="AN6" s="27">
        <v>9.5</v>
      </c>
      <c r="AO6" s="27">
        <v>9.0666666666666593</v>
      </c>
      <c r="AP6" s="27">
        <v>8.6999999999999993</v>
      </c>
      <c r="AQ6" s="27">
        <v>8.4666666666666703</v>
      </c>
      <c r="AR6" s="27">
        <v>8.3000000000000007</v>
      </c>
      <c r="AS6" s="27">
        <v>8.1</v>
      </c>
      <c r="AT6" s="27">
        <v>8.1</v>
      </c>
      <c r="AU6" s="27">
        <v>7.9666666666666703</v>
      </c>
      <c r="AV6" s="27">
        <v>7.8</v>
      </c>
      <c r="AW6" s="27">
        <v>7.5</v>
      </c>
      <c r="AX6" s="27">
        <v>7.1</v>
      </c>
      <c r="AY6" s="27">
        <v>6.9</v>
      </c>
      <c r="AZ6" s="27">
        <v>6.7333333333333298</v>
      </c>
      <c r="BA6" s="27">
        <v>6.5333333333333297</v>
      </c>
      <c r="BB6" s="36" t="str">
        <f t="shared" si="0"/>
        <v>Arizona</v>
      </c>
      <c r="BC6" s="27">
        <v>6.3333333333333304</v>
      </c>
      <c r="BD6" s="27">
        <v>6.1666666666666696</v>
      </c>
      <c r="BE6" s="27">
        <v>6.06666666666667</v>
      </c>
      <c r="BF6" s="27">
        <v>5.8666666666666698</v>
      </c>
      <c r="BG6" s="27">
        <v>5.6666666666666696</v>
      </c>
      <c r="BH6" s="27">
        <v>5.56666666666667</v>
      </c>
      <c r="BI6" s="27">
        <v>5.43333333333333</v>
      </c>
      <c r="BJ6" s="27">
        <v>5.3333333333333304</v>
      </c>
      <c r="BK6" s="27">
        <v>5.1666666666666696</v>
      </c>
      <c r="BL6" s="27">
        <v>4.9666666666666703</v>
      </c>
      <c r="BM6" s="27">
        <v>4.8333333333333304</v>
      </c>
      <c r="BN6" s="27">
        <v>4.8666666666666698</v>
      </c>
      <c r="BO6" s="27">
        <v>4.8333333333333304</v>
      </c>
      <c r="BP6" s="27">
        <v>4.7</v>
      </c>
      <c r="BQ6" s="27">
        <v>4.7333333333333298</v>
      </c>
      <c r="BR6" s="27">
        <v>4.9666666666666703</v>
      </c>
      <c r="BS6" s="27">
        <v>4.9666666666666703</v>
      </c>
      <c r="BT6" s="27">
        <v>4.8333333333333304</v>
      </c>
      <c r="BU6" s="27">
        <v>4.7666666666666702</v>
      </c>
      <c r="BV6" s="27">
        <v>4.7</v>
      </c>
      <c r="BW6" s="36" t="str">
        <f>Table13[[#This Row],[State]]</f>
        <v>Arizona</v>
      </c>
      <c r="BX6" s="27">
        <v>4.8333333333333304</v>
      </c>
      <c r="BY6" s="27">
        <v>11.6</v>
      </c>
      <c r="BZ6" s="27">
        <v>8.1333333333333293</v>
      </c>
      <c r="CA6" s="27">
        <v>6.7333333333333298</v>
      </c>
      <c r="CB6" s="27">
        <v>6.2</v>
      </c>
      <c r="CC6" s="27">
        <v>5.56666666666667</v>
      </c>
      <c r="CD6" s="27">
        <v>4.56666666666667</v>
      </c>
      <c r="CE6" s="27">
        <v>3.8333333333333299</v>
      </c>
      <c r="CF6" s="27">
        <v>3.6</v>
      </c>
      <c r="CG6" s="27">
        <v>3.7</v>
      </c>
      <c r="CH6" s="27">
        <v>3.8</v>
      </c>
      <c r="CI6" s="27">
        <v>3.7666666666666702</v>
      </c>
      <c r="CJ6" s="27">
        <v>3.6333333333333302</v>
      </c>
      <c r="CK6" s="27">
        <v>3.6333333333333302</v>
      </c>
      <c r="CL6" s="27">
        <v>3.7333333333333298</v>
      </c>
      <c r="CM6" s="27">
        <v>3.6666666666666701</v>
      </c>
      <c r="CN6" s="27">
        <v>3.4</v>
      </c>
      <c r="CO6" s="27">
        <v>3.43333333333333</v>
      </c>
      <c r="CP6" s="27">
        <v>3.7</v>
      </c>
      <c r="CQ6" s="27">
        <v>3.8666666666666698</v>
      </c>
      <c r="CR6" s="79" t="str">
        <f>Table13[[#This Row],[ State]]</f>
        <v>Arizona</v>
      </c>
      <c r="CS6" s="27">
        <v>3.9666666666666699</v>
      </c>
      <c r="CT6" s="27">
        <v>4.0999999999999996</v>
      </c>
      <c r="CU6" s="27">
        <v>4.1333333333333302</v>
      </c>
      <c r="CV6" s="111"/>
      <c r="CW6" s="41" t="s">
        <v>186</v>
      </c>
      <c r="CX6" s="47">
        <v>9.9</v>
      </c>
      <c r="CY6" s="48">
        <v>9.8000000000000007</v>
      </c>
      <c r="CZ6" s="48">
        <v>9.6999999999999993</v>
      </c>
      <c r="DA6" s="48">
        <v>9.6999999999999993</v>
      </c>
      <c r="DB6" s="48">
        <v>9.6</v>
      </c>
      <c r="DC6" s="48">
        <v>9.6</v>
      </c>
      <c r="DD6" s="48">
        <v>9.6</v>
      </c>
      <c r="DE6" s="48">
        <v>9.5</v>
      </c>
      <c r="DF6" s="48">
        <v>9.4</v>
      </c>
      <c r="DG6" s="48">
        <v>9.1999999999999993</v>
      </c>
      <c r="DH6" s="48">
        <v>9.1</v>
      </c>
      <c r="DI6" s="48">
        <v>8.9</v>
      </c>
      <c r="DJ6" s="48">
        <v>8.8000000000000007</v>
      </c>
      <c r="DK6" s="48">
        <v>8.6999999999999993</v>
      </c>
      <c r="DL6" s="48">
        <v>8.6</v>
      </c>
      <c r="DM6" s="48">
        <v>8.5</v>
      </c>
      <c r="DN6" s="48">
        <v>8.5</v>
      </c>
      <c r="DO6" s="48">
        <v>8.4</v>
      </c>
      <c r="DP6" s="48">
        <v>8.4</v>
      </c>
      <c r="DQ6" s="48">
        <v>8.3000000000000007</v>
      </c>
      <c r="DR6" s="48">
        <v>8.1999999999999993</v>
      </c>
      <c r="DS6" s="48">
        <v>8.1</v>
      </c>
      <c r="DT6" s="48">
        <v>8.1</v>
      </c>
      <c r="DU6" s="62">
        <v>8.1</v>
      </c>
      <c r="DV6" s="49" t="s">
        <v>186</v>
      </c>
      <c r="DW6" s="48">
        <v>8.1</v>
      </c>
      <c r="DX6" s="48">
        <v>8.1</v>
      </c>
      <c r="DY6" s="48">
        <v>8.1</v>
      </c>
      <c r="DZ6" s="48">
        <v>8</v>
      </c>
      <c r="EA6" s="48">
        <v>8</v>
      </c>
      <c r="EB6" s="48">
        <v>7.9</v>
      </c>
      <c r="EC6" s="48">
        <v>7.9</v>
      </c>
      <c r="ED6" s="48">
        <v>7.8</v>
      </c>
      <c r="EE6" s="48">
        <v>7.7</v>
      </c>
      <c r="EF6" s="48">
        <v>7.6</v>
      </c>
      <c r="EG6" s="50">
        <v>7.5</v>
      </c>
      <c r="EH6" s="50">
        <v>7.4</v>
      </c>
      <c r="EI6" s="50">
        <v>7.2</v>
      </c>
      <c r="EJ6" s="50">
        <v>7.1</v>
      </c>
      <c r="EK6" s="48">
        <v>7</v>
      </c>
      <c r="EL6" s="50">
        <v>7</v>
      </c>
      <c r="EM6" s="50">
        <v>6.9</v>
      </c>
      <c r="EN6" s="50">
        <v>6.8</v>
      </c>
      <c r="EO6" s="50">
        <v>6.8</v>
      </c>
      <c r="EP6" s="50">
        <v>6.7</v>
      </c>
      <c r="EQ6" s="50">
        <v>6.7</v>
      </c>
      <c r="ER6" s="48">
        <v>6.6</v>
      </c>
      <c r="ES6" s="50">
        <v>6.5</v>
      </c>
      <c r="ET6" s="51">
        <v>6.5</v>
      </c>
      <c r="EU6" s="49" t="s">
        <v>186</v>
      </c>
      <c r="EV6" s="48">
        <v>6.4</v>
      </c>
      <c r="EW6" s="50">
        <v>6.3</v>
      </c>
      <c r="EX6" s="50">
        <v>6.3</v>
      </c>
      <c r="EY6" s="50">
        <v>6.2</v>
      </c>
      <c r="EZ6" s="50">
        <v>6.2</v>
      </c>
      <c r="FA6" s="50">
        <v>6.1</v>
      </c>
      <c r="FB6" s="50">
        <v>6.1</v>
      </c>
      <c r="FC6" s="50">
        <v>6.1</v>
      </c>
      <c r="FD6" s="50">
        <v>6</v>
      </c>
      <c r="FE6" s="50">
        <v>5.9</v>
      </c>
      <c r="FF6" s="50">
        <v>5.9</v>
      </c>
      <c r="FG6" s="50">
        <v>5.8</v>
      </c>
      <c r="FH6" s="50">
        <v>5.7</v>
      </c>
      <c r="FI6" s="50">
        <v>5.7</v>
      </c>
      <c r="FJ6" s="50">
        <v>5.6</v>
      </c>
      <c r="FK6" s="50">
        <v>5.6</v>
      </c>
      <c r="FL6" s="50">
        <v>5.6</v>
      </c>
      <c r="FM6" s="50">
        <v>5.5</v>
      </c>
      <c r="FN6" s="50">
        <v>5.5</v>
      </c>
      <c r="FO6" s="50">
        <v>5.4</v>
      </c>
      <c r="FP6" s="50">
        <v>5.4</v>
      </c>
      <c r="FQ6" s="50">
        <v>5.4</v>
      </c>
      <c r="FR6" s="50">
        <v>5.3</v>
      </c>
      <c r="FS6" s="51">
        <v>5.3</v>
      </c>
      <c r="FT6" s="49" t="s">
        <v>186</v>
      </c>
      <c r="FU6" s="48">
        <v>5.2</v>
      </c>
      <c r="FV6" s="50">
        <v>5.2</v>
      </c>
      <c r="FW6" s="50">
        <v>5.0999999999999996</v>
      </c>
      <c r="FX6" s="50">
        <v>5</v>
      </c>
      <c r="FY6" s="50">
        <v>5</v>
      </c>
      <c r="FZ6" s="50">
        <v>4.9000000000000004</v>
      </c>
      <c r="GA6" s="50">
        <v>4.9000000000000004</v>
      </c>
      <c r="GB6" s="50">
        <v>4.8</v>
      </c>
      <c r="GC6" s="50">
        <v>4.8</v>
      </c>
      <c r="GD6" s="50">
        <v>4.8</v>
      </c>
      <c r="GE6" s="50">
        <v>4.9000000000000004</v>
      </c>
      <c r="GF6" s="50">
        <v>4.9000000000000004</v>
      </c>
      <c r="GG6" s="50">
        <v>4.9000000000000004</v>
      </c>
      <c r="GH6" s="50">
        <v>4.8</v>
      </c>
      <c r="GI6" s="50">
        <v>4.8</v>
      </c>
      <c r="GJ6" s="50">
        <v>4.7</v>
      </c>
      <c r="GK6" s="50">
        <v>4.7</v>
      </c>
      <c r="GL6" s="50">
        <v>4.7</v>
      </c>
      <c r="GM6" s="50">
        <v>4.7</v>
      </c>
      <c r="GN6" s="50">
        <v>4.7</v>
      </c>
      <c r="GO6" s="50">
        <v>4.8</v>
      </c>
      <c r="GP6" s="50">
        <v>4.9000000000000004</v>
      </c>
      <c r="GQ6" s="50">
        <v>5</v>
      </c>
      <c r="GR6" s="50">
        <v>5</v>
      </c>
      <c r="GS6" s="49" t="s">
        <v>186</v>
      </c>
      <c r="GT6" s="50">
        <v>5</v>
      </c>
      <c r="GU6" s="50">
        <v>5</v>
      </c>
      <c r="GV6" s="50">
        <v>4.9000000000000004</v>
      </c>
      <c r="GW6" s="50">
        <v>4.9000000000000004</v>
      </c>
      <c r="GX6" s="50">
        <v>4.8</v>
      </c>
      <c r="GY6" s="50">
        <v>4.8</v>
      </c>
      <c r="GZ6" s="50">
        <v>4.8</v>
      </c>
      <c r="HA6" s="50">
        <v>4.8</v>
      </c>
      <c r="HB6" s="50">
        <v>4.7</v>
      </c>
      <c r="HC6" s="50">
        <v>4.7</v>
      </c>
      <c r="HD6" s="50">
        <v>4.7</v>
      </c>
      <c r="HE6" s="50">
        <v>4.7</v>
      </c>
      <c r="HF6" s="50">
        <v>4.8</v>
      </c>
      <c r="HG6" s="50">
        <v>4.8</v>
      </c>
      <c r="HH6" s="50">
        <v>4.9000000000000004</v>
      </c>
      <c r="HI6" s="50">
        <v>13.8</v>
      </c>
      <c r="HJ6" s="50">
        <v>11.2</v>
      </c>
      <c r="HK6" s="50">
        <v>9.8000000000000007</v>
      </c>
      <c r="HL6" s="50">
        <v>9</v>
      </c>
      <c r="HM6" s="50">
        <v>7.9</v>
      </c>
      <c r="HN6" s="50">
        <v>7.5</v>
      </c>
      <c r="HO6" s="50">
        <v>7</v>
      </c>
      <c r="HP6" s="50">
        <v>6.7</v>
      </c>
      <c r="HQ6" s="51">
        <v>6.5</v>
      </c>
      <c r="HR6" s="49" t="s">
        <v>186</v>
      </c>
      <c r="HS6" s="50">
        <v>6.4</v>
      </c>
      <c r="HT6" s="50">
        <v>6.2</v>
      </c>
      <c r="HU6" s="50">
        <v>6</v>
      </c>
      <c r="HV6" s="50">
        <v>5.8</v>
      </c>
      <c r="HW6" s="50">
        <v>5.6</v>
      </c>
      <c r="HX6" s="50">
        <v>5.3</v>
      </c>
      <c r="HY6" s="50">
        <v>4.9000000000000004</v>
      </c>
      <c r="HZ6" s="50">
        <v>4.5999999999999996</v>
      </c>
      <c r="IA6" s="50">
        <v>4.2</v>
      </c>
      <c r="IB6" s="50">
        <v>4</v>
      </c>
      <c r="IC6" s="50">
        <v>3.8</v>
      </c>
      <c r="ID6" s="50">
        <v>3.7</v>
      </c>
      <c r="IE6" s="50">
        <v>3.6</v>
      </c>
      <c r="IF6" s="50">
        <v>3.6</v>
      </c>
      <c r="IG6" s="50">
        <v>3.6</v>
      </c>
      <c r="IH6" s="50">
        <v>3.7</v>
      </c>
      <c r="II6" s="50">
        <v>3.7</v>
      </c>
      <c r="IJ6" s="50">
        <v>3.7</v>
      </c>
      <c r="IK6" s="50">
        <v>3.8</v>
      </c>
      <c r="IL6" s="50">
        <v>3.8</v>
      </c>
      <c r="IM6" s="50">
        <v>3.8</v>
      </c>
      <c r="IN6" s="50">
        <v>3.8</v>
      </c>
      <c r="IO6" s="50">
        <v>3.8</v>
      </c>
      <c r="IP6" s="51">
        <v>3.7</v>
      </c>
      <c r="IQ6" s="49" t="s">
        <v>186</v>
      </c>
      <c r="IR6" s="50">
        <v>3.7</v>
      </c>
      <c r="IS6" s="50">
        <v>3.6</v>
      </c>
      <c r="IT6" s="50">
        <v>3.6</v>
      </c>
      <c r="IU6" s="50">
        <v>3.6</v>
      </c>
      <c r="IV6" s="50">
        <v>3.6</v>
      </c>
      <c r="IW6" s="50">
        <v>3.7</v>
      </c>
      <c r="IX6" s="50">
        <v>3.7</v>
      </c>
      <c r="IY6" s="50">
        <v>3.7</v>
      </c>
      <c r="IZ6" s="50">
        <v>3.8</v>
      </c>
      <c r="JA6" s="50">
        <v>3.7</v>
      </c>
      <c r="JB6" s="50">
        <v>3.7</v>
      </c>
      <c r="JC6" s="50">
        <v>3.6</v>
      </c>
      <c r="JD6" s="50">
        <v>3.5</v>
      </c>
      <c r="JE6" s="50">
        <v>3.4</v>
      </c>
      <c r="JF6" s="50">
        <v>3.3</v>
      </c>
      <c r="JG6" s="50">
        <v>3.4</v>
      </c>
      <c r="JH6" s="50">
        <v>3.4</v>
      </c>
      <c r="JI6" s="50">
        <v>3.5</v>
      </c>
      <c r="JJ6" s="50">
        <v>3.6</v>
      </c>
      <c r="JK6" s="50">
        <v>3.7</v>
      </c>
      <c r="JL6" s="50">
        <v>3.8</v>
      </c>
      <c r="JM6" s="50">
        <v>3.9</v>
      </c>
      <c r="JN6" s="50">
        <v>3.9</v>
      </c>
      <c r="JO6" s="51">
        <v>3.8</v>
      </c>
      <c r="JP6" s="49" t="s">
        <v>186</v>
      </c>
      <c r="JQ6" s="80">
        <v>3.9</v>
      </c>
      <c r="JR6" s="80">
        <v>3.9</v>
      </c>
      <c r="JS6" s="80">
        <v>4.0999999999999996</v>
      </c>
      <c r="JT6" s="80">
        <v>4.0999999999999996</v>
      </c>
      <c r="JU6" s="80">
        <v>4.0999999999999996</v>
      </c>
      <c r="JV6" s="80">
        <v>4.0999999999999996</v>
      </c>
      <c r="JW6" s="80">
        <v>4.0999999999999996</v>
      </c>
      <c r="JX6" s="80">
        <v>4.0999999999999996</v>
      </c>
      <c r="JY6" s="80">
        <v>4.2</v>
      </c>
      <c r="JZ6" s="80" t="s">
        <v>402</v>
      </c>
      <c r="KA6" s="81">
        <v>4.3</v>
      </c>
    </row>
    <row r="7" spans="1:289" x14ac:dyDescent="0.3">
      <c r="B7" s="39" t="s">
        <v>187</v>
      </c>
      <c r="C7" s="17">
        <v>4.1666666666666679</v>
      </c>
      <c r="D7" s="17">
        <v>4.7416666666666671</v>
      </c>
      <c r="E7" s="17">
        <v>5.3333333333333348</v>
      </c>
      <c r="F7" s="17">
        <v>5.7583333333333355</v>
      </c>
      <c r="G7" s="17">
        <v>5.5666666666666682</v>
      </c>
      <c r="H7" s="17">
        <v>5.2666666666666675</v>
      </c>
      <c r="I7" s="17">
        <v>5.2333333333333325</v>
      </c>
      <c r="J7" s="17">
        <v>5.3833333333333329</v>
      </c>
      <c r="K7" s="17">
        <v>5.4166666666666652</v>
      </c>
      <c r="L7" s="17">
        <v>7.7083333333333321</v>
      </c>
      <c r="M7" s="17">
        <v>7.8333333333333321</v>
      </c>
      <c r="N7" s="17">
        <v>7.883333333333332</v>
      </c>
      <c r="O7" s="19">
        <v>7.258333333333332</v>
      </c>
      <c r="P7" s="19">
        <v>7.0416666666666679</v>
      </c>
      <c r="Q7" s="19">
        <v>5.875</v>
      </c>
      <c r="R7" s="19">
        <v>4.9499999999999993</v>
      </c>
      <c r="S7" s="19">
        <v>3.9749999999999996</v>
      </c>
      <c r="T7" s="19">
        <v>3.7416666666666654</v>
      </c>
      <c r="U7" s="19">
        <v>3.65</v>
      </c>
      <c r="V7" s="19">
        <v>3.4916666666666676</v>
      </c>
      <c r="W7" s="19">
        <v>6.158333333333335</v>
      </c>
      <c r="X7" s="19">
        <v>4.0333333333333323</v>
      </c>
      <c r="Y7" s="19">
        <v>3.1750000000000003</v>
      </c>
      <c r="Z7" s="19">
        <v>3.1416666666666679</v>
      </c>
      <c r="AA7" s="19">
        <v>3.4666666666666672</v>
      </c>
      <c r="AB7" s="96"/>
      <c r="AC7" s="35" t="str">
        <f>Table11[[#This Row],[State]]</f>
        <v>Arkansas</v>
      </c>
      <c r="AD7" s="17">
        <v>7.3</v>
      </c>
      <c r="AE7" s="17">
        <v>7.8666666666666698</v>
      </c>
      <c r="AF7" s="17">
        <v>7.8333333333333304</v>
      </c>
      <c r="AG7" s="17">
        <v>7.8333333333333304</v>
      </c>
      <c r="AH7" s="17">
        <v>7.9</v>
      </c>
      <c r="AI7" s="17">
        <v>7.7333333333333298</v>
      </c>
      <c r="AJ7" s="17">
        <v>7.7333333333333298</v>
      </c>
      <c r="AK7" s="17">
        <v>7.9666666666666703</v>
      </c>
      <c r="AL7" s="17">
        <v>8</v>
      </c>
      <c r="AM7" s="17">
        <v>7.9666666666666703</v>
      </c>
      <c r="AN7" s="19">
        <v>7.93333333333333</v>
      </c>
      <c r="AO7" s="19">
        <v>7.6333333333333302</v>
      </c>
      <c r="AP7" s="19">
        <v>7.3333333333333304</v>
      </c>
      <c r="AQ7" s="19">
        <v>7.3</v>
      </c>
      <c r="AR7" s="19">
        <v>7.2</v>
      </c>
      <c r="AS7" s="19">
        <v>7.2</v>
      </c>
      <c r="AT7" s="19">
        <v>7.2</v>
      </c>
      <c r="AU7" s="19">
        <v>7.1666666666666696</v>
      </c>
      <c r="AV7" s="17">
        <v>7.06666666666667</v>
      </c>
      <c r="AW7" s="17">
        <v>6.7333333333333298</v>
      </c>
      <c r="AX7" s="17">
        <v>6.2666666666666702</v>
      </c>
      <c r="AY7" s="17">
        <v>5.9666666666666703</v>
      </c>
      <c r="AZ7" s="17">
        <v>5.7333333333333298</v>
      </c>
      <c r="BA7" s="17">
        <v>5.5333333333333297</v>
      </c>
      <c r="BB7" s="35" t="str">
        <f t="shared" si="0"/>
        <v>Arkansas</v>
      </c>
      <c r="BC7" s="19">
        <v>5.43333333333333</v>
      </c>
      <c r="BD7" s="19">
        <v>5.2</v>
      </c>
      <c r="BE7" s="19">
        <v>4.7666666666666702</v>
      </c>
      <c r="BF7" s="19">
        <v>4.4000000000000004</v>
      </c>
      <c r="BG7" s="17">
        <v>4.0999999999999996</v>
      </c>
      <c r="BH7" s="17">
        <v>4</v>
      </c>
      <c r="BI7" s="17">
        <v>3.93333333333333</v>
      </c>
      <c r="BJ7" s="17">
        <v>3.8666666666666698</v>
      </c>
      <c r="BK7" s="17">
        <v>3.7333333333333298</v>
      </c>
      <c r="BL7" s="17">
        <v>3.7</v>
      </c>
      <c r="BM7" s="17">
        <v>3.7333333333333298</v>
      </c>
      <c r="BN7" s="17">
        <v>3.8</v>
      </c>
      <c r="BO7" s="17">
        <v>3.7666666666666702</v>
      </c>
      <c r="BP7" s="17">
        <v>3.6333333333333302</v>
      </c>
      <c r="BQ7" s="17">
        <v>3.5333333333333301</v>
      </c>
      <c r="BR7" s="17">
        <v>3.6666666666666701</v>
      </c>
      <c r="BS7" s="17">
        <v>3.6</v>
      </c>
      <c r="BT7" s="17">
        <v>3.4</v>
      </c>
      <c r="BU7" s="17">
        <v>3.4666666666666699</v>
      </c>
      <c r="BV7" s="17">
        <v>3.5</v>
      </c>
      <c r="BW7" s="35" t="str">
        <f>Table13[[#This Row],[State]]</f>
        <v>Arkansas</v>
      </c>
      <c r="BX7" s="17">
        <v>3.9666666666666699</v>
      </c>
      <c r="BY7" s="17">
        <v>8.9666666666666703</v>
      </c>
      <c r="BZ7" s="17">
        <v>6.5333333333333297</v>
      </c>
      <c r="CA7" s="17">
        <v>5.1666666666666696</v>
      </c>
      <c r="CB7" s="17">
        <v>4.8</v>
      </c>
      <c r="CC7" s="17">
        <v>4.4000000000000004</v>
      </c>
      <c r="CD7" s="17">
        <v>3.7</v>
      </c>
      <c r="CE7" s="17">
        <v>3.2333333333333298</v>
      </c>
      <c r="CF7" s="17">
        <v>3.2</v>
      </c>
      <c r="CG7" s="17">
        <v>3.2</v>
      </c>
      <c r="CH7" s="17">
        <v>3.2</v>
      </c>
      <c r="CI7" s="17">
        <v>3.1</v>
      </c>
      <c r="CJ7" s="17">
        <v>2.9</v>
      </c>
      <c r="CK7" s="17">
        <v>2.93333333333333</v>
      </c>
      <c r="CL7" s="17">
        <v>3.2666666666666702</v>
      </c>
      <c r="CM7" s="17">
        <v>3.4666666666666699</v>
      </c>
      <c r="CN7" s="17">
        <v>3.4</v>
      </c>
      <c r="CO7" s="17">
        <v>3.4</v>
      </c>
      <c r="CP7" s="17">
        <v>3.4666666666666699</v>
      </c>
      <c r="CQ7" s="17">
        <v>3.6</v>
      </c>
      <c r="CR7" s="42" t="str">
        <f>Table13[[#This Row],[ State]]</f>
        <v>Arkansas</v>
      </c>
      <c r="CS7" s="17">
        <v>3.6333333333333302</v>
      </c>
      <c r="CT7" s="17">
        <v>3.7</v>
      </c>
      <c r="CU7" s="17">
        <v>3.8</v>
      </c>
      <c r="CV7" s="111"/>
      <c r="CW7" s="42" t="s">
        <v>187</v>
      </c>
      <c r="CX7" s="52">
        <v>8</v>
      </c>
      <c r="CY7" s="53">
        <v>8</v>
      </c>
      <c r="CZ7" s="53">
        <v>8</v>
      </c>
      <c r="DA7" s="53">
        <v>7.9</v>
      </c>
      <c r="DB7" s="53">
        <v>8</v>
      </c>
      <c r="DC7" s="53">
        <v>8</v>
      </c>
      <c r="DD7" s="53">
        <v>8</v>
      </c>
      <c r="DE7" s="53">
        <v>7.9</v>
      </c>
      <c r="DF7" s="53">
        <v>7.9</v>
      </c>
      <c r="DG7" s="53">
        <v>7.8</v>
      </c>
      <c r="DH7" s="53">
        <v>7.6</v>
      </c>
      <c r="DI7" s="53">
        <v>7.5</v>
      </c>
      <c r="DJ7" s="53">
        <v>7.4</v>
      </c>
      <c r="DK7" s="53">
        <v>7.3</v>
      </c>
      <c r="DL7" s="53">
        <v>7.3</v>
      </c>
      <c r="DM7" s="53">
        <v>7.3</v>
      </c>
      <c r="DN7" s="53">
        <v>7.3</v>
      </c>
      <c r="DO7" s="53">
        <v>7.3</v>
      </c>
      <c r="DP7" s="53">
        <v>7.2</v>
      </c>
      <c r="DQ7" s="53">
        <v>7.2</v>
      </c>
      <c r="DR7" s="53">
        <v>7.2</v>
      </c>
      <c r="DS7" s="53">
        <v>7.2</v>
      </c>
      <c r="DT7" s="53">
        <v>7.2</v>
      </c>
      <c r="DU7" s="63">
        <v>7.2</v>
      </c>
      <c r="DV7" s="54" t="s">
        <v>187</v>
      </c>
      <c r="DW7" s="53">
        <v>7.2</v>
      </c>
      <c r="DX7" s="53">
        <v>7.2</v>
      </c>
      <c r="DY7" s="53">
        <v>7.2</v>
      </c>
      <c r="DZ7" s="53">
        <v>7.2</v>
      </c>
      <c r="EA7" s="53">
        <v>7.2</v>
      </c>
      <c r="EB7" s="53">
        <v>7.1</v>
      </c>
      <c r="EC7" s="53">
        <v>7.1</v>
      </c>
      <c r="ED7" s="53">
        <v>7.1</v>
      </c>
      <c r="EE7" s="53">
        <v>7</v>
      </c>
      <c r="EF7" s="53">
        <v>6.9</v>
      </c>
      <c r="EG7" s="55">
        <v>6.7</v>
      </c>
      <c r="EH7" s="55">
        <v>6.6</v>
      </c>
      <c r="EI7" s="55">
        <v>6.4</v>
      </c>
      <c r="EJ7" s="55">
        <v>6.3</v>
      </c>
      <c r="EK7" s="53">
        <v>6.1</v>
      </c>
      <c r="EL7" s="55">
        <v>6</v>
      </c>
      <c r="EM7" s="55">
        <v>6</v>
      </c>
      <c r="EN7" s="55">
        <v>5.9</v>
      </c>
      <c r="EO7" s="55">
        <v>5.8</v>
      </c>
      <c r="EP7" s="55">
        <v>5.7</v>
      </c>
      <c r="EQ7" s="55">
        <v>5.7</v>
      </c>
      <c r="ER7" s="53">
        <v>5.6</v>
      </c>
      <c r="ES7" s="55">
        <v>5.5</v>
      </c>
      <c r="ET7" s="56">
        <v>5.5</v>
      </c>
      <c r="EU7" s="54" t="s">
        <v>187</v>
      </c>
      <c r="EV7" s="53">
        <v>5.5</v>
      </c>
      <c r="EW7" s="55">
        <v>5.4</v>
      </c>
      <c r="EX7" s="55">
        <v>5.4</v>
      </c>
      <c r="EY7" s="55">
        <v>5.3</v>
      </c>
      <c r="EZ7" s="55">
        <v>5.2</v>
      </c>
      <c r="FA7" s="55">
        <v>5.0999999999999996</v>
      </c>
      <c r="FB7" s="55">
        <v>4.9000000000000004</v>
      </c>
      <c r="FC7" s="55">
        <v>4.8</v>
      </c>
      <c r="FD7" s="55">
        <v>4.5999999999999996</v>
      </c>
      <c r="FE7" s="55">
        <v>4.5</v>
      </c>
      <c r="FF7" s="55">
        <v>4.4000000000000004</v>
      </c>
      <c r="FG7" s="55">
        <v>4.3</v>
      </c>
      <c r="FH7" s="55">
        <v>4.2</v>
      </c>
      <c r="FI7" s="55">
        <v>4.0999999999999996</v>
      </c>
      <c r="FJ7" s="55">
        <v>4</v>
      </c>
      <c r="FK7" s="55">
        <v>4</v>
      </c>
      <c r="FL7" s="55">
        <v>4</v>
      </c>
      <c r="FM7" s="55">
        <v>4</v>
      </c>
      <c r="FN7" s="55">
        <v>4</v>
      </c>
      <c r="FO7" s="55">
        <v>3.9</v>
      </c>
      <c r="FP7" s="55">
        <v>3.9</v>
      </c>
      <c r="FQ7" s="55">
        <v>3.9</v>
      </c>
      <c r="FR7" s="55">
        <v>3.9</v>
      </c>
      <c r="FS7" s="56">
        <v>3.8</v>
      </c>
      <c r="FT7" s="54" t="s">
        <v>187</v>
      </c>
      <c r="FU7" s="53">
        <v>3.8</v>
      </c>
      <c r="FV7" s="55">
        <v>3.7</v>
      </c>
      <c r="FW7" s="55">
        <v>3.7</v>
      </c>
      <c r="FX7" s="55">
        <v>3.7</v>
      </c>
      <c r="FY7" s="55">
        <v>3.7</v>
      </c>
      <c r="FZ7" s="55">
        <v>3.7</v>
      </c>
      <c r="GA7" s="55">
        <v>3.7</v>
      </c>
      <c r="GB7" s="55">
        <v>3.7</v>
      </c>
      <c r="GC7" s="55">
        <v>3.8</v>
      </c>
      <c r="GD7" s="55">
        <v>3.8</v>
      </c>
      <c r="GE7" s="55">
        <v>3.8</v>
      </c>
      <c r="GF7" s="55">
        <v>3.8</v>
      </c>
      <c r="GG7" s="55">
        <v>3.8</v>
      </c>
      <c r="GH7" s="55">
        <v>3.8</v>
      </c>
      <c r="GI7" s="55">
        <v>3.7</v>
      </c>
      <c r="GJ7" s="55">
        <v>3.7</v>
      </c>
      <c r="GK7" s="55">
        <v>3.6</v>
      </c>
      <c r="GL7" s="55">
        <v>3.6</v>
      </c>
      <c r="GM7" s="55">
        <v>3.5</v>
      </c>
      <c r="GN7" s="55">
        <v>3.5</v>
      </c>
      <c r="GO7" s="55">
        <v>3.6</v>
      </c>
      <c r="GP7" s="55">
        <v>3.6</v>
      </c>
      <c r="GQ7" s="55">
        <v>3.7</v>
      </c>
      <c r="GR7" s="55">
        <v>3.7</v>
      </c>
      <c r="GS7" s="54" t="s">
        <v>187</v>
      </c>
      <c r="GT7" s="55">
        <v>3.7</v>
      </c>
      <c r="GU7" s="55">
        <v>3.6</v>
      </c>
      <c r="GV7" s="55">
        <v>3.5</v>
      </c>
      <c r="GW7" s="55">
        <v>3.4</v>
      </c>
      <c r="GX7" s="55">
        <v>3.4</v>
      </c>
      <c r="GY7" s="55">
        <v>3.4</v>
      </c>
      <c r="GZ7" s="55">
        <v>3.4</v>
      </c>
      <c r="HA7" s="55">
        <v>3.5</v>
      </c>
      <c r="HB7" s="55">
        <v>3.5</v>
      </c>
      <c r="HC7" s="55">
        <v>3.5</v>
      </c>
      <c r="HD7" s="55">
        <v>3.5</v>
      </c>
      <c r="HE7" s="55">
        <v>3.5</v>
      </c>
      <c r="HF7" s="55">
        <v>3.5</v>
      </c>
      <c r="HG7" s="55">
        <v>3.6</v>
      </c>
      <c r="HH7" s="55">
        <v>4.8</v>
      </c>
      <c r="HI7" s="55">
        <v>10.1</v>
      </c>
      <c r="HJ7" s="55">
        <v>8.9</v>
      </c>
      <c r="HK7" s="55">
        <v>7.9</v>
      </c>
      <c r="HL7" s="55">
        <v>7.3</v>
      </c>
      <c r="HM7" s="55">
        <v>6.4</v>
      </c>
      <c r="HN7" s="55">
        <v>5.9</v>
      </c>
      <c r="HO7" s="55">
        <v>5.4</v>
      </c>
      <c r="HP7" s="55">
        <v>5.0999999999999996</v>
      </c>
      <c r="HQ7" s="56">
        <v>5</v>
      </c>
      <c r="HR7" s="54" t="s">
        <v>187</v>
      </c>
      <c r="HS7" s="55">
        <v>4.9000000000000004</v>
      </c>
      <c r="HT7" s="55">
        <v>4.8</v>
      </c>
      <c r="HU7" s="55">
        <v>4.7</v>
      </c>
      <c r="HV7" s="55">
        <v>4.5999999999999996</v>
      </c>
      <c r="HW7" s="55">
        <v>4.4000000000000004</v>
      </c>
      <c r="HX7" s="55">
        <v>4.2</v>
      </c>
      <c r="HY7" s="55">
        <v>3.9</v>
      </c>
      <c r="HZ7" s="55">
        <v>3.7</v>
      </c>
      <c r="IA7" s="55">
        <v>3.5</v>
      </c>
      <c r="IB7" s="55">
        <v>3.3</v>
      </c>
      <c r="IC7" s="55">
        <v>3.2</v>
      </c>
      <c r="ID7" s="55">
        <v>3.2</v>
      </c>
      <c r="IE7" s="55">
        <v>3.2</v>
      </c>
      <c r="IF7" s="55">
        <v>3.2</v>
      </c>
      <c r="IG7" s="55">
        <v>3.2</v>
      </c>
      <c r="IH7" s="55">
        <v>3.2</v>
      </c>
      <c r="II7" s="55">
        <v>3.2</v>
      </c>
      <c r="IJ7" s="55">
        <v>3.2</v>
      </c>
      <c r="IK7" s="55">
        <v>3.2</v>
      </c>
      <c r="IL7" s="55">
        <v>3.2</v>
      </c>
      <c r="IM7" s="55">
        <v>3.2</v>
      </c>
      <c r="IN7" s="55">
        <v>3.2</v>
      </c>
      <c r="IO7" s="55">
        <v>3.1</v>
      </c>
      <c r="IP7" s="56">
        <v>3</v>
      </c>
      <c r="IQ7" s="54" t="s">
        <v>187</v>
      </c>
      <c r="IR7" s="55">
        <v>2.9</v>
      </c>
      <c r="IS7" s="55">
        <v>2.9</v>
      </c>
      <c r="IT7" s="55">
        <v>2.9</v>
      </c>
      <c r="IU7" s="55">
        <v>2.9</v>
      </c>
      <c r="IV7" s="55">
        <v>2.9</v>
      </c>
      <c r="IW7" s="55">
        <v>3</v>
      </c>
      <c r="IX7" s="55">
        <v>3.1</v>
      </c>
      <c r="IY7" s="55">
        <v>3.3</v>
      </c>
      <c r="IZ7" s="55">
        <v>3.4</v>
      </c>
      <c r="JA7" s="55">
        <v>3.4</v>
      </c>
      <c r="JB7" s="55">
        <v>3.5</v>
      </c>
      <c r="JC7" s="55">
        <v>3.5</v>
      </c>
      <c r="JD7" s="55">
        <v>3.4</v>
      </c>
      <c r="JE7" s="55">
        <v>3.4</v>
      </c>
      <c r="JF7" s="55">
        <v>3.4</v>
      </c>
      <c r="JG7" s="55">
        <v>3.4</v>
      </c>
      <c r="JH7" s="55">
        <v>3.4</v>
      </c>
      <c r="JI7" s="55">
        <v>3.4</v>
      </c>
      <c r="JJ7" s="55">
        <v>3.4</v>
      </c>
      <c r="JK7" s="55">
        <v>3.5</v>
      </c>
      <c r="JL7" s="55">
        <v>3.5</v>
      </c>
      <c r="JM7" s="55">
        <v>3.6</v>
      </c>
      <c r="JN7" s="55">
        <v>3.6</v>
      </c>
      <c r="JO7" s="56">
        <v>3.6</v>
      </c>
      <c r="JP7" s="54" t="s">
        <v>187</v>
      </c>
      <c r="JQ7" s="82">
        <v>3.6</v>
      </c>
      <c r="JR7" s="82">
        <v>3.6</v>
      </c>
      <c r="JS7" s="82">
        <v>3.7</v>
      </c>
      <c r="JT7" s="82">
        <v>3.7</v>
      </c>
      <c r="JU7" s="82">
        <v>3.7</v>
      </c>
      <c r="JV7" s="82">
        <v>3.7</v>
      </c>
      <c r="JW7" s="82">
        <v>3.7</v>
      </c>
      <c r="JX7" s="82">
        <v>3.8</v>
      </c>
      <c r="JY7" s="82">
        <v>3.9</v>
      </c>
      <c r="JZ7" s="82" t="s">
        <v>402</v>
      </c>
      <c r="KA7" s="83">
        <v>4.0999999999999996</v>
      </c>
    </row>
    <row r="8" spans="1:289" x14ac:dyDescent="0.3">
      <c r="B8" s="39" t="s">
        <v>188</v>
      </c>
      <c r="C8" s="17">
        <v>4.9249999999999972</v>
      </c>
      <c r="D8" s="17">
        <v>5.4583333333333321</v>
      </c>
      <c r="E8" s="17">
        <v>6.7333333333333325</v>
      </c>
      <c r="F8" s="17">
        <v>6.8999999999999995</v>
      </c>
      <c r="G8" s="17">
        <v>6.2250000000000005</v>
      </c>
      <c r="H8" s="17">
        <v>5.3916666666666675</v>
      </c>
      <c r="I8" s="17">
        <v>4.8916666666666675</v>
      </c>
      <c r="J8" s="17">
        <v>5.3166666666666655</v>
      </c>
      <c r="K8" s="17">
        <v>7.2833333333333323</v>
      </c>
      <c r="L8" s="17">
        <v>11.450000000000024</v>
      </c>
      <c r="M8" s="17">
        <v>12.316666666666675</v>
      </c>
      <c r="N8" s="17">
        <v>11.733333333333324</v>
      </c>
      <c r="O8" s="19">
        <v>10.391666666666652</v>
      </c>
      <c r="P8" s="19">
        <v>9.0250000000000004</v>
      </c>
      <c r="Q8" s="19">
        <v>7.5666666666666682</v>
      </c>
      <c r="R8" s="19">
        <v>6.2166666666666677</v>
      </c>
      <c r="S8" s="19">
        <v>5.5166666666666648</v>
      </c>
      <c r="T8" s="19">
        <v>4.8333333333333321</v>
      </c>
      <c r="U8" s="19">
        <v>4.2583333333333329</v>
      </c>
      <c r="V8" s="19">
        <v>4.0916666666666677</v>
      </c>
      <c r="W8" s="19">
        <v>10.166666666666657</v>
      </c>
      <c r="X8" s="19">
        <v>7.3500000000000005</v>
      </c>
      <c r="Y8" s="19">
        <v>4.2916666666666652</v>
      </c>
      <c r="Z8" s="19">
        <v>4.7250000000000023</v>
      </c>
      <c r="AA8" s="19">
        <v>5.3166666666666647</v>
      </c>
      <c r="AB8" s="96"/>
      <c r="AC8" s="36" t="str">
        <f>Table11[[#This Row],[State]]</f>
        <v>California</v>
      </c>
      <c r="AD8" s="27">
        <v>10.366666666666699</v>
      </c>
      <c r="AE8" s="27">
        <v>11.366666666666699</v>
      </c>
      <c r="AF8" s="27">
        <v>11.866666666666699</v>
      </c>
      <c r="AG8" s="27">
        <v>12.2</v>
      </c>
      <c r="AH8" s="27">
        <v>12.4</v>
      </c>
      <c r="AI8" s="27">
        <v>12.3333333333333</v>
      </c>
      <c r="AJ8" s="27">
        <v>12.266666666666699</v>
      </c>
      <c r="AK8" s="27">
        <v>12.266666666666699</v>
      </c>
      <c r="AL8" s="27">
        <v>12</v>
      </c>
      <c r="AM8" s="27">
        <v>11.9</v>
      </c>
      <c r="AN8" s="27">
        <v>11.733333333333301</v>
      </c>
      <c r="AO8" s="27">
        <v>11.3</v>
      </c>
      <c r="AP8" s="27">
        <v>10.9</v>
      </c>
      <c r="AQ8" s="27">
        <v>10.633333333333301</v>
      </c>
      <c r="AR8" s="27">
        <v>10.233333333333301</v>
      </c>
      <c r="AS8" s="27">
        <v>9.8000000000000007</v>
      </c>
      <c r="AT8" s="27">
        <v>9.5</v>
      </c>
      <c r="AU8" s="27">
        <v>9.1999999999999993</v>
      </c>
      <c r="AV8" s="27">
        <v>8.9</v>
      </c>
      <c r="AW8" s="27">
        <v>8.5</v>
      </c>
      <c r="AX8" s="27">
        <v>8.1</v>
      </c>
      <c r="AY8" s="27">
        <v>7.7</v>
      </c>
      <c r="AZ8" s="27">
        <v>7.4</v>
      </c>
      <c r="BA8" s="27">
        <v>7.06666666666667</v>
      </c>
      <c r="BB8" s="36" t="str">
        <f t="shared" si="0"/>
        <v>California</v>
      </c>
      <c r="BC8" s="27">
        <v>6.7</v>
      </c>
      <c r="BD8" s="27">
        <v>6.4</v>
      </c>
      <c r="BE8" s="27">
        <v>6</v>
      </c>
      <c r="BF8" s="27">
        <v>5.7666666666666702</v>
      </c>
      <c r="BG8" s="27">
        <v>5.6333333333333302</v>
      </c>
      <c r="BH8" s="27">
        <v>5.5</v>
      </c>
      <c r="BI8" s="27">
        <v>5.5</v>
      </c>
      <c r="BJ8" s="27">
        <v>5.43333333333333</v>
      </c>
      <c r="BK8" s="27">
        <v>5.1333333333333302</v>
      </c>
      <c r="BL8" s="27">
        <v>4.9000000000000004</v>
      </c>
      <c r="BM8" s="27">
        <v>4.7666666666666702</v>
      </c>
      <c r="BN8" s="27">
        <v>4.5333333333333297</v>
      </c>
      <c r="BO8" s="27">
        <v>4.3333333333333304</v>
      </c>
      <c r="BP8" s="27">
        <v>4.2</v>
      </c>
      <c r="BQ8" s="27">
        <v>4.2</v>
      </c>
      <c r="BR8" s="27">
        <v>4.3</v>
      </c>
      <c r="BS8" s="27">
        <v>4.2666666666666702</v>
      </c>
      <c r="BT8" s="27">
        <v>4.0333333333333297</v>
      </c>
      <c r="BU8" s="27">
        <v>4</v>
      </c>
      <c r="BV8" s="27">
        <v>4.06666666666667</v>
      </c>
      <c r="BW8" s="36" t="str">
        <f>Table13[[#This Row],[State]]</f>
        <v>California</v>
      </c>
      <c r="BX8" s="27">
        <v>4.7333333333333298</v>
      </c>
      <c r="BY8" s="27">
        <v>15.233333333333301</v>
      </c>
      <c r="BZ8" s="27">
        <v>11.6</v>
      </c>
      <c r="CA8" s="27">
        <v>9.1</v>
      </c>
      <c r="CB8" s="27">
        <v>8.6</v>
      </c>
      <c r="CC8" s="27">
        <v>8.1</v>
      </c>
      <c r="CD8" s="27">
        <v>6.9666666666666703</v>
      </c>
      <c r="CE8" s="27">
        <v>5.7333333333333298</v>
      </c>
      <c r="CF8" s="27">
        <v>4.8333333333333304</v>
      </c>
      <c r="CG8" s="27">
        <v>4.1333333333333302</v>
      </c>
      <c r="CH8" s="27">
        <v>3.9</v>
      </c>
      <c r="CI8" s="27">
        <v>4.3</v>
      </c>
      <c r="CJ8" s="27">
        <v>4.4666666666666703</v>
      </c>
      <c r="CK8" s="27">
        <v>4.56666666666667</v>
      </c>
      <c r="CL8" s="27">
        <v>4.8</v>
      </c>
      <c r="CM8" s="27">
        <v>5.06666666666667</v>
      </c>
      <c r="CN8" s="27">
        <v>5.0999999999999996</v>
      </c>
      <c r="CO8" s="27">
        <v>5.2333333333333298</v>
      </c>
      <c r="CP8" s="27">
        <v>5.43333333333333</v>
      </c>
      <c r="CQ8" s="27">
        <v>5.5</v>
      </c>
      <c r="CR8" s="79" t="str">
        <f>Table13[[#This Row],[ State]]</f>
        <v>California</v>
      </c>
      <c r="CS8" s="27">
        <v>5.3666666666666698</v>
      </c>
      <c r="CT8" s="27">
        <v>5.3333333333333304</v>
      </c>
      <c r="CU8" s="27">
        <v>5.5333333333333297</v>
      </c>
      <c r="CV8" s="111"/>
      <c r="CW8" s="41" t="s">
        <v>188</v>
      </c>
      <c r="CX8" s="47">
        <v>12.1</v>
      </c>
      <c r="CY8" s="48">
        <v>12</v>
      </c>
      <c r="CZ8" s="48">
        <v>11.9</v>
      </c>
      <c r="DA8" s="48">
        <v>11.9</v>
      </c>
      <c r="DB8" s="48">
        <v>11.9</v>
      </c>
      <c r="DC8" s="48">
        <v>11.9</v>
      </c>
      <c r="DD8" s="48">
        <v>11.8</v>
      </c>
      <c r="DE8" s="48">
        <v>11.8</v>
      </c>
      <c r="DF8" s="48">
        <v>11.6</v>
      </c>
      <c r="DG8" s="48">
        <v>11.5</v>
      </c>
      <c r="DH8" s="48">
        <v>11.3</v>
      </c>
      <c r="DI8" s="48">
        <v>11.1</v>
      </c>
      <c r="DJ8" s="48">
        <v>11</v>
      </c>
      <c r="DK8" s="48">
        <v>10.9</v>
      </c>
      <c r="DL8" s="48">
        <v>10.8</v>
      </c>
      <c r="DM8" s="48">
        <v>10.7</v>
      </c>
      <c r="DN8" s="48">
        <v>10.7</v>
      </c>
      <c r="DO8" s="48">
        <v>10.5</v>
      </c>
      <c r="DP8" s="48">
        <v>10.4</v>
      </c>
      <c r="DQ8" s="48">
        <v>10.199999999999999</v>
      </c>
      <c r="DR8" s="48">
        <v>10.1</v>
      </c>
      <c r="DS8" s="48">
        <v>9.9</v>
      </c>
      <c r="DT8" s="48">
        <v>9.8000000000000007</v>
      </c>
      <c r="DU8" s="62">
        <v>9.6999999999999993</v>
      </c>
      <c r="DV8" s="49" t="s">
        <v>188</v>
      </c>
      <c r="DW8" s="48">
        <v>9.6</v>
      </c>
      <c r="DX8" s="48">
        <v>9.5</v>
      </c>
      <c r="DY8" s="48">
        <v>9.4</v>
      </c>
      <c r="DZ8" s="48">
        <v>9.3000000000000007</v>
      </c>
      <c r="EA8" s="48">
        <v>9.1999999999999993</v>
      </c>
      <c r="EB8" s="48">
        <v>9.1</v>
      </c>
      <c r="EC8" s="48">
        <v>9</v>
      </c>
      <c r="ED8" s="48">
        <v>8.9</v>
      </c>
      <c r="EE8" s="48">
        <v>8.8000000000000007</v>
      </c>
      <c r="EF8" s="48">
        <v>8.6</v>
      </c>
      <c r="EG8" s="50">
        <v>8.5</v>
      </c>
      <c r="EH8" s="50">
        <v>8.4</v>
      </c>
      <c r="EI8" s="50">
        <v>8.1999999999999993</v>
      </c>
      <c r="EJ8" s="50">
        <v>8.1</v>
      </c>
      <c r="EK8" s="48">
        <v>8</v>
      </c>
      <c r="EL8" s="50">
        <v>7.8</v>
      </c>
      <c r="EM8" s="50">
        <v>7.7</v>
      </c>
      <c r="EN8" s="50">
        <v>7.6</v>
      </c>
      <c r="EO8" s="50">
        <v>7.5</v>
      </c>
      <c r="EP8" s="50">
        <v>7.4</v>
      </c>
      <c r="EQ8" s="50">
        <v>7.3</v>
      </c>
      <c r="ER8" s="48">
        <v>7.2</v>
      </c>
      <c r="ES8" s="50">
        <v>7.1</v>
      </c>
      <c r="ET8" s="51">
        <v>6.9</v>
      </c>
      <c r="EU8" s="49" t="s">
        <v>188</v>
      </c>
      <c r="EV8" s="48">
        <v>6.8</v>
      </c>
      <c r="EW8" s="50">
        <v>6.7</v>
      </c>
      <c r="EX8" s="50">
        <v>6.6</v>
      </c>
      <c r="EY8" s="50">
        <v>6.5</v>
      </c>
      <c r="EZ8" s="50">
        <v>6.4</v>
      </c>
      <c r="FA8" s="50">
        <v>6.3</v>
      </c>
      <c r="FB8" s="50">
        <v>6.1</v>
      </c>
      <c r="FC8" s="50">
        <v>6</v>
      </c>
      <c r="FD8" s="50">
        <v>5.9</v>
      </c>
      <c r="FE8" s="50">
        <v>5.8</v>
      </c>
      <c r="FF8" s="50">
        <v>5.8</v>
      </c>
      <c r="FG8" s="50">
        <v>5.7</v>
      </c>
      <c r="FH8" s="50">
        <v>5.7</v>
      </c>
      <c r="FI8" s="50">
        <v>5.6</v>
      </c>
      <c r="FJ8" s="50">
        <v>5.6</v>
      </c>
      <c r="FK8" s="50">
        <v>5.5</v>
      </c>
      <c r="FL8" s="50">
        <v>5.5</v>
      </c>
      <c r="FM8" s="50">
        <v>5.5</v>
      </c>
      <c r="FN8" s="50">
        <v>5.5</v>
      </c>
      <c r="FO8" s="50">
        <v>5.5</v>
      </c>
      <c r="FP8" s="50">
        <v>5.5</v>
      </c>
      <c r="FQ8" s="50">
        <v>5.5</v>
      </c>
      <c r="FR8" s="50">
        <v>5.4</v>
      </c>
      <c r="FS8" s="51">
        <v>5.4</v>
      </c>
      <c r="FT8" s="49" t="s">
        <v>188</v>
      </c>
      <c r="FU8" s="48">
        <v>5.3</v>
      </c>
      <c r="FV8" s="50">
        <v>5.0999999999999996</v>
      </c>
      <c r="FW8" s="50">
        <v>5</v>
      </c>
      <c r="FX8" s="50">
        <v>5</v>
      </c>
      <c r="FY8" s="50">
        <v>4.9000000000000004</v>
      </c>
      <c r="FZ8" s="50">
        <v>4.8</v>
      </c>
      <c r="GA8" s="50">
        <v>4.8</v>
      </c>
      <c r="GB8" s="50">
        <v>4.8</v>
      </c>
      <c r="GC8" s="50">
        <v>4.7</v>
      </c>
      <c r="GD8" s="50">
        <v>4.5999999999999996</v>
      </c>
      <c r="GE8" s="50">
        <v>4.5</v>
      </c>
      <c r="GF8" s="50">
        <v>4.5</v>
      </c>
      <c r="GG8" s="50">
        <v>4.4000000000000004</v>
      </c>
      <c r="GH8" s="50">
        <v>4.3</v>
      </c>
      <c r="GI8" s="50">
        <v>4.3</v>
      </c>
      <c r="GJ8" s="50">
        <v>4.2</v>
      </c>
      <c r="GK8" s="50">
        <v>4.2</v>
      </c>
      <c r="GL8" s="50">
        <v>4.2</v>
      </c>
      <c r="GM8" s="50">
        <v>4.2</v>
      </c>
      <c r="GN8" s="50">
        <v>4.2</v>
      </c>
      <c r="GO8" s="50">
        <v>4.2</v>
      </c>
      <c r="GP8" s="50">
        <v>4.3</v>
      </c>
      <c r="GQ8" s="50">
        <v>4.3</v>
      </c>
      <c r="GR8" s="50">
        <v>4.3</v>
      </c>
      <c r="GS8" s="49" t="s">
        <v>188</v>
      </c>
      <c r="GT8" s="50">
        <v>4.3</v>
      </c>
      <c r="GU8" s="50">
        <v>4.3</v>
      </c>
      <c r="GV8" s="50">
        <v>4.2</v>
      </c>
      <c r="GW8" s="50">
        <v>4.0999999999999996</v>
      </c>
      <c r="GX8" s="50">
        <v>4</v>
      </c>
      <c r="GY8" s="50">
        <v>4</v>
      </c>
      <c r="GZ8" s="50">
        <v>4</v>
      </c>
      <c r="HA8" s="50">
        <v>4</v>
      </c>
      <c r="HB8" s="50">
        <v>4</v>
      </c>
      <c r="HC8" s="50">
        <v>4</v>
      </c>
      <c r="HD8" s="50">
        <v>4.0999999999999996</v>
      </c>
      <c r="HE8" s="50">
        <v>4.0999999999999996</v>
      </c>
      <c r="HF8" s="50">
        <v>4.3</v>
      </c>
      <c r="HG8" s="50">
        <v>4.4000000000000004</v>
      </c>
      <c r="HH8" s="50">
        <v>5.5</v>
      </c>
      <c r="HI8" s="50">
        <v>16.100000000000001</v>
      </c>
      <c r="HJ8" s="50">
        <v>15.8</v>
      </c>
      <c r="HK8" s="50">
        <v>13.8</v>
      </c>
      <c r="HL8" s="50">
        <v>13.1</v>
      </c>
      <c r="HM8" s="50">
        <v>11.8</v>
      </c>
      <c r="HN8" s="50">
        <v>9.9</v>
      </c>
      <c r="HO8" s="50">
        <v>9.3000000000000007</v>
      </c>
      <c r="HP8" s="50">
        <v>9</v>
      </c>
      <c r="HQ8" s="51">
        <v>9</v>
      </c>
      <c r="HR8" s="49" t="s">
        <v>188</v>
      </c>
      <c r="HS8" s="50">
        <v>8.6999999999999993</v>
      </c>
      <c r="HT8" s="50">
        <v>8.6</v>
      </c>
      <c r="HU8" s="50">
        <v>8.5</v>
      </c>
      <c r="HV8" s="50">
        <v>8.4</v>
      </c>
      <c r="HW8" s="50">
        <v>8</v>
      </c>
      <c r="HX8" s="50">
        <v>7.9</v>
      </c>
      <c r="HY8" s="50">
        <v>7.4</v>
      </c>
      <c r="HZ8" s="50">
        <v>7</v>
      </c>
      <c r="IA8" s="50">
        <v>6.5</v>
      </c>
      <c r="IB8" s="50">
        <v>6.1</v>
      </c>
      <c r="IC8" s="50">
        <v>5.7</v>
      </c>
      <c r="ID8" s="50">
        <v>5.4</v>
      </c>
      <c r="IE8" s="50">
        <v>5.2</v>
      </c>
      <c r="IF8" s="50">
        <v>4.8</v>
      </c>
      <c r="IG8" s="50">
        <v>4.5</v>
      </c>
      <c r="IH8" s="50">
        <v>4.3</v>
      </c>
      <c r="II8" s="50">
        <v>4.0999999999999996</v>
      </c>
      <c r="IJ8" s="50">
        <v>4</v>
      </c>
      <c r="IK8" s="50">
        <v>3.9</v>
      </c>
      <c r="IL8" s="50">
        <v>3.8</v>
      </c>
      <c r="IM8" s="50">
        <v>4</v>
      </c>
      <c r="IN8" s="50">
        <v>4.2</v>
      </c>
      <c r="IO8" s="50">
        <v>4.3</v>
      </c>
      <c r="IP8" s="51">
        <v>4.4000000000000004</v>
      </c>
      <c r="IQ8" s="49" t="s">
        <v>188</v>
      </c>
      <c r="IR8" s="50">
        <v>4.4000000000000004</v>
      </c>
      <c r="IS8" s="50">
        <v>4.5</v>
      </c>
      <c r="IT8" s="50">
        <v>4.5</v>
      </c>
      <c r="IU8" s="50">
        <v>4.5</v>
      </c>
      <c r="IV8" s="50">
        <v>4.5999999999999996</v>
      </c>
      <c r="IW8" s="50">
        <v>4.5999999999999996</v>
      </c>
      <c r="IX8" s="50">
        <v>4.7</v>
      </c>
      <c r="IY8" s="50">
        <v>4.8</v>
      </c>
      <c r="IZ8" s="50">
        <v>4.9000000000000004</v>
      </c>
      <c r="JA8" s="50">
        <v>5</v>
      </c>
      <c r="JB8" s="50">
        <v>5.0999999999999996</v>
      </c>
      <c r="JC8" s="50">
        <v>5.0999999999999996</v>
      </c>
      <c r="JD8" s="50">
        <v>5.0999999999999996</v>
      </c>
      <c r="JE8" s="50">
        <v>5.0999999999999996</v>
      </c>
      <c r="JF8" s="50">
        <v>5.0999999999999996</v>
      </c>
      <c r="JG8" s="50">
        <v>5.2</v>
      </c>
      <c r="JH8" s="50">
        <v>5.2</v>
      </c>
      <c r="JI8" s="50">
        <v>5.3</v>
      </c>
      <c r="JJ8" s="50">
        <v>5.4</v>
      </c>
      <c r="JK8" s="50">
        <v>5.4</v>
      </c>
      <c r="JL8" s="50">
        <v>5.5</v>
      </c>
      <c r="JM8" s="50">
        <v>5.5</v>
      </c>
      <c r="JN8" s="50">
        <v>5.5</v>
      </c>
      <c r="JO8" s="51">
        <v>5.5</v>
      </c>
      <c r="JP8" s="49" t="s">
        <v>188</v>
      </c>
      <c r="JQ8" s="80">
        <v>5.4</v>
      </c>
      <c r="JR8" s="80">
        <v>5.4</v>
      </c>
      <c r="JS8" s="80">
        <v>5.3</v>
      </c>
      <c r="JT8" s="80">
        <v>5.3</v>
      </c>
      <c r="JU8" s="80">
        <v>5.3</v>
      </c>
      <c r="JV8" s="80">
        <v>5.4</v>
      </c>
      <c r="JW8" s="80">
        <v>5.5</v>
      </c>
      <c r="JX8" s="80">
        <v>5.5</v>
      </c>
      <c r="JY8" s="80">
        <v>5.6</v>
      </c>
      <c r="JZ8" s="80" t="s">
        <v>402</v>
      </c>
      <c r="KA8" s="81">
        <v>5.5</v>
      </c>
    </row>
    <row r="9" spans="1:289" x14ac:dyDescent="0.3">
      <c r="B9" s="39" t="s">
        <v>189</v>
      </c>
      <c r="C9" s="17">
        <v>2.7250000000000001</v>
      </c>
      <c r="D9" s="17">
        <v>3.8166666666666647</v>
      </c>
      <c r="E9" s="17">
        <v>5.7166666666666677</v>
      </c>
      <c r="F9" s="17">
        <v>6.1166666666666671</v>
      </c>
      <c r="G9" s="17">
        <v>5.5666666666666673</v>
      </c>
      <c r="H9" s="17">
        <v>5.0833333333333348</v>
      </c>
      <c r="I9" s="17">
        <v>4.25</v>
      </c>
      <c r="J9" s="17">
        <v>3.6833333333333327</v>
      </c>
      <c r="K9" s="17">
        <v>4.8416666666666677</v>
      </c>
      <c r="L9" s="17">
        <v>7.950000000000002</v>
      </c>
      <c r="M9" s="17">
        <v>9.1416666666666675</v>
      </c>
      <c r="N9" s="17">
        <v>8.6916666666666647</v>
      </c>
      <c r="O9" s="19">
        <v>7.9916666666666654</v>
      </c>
      <c r="P9" s="19">
        <v>6.7250000000000005</v>
      </c>
      <c r="Q9" s="19">
        <v>4.95</v>
      </c>
      <c r="R9" s="19">
        <v>3.7</v>
      </c>
      <c r="S9" s="19">
        <v>3.1166666666666671</v>
      </c>
      <c r="T9" s="19">
        <v>2.6166666666666649</v>
      </c>
      <c r="U9" s="19">
        <v>3.0249999999999999</v>
      </c>
      <c r="V9" s="19">
        <v>2.6666666666666679</v>
      </c>
      <c r="W9" s="19">
        <v>6.7916666666666741</v>
      </c>
      <c r="X9" s="19">
        <v>5.5083333333333329</v>
      </c>
      <c r="Y9" s="19">
        <v>3.1</v>
      </c>
      <c r="Z9" s="19">
        <v>3.3</v>
      </c>
      <c r="AA9" s="19">
        <v>4.25</v>
      </c>
      <c r="AB9" s="96"/>
      <c r="AC9" s="35" t="str">
        <f>Table11[[#This Row],[State]]</f>
        <v>Colorado</v>
      </c>
      <c r="AD9" s="17">
        <v>7.1</v>
      </c>
      <c r="AE9" s="17">
        <v>8.06666666666667</v>
      </c>
      <c r="AF9" s="17">
        <v>8.1999999999999993</v>
      </c>
      <c r="AG9" s="17">
        <v>8.4333333333333407</v>
      </c>
      <c r="AH9" s="17">
        <v>8.9666666666666703</v>
      </c>
      <c r="AI9" s="17">
        <v>9.0333333333333297</v>
      </c>
      <c r="AJ9" s="17">
        <v>9.1999999999999993</v>
      </c>
      <c r="AK9" s="17">
        <v>9.3666666666666707</v>
      </c>
      <c r="AL9" s="17">
        <v>8.93333333333333</v>
      </c>
      <c r="AM9" s="17">
        <v>8.6333333333333293</v>
      </c>
      <c r="AN9" s="19">
        <v>8.6666666666666696</v>
      </c>
      <c r="AO9" s="19">
        <v>8.5333333333333297</v>
      </c>
      <c r="AP9" s="19">
        <v>8.3333333333333304</v>
      </c>
      <c r="AQ9" s="19">
        <v>8.1999999999999993</v>
      </c>
      <c r="AR9" s="19">
        <v>7.93333333333333</v>
      </c>
      <c r="AS9" s="19">
        <v>7.5</v>
      </c>
      <c r="AT9" s="19">
        <v>7.1333333333333302</v>
      </c>
      <c r="AU9" s="19">
        <v>6.8666666666666698</v>
      </c>
      <c r="AV9" s="17">
        <v>6.6666666666666696</v>
      </c>
      <c r="AW9" s="17">
        <v>6.2333333333333298</v>
      </c>
      <c r="AX9" s="17">
        <v>5.7666666666666702</v>
      </c>
      <c r="AY9" s="17">
        <v>5.2</v>
      </c>
      <c r="AZ9" s="17">
        <v>4.5999999999999996</v>
      </c>
      <c r="BA9" s="17">
        <v>4.2333333333333298</v>
      </c>
      <c r="BB9" s="35" t="str">
        <f t="shared" si="0"/>
        <v>Colorado</v>
      </c>
      <c r="BC9" s="19">
        <v>4.06666666666667</v>
      </c>
      <c r="BD9" s="19">
        <v>3.9</v>
      </c>
      <c r="BE9" s="19">
        <v>3.5</v>
      </c>
      <c r="BF9" s="19">
        <v>3.3333333333333299</v>
      </c>
      <c r="BG9" s="17">
        <v>3.3</v>
      </c>
      <c r="BH9" s="17">
        <v>3.2666666666666702</v>
      </c>
      <c r="BI9" s="17">
        <v>3.1</v>
      </c>
      <c r="BJ9" s="17">
        <v>2.8</v>
      </c>
      <c r="BK9" s="17">
        <v>2.5</v>
      </c>
      <c r="BL9" s="17">
        <v>2.43333333333333</v>
      </c>
      <c r="BM9" s="17">
        <v>2.7</v>
      </c>
      <c r="BN9" s="17">
        <v>2.8333333333333299</v>
      </c>
      <c r="BO9" s="17">
        <v>2.9</v>
      </c>
      <c r="BP9" s="17">
        <v>3.0333333333333301</v>
      </c>
      <c r="BQ9" s="17">
        <v>3.1</v>
      </c>
      <c r="BR9" s="17">
        <v>3.06666666666667</v>
      </c>
      <c r="BS9" s="17">
        <v>2.9</v>
      </c>
      <c r="BT9" s="17">
        <v>2.56666666666667</v>
      </c>
      <c r="BU9" s="17">
        <v>2.5</v>
      </c>
      <c r="BV9" s="17">
        <v>2.7</v>
      </c>
      <c r="BW9" s="35" t="str">
        <f>Table13[[#This Row],[State]]</f>
        <v>Colorado</v>
      </c>
      <c r="BX9" s="17">
        <v>3.2</v>
      </c>
      <c r="BY9" s="17">
        <v>11.366666666666699</v>
      </c>
      <c r="BZ9" s="17">
        <v>6.3333333333333304</v>
      </c>
      <c r="CA9" s="17">
        <v>6.2666666666666702</v>
      </c>
      <c r="CB9" s="17">
        <v>6.2666666666666702</v>
      </c>
      <c r="CC9" s="17">
        <v>6.0333333333333297</v>
      </c>
      <c r="CD9" s="17">
        <v>5.3333333333333304</v>
      </c>
      <c r="CE9" s="17">
        <v>4.4000000000000004</v>
      </c>
      <c r="CF9" s="17">
        <v>3.6666666666666701</v>
      </c>
      <c r="CG9" s="17">
        <v>3.0333333333333301</v>
      </c>
      <c r="CH9" s="17">
        <v>2.7333333333333298</v>
      </c>
      <c r="CI9" s="17">
        <v>2.9666666666666699</v>
      </c>
      <c r="CJ9" s="17">
        <v>3.0333333333333301</v>
      </c>
      <c r="CK9" s="17">
        <v>3.1666666666666701</v>
      </c>
      <c r="CL9" s="17">
        <v>3.3666666666666698</v>
      </c>
      <c r="CM9" s="17">
        <v>3.6333333333333302</v>
      </c>
      <c r="CN9" s="17">
        <v>3.9</v>
      </c>
      <c r="CO9" s="17">
        <v>4.0999999999999996</v>
      </c>
      <c r="CP9" s="17">
        <v>4.4000000000000004</v>
      </c>
      <c r="CQ9" s="17">
        <v>4.5999999999999996</v>
      </c>
      <c r="CR9" s="42" t="str">
        <f>Table13[[#This Row],[ State]]</f>
        <v>Colorado</v>
      </c>
      <c r="CS9" s="17">
        <v>4.7333333333333298</v>
      </c>
      <c r="CT9" s="17">
        <v>4.7666666666666702</v>
      </c>
      <c r="CU9" s="17">
        <v>4.2666666666666702</v>
      </c>
      <c r="CV9" s="111"/>
      <c r="CW9" s="42" t="s">
        <v>189</v>
      </c>
      <c r="CX9" s="52">
        <v>9.1</v>
      </c>
      <c r="CY9" s="53">
        <v>8.9</v>
      </c>
      <c r="CZ9" s="53">
        <v>8.8000000000000007</v>
      </c>
      <c r="DA9" s="53">
        <v>8.6999999999999993</v>
      </c>
      <c r="DB9" s="53">
        <v>8.6</v>
      </c>
      <c r="DC9" s="53">
        <v>8.6</v>
      </c>
      <c r="DD9" s="53">
        <v>8.6999999999999993</v>
      </c>
      <c r="DE9" s="53">
        <v>8.6999999999999993</v>
      </c>
      <c r="DF9" s="53">
        <v>8.6</v>
      </c>
      <c r="DG9" s="53">
        <v>8.6</v>
      </c>
      <c r="DH9" s="53">
        <v>8.5</v>
      </c>
      <c r="DI9" s="53">
        <v>8.5</v>
      </c>
      <c r="DJ9" s="53">
        <v>8.4</v>
      </c>
      <c r="DK9" s="53">
        <v>8.3000000000000007</v>
      </c>
      <c r="DL9" s="53">
        <v>8.3000000000000007</v>
      </c>
      <c r="DM9" s="53">
        <v>8.1999999999999993</v>
      </c>
      <c r="DN9" s="53">
        <v>8.1999999999999993</v>
      </c>
      <c r="DO9" s="53">
        <v>8.1999999999999993</v>
      </c>
      <c r="DP9" s="53">
        <v>8.1</v>
      </c>
      <c r="DQ9" s="53">
        <v>7.9</v>
      </c>
      <c r="DR9" s="53">
        <v>7.8</v>
      </c>
      <c r="DS9" s="53">
        <v>7.6</v>
      </c>
      <c r="DT9" s="53">
        <v>7.5</v>
      </c>
      <c r="DU9" s="63">
        <v>7.4</v>
      </c>
      <c r="DV9" s="54" t="s">
        <v>189</v>
      </c>
      <c r="DW9" s="53">
        <v>7.3</v>
      </c>
      <c r="DX9" s="53">
        <v>7.1</v>
      </c>
      <c r="DY9" s="53">
        <v>7</v>
      </c>
      <c r="DZ9" s="53">
        <v>6.9</v>
      </c>
      <c r="EA9" s="53">
        <v>6.9</v>
      </c>
      <c r="EB9" s="53">
        <v>6.8</v>
      </c>
      <c r="EC9" s="53">
        <v>6.8</v>
      </c>
      <c r="ED9" s="53">
        <v>6.7</v>
      </c>
      <c r="EE9" s="53">
        <v>6.5</v>
      </c>
      <c r="EF9" s="53">
        <v>6.4</v>
      </c>
      <c r="EG9" s="55">
        <v>6.2</v>
      </c>
      <c r="EH9" s="55">
        <v>6.1</v>
      </c>
      <c r="EI9" s="55">
        <v>5.9</v>
      </c>
      <c r="EJ9" s="55">
        <v>5.8</v>
      </c>
      <c r="EK9" s="53">
        <v>5.6</v>
      </c>
      <c r="EL9" s="55">
        <v>5.4</v>
      </c>
      <c r="EM9" s="55">
        <v>5.2</v>
      </c>
      <c r="EN9" s="55">
        <v>5</v>
      </c>
      <c r="EO9" s="55">
        <v>4.8</v>
      </c>
      <c r="EP9" s="55">
        <v>4.5999999999999996</v>
      </c>
      <c r="EQ9" s="55">
        <v>4.4000000000000004</v>
      </c>
      <c r="ER9" s="53">
        <v>4.3</v>
      </c>
      <c r="ES9" s="55">
        <v>4.2</v>
      </c>
      <c r="ET9" s="56">
        <v>4.2</v>
      </c>
      <c r="EU9" s="54" t="s">
        <v>189</v>
      </c>
      <c r="EV9" s="53">
        <v>4.0999999999999996</v>
      </c>
      <c r="EW9" s="55">
        <v>4.0999999999999996</v>
      </c>
      <c r="EX9" s="55">
        <v>4</v>
      </c>
      <c r="EY9" s="55">
        <v>4</v>
      </c>
      <c r="EZ9" s="55">
        <v>3.9</v>
      </c>
      <c r="FA9" s="55">
        <v>3.8</v>
      </c>
      <c r="FB9" s="55">
        <v>3.6</v>
      </c>
      <c r="FC9" s="55">
        <v>3.5</v>
      </c>
      <c r="FD9" s="55">
        <v>3.4</v>
      </c>
      <c r="FE9" s="55">
        <v>3.4</v>
      </c>
      <c r="FF9" s="55">
        <v>3.3</v>
      </c>
      <c r="FG9" s="55">
        <v>3.3</v>
      </c>
      <c r="FH9" s="55">
        <v>3.3</v>
      </c>
      <c r="FI9" s="55">
        <v>3.3</v>
      </c>
      <c r="FJ9" s="55">
        <v>3.3</v>
      </c>
      <c r="FK9" s="55">
        <v>3.3</v>
      </c>
      <c r="FL9" s="55">
        <v>3.3</v>
      </c>
      <c r="FM9" s="55">
        <v>3.2</v>
      </c>
      <c r="FN9" s="55">
        <v>3.2</v>
      </c>
      <c r="FO9" s="55">
        <v>3.1</v>
      </c>
      <c r="FP9" s="55">
        <v>3</v>
      </c>
      <c r="FQ9" s="55">
        <v>2.9</v>
      </c>
      <c r="FR9" s="55">
        <v>2.8</v>
      </c>
      <c r="FS9" s="56">
        <v>2.7</v>
      </c>
      <c r="FT9" s="54" t="s">
        <v>189</v>
      </c>
      <c r="FU9" s="53">
        <v>2.6</v>
      </c>
      <c r="FV9" s="55">
        <v>2.5</v>
      </c>
      <c r="FW9" s="55">
        <v>2.4</v>
      </c>
      <c r="FX9" s="55">
        <v>2.4</v>
      </c>
      <c r="FY9" s="55">
        <v>2.4</v>
      </c>
      <c r="FZ9" s="55">
        <v>2.5</v>
      </c>
      <c r="GA9" s="55">
        <v>2.6</v>
      </c>
      <c r="GB9" s="55">
        <v>2.7</v>
      </c>
      <c r="GC9" s="55">
        <v>2.8</v>
      </c>
      <c r="GD9" s="55">
        <v>2.8</v>
      </c>
      <c r="GE9" s="55">
        <v>2.8</v>
      </c>
      <c r="GF9" s="55">
        <v>2.9</v>
      </c>
      <c r="GG9" s="55">
        <v>2.9</v>
      </c>
      <c r="GH9" s="55">
        <v>2.9</v>
      </c>
      <c r="GI9" s="55">
        <v>2.9</v>
      </c>
      <c r="GJ9" s="55">
        <v>3</v>
      </c>
      <c r="GK9" s="55">
        <v>3</v>
      </c>
      <c r="GL9" s="55">
        <v>3.1</v>
      </c>
      <c r="GM9" s="55">
        <v>3.1</v>
      </c>
      <c r="GN9" s="55">
        <v>3.1</v>
      </c>
      <c r="GO9" s="55">
        <v>3.1</v>
      </c>
      <c r="GP9" s="55">
        <v>3.1</v>
      </c>
      <c r="GQ9" s="55">
        <v>3.1</v>
      </c>
      <c r="GR9" s="55">
        <v>3</v>
      </c>
      <c r="GS9" s="54" t="s">
        <v>189</v>
      </c>
      <c r="GT9" s="55">
        <v>3</v>
      </c>
      <c r="GU9" s="55">
        <v>2.9</v>
      </c>
      <c r="GV9" s="55">
        <v>2.8</v>
      </c>
      <c r="GW9" s="55">
        <v>2.6</v>
      </c>
      <c r="GX9" s="55">
        <v>2.6</v>
      </c>
      <c r="GY9" s="55">
        <v>2.5</v>
      </c>
      <c r="GZ9" s="55">
        <v>2.5</v>
      </c>
      <c r="HA9" s="55">
        <v>2.5</v>
      </c>
      <c r="HB9" s="55">
        <v>2.5</v>
      </c>
      <c r="HC9" s="55">
        <v>2.6</v>
      </c>
      <c r="HD9" s="55">
        <v>2.7</v>
      </c>
      <c r="HE9" s="55">
        <v>2.8</v>
      </c>
      <c r="HF9" s="55">
        <v>3</v>
      </c>
      <c r="HG9" s="55">
        <v>3.2</v>
      </c>
      <c r="HH9" s="55">
        <v>3.4</v>
      </c>
      <c r="HI9" s="55">
        <v>11.2</v>
      </c>
      <c r="HJ9" s="55">
        <v>11.7</v>
      </c>
      <c r="HK9" s="55">
        <v>11.2</v>
      </c>
      <c r="HL9" s="55">
        <v>6.5</v>
      </c>
      <c r="HM9" s="55">
        <v>6.2</v>
      </c>
      <c r="HN9" s="55">
        <v>6.3</v>
      </c>
      <c r="HO9" s="55">
        <v>6.2</v>
      </c>
      <c r="HP9" s="55">
        <v>6.2</v>
      </c>
      <c r="HQ9" s="56">
        <v>6.4</v>
      </c>
      <c r="HR9" s="54" t="s">
        <v>189</v>
      </c>
      <c r="HS9" s="55">
        <v>6.3</v>
      </c>
      <c r="HT9" s="55">
        <v>6.3</v>
      </c>
      <c r="HU9" s="55">
        <v>6.2</v>
      </c>
      <c r="HV9" s="55">
        <v>6.2</v>
      </c>
      <c r="HW9" s="55">
        <v>6</v>
      </c>
      <c r="HX9" s="55">
        <v>5.9</v>
      </c>
      <c r="HY9" s="55">
        <v>5.7</v>
      </c>
      <c r="HZ9" s="55">
        <v>5.4</v>
      </c>
      <c r="IA9" s="55">
        <v>4.9000000000000004</v>
      </c>
      <c r="IB9" s="55">
        <v>4.5999999999999996</v>
      </c>
      <c r="IC9" s="55">
        <v>4.4000000000000004</v>
      </c>
      <c r="ID9" s="55">
        <v>4.2</v>
      </c>
      <c r="IE9" s="55">
        <v>4</v>
      </c>
      <c r="IF9" s="55">
        <v>3.7</v>
      </c>
      <c r="IG9" s="55">
        <v>3.3</v>
      </c>
      <c r="IH9" s="55">
        <v>3.2</v>
      </c>
      <c r="II9" s="55">
        <v>3</v>
      </c>
      <c r="IJ9" s="55">
        <v>2.9</v>
      </c>
      <c r="IK9" s="55">
        <v>2.8</v>
      </c>
      <c r="IL9" s="55">
        <v>2.6</v>
      </c>
      <c r="IM9" s="55">
        <v>2.8</v>
      </c>
      <c r="IN9" s="55">
        <v>2.9</v>
      </c>
      <c r="IO9" s="55">
        <v>3</v>
      </c>
      <c r="IP9" s="56">
        <v>3</v>
      </c>
      <c r="IQ9" s="54" t="s">
        <v>189</v>
      </c>
      <c r="IR9" s="55">
        <v>3</v>
      </c>
      <c r="IS9" s="55">
        <v>3</v>
      </c>
      <c r="IT9" s="55">
        <v>3.1</v>
      </c>
      <c r="IU9" s="55">
        <v>3.1</v>
      </c>
      <c r="IV9" s="55">
        <v>3.2</v>
      </c>
      <c r="IW9" s="55">
        <v>3.2</v>
      </c>
      <c r="IX9" s="55">
        <v>3.3</v>
      </c>
      <c r="IY9" s="55">
        <v>3.4</v>
      </c>
      <c r="IZ9" s="55">
        <v>3.4</v>
      </c>
      <c r="JA9" s="55">
        <v>3.5</v>
      </c>
      <c r="JB9" s="55">
        <v>3.6</v>
      </c>
      <c r="JC9" s="55">
        <v>3.8</v>
      </c>
      <c r="JD9" s="55">
        <v>3.8</v>
      </c>
      <c r="JE9" s="55">
        <v>3.9</v>
      </c>
      <c r="JF9" s="55">
        <v>4</v>
      </c>
      <c r="JG9" s="55">
        <v>4</v>
      </c>
      <c r="JH9" s="55">
        <v>4.0999999999999996</v>
      </c>
      <c r="JI9" s="55">
        <v>4.2</v>
      </c>
      <c r="JJ9" s="55">
        <v>4.3</v>
      </c>
      <c r="JK9" s="55">
        <v>4.4000000000000004</v>
      </c>
      <c r="JL9" s="55">
        <v>4.5</v>
      </c>
      <c r="JM9" s="55">
        <v>4.5999999999999996</v>
      </c>
      <c r="JN9" s="55">
        <v>4.5999999999999996</v>
      </c>
      <c r="JO9" s="56">
        <v>4.5999999999999996</v>
      </c>
      <c r="JP9" s="54" t="s">
        <v>189</v>
      </c>
      <c r="JQ9" s="82">
        <v>4.7</v>
      </c>
      <c r="JR9" s="82">
        <v>4.7</v>
      </c>
      <c r="JS9" s="82">
        <v>4.8</v>
      </c>
      <c r="JT9" s="82">
        <v>4.8</v>
      </c>
      <c r="JU9" s="82">
        <v>4.8</v>
      </c>
      <c r="JV9" s="82">
        <v>4.7</v>
      </c>
      <c r="JW9" s="82">
        <v>4.5</v>
      </c>
      <c r="JX9" s="82">
        <v>4.2</v>
      </c>
      <c r="JY9" s="82">
        <v>4.0999999999999996</v>
      </c>
      <c r="JZ9" s="82" t="s">
        <v>402</v>
      </c>
      <c r="KA9" s="83">
        <v>3.9</v>
      </c>
    </row>
    <row r="10" spans="1:289" x14ac:dyDescent="0.3">
      <c r="B10" s="39" t="s">
        <v>190</v>
      </c>
      <c r="C10" s="17">
        <v>2.1583333333333323</v>
      </c>
      <c r="D10" s="17">
        <v>2.9333333333333327</v>
      </c>
      <c r="E10" s="17">
        <v>4.3499999999999996</v>
      </c>
      <c r="F10" s="17">
        <v>5.4583333333333321</v>
      </c>
      <c r="G10" s="17">
        <v>5.05</v>
      </c>
      <c r="H10" s="17">
        <v>4.8583333333333325</v>
      </c>
      <c r="I10" s="17">
        <v>4.4250000000000007</v>
      </c>
      <c r="J10" s="17">
        <v>4.533333333333335</v>
      </c>
      <c r="K10" s="17">
        <v>5.6416666666666657</v>
      </c>
      <c r="L10" s="17">
        <v>8.2583333333333329</v>
      </c>
      <c r="M10" s="17">
        <v>9.4916666666666671</v>
      </c>
      <c r="N10" s="17">
        <v>9.0083333333333329</v>
      </c>
      <c r="O10" s="19">
        <v>8.3833333333333329</v>
      </c>
      <c r="P10" s="19">
        <v>7.9499999999999993</v>
      </c>
      <c r="Q10" s="19">
        <v>6.6166666666666671</v>
      </c>
      <c r="R10" s="19">
        <v>5.6083333333333352</v>
      </c>
      <c r="S10" s="19">
        <v>4.875</v>
      </c>
      <c r="T10" s="19">
        <v>4.4083333333333323</v>
      </c>
      <c r="U10" s="19">
        <v>3.8999999999999995</v>
      </c>
      <c r="V10" s="19">
        <v>3.5833333333333348</v>
      </c>
      <c r="W10" s="19">
        <v>8.0083333333333329</v>
      </c>
      <c r="X10" s="19">
        <v>6.4583333333333348</v>
      </c>
      <c r="Y10" s="19">
        <v>4.033333333333335</v>
      </c>
      <c r="Z10" s="19">
        <v>3.2</v>
      </c>
      <c r="AA10" s="19">
        <v>3.1749999999999998</v>
      </c>
      <c r="AB10" s="96"/>
      <c r="AC10" s="36" t="str">
        <f>Table11[[#This Row],[State]]</f>
        <v>Connecticut</v>
      </c>
      <c r="AD10" s="27">
        <v>7.4</v>
      </c>
      <c r="AE10" s="27">
        <v>8.06666666666667</v>
      </c>
      <c r="AF10" s="27">
        <v>8.5333333333333297</v>
      </c>
      <c r="AG10" s="27">
        <v>9.0333333333333297</v>
      </c>
      <c r="AH10" s="27">
        <v>9.4666666666666703</v>
      </c>
      <c r="AI10" s="27">
        <v>9.5</v>
      </c>
      <c r="AJ10" s="27">
        <v>9.4666666666666703</v>
      </c>
      <c r="AK10" s="27">
        <v>9.5333333333333297</v>
      </c>
      <c r="AL10" s="27">
        <v>9.4</v>
      </c>
      <c r="AM10" s="27">
        <v>9.1666666666666696</v>
      </c>
      <c r="AN10" s="27">
        <v>8.9</v>
      </c>
      <c r="AO10" s="27">
        <v>8.5666666666666593</v>
      </c>
      <c r="AP10" s="27">
        <v>8.3000000000000007</v>
      </c>
      <c r="AQ10" s="27">
        <v>8.43333333333333</v>
      </c>
      <c r="AR10" s="27">
        <v>8.4666666666666703</v>
      </c>
      <c r="AS10" s="27">
        <v>8.3333333333333304</v>
      </c>
      <c r="AT10" s="27">
        <v>8.2666666666666693</v>
      </c>
      <c r="AU10" s="27">
        <v>8.1333333333333293</v>
      </c>
      <c r="AV10" s="27">
        <v>7.9</v>
      </c>
      <c r="AW10" s="27">
        <v>7.5</v>
      </c>
      <c r="AX10" s="27">
        <v>7.06666666666667</v>
      </c>
      <c r="AY10" s="27">
        <v>6.7</v>
      </c>
      <c r="AZ10" s="27">
        <v>6.5</v>
      </c>
      <c r="BA10" s="27">
        <v>6.2</v>
      </c>
      <c r="BB10" s="36" t="str">
        <f t="shared" si="0"/>
        <v>Connecticut</v>
      </c>
      <c r="BC10" s="27">
        <v>5.9</v>
      </c>
      <c r="BD10" s="27">
        <v>5.6666666666666696</v>
      </c>
      <c r="BE10" s="27">
        <v>5.5</v>
      </c>
      <c r="BF10" s="27">
        <v>5.3666666666666698</v>
      </c>
      <c r="BG10" s="27">
        <v>5.2</v>
      </c>
      <c r="BH10" s="27">
        <v>4.9666666666666703</v>
      </c>
      <c r="BI10" s="27">
        <v>4.7333333333333298</v>
      </c>
      <c r="BJ10" s="27">
        <v>4.5999999999999996</v>
      </c>
      <c r="BK10" s="27">
        <v>4.5333333333333297</v>
      </c>
      <c r="BL10" s="27">
        <v>4.43333333333333</v>
      </c>
      <c r="BM10" s="27">
        <v>4.3666666666666698</v>
      </c>
      <c r="BN10" s="27">
        <v>4.3</v>
      </c>
      <c r="BO10" s="27">
        <v>4.1666666666666696</v>
      </c>
      <c r="BP10" s="27">
        <v>3.93333333333333</v>
      </c>
      <c r="BQ10" s="27">
        <v>3.8</v>
      </c>
      <c r="BR10" s="27">
        <v>3.7</v>
      </c>
      <c r="BS10" s="27">
        <v>3.6</v>
      </c>
      <c r="BT10" s="27">
        <v>3.5</v>
      </c>
      <c r="BU10" s="27">
        <v>3.56666666666667</v>
      </c>
      <c r="BV10" s="27">
        <v>3.6666666666666701</v>
      </c>
      <c r="BW10" s="36" t="str">
        <f>Table13[[#This Row],[State]]</f>
        <v>Connecticut</v>
      </c>
      <c r="BX10" s="27">
        <v>3.8333333333333299</v>
      </c>
      <c r="BY10" s="27">
        <v>10.5666666666667</v>
      </c>
      <c r="BZ10" s="27">
        <v>10.033333333333299</v>
      </c>
      <c r="CA10" s="27">
        <v>7.6</v>
      </c>
      <c r="CB10" s="27">
        <v>7.2</v>
      </c>
      <c r="CC10" s="27">
        <v>7.06666666666667</v>
      </c>
      <c r="CD10" s="27">
        <v>6.2666666666666702</v>
      </c>
      <c r="CE10" s="27">
        <v>5.3</v>
      </c>
      <c r="CF10" s="27">
        <v>4.5999999999999996</v>
      </c>
      <c r="CG10" s="27">
        <v>4.1666666666666696</v>
      </c>
      <c r="CH10" s="27">
        <v>3.7666666666666702</v>
      </c>
      <c r="CI10" s="27">
        <v>3.6</v>
      </c>
      <c r="CJ10" s="27">
        <v>3.3</v>
      </c>
      <c r="CK10" s="27">
        <v>3.06666666666667</v>
      </c>
      <c r="CL10" s="27">
        <v>3.1333333333333302</v>
      </c>
      <c r="CM10" s="27">
        <v>3.3</v>
      </c>
      <c r="CN10" s="27">
        <v>3.2333333333333298</v>
      </c>
      <c r="CO10" s="27">
        <v>3.1</v>
      </c>
      <c r="CP10" s="27">
        <v>3.1666666666666701</v>
      </c>
      <c r="CQ10" s="27">
        <v>3.2</v>
      </c>
      <c r="CR10" s="79" t="str">
        <f>Table13[[#This Row],[ State]]</f>
        <v>Connecticut</v>
      </c>
      <c r="CS10" s="27">
        <v>3.43333333333333</v>
      </c>
      <c r="CT10" s="27">
        <v>3.7666666666666702</v>
      </c>
      <c r="CU10" s="27">
        <v>3.8</v>
      </c>
      <c r="CV10" s="111"/>
      <c r="CW10" s="41" t="s">
        <v>190</v>
      </c>
      <c r="CX10" s="47">
        <v>9.5</v>
      </c>
      <c r="CY10" s="48">
        <v>9.4</v>
      </c>
      <c r="CZ10" s="48">
        <v>9.3000000000000007</v>
      </c>
      <c r="DA10" s="48">
        <v>9.1999999999999993</v>
      </c>
      <c r="DB10" s="48">
        <v>9.1999999999999993</v>
      </c>
      <c r="DC10" s="48">
        <v>9.1</v>
      </c>
      <c r="DD10" s="48">
        <v>9</v>
      </c>
      <c r="DE10" s="48">
        <v>8.9</v>
      </c>
      <c r="DF10" s="48">
        <v>8.8000000000000007</v>
      </c>
      <c r="DG10" s="48">
        <v>8.6999999999999993</v>
      </c>
      <c r="DH10" s="48">
        <v>8.6</v>
      </c>
      <c r="DI10" s="48">
        <v>8.4</v>
      </c>
      <c r="DJ10" s="48">
        <v>8.3000000000000007</v>
      </c>
      <c r="DK10" s="48">
        <v>8.3000000000000007</v>
      </c>
      <c r="DL10" s="48">
        <v>8.3000000000000007</v>
      </c>
      <c r="DM10" s="48">
        <v>8.4</v>
      </c>
      <c r="DN10" s="48">
        <v>8.4</v>
      </c>
      <c r="DO10" s="48">
        <v>8.5</v>
      </c>
      <c r="DP10" s="48">
        <v>8.5</v>
      </c>
      <c r="DQ10" s="48">
        <v>8.5</v>
      </c>
      <c r="DR10" s="48">
        <v>8.4</v>
      </c>
      <c r="DS10" s="48">
        <v>8.4</v>
      </c>
      <c r="DT10" s="48">
        <v>8.3000000000000007</v>
      </c>
      <c r="DU10" s="62">
        <v>8.3000000000000007</v>
      </c>
      <c r="DV10" s="49" t="s">
        <v>190</v>
      </c>
      <c r="DW10" s="48">
        <v>8.3000000000000007</v>
      </c>
      <c r="DX10" s="48">
        <v>8.3000000000000007</v>
      </c>
      <c r="DY10" s="48">
        <v>8.1999999999999993</v>
      </c>
      <c r="DZ10" s="48">
        <v>8.1999999999999993</v>
      </c>
      <c r="EA10" s="48">
        <v>8.1</v>
      </c>
      <c r="EB10" s="48">
        <v>8.1</v>
      </c>
      <c r="EC10" s="48">
        <v>8</v>
      </c>
      <c r="ED10" s="48">
        <v>7.9</v>
      </c>
      <c r="EE10" s="48">
        <v>7.8</v>
      </c>
      <c r="EF10" s="48">
        <v>7.6</v>
      </c>
      <c r="EG10" s="50">
        <v>7.5</v>
      </c>
      <c r="EH10" s="50">
        <v>7.4</v>
      </c>
      <c r="EI10" s="50">
        <v>7.2</v>
      </c>
      <c r="EJ10" s="50">
        <v>7.1</v>
      </c>
      <c r="EK10" s="48">
        <v>6.9</v>
      </c>
      <c r="EL10" s="50">
        <v>6.8</v>
      </c>
      <c r="EM10" s="50">
        <v>6.7</v>
      </c>
      <c r="EN10" s="50">
        <v>6.6</v>
      </c>
      <c r="EO10" s="50">
        <v>6.6</v>
      </c>
      <c r="EP10" s="50">
        <v>6.5</v>
      </c>
      <c r="EQ10" s="50">
        <v>6.4</v>
      </c>
      <c r="ER10" s="48">
        <v>6.3</v>
      </c>
      <c r="ES10" s="50">
        <v>6.2</v>
      </c>
      <c r="ET10" s="51">
        <v>6.1</v>
      </c>
      <c r="EU10" s="49" t="s">
        <v>190</v>
      </c>
      <c r="EV10" s="48">
        <v>6</v>
      </c>
      <c r="EW10" s="50">
        <v>5.9</v>
      </c>
      <c r="EX10" s="50">
        <v>5.8</v>
      </c>
      <c r="EY10" s="50">
        <v>5.7</v>
      </c>
      <c r="EZ10" s="50">
        <v>5.7</v>
      </c>
      <c r="FA10" s="50">
        <v>5.6</v>
      </c>
      <c r="FB10" s="50">
        <v>5.5</v>
      </c>
      <c r="FC10" s="50">
        <v>5.5</v>
      </c>
      <c r="FD10" s="50">
        <v>5.5</v>
      </c>
      <c r="FE10" s="50">
        <v>5.4</v>
      </c>
      <c r="FF10" s="50">
        <v>5.4</v>
      </c>
      <c r="FG10" s="50">
        <v>5.3</v>
      </c>
      <c r="FH10" s="50">
        <v>5.3</v>
      </c>
      <c r="FI10" s="50">
        <v>5.2</v>
      </c>
      <c r="FJ10" s="50">
        <v>5.0999999999999996</v>
      </c>
      <c r="FK10" s="50">
        <v>5</v>
      </c>
      <c r="FL10" s="50">
        <v>5</v>
      </c>
      <c r="FM10" s="50">
        <v>4.9000000000000004</v>
      </c>
      <c r="FN10" s="50">
        <v>4.8</v>
      </c>
      <c r="FO10" s="50">
        <v>4.7</v>
      </c>
      <c r="FP10" s="50">
        <v>4.7</v>
      </c>
      <c r="FQ10" s="50">
        <v>4.5999999999999996</v>
      </c>
      <c r="FR10" s="50">
        <v>4.5999999999999996</v>
      </c>
      <c r="FS10" s="51">
        <v>4.5999999999999996</v>
      </c>
      <c r="FT10" s="49" t="s">
        <v>190</v>
      </c>
      <c r="FU10" s="48">
        <v>4.5999999999999996</v>
      </c>
      <c r="FV10" s="50">
        <v>4.5</v>
      </c>
      <c r="FW10" s="50">
        <v>4.5</v>
      </c>
      <c r="FX10" s="50">
        <v>4.5</v>
      </c>
      <c r="FY10" s="50">
        <v>4.4000000000000004</v>
      </c>
      <c r="FZ10" s="50">
        <v>4.4000000000000004</v>
      </c>
      <c r="GA10" s="50">
        <v>4.4000000000000004</v>
      </c>
      <c r="GB10" s="50">
        <v>4.4000000000000004</v>
      </c>
      <c r="GC10" s="50">
        <v>4.3</v>
      </c>
      <c r="GD10" s="50">
        <v>4.3</v>
      </c>
      <c r="GE10" s="50">
        <v>4.3</v>
      </c>
      <c r="GF10" s="50">
        <v>4.3</v>
      </c>
      <c r="GG10" s="50">
        <v>4.2</v>
      </c>
      <c r="GH10" s="50">
        <v>4.2</v>
      </c>
      <c r="GI10" s="50">
        <v>4.0999999999999996</v>
      </c>
      <c r="GJ10" s="50">
        <v>4</v>
      </c>
      <c r="GK10" s="50">
        <v>3.9</v>
      </c>
      <c r="GL10" s="50">
        <v>3.9</v>
      </c>
      <c r="GM10" s="50">
        <v>3.8</v>
      </c>
      <c r="GN10" s="50">
        <v>3.8</v>
      </c>
      <c r="GO10" s="50">
        <v>3.8</v>
      </c>
      <c r="GP10" s="50">
        <v>3.7</v>
      </c>
      <c r="GQ10" s="50">
        <v>3.7</v>
      </c>
      <c r="GR10" s="50">
        <v>3.7</v>
      </c>
      <c r="GS10" s="49" t="s">
        <v>190</v>
      </c>
      <c r="GT10" s="50">
        <v>3.7</v>
      </c>
      <c r="GU10" s="50">
        <v>3.6</v>
      </c>
      <c r="GV10" s="50">
        <v>3.5</v>
      </c>
      <c r="GW10" s="50">
        <v>3.5</v>
      </c>
      <c r="GX10" s="50">
        <v>3.5</v>
      </c>
      <c r="GY10" s="50">
        <v>3.5</v>
      </c>
      <c r="GZ10" s="50">
        <v>3.5</v>
      </c>
      <c r="HA10" s="50">
        <v>3.6</v>
      </c>
      <c r="HB10" s="50">
        <v>3.6</v>
      </c>
      <c r="HC10" s="50">
        <v>3.6</v>
      </c>
      <c r="HD10" s="50">
        <v>3.7</v>
      </c>
      <c r="HE10" s="50">
        <v>3.7</v>
      </c>
      <c r="HF10" s="50">
        <v>3.8</v>
      </c>
      <c r="HG10" s="50">
        <v>3.8</v>
      </c>
      <c r="HH10" s="50">
        <v>3.9</v>
      </c>
      <c r="HI10" s="50">
        <v>8.3000000000000007</v>
      </c>
      <c r="HJ10" s="50">
        <v>11.9</v>
      </c>
      <c r="HK10" s="50">
        <v>11.5</v>
      </c>
      <c r="HL10" s="50">
        <v>11.7</v>
      </c>
      <c r="HM10" s="50">
        <v>9.6</v>
      </c>
      <c r="HN10" s="50">
        <v>8.8000000000000007</v>
      </c>
      <c r="HO10" s="50">
        <v>7.9</v>
      </c>
      <c r="HP10" s="50">
        <v>7.5</v>
      </c>
      <c r="HQ10" s="51">
        <v>7.4</v>
      </c>
      <c r="HR10" s="49" t="s">
        <v>190</v>
      </c>
      <c r="HS10" s="50">
        <v>7.2</v>
      </c>
      <c r="HT10" s="50">
        <v>7.2</v>
      </c>
      <c r="HU10" s="50">
        <v>7.2</v>
      </c>
      <c r="HV10" s="50">
        <v>7.2</v>
      </c>
      <c r="HW10" s="50">
        <v>7</v>
      </c>
      <c r="HX10" s="50">
        <v>7</v>
      </c>
      <c r="HY10" s="50">
        <v>6.6</v>
      </c>
      <c r="HZ10" s="50">
        <v>6.3</v>
      </c>
      <c r="IA10" s="50">
        <v>5.9</v>
      </c>
      <c r="IB10" s="50">
        <v>5.6</v>
      </c>
      <c r="IC10" s="50">
        <v>5.3</v>
      </c>
      <c r="ID10" s="50">
        <v>5</v>
      </c>
      <c r="IE10" s="50">
        <v>4.8</v>
      </c>
      <c r="IF10" s="50">
        <v>4.5999999999999996</v>
      </c>
      <c r="IG10" s="50">
        <v>4.4000000000000004</v>
      </c>
      <c r="IH10" s="50">
        <v>4.3</v>
      </c>
      <c r="II10" s="50">
        <v>4.2</v>
      </c>
      <c r="IJ10" s="50">
        <v>4</v>
      </c>
      <c r="IK10" s="50">
        <v>3.9</v>
      </c>
      <c r="IL10" s="50">
        <v>3.7</v>
      </c>
      <c r="IM10" s="50">
        <v>3.7</v>
      </c>
      <c r="IN10" s="50">
        <v>3.7</v>
      </c>
      <c r="IO10" s="50">
        <v>3.6</v>
      </c>
      <c r="IP10" s="51">
        <v>3.5</v>
      </c>
      <c r="IQ10" s="49" t="s">
        <v>190</v>
      </c>
      <c r="IR10" s="50">
        <v>3.4</v>
      </c>
      <c r="IS10" s="50">
        <v>3.3</v>
      </c>
      <c r="IT10" s="50">
        <v>3.2</v>
      </c>
      <c r="IU10" s="50">
        <v>3.1</v>
      </c>
      <c r="IV10" s="50">
        <v>3.1</v>
      </c>
      <c r="IW10" s="50">
        <v>3</v>
      </c>
      <c r="IX10" s="50">
        <v>3.1</v>
      </c>
      <c r="IY10" s="50">
        <v>3.1</v>
      </c>
      <c r="IZ10" s="50">
        <v>3.2</v>
      </c>
      <c r="JA10" s="50">
        <v>3.3</v>
      </c>
      <c r="JB10" s="50">
        <v>3.3</v>
      </c>
      <c r="JC10" s="50">
        <v>3.3</v>
      </c>
      <c r="JD10" s="50">
        <v>3.3</v>
      </c>
      <c r="JE10" s="50">
        <v>3.2</v>
      </c>
      <c r="JF10" s="50">
        <v>3.2</v>
      </c>
      <c r="JG10" s="50">
        <v>3.1</v>
      </c>
      <c r="JH10" s="50">
        <v>3.1</v>
      </c>
      <c r="JI10" s="50">
        <v>3.1</v>
      </c>
      <c r="JJ10" s="50">
        <v>3.1</v>
      </c>
      <c r="JK10" s="50">
        <v>3.2</v>
      </c>
      <c r="JL10" s="50">
        <v>3.2</v>
      </c>
      <c r="JM10" s="50">
        <v>3.2</v>
      </c>
      <c r="JN10" s="50">
        <v>3.2</v>
      </c>
      <c r="JO10" s="51">
        <v>3.2</v>
      </c>
      <c r="JP10" s="49" t="s">
        <v>190</v>
      </c>
      <c r="JQ10" s="80">
        <v>3.3</v>
      </c>
      <c r="JR10" s="80">
        <v>3.4</v>
      </c>
      <c r="JS10" s="80">
        <v>3.6</v>
      </c>
      <c r="JT10" s="80">
        <v>3.7</v>
      </c>
      <c r="JU10" s="80">
        <v>3.8</v>
      </c>
      <c r="JV10" s="80">
        <v>3.8</v>
      </c>
      <c r="JW10" s="80">
        <v>3.8</v>
      </c>
      <c r="JX10" s="80">
        <v>3.8</v>
      </c>
      <c r="JY10" s="80">
        <v>3.8</v>
      </c>
      <c r="JZ10" s="80" t="s">
        <v>402</v>
      </c>
      <c r="KA10" s="81">
        <v>4</v>
      </c>
    </row>
    <row r="11" spans="1:289" x14ac:dyDescent="0.3">
      <c r="B11" s="39" t="s">
        <v>191</v>
      </c>
      <c r="C11" s="17">
        <v>3.4583333333333326</v>
      </c>
      <c r="D11" s="17">
        <v>3.4833333333333352</v>
      </c>
      <c r="E11" s="17">
        <v>4.0833333333333321</v>
      </c>
      <c r="F11" s="17">
        <v>4.25</v>
      </c>
      <c r="G11" s="17">
        <v>4.0083333333333346</v>
      </c>
      <c r="H11" s="17">
        <v>4.125</v>
      </c>
      <c r="I11" s="17">
        <v>3.5833333333333348</v>
      </c>
      <c r="J11" s="17">
        <v>3.4000000000000021</v>
      </c>
      <c r="K11" s="17">
        <v>4.8666666666666671</v>
      </c>
      <c r="L11" s="17">
        <v>8.158333333333335</v>
      </c>
      <c r="M11" s="17">
        <v>8.3000000000000007</v>
      </c>
      <c r="N11" s="17">
        <v>7.4333333333333345</v>
      </c>
      <c r="O11" s="19">
        <v>6.9583333333333321</v>
      </c>
      <c r="P11" s="19">
        <v>6.533333333333335</v>
      </c>
      <c r="Q11" s="19">
        <v>5.6166666666666671</v>
      </c>
      <c r="R11" s="19">
        <v>4.8083333333333327</v>
      </c>
      <c r="S11" s="19">
        <v>4.5333333333333323</v>
      </c>
      <c r="T11" s="19">
        <v>4.4000000000000004</v>
      </c>
      <c r="U11" s="19">
        <v>3.6916666666666651</v>
      </c>
      <c r="V11" s="19">
        <v>3.55</v>
      </c>
      <c r="W11" s="19">
        <v>7.5250000000000004</v>
      </c>
      <c r="X11" s="19">
        <v>5.4416666666666655</v>
      </c>
      <c r="Y11" s="19">
        <v>4.1750000000000025</v>
      </c>
      <c r="Z11" s="19">
        <v>3.8333333333333326</v>
      </c>
      <c r="AA11" s="19">
        <v>3.6916666666666673</v>
      </c>
      <c r="AB11" s="96"/>
      <c r="AC11" s="35" t="str">
        <f>Table11[[#This Row],[State]]</f>
        <v>Delaware</v>
      </c>
      <c r="AD11" s="17">
        <v>7.4666666666666703</v>
      </c>
      <c r="AE11" s="17">
        <v>8.1999999999999993</v>
      </c>
      <c r="AF11" s="17">
        <v>8.3666666666666707</v>
      </c>
      <c r="AG11" s="17">
        <v>8.6</v>
      </c>
      <c r="AH11" s="17">
        <v>8.6999999999999993</v>
      </c>
      <c r="AI11" s="17">
        <v>8.4</v>
      </c>
      <c r="AJ11" s="17">
        <v>8.1333333333333293</v>
      </c>
      <c r="AK11" s="17">
        <v>7.9666666666666703</v>
      </c>
      <c r="AL11" s="17">
        <v>7.6</v>
      </c>
      <c r="AM11" s="17">
        <v>7.4666666666666703</v>
      </c>
      <c r="AN11" s="19">
        <v>7.4666666666666703</v>
      </c>
      <c r="AO11" s="19">
        <v>7.2</v>
      </c>
      <c r="AP11" s="19">
        <v>6.93333333333333</v>
      </c>
      <c r="AQ11" s="19">
        <v>7</v>
      </c>
      <c r="AR11" s="19">
        <v>7</v>
      </c>
      <c r="AS11" s="19">
        <v>6.9</v>
      </c>
      <c r="AT11" s="19">
        <v>6.8666666666666698</v>
      </c>
      <c r="AU11" s="19">
        <v>6.7</v>
      </c>
      <c r="AV11" s="17">
        <v>6.4</v>
      </c>
      <c r="AW11" s="17">
        <v>6.1666666666666696</v>
      </c>
      <c r="AX11" s="17">
        <v>5.9666666666666703</v>
      </c>
      <c r="AY11" s="17">
        <v>5.8</v>
      </c>
      <c r="AZ11" s="17">
        <v>5.5</v>
      </c>
      <c r="BA11" s="17">
        <v>5.2</v>
      </c>
      <c r="BB11" s="35" t="str">
        <f t="shared" si="0"/>
        <v>Delaware</v>
      </c>
      <c r="BC11" s="19">
        <v>5</v>
      </c>
      <c r="BD11" s="19">
        <v>4.8666666666666698</v>
      </c>
      <c r="BE11" s="19">
        <v>4.7333333333333298</v>
      </c>
      <c r="BF11" s="19">
        <v>4.6333333333333302</v>
      </c>
      <c r="BG11" s="17">
        <v>4.5</v>
      </c>
      <c r="BH11" s="17">
        <v>4.5</v>
      </c>
      <c r="BI11" s="17">
        <v>4.5333333333333297</v>
      </c>
      <c r="BJ11" s="17">
        <v>4.5999999999999996</v>
      </c>
      <c r="BK11" s="17">
        <v>4.56666666666667</v>
      </c>
      <c r="BL11" s="17">
        <v>4.4666666666666703</v>
      </c>
      <c r="BM11" s="17">
        <v>4.3333333333333304</v>
      </c>
      <c r="BN11" s="17">
        <v>4.2333333333333298</v>
      </c>
      <c r="BO11" s="17">
        <v>4</v>
      </c>
      <c r="BP11" s="17">
        <v>3.7333333333333298</v>
      </c>
      <c r="BQ11" s="17">
        <v>3.5333333333333301</v>
      </c>
      <c r="BR11" s="17">
        <v>3.5</v>
      </c>
      <c r="BS11" s="17">
        <v>3.5</v>
      </c>
      <c r="BT11" s="17">
        <v>3.5</v>
      </c>
      <c r="BU11" s="17">
        <v>3.6</v>
      </c>
      <c r="BV11" s="17">
        <v>3.6</v>
      </c>
      <c r="BW11" s="35" t="str">
        <f>Table13[[#This Row],[State]]</f>
        <v>Delaware</v>
      </c>
      <c r="BX11" s="17">
        <v>4.06666666666667</v>
      </c>
      <c r="BY11" s="17">
        <v>13.1</v>
      </c>
      <c r="BZ11" s="17">
        <v>7.5333333333333297</v>
      </c>
      <c r="CA11" s="17">
        <v>5.4</v>
      </c>
      <c r="CB11" s="17">
        <v>5.8333333333333304</v>
      </c>
      <c r="CC11" s="17">
        <v>5.8333333333333304</v>
      </c>
      <c r="CD11" s="17">
        <v>5.3333333333333304</v>
      </c>
      <c r="CE11" s="17">
        <v>4.7666666666666702</v>
      </c>
      <c r="CF11" s="17">
        <v>4.4000000000000004</v>
      </c>
      <c r="CG11" s="17">
        <v>4.1666666666666696</v>
      </c>
      <c r="CH11" s="17">
        <v>4.06666666666667</v>
      </c>
      <c r="CI11" s="17">
        <v>4.06666666666667</v>
      </c>
      <c r="CJ11" s="17">
        <v>3.9</v>
      </c>
      <c r="CK11" s="17">
        <v>3.8</v>
      </c>
      <c r="CL11" s="17">
        <v>3.8</v>
      </c>
      <c r="CM11" s="17">
        <v>3.8333333333333299</v>
      </c>
      <c r="CN11" s="17">
        <v>3.7333333333333298</v>
      </c>
      <c r="CO11" s="17">
        <v>3.7666666666666702</v>
      </c>
      <c r="CP11" s="17">
        <v>3.6666666666666701</v>
      </c>
      <c r="CQ11" s="17">
        <v>3.6</v>
      </c>
      <c r="CR11" s="42" t="str">
        <f>Table13[[#This Row],[ State]]</f>
        <v>Delaware</v>
      </c>
      <c r="CS11" s="17">
        <v>3.6666666666666701</v>
      </c>
      <c r="CT11" s="17">
        <v>3.9666666666666699</v>
      </c>
      <c r="CU11" s="17">
        <v>4.3</v>
      </c>
      <c r="CV11" s="111"/>
      <c r="CW11" s="42" t="s">
        <v>191</v>
      </c>
      <c r="CX11" s="52">
        <v>7.7</v>
      </c>
      <c r="CY11" s="53">
        <v>7.6</v>
      </c>
      <c r="CZ11" s="53">
        <v>7.5</v>
      </c>
      <c r="DA11" s="53">
        <v>7.5</v>
      </c>
      <c r="DB11" s="53">
        <v>7.4</v>
      </c>
      <c r="DC11" s="53">
        <v>7.5</v>
      </c>
      <c r="DD11" s="53">
        <v>7.5</v>
      </c>
      <c r="DE11" s="53">
        <v>7.5</v>
      </c>
      <c r="DF11" s="53">
        <v>7.4</v>
      </c>
      <c r="DG11" s="53">
        <v>7.3</v>
      </c>
      <c r="DH11" s="53">
        <v>7.2</v>
      </c>
      <c r="DI11" s="53">
        <v>7.1</v>
      </c>
      <c r="DJ11" s="53">
        <v>7</v>
      </c>
      <c r="DK11" s="53">
        <v>6.9</v>
      </c>
      <c r="DL11" s="53">
        <v>6.9</v>
      </c>
      <c r="DM11" s="53">
        <v>7</v>
      </c>
      <c r="DN11" s="53">
        <v>7</v>
      </c>
      <c r="DO11" s="53">
        <v>7</v>
      </c>
      <c r="DP11" s="53">
        <v>7</v>
      </c>
      <c r="DQ11" s="53">
        <v>7</v>
      </c>
      <c r="DR11" s="53">
        <v>7</v>
      </c>
      <c r="DS11" s="53">
        <v>6.9</v>
      </c>
      <c r="DT11" s="53">
        <v>6.9</v>
      </c>
      <c r="DU11" s="63">
        <v>6.9</v>
      </c>
      <c r="DV11" s="54" t="s">
        <v>191</v>
      </c>
      <c r="DW11" s="53">
        <v>6.9</v>
      </c>
      <c r="DX11" s="53">
        <v>6.9</v>
      </c>
      <c r="DY11" s="53">
        <v>6.8</v>
      </c>
      <c r="DZ11" s="53">
        <v>6.8</v>
      </c>
      <c r="EA11" s="53">
        <v>6.7</v>
      </c>
      <c r="EB11" s="53">
        <v>6.6</v>
      </c>
      <c r="EC11" s="53">
        <v>6.5</v>
      </c>
      <c r="ED11" s="53">
        <v>6.4</v>
      </c>
      <c r="EE11" s="53">
        <v>6.3</v>
      </c>
      <c r="EF11" s="53">
        <v>6.2</v>
      </c>
      <c r="EG11" s="55">
        <v>6.2</v>
      </c>
      <c r="EH11" s="55">
        <v>6.1</v>
      </c>
      <c r="EI11" s="55">
        <v>6</v>
      </c>
      <c r="EJ11" s="55">
        <v>6</v>
      </c>
      <c r="EK11" s="53">
        <v>5.9</v>
      </c>
      <c r="EL11" s="55">
        <v>5.9</v>
      </c>
      <c r="EM11" s="55">
        <v>5.8</v>
      </c>
      <c r="EN11" s="55">
        <v>5.7</v>
      </c>
      <c r="EO11" s="55">
        <v>5.6</v>
      </c>
      <c r="EP11" s="55">
        <v>5.5</v>
      </c>
      <c r="EQ11" s="55">
        <v>5.4</v>
      </c>
      <c r="ER11" s="53">
        <v>5.3</v>
      </c>
      <c r="ES11" s="55">
        <v>5.2</v>
      </c>
      <c r="ET11" s="56">
        <v>5.0999999999999996</v>
      </c>
      <c r="EU11" s="54" t="s">
        <v>191</v>
      </c>
      <c r="EV11" s="53">
        <v>5</v>
      </c>
      <c r="EW11" s="55">
        <v>5</v>
      </c>
      <c r="EX11" s="55">
        <v>5</v>
      </c>
      <c r="EY11" s="55">
        <v>4.9000000000000004</v>
      </c>
      <c r="EZ11" s="55">
        <v>4.9000000000000004</v>
      </c>
      <c r="FA11" s="55">
        <v>4.8</v>
      </c>
      <c r="FB11" s="55">
        <v>4.8</v>
      </c>
      <c r="FC11" s="55">
        <v>4.7</v>
      </c>
      <c r="FD11" s="55">
        <v>4.7</v>
      </c>
      <c r="FE11" s="55">
        <v>4.7</v>
      </c>
      <c r="FF11" s="55">
        <v>4.5999999999999996</v>
      </c>
      <c r="FG11" s="55">
        <v>4.5999999999999996</v>
      </c>
      <c r="FH11" s="55">
        <v>4.5</v>
      </c>
      <c r="FI11" s="55">
        <v>4.5</v>
      </c>
      <c r="FJ11" s="55">
        <v>4.5</v>
      </c>
      <c r="FK11" s="55">
        <v>4.5</v>
      </c>
      <c r="FL11" s="55">
        <v>4.5</v>
      </c>
      <c r="FM11" s="55">
        <v>4.5</v>
      </c>
      <c r="FN11" s="55">
        <v>4.5</v>
      </c>
      <c r="FO11" s="55">
        <v>4.5</v>
      </c>
      <c r="FP11" s="55">
        <v>4.5999999999999996</v>
      </c>
      <c r="FQ11" s="55">
        <v>4.5999999999999996</v>
      </c>
      <c r="FR11" s="55">
        <v>4.5999999999999996</v>
      </c>
      <c r="FS11" s="56">
        <v>4.5999999999999996</v>
      </c>
      <c r="FT11" s="54" t="s">
        <v>191</v>
      </c>
      <c r="FU11" s="53">
        <v>4.5999999999999996</v>
      </c>
      <c r="FV11" s="55">
        <v>4.5999999999999996</v>
      </c>
      <c r="FW11" s="55">
        <v>4.5</v>
      </c>
      <c r="FX11" s="55">
        <v>4.5</v>
      </c>
      <c r="FY11" s="55">
        <v>4.5</v>
      </c>
      <c r="FZ11" s="55">
        <v>4.4000000000000004</v>
      </c>
      <c r="GA11" s="55">
        <v>4.4000000000000004</v>
      </c>
      <c r="GB11" s="55">
        <v>4.3</v>
      </c>
      <c r="GC11" s="55">
        <v>4.3</v>
      </c>
      <c r="GD11" s="55">
        <v>4.3</v>
      </c>
      <c r="GE11" s="55">
        <v>4.2</v>
      </c>
      <c r="GF11" s="55">
        <v>4.2</v>
      </c>
      <c r="GG11" s="55">
        <v>4.0999999999999996</v>
      </c>
      <c r="GH11" s="55">
        <v>4</v>
      </c>
      <c r="GI11" s="55">
        <v>3.9</v>
      </c>
      <c r="GJ11" s="55">
        <v>3.8</v>
      </c>
      <c r="GK11" s="55">
        <v>3.7</v>
      </c>
      <c r="GL11" s="55">
        <v>3.7</v>
      </c>
      <c r="GM11" s="55">
        <v>3.6</v>
      </c>
      <c r="GN11" s="55">
        <v>3.5</v>
      </c>
      <c r="GO11" s="55">
        <v>3.5</v>
      </c>
      <c r="GP11" s="55">
        <v>3.5</v>
      </c>
      <c r="GQ11" s="55">
        <v>3.5</v>
      </c>
      <c r="GR11" s="55">
        <v>3.5</v>
      </c>
      <c r="GS11" s="54" t="s">
        <v>191</v>
      </c>
      <c r="GT11" s="55">
        <v>3.5</v>
      </c>
      <c r="GU11" s="55">
        <v>3.5</v>
      </c>
      <c r="GV11" s="55">
        <v>3.5</v>
      </c>
      <c r="GW11" s="55">
        <v>3.5</v>
      </c>
      <c r="GX11" s="55">
        <v>3.5</v>
      </c>
      <c r="GY11" s="55">
        <v>3.5</v>
      </c>
      <c r="GZ11" s="55">
        <v>3.6</v>
      </c>
      <c r="HA11" s="55">
        <v>3.6</v>
      </c>
      <c r="HB11" s="55">
        <v>3.6</v>
      </c>
      <c r="HC11" s="55">
        <v>3.6</v>
      </c>
      <c r="HD11" s="55">
        <v>3.6</v>
      </c>
      <c r="HE11" s="55">
        <v>3.6</v>
      </c>
      <c r="HF11" s="55">
        <v>3.6</v>
      </c>
      <c r="HG11" s="55">
        <v>3.6</v>
      </c>
      <c r="HH11" s="55">
        <v>5</v>
      </c>
      <c r="HI11" s="55">
        <v>13.1</v>
      </c>
      <c r="HJ11" s="55">
        <v>13.4</v>
      </c>
      <c r="HK11" s="55">
        <v>12.8</v>
      </c>
      <c r="HL11" s="55">
        <v>7.6</v>
      </c>
      <c r="HM11" s="55">
        <v>7.4</v>
      </c>
      <c r="HN11" s="55">
        <v>7.6</v>
      </c>
      <c r="HO11" s="55">
        <v>5.2</v>
      </c>
      <c r="HP11" s="55">
        <v>5.4</v>
      </c>
      <c r="HQ11" s="56">
        <v>5.6</v>
      </c>
      <c r="HR11" s="54" t="s">
        <v>191</v>
      </c>
      <c r="HS11" s="55">
        <v>5.7</v>
      </c>
      <c r="HT11" s="55">
        <v>5.9</v>
      </c>
      <c r="HU11" s="55">
        <v>5.9</v>
      </c>
      <c r="HV11" s="55">
        <v>5.9</v>
      </c>
      <c r="HW11" s="55">
        <v>5.8</v>
      </c>
      <c r="HX11" s="55">
        <v>5.8</v>
      </c>
      <c r="HY11" s="55">
        <v>5.5</v>
      </c>
      <c r="HZ11" s="55">
        <v>5.4</v>
      </c>
      <c r="IA11" s="55">
        <v>5.0999999999999996</v>
      </c>
      <c r="IB11" s="55">
        <v>4.9000000000000004</v>
      </c>
      <c r="IC11" s="55">
        <v>4.8</v>
      </c>
      <c r="ID11" s="55">
        <v>4.5999999999999996</v>
      </c>
      <c r="IE11" s="55">
        <v>4.5</v>
      </c>
      <c r="IF11" s="55">
        <v>4.4000000000000004</v>
      </c>
      <c r="IG11" s="55">
        <v>4.3</v>
      </c>
      <c r="IH11" s="55">
        <v>4.2</v>
      </c>
      <c r="II11" s="55">
        <v>4.2</v>
      </c>
      <c r="IJ11" s="55">
        <v>4.0999999999999996</v>
      </c>
      <c r="IK11" s="55">
        <v>4.0999999999999996</v>
      </c>
      <c r="IL11" s="55">
        <v>4</v>
      </c>
      <c r="IM11" s="55">
        <v>4.0999999999999996</v>
      </c>
      <c r="IN11" s="55">
        <v>4.0999999999999996</v>
      </c>
      <c r="IO11" s="55">
        <v>4.0999999999999996</v>
      </c>
      <c r="IP11" s="56">
        <v>4</v>
      </c>
      <c r="IQ11" s="54" t="s">
        <v>191</v>
      </c>
      <c r="IR11" s="55">
        <v>4</v>
      </c>
      <c r="IS11" s="55">
        <v>3.9</v>
      </c>
      <c r="IT11" s="55">
        <v>3.8</v>
      </c>
      <c r="IU11" s="55">
        <v>3.8</v>
      </c>
      <c r="IV11" s="55">
        <v>3.8</v>
      </c>
      <c r="IW11" s="55">
        <v>3.8</v>
      </c>
      <c r="IX11" s="55">
        <v>3.8</v>
      </c>
      <c r="IY11" s="55">
        <v>3.8</v>
      </c>
      <c r="IZ11" s="55">
        <v>3.8</v>
      </c>
      <c r="JA11" s="55">
        <v>3.9</v>
      </c>
      <c r="JB11" s="55">
        <v>3.8</v>
      </c>
      <c r="JC11" s="55">
        <v>3.8</v>
      </c>
      <c r="JD11" s="55">
        <v>3.8</v>
      </c>
      <c r="JE11" s="55">
        <v>3.7</v>
      </c>
      <c r="JF11" s="55">
        <v>3.7</v>
      </c>
      <c r="JG11" s="55">
        <v>3.7</v>
      </c>
      <c r="JH11" s="55">
        <v>3.8</v>
      </c>
      <c r="JI11" s="55">
        <v>3.8</v>
      </c>
      <c r="JJ11" s="55">
        <v>3.7</v>
      </c>
      <c r="JK11" s="55">
        <v>3.7</v>
      </c>
      <c r="JL11" s="55">
        <v>3.6</v>
      </c>
      <c r="JM11" s="55">
        <v>3.6</v>
      </c>
      <c r="JN11" s="55">
        <v>3.6</v>
      </c>
      <c r="JO11" s="56">
        <v>3.6</v>
      </c>
      <c r="JP11" s="54" t="s">
        <v>191</v>
      </c>
      <c r="JQ11" s="82">
        <v>3.6</v>
      </c>
      <c r="JR11" s="82">
        <v>3.7</v>
      </c>
      <c r="JS11" s="82">
        <v>3.7</v>
      </c>
      <c r="JT11" s="82">
        <v>3.9</v>
      </c>
      <c r="JU11" s="82">
        <v>4</v>
      </c>
      <c r="JV11" s="82">
        <v>4</v>
      </c>
      <c r="JW11" s="82">
        <v>4.0999999999999996</v>
      </c>
      <c r="JX11" s="82">
        <v>4.3</v>
      </c>
      <c r="JY11" s="82">
        <v>4.5</v>
      </c>
      <c r="JZ11" s="82" t="s">
        <v>402</v>
      </c>
      <c r="KA11" s="83">
        <v>4.9000000000000004</v>
      </c>
    </row>
    <row r="12" spans="1:289" x14ac:dyDescent="0.3">
      <c r="B12" s="39" t="s">
        <v>192</v>
      </c>
      <c r="C12" s="17">
        <v>5.6666666666666652</v>
      </c>
      <c r="D12" s="17">
        <v>6.3083333333333327</v>
      </c>
      <c r="E12" s="17">
        <v>6.6083333333333325</v>
      </c>
      <c r="F12" s="17">
        <v>6.8333333333333321</v>
      </c>
      <c r="G12" s="17">
        <v>7.5</v>
      </c>
      <c r="H12" s="17">
        <v>6.4666666666666668</v>
      </c>
      <c r="I12" s="17">
        <v>5.8333333333333348</v>
      </c>
      <c r="J12" s="17">
        <v>5.5416666666666679</v>
      </c>
      <c r="K12" s="17">
        <v>6.5083333333333329</v>
      </c>
      <c r="L12" s="17">
        <v>9.5416666666666679</v>
      </c>
      <c r="M12" s="17">
        <v>9.7749999999999986</v>
      </c>
      <c r="N12" s="17">
        <v>10.083333333333325</v>
      </c>
      <c r="O12" s="19">
        <v>8.9583333333333321</v>
      </c>
      <c r="P12" s="19">
        <v>8.4166666666666643</v>
      </c>
      <c r="Q12" s="19">
        <v>7.7166666666666668</v>
      </c>
      <c r="R12" s="19">
        <v>6.8833333333333329</v>
      </c>
      <c r="S12" s="19">
        <v>6.2333333333333325</v>
      </c>
      <c r="T12" s="19">
        <v>6.1083333333333325</v>
      </c>
      <c r="U12" s="19">
        <v>5.716666666666665</v>
      </c>
      <c r="V12" s="19">
        <v>5.5166666666666675</v>
      </c>
      <c r="W12" s="19">
        <v>7.9666666666666668</v>
      </c>
      <c r="X12" s="19">
        <v>6.8333333333333348</v>
      </c>
      <c r="Y12" s="19">
        <v>4.6999999999999993</v>
      </c>
      <c r="Z12" s="19">
        <v>4.8500000000000023</v>
      </c>
      <c r="AA12" s="19">
        <v>5.2416666666666654</v>
      </c>
      <c r="AB12" s="96"/>
      <c r="AC12" s="36" t="str">
        <f>Table11[[#This Row],[State]]</f>
        <v>District Of Columbia</v>
      </c>
      <c r="AD12" s="27">
        <v>8.6333333333333293</v>
      </c>
      <c r="AE12" s="27">
        <v>9.4</v>
      </c>
      <c r="AF12" s="27">
        <v>9.9333333333333407</v>
      </c>
      <c r="AG12" s="27">
        <v>10.199999999999999</v>
      </c>
      <c r="AH12" s="27">
        <v>10.1</v>
      </c>
      <c r="AI12" s="27">
        <v>9.6999999999999993</v>
      </c>
      <c r="AJ12" s="27">
        <v>9.56666666666667</v>
      </c>
      <c r="AK12" s="27">
        <v>9.7333333333333307</v>
      </c>
      <c r="AL12" s="27">
        <v>9.9</v>
      </c>
      <c r="AM12" s="27">
        <v>10.233333333333301</v>
      </c>
      <c r="AN12" s="27">
        <v>10.3</v>
      </c>
      <c r="AO12" s="27">
        <v>9.9</v>
      </c>
      <c r="AP12" s="27">
        <v>9.43333333333333</v>
      </c>
      <c r="AQ12" s="27">
        <v>9.1</v>
      </c>
      <c r="AR12" s="27">
        <v>8.6999999999999993</v>
      </c>
      <c r="AS12" s="27">
        <v>8.6</v>
      </c>
      <c r="AT12" s="27">
        <v>8.6</v>
      </c>
      <c r="AU12" s="27">
        <v>8.5333333333333297</v>
      </c>
      <c r="AV12" s="27">
        <v>8.43333333333333</v>
      </c>
      <c r="AW12" s="27">
        <v>8.1</v>
      </c>
      <c r="AX12" s="27">
        <v>7.9</v>
      </c>
      <c r="AY12" s="27">
        <v>7.8</v>
      </c>
      <c r="AZ12" s="27">
        <v>7.6666666666666696</v>
      </c>
      <c r="BA12" s="27">
        <v>7.5</v>
      </c>
      <c r="BB12" s="36" t="str">
        <f t="shared" si="0"/>
        <v>District Of Columbia</v>
      </c>
      <c r="BC12" s="27">
        <v>7.2666666666666702</v>
      </c>
      <c r="BD12" s="27">
        <v>7</v>
      </c>
      <c r="BE12" s="27">
        <v>6.7333333333333298</v>
      </c>
      <c r="BF12" s="27">
        <v>6.5333333333333297</v>
      </c>
      <c r="BG12" s="27">
        <v>6.3</v>
      </c>
      <c r="BH12" s="27">
        <v>6.1</v>
      </c>
      <c r="BI12" s="27">
        <v>6.2333333333333298</v>
      </c>
      <c r="BJ12" s="27">
        <v>6.3</v>
      </c>
      <c r="BK12" s="27">
        <v>6.2333333333333298</v>
      </c>
      <c r="BL12" s="27">
        <v>6.2</v>
      </c>
      <c r="BM12" s="27">
        <v>6.06666666666667</v>
      </c>
      <c r="BN12" s="27">
        <v>5.93333333333333</v>
      </c>
      <c r="BO12" s="27">
        <v>5.8666666666666698</v>
      </c>
      <c r="BP12" s="27">
        <v>5.7333333333333298</v>
      </c>
      <c r="BQ12" s="27">
        <v>5.5333333333333297</v>
      </c>
      <c r="BR12" s="27">
        <v>5.7333333333333298</v>
      </c>
      <c r="BS12" s="27">
        <v>5.9</v>
      </c>
      <c r="BT12" s="27">
        <v>5.6</v>
      </c>
      <c r="BU12" s="27">
        <v>5.3</v>
      </c>
      <c r="BV12" s="27">
        <v>5.2666666666666702</v>
      </c>
      <c r="BW12" s="36" t="str">
        <f>Table13[[#This Row],[State]]</f>
        <v>District Of Columbia</v>
      </c>
      <c r="BX12" s="27">
        <v>5.6666666666666696</v>
      </c>
      <c r="BY12" s="27">
        <v>9.56666666666667</v>
      </c>
      <c r="BZ12" s="27">
        <v>8.6</v>
      </c>
      <c r="CA12" s="27">
        <v>8.0333333333333297</v>
      </c>
      <c r="CB12" s="27">
        <v>7.1</v>
      </c>
      <c r="CC12" s="27">
        <v>7.06666666666667</v>
      </c>
      <c r="CD12" s="27">
        <v>6.8666666666666698</v>
      </c>
      <c r="CE12" s="27">
        <v>6.3</v>
      </c>
      <c r="CF12" s="27">
        <v>5.5333333333333297</v>
      </c>
      <c r="CG12" s="27">
        <v>4.6666666666666696</v>
      </c>
      <c r="CH12" s="27">
        <v>4.0999999999999996</v>
      </c>
      <c r="CI12" s="27">
        <v>4.5</v>
      </c>
      <c r="CJ12" s="27">
        <v>4.8666666666666698</v>
      </c>
      <c r="CK12" s="27">
        <v>4.7666666666666702</v>
      </c>
      <c r="CL12" s="27">
        <v>4.7666666666666702</v>
      </c>
      <c r="CM12" s="27">
        <v>5</v>
      </c>
      <c r="CN12" s="27">
        <v>5.1333333333333302</v>
      </c>
      <c r="CO12" s="27">
        <v>5.2333333333333298</v>
      </c>
      <c r="CP12" s="27">
        <v>5.3</v>
      </c>
      <c r="CQ12" s="27">
        <v>5.3</v>
      </c>
      <c r="CR12" s="79" t="str">
        <f>Table13[[#This Row],[ State]]</f>
        <v>District Of Columbia</v>
      </c>
      <c r="CS12" s="27">
        <v>5.43333333333333</v>
      </c>
      <c r="CT12" s="27">
        <v>5.8666666666666698</v>
      </c>
      <c r="CU12" s="27">
        <v>6.06666666666667</v>
      </c>
      <c r="CV12" s="111"/>
      <c r="CW12" s="41" t="s">
        <v>192</v>
      </c>
      <c r="CX12" s="47">
        <v>9.8000000000000007</v>
      </c>
      <c r="CY12" s="48">
        <v>9.9</v>
      </c>
      <c r="CZ12" s="48">
        <v>10</v>
      </c>
      <c r="DA12" s="48">
        <v>10.1</v>
      </c>
      <c r="DB12" s="48">
        <v>10.3</v>
      </c>
      <c r="DC12" s="48">
        <v>10.3</v>
      </c>
      <c r="DD12" s="48">
        <v>10.4</v>
      </c>
      <c r="DE12" s="48">
        <v>10.3</v>
      </c>
      <c r="DF12" s="48">
        <v>10.199999999999999</v>
      </c>
      <c r="DG12" s="48">
        <v>10.1</v>
      </c>
      <c r="DH12" s="48">
        <v>9.9</v>
      </c>
      <c r="DI12" s="48">
        <v>9.6999999999999993</v>
      </c>
      <c r="DJ12" s="48">
        <v>9.6</v>
      </c>
      <c r="DK12" s="48">
        <v>9.4</v>
      </c>
      <c r="DL12" s="48">
        <v>9.3000000000000007</v>
      </c>
      <c r="DM12" s="48">
        <v>9.1999999999999993</v>
      </c>
      <c r="DN12" s="48">
        <v>9.1</v>
      </c>
      <c r="DO12" s="48">
        <v>9</v>
      </c>
      <c r="DP12" s="48">
        <v>8.8000000000000007</v>
      </c>
      <c r="DQ12" s="48">
        <v>8.6999999999999993</v>
      </c>
      <c r="DR12" s="48">
        <v>8.6</v>
      </c>
      <c r="DS12" s="48">
        <v>8.6</v>
      </c>
      <c r="DT12" s="48">
        <v>8.6</v>
      </c>
      <c r="DU12" s="62">
        <v>8.6</v>
      </c>
      <c r="DV12" s="49" t="s">
        <v>192</v>
      </c>
      <c r="DW12" s="48">
        <v>8.6</v>
      </c>
      <c r="DX12" s="48">
        <v>8.6</v>
      </c>
      <c r="DY12" s="48">
        <v>8.6</v>
      </c>
      <c r="DZ12" s="48">
        <v>8.6</v>
      </c>
      <c r="EA12" s="48">
        <v>8.5</v>
      </c>
      <c r="EB12" s="48">
        <v>8.5</v>
      </c>
      <c r="EC12" s="48">
        <v>8.5</v>
      </c>
      <c r="ED12" s="48">
        <v>8.4</v>
      </c>
      <c r="EE12" s="48">
        <v>8.4</v>
      </c>
      <c r="EF12" s="48">
        <v>8.1999999999999993</v>
      </c>
      <c r="EG12" s="50">
        <v>8.1</v>
      </c>
      <c r="EH12" s="50">
        <v>8</v>
      </c>
      <c r="EI12" s="50">
        <v>8</v>
      </c>
      <c r="EJ12" s="50">
        <v>7.9</v>
      </c>
      <c r="EK12" s="48">
        <v>7.8</v>
      </c>
      <c r="EL12" s="50">
        <v>7.8</v>
      </c>
      <c r="EM12" s="50">
        <v>7.8</v>
      </c>
      <c r="EN12" s="50">
        <v>7.8</v>
      </c>
      <c r="EO12" s="50">
        <v>7.7</v>
      </c>
      <c r="EP12" s="50">
        <v>7.7</v>
      </c>
      <c r="EQ12" s="50">
        <v>7.6</v>
      </c>
      <c r="ER12" s="48">
        <v>7.6</v>
      </c>
      <c r="ES12" s="50">
        <v>7.5</v>
      </c>
      <c r="ET12" s="51">
        <v>7.4</v>
      </c>
      <c r="EU12" s="49" t="s">
        <v>192</v>
      </c>
      <c r="EV12" s="48">
        <v>7.3</v>
      </c>
      <c r="EW12" s="50">
        <v>7.3</v>
      </c>
      <c r="EX12" s="50">
        <v>7.2</v>
      </c>
      <c r="EY12" s="50">
        <v>7.1</v>
      </c>
      <c r="EZ12" s="50">
        <v>7</v>
      </c>
      <c r="FA12" s="50">
        <v>6.9</v>
      </c>
      <c r="FB12" s="50">
        <v>6.8</v>
      </c>
      <c r="FC12" s="50">
        <v>6.7</v>
      </c>
      <c r="FD12" s="50">
        <v>6.7</v>
      </c>
      <c r="FE12" s="50">
        <v>6.6</v>
      </c>
      <c r="FF12" s="50">
        <v>6.5</v>
      </c>
      <c r="FG12" s="50">
        <v>6.5</v>
      </c>
      <c r="FH12" s="50">
        <v>6.4</v>
      </c>
      <c r="FI12" s="50">
        <v>6.3</v>
      </c>
      <c r="FJ12" s="50">
        <v>6.2</v>
      </c>
      <c r="FK12" s="50">
        <v>6.1</v>
      </c>
      <c r="FL12" s="50">
        <v>6.1</v>
      </c>
      <c r="FM12" s="50">
        <v>6.1</v>
      </c>
      <c r="FN12" s="50">
        <v>6.2</v>
      </c>
      <c r="FO12" s="50">
        <v>6.2</v>
      </c>
      <c r="FP12" s="50">
        <v>6.3</v>
      </c>
      <c r="FQ12" s="50">
        <v>6.3</v>
      </c>
      <c r="FR12" s="50">
        <v>6.3</v>
      </c>
      <c r="FS12" s="51">
        <v>6.3</v>
      </c>
      <c r="FT12" s="49" t="s">
        <v>192</v>
      </c>
      <c r="FU12" s="48">
        <v>6.3</v>
      </c>
      <c r="FV12" s="50">
        <v>6.2</v>
      </c>
      <c r="FW12" s="50">
        <v>6.2</v>
      </c>
      <c r="FX12" s="50">
        <v>6.2</v>
      </c>
      <c r="FY12" s="50">
        <v>6.2</v>
      </c>
      <c r="FZ12" s="50">
        <v>6.2</v>
      </c>
      <c r="GA12" s="50">
        <v>6.1</v>
      </c>
      <c r="GB12" s="50">
        <v>6.1</v>
      </c>
      <c r="GC12" s="50">
        <v>6</v>
      </c>
      <c r="GD12" s="50">
        <v>6</v>
      </c>
      <c r="GE12" s="50">
        <v>5.9</v>
      </c>
      <c r="GF12" s="50">
        <v>5.9</v>
      </c>
      <c r="GG12" s="50">
        <v>5.9</v>
      </c>
      <c r="GH12" s="50">
        <v>5.9</v>
      </c>
      <c r="GI12" s="50">
        <v>5.8</v>
      </c>
      <c r="GJ12" s="50">
        <v>5.8</v>
      </c>
      <c r="GK12" s="50">
        <v>5.7</v>
      </c>
      <c r="GL12" s="50">
        <v>5.7</v>
      </c>
      <c r="GM12" s="50">
        <v>5.6</v>
      </c>
      <c r="GN12" s="50">
        <v>5.5</v>
      </c>
      <c r="GO12" s="50">
        <v>5.5</v>
      </c>
      <c r="GP12" s="50">
        <v>5.6</v>
      </c>
      <c r="GQ12" s="50">
        <v>5.7</v>
      </c>
      <c r="GR12" s="50">
        <v>5.9</v>
      </c>
      <c r="GS12" s="49" t="s">
        <v>192</v>
      </c>
      <c r="GT12" s="50">
        <v>5.9</v>
      </c>
      <c r="GU12" s="50">
        <v>5.9</v>
      </c>
      <c r="GV12" s="50">
        <v>5.9</v>
      </c>
      <c r="GW12" s="50">
        <v>5.7</v>
      </c>
      <c r="GX12" s="50">
        <v>5.6</v>
      </c>
      <c r="GY12" s="50">
        <v>5.5</v>
      </c>
      <c r="GZ12" s="50">
        <v>5.4</v>
      </c>
      <c r="HA12" s="50">
        <v>5.3</v>
      </c>
      <c r="HB12" s="50">
        <v>5.2</v>
      </c>
      <c r="HC12" s="50">
        <v>5.2</v>
      </c>
      <c r="HD12" s="50">
        <v>5.2</v>
      </c>
      <c r="HE12" s="50">
        <v>5.4</v>
      </c>
      <c r="HF12" s="50">
        <v>5.5</v>
      </c>
      <c r="HG12" s="50">
        <v>5.7</v>
      </c>
      <c r="HH12" s="50">
        <v>5.8</v>
      </c>
      <c r="HI12" s="50">
        <v>11.3</v>
      </c>
      <c r="HJ12" s="50">
        <v>8.8000000000000007</v>
      </c>
      <c r="HK12" s="50">
        <v>8.6</v>
      </c>
      <c r="HL12" s="50">
        <v>8.6999999999999993</v>
      </c>
      <c r="HM12" s="50">
        <v>8.5</v>
      </c>
      <c r="HN12" s="50">
        <v>8.6</v>
      </c>
      <c r="HO12" s="50">
        <v>8.3000000000000007</v>
      </c>
      <c r="HP12" s="50">
        <v>8</v>
      </c>
      <c r="HQ12" s="51">
        <v>7.8</v>
      </c>
      <c r="HR12" s="49" t="s">
        <v>192</v>
      </c>
      <c r="HS12" s="50">
        <v>7.3</v>
      </c>
      <c r="HT12" s="50">
        <v>7</v>
      </c>
      <c r="HU12" s="50">
        <v>7</v>
      </c>
      <c r="HV12" s="50">
        <v>7</v>
      </c>
      <c r="HW12" s="50">
        <v>7</v>
      </c>
      <c r="HX12" s="50">
        <v>7.2</v>
      </c>
      <c r="HY12" s="50">
        <v>7.1</v>
      </c>
      <c r="HZ12" s="50">
        <v>6.9</v>
      </c>
      <c r="IA12" s="50">
        <v>6.6</v>
      </c>
      <c r="IB12" s="50">
        <v>6.5</v>
      </c>
      <c r="IC12" s="50">
        <v>6.3</v>
      </c>
      <c r="ID12" s="50">
        <v>6.1</v>
      </c>
      <c r="IE12" s="50">
        <v>5.9</v>
      </c>
      <c r="IF12" s="50">
        <v>5.5</v>
      </c>
      <c r="IG12" s="50">
        <v>5.2</v>
      </c>
      <c r="IH12" s="50">
        <v>4.9000000000000004</v>
      </c>
      <c r="II12" s="50">
        <v>4.7</v>
      </c>
      <c r="IJ12" s="50">
        <v>4.4000000000000004</v>
      </c>
      <c r="IK12" s="50">
        <v>4.2</v>
      </c>
      <c r="IL12" s="50">
        <v>4</v>
      </c>
      <c r="IM12" s="50">
        <v>4.0999999999999996</v>
      </c>
      <c r="IN12" s="50">
        <v>4.3</v>
      </c>
      <c r="IO12" s="50">
        <v>4.5</v>
      </c>
      <c r="IP12" s="51">
        <v>4.7</v>
      </c>
      <c r="IQ12" s="49" t="s">
        <v>192</v>
      </c>
      <c r="IR12" s="50">
        <v>4.8</v>
      </c>
      <c r="IS12" s="50">
        <v>4.9000000000000004</v>
      </c>
      <c r="IT12" s="50">
        <v>4.9000000000000004</v>
      </c>
      <c r="IU12" s="50">
        <v>4.8</v>
      </c>
      <c r="IV12" s="50">
        <v>4.8</v>
      </c>
      <c r="IW12" s="50">
        <v>4.7</v>
      </c>
      <c r="IX12" s="50">
        <v>4.7</v>
      </c>
      <c r="IY12" s="50">
        <v>4.8</v>
      </c>
      <c r="IZ12" s="50">
        <v>4.8</v>
      </c>
      <c r="JA12" s="50">
        <v>4.9000000000000004</v>
      </c>
      <c r="JB12" s="50">
        <v>5</v>
      </c>
      <c r="JC12" s="50">
        <v>5.0999999999999996</v>
      </c>
      <c r="JD12" s="50">
        <v>5.0999999999999996</v>
      </c>
      <c r="JE12" s="50">
        <v>5.0999999999999996</v>
      </c>
      <c r="JF12" s="50">
        <v>5.2</v>
      </c>
      <c r="JG12" s="50">
        <v>5.2</v>
      </c>
      <c r="JH12" s="50">
        <v>5.2</v>
      </c>
      <c r="JI12" s="50">
        <v>5.3</v>
      </c>
      <c r="JJ12" s="50">
        <v>5.3</v>
      </c>
      <c r="JK12" s="50">
        <v>5.3</v>
      </c>
      <c r="JL12" s="50">
        <v>5.3</v>
      </c>
      <c r="JM12" s="50">
        <v>5.3</v>
      </c>
      <c r="JN12" s="50">
        <v>5.3</v>
      </c>
      <c r="JO12" s="51">
        <v>5.3</v>
      </c>
      <c r="JP12" s="49" t="s">
        <v>192</v>
      </c>
      <c r="JQ12" s="80">
        <v>5.3</v>
      </c>
      <c r="JR12" s="80">
        <v>5.4</v>
      </c>
      <c r="JS12" s="80">
        <v>5.6</v>
      </c>
      <c r="JT12" s="80">
        <v>5.8</v>
      </c>
      <c r="JU12" s="80">
        <v>5.9</v>
      </c>
      <c r="JV12" s="80">
        <v>5.9</v>
      </c>
      <c r="JW12" s="80">
        <v>6</v>
      </c>
      <c r="JX12" s="80">
        <v>6</v>
      </c>
      <c r="JY12" s="80">
        <v>6.2</v>
      </c>
      <c r="JZ12" s="80" t="s">
        <v>402</v>
      </c>
      <c r="KA12" s="81">
        <v>6.5</v>
      </c>
    </row>
    <row r="13" spans="1:289" x14ac:dyDescent="0.3">
      <c r="B13" s="39" t="s">
        <v>193</v>
      </c>
      <c r="C13" s="17">
        <v>3.7333333333333325</v>
      </c>
      <c r="D13" s="17">
        <v>4.6666666666666679</v>
      </c>
      <c r="E13" s="17">
        <v>5.6416666666666675</v>
      </c>
      <c r="F13" s="17">
        <v>5.2916666666666679</v>
      </c>
      <c r="G13" s="17">
        <v>4.6083333333333325</v>
      </c>
      <c r="H13" s="17">
        <v>3.7416666666666671</v>
      </c>
      <c r="I13" s="17">
        <v>3.2833333333333323</v>
      </c>
      <c r="J13" s="17">
        <v>4.0083333333333329</v>
      </c>
      <c r="K13" s="17">
        <v>6.3</v>
      </c>
      <c r="L13" s="17">
        <v>10.216666666666676</v>
      </c>
      <c r="M13" s="17">
        <v>11.25</v>
      </c>
      <c r="N13" s="17">
        <v>10.183333333333332</v>
      </c>
      <c r="O13" s="19">
        <v>8.6750000000000007</v>
      </c>
      <c r="P13" s="19">
        <v>7.5166666666666657</v>
      </c>
      <c r="Q13" s="19">
        <v>6.4416666666666647</v>
      </c>
      <c r="R13" s="19">
        <v>5.5</v>
      </c>
      <c r="S13" s="19">
        <v>4.9083333333333332</v>
      </c>
      <c r="T13" s="19">
        <v>4.283333333333335</v>
      </c>
      <c r="U13" s="19">
        <v>3.6416666666666675</v>
      </c>
      <c r="V13" s="19">
        <v>3.2416666666666676</v>
      </c>
      <c r="W13" s="19">
        <v>8.0666666666666647</v>
      </c>
      <c r="X13" s="19">
        <v>4.7166666666666677</v>
      </c>
      <c r="Y13" s="19">
        <v>3.0166666666666653</v>
      </c>
      <c r="Z13" s="19">
        <v>2.95</v>
      </c>
      <c r="AA13" s="19">
        <v>3.3583333333333325</v>
      </c>
      <c r="AB13" s="96"/>
      <c r="AC13" s="35" t="str">
        <f>Table11[[#This Row],[State]]</f>
        <v>Florida</v>
      </c>
      <c r="AD13" s="17">
        <v>8.9</v>
      </c>
      <c r="AE13" s="17">
        <v>10</v>
      </c>
      <c r="AF13" s="17">
        <v>10.766666666666699</v>
      </c>
      <c r="AG13" s="17">
        <v>11.2</v>
      </c>
      <c r="AH13" s="17">
        <v>11.4</v>
      </c>
      <c r="AI13" s="17">
        <v>11.233333333333301</v>
      </c>
      <c r="AJ13" s="17">
        <v>11.2</v>
      </c>
      <c r="AK13" s="17">
        <v>11.1666666666667</v>
      </c>
      <c r="AL13" s="17">
        <v>10.766666666666699</v>
      </c>
      <c r="AM13" s="17">
        <v>10.4</v>
      </c>
      <c r="AN13" s="19">
        <v>10.033333333333299</v>
      </c>
      <c r="AO13" s="19">
        <v>9.5333333333333297</v>
      </c>
      <c r="AP13" s="19">
        <v>9.1</v>
      </c>
      <c r="AQ13" s="19">
        <v>8.8666666666666707</v>
      </c>
      <c r="AR13" s="19">
        <v>8.5333333333333297</v>
      </c>
      <c r="AS13" s="19">
        <v>8.1999999999999993</v>
      </c>
      <c r="AT13" s="19">
        <v>7.93333333333333</v>
      </c>
      <c r="AU13" s="19">
        <v>7.6333333333333302</v>
      </c>
      <c r="AV13" s="17">
        <v>7.4</v>
      </c>
      <c r="AW13" s="17">
        <v>7.1</v>
      </c>
      <c r="AX13" s="17">
        <v>6.8333333333333304</v>
      </c>
      <c r="AY13" s="17">
        <v>6.6</v>
      </c>
      <c r="AZ13" s="17">
        <v>6.3</v>
      </c>
      <c r="BA13" s="17">
        <v>6.0333333333333297</v>
      </c>
      <c r="BB13" s="35" t="str">
        <f t="shared" si="0"/>
        <v>Florida</v>
      </c>
      <c r="BC13" s="19">
        <v>5.8333333333333304</v>
      </c>
      <c r="BD13" s="19">
        <v>5.6</v>
      </c>
      <c r="BE13" s="19">
        <v>5.4</v>
      </c>
      <c r="BF13" s="19">
        <v>5.1666666666666696</v>
      </c>
      <c r="BG13" s="17">
        <v>5</v>
      </c>
      <c r="BH13" s="17">
        <v>4.9000000000000004</v>
      </c>
      <c r="BI13" s="17">
        <v>4.9000000000000004</v>
      </c>
      <c r="BJ13" s="17">
        <v>4.8333333333333304</v>
      </c>
      <c r="BK13" s="17">
        <v>4.5999999999999996</v>
      </c>
      <c r="BL13" s="17">
        <v>4.3</v>
      </c>
      <c r="BM13" s="17">
        <v>4.1666666666666696</v>
      </c>
      <c r="BN13" s="17">
        <v>4.06666666666667</v>
      </c>
      <c r="BO13" s="17">
        <v>3.8666666666666698</v>
      </c>
      <c r="BP13" s="17">
        <v>3.6666666666666701</v>
      </c>
      <c r="BQ13" s="17">
        <v>3.5333333333333301</v>
      </c>
      <c r="BR13" s="17">
        <v>3.5</v>
      </c>
      <c r="BS13" s="17">
        <v>3.43333333333333</v>
      </c>
      <c r="BT13" s="17">
        <v>3.2666666666666702</v>
      </c>
      <c r="BU13" s="17">
        <v>3.2</v>
      </c>
      <c r="BV13" s="17">
        <v>3.06666666666667</v>
      </c>
      <c r="BW13" s="35" t="str">
        <f>Table13[[#This Row],[State]]</f>
        <v>Florida</v>
      </c>
      <c r="BX13" s="17">
        <v>3.3333333333333299</v>
      </c>
      <c r="BY13" s="17">
        <v>13</v>
      </c>
      <c r="BZ13" s="17">
        <v>9.4</v>
      </c>
      <c r="CA13" s="17">
        <v>6.5333333333333297</v>
      </c>
      <c r="CB13" s="17">
        <v>5.56666666666667</v>
      </c>
      <c r="CC13" s="17">
        <v>5.0333333333333297</v>
      </c>
      <c r="CD13" s="17">
        <v>4.4666666666666703</v>
      </c>
      <c r="CE13" s="17">
        <v>3.8</v>
      </c>
      <c r="CF13" s="17">
        <v>3.3333333333333299</v>
      </c>
      <c r="CG13" s="17">
        <v>3</v>
      </c>
      <c r="CH13" s="17">
        <v>2.8333333333333299</v>
      </c>
      <c r="CI13" s="17">
        <v>2.9</v>
      </c>
      <c r="CJ13" s="17">
        <v>2.8</v>
      </c>
      <c r="CK13" s="17">
        <v>2.8666666666666698</v>
      </c>
      <c r="CL13" s="17">
        <v>3</v>
      </c>
      <c r="CM13" s="17">
        <v>3.1333333333333302</v>
      </c>
      <c r="CN13" s="17">
        <v>3.2</v>
      </c>
      <c r="CO13" s="17">
        <v>3.3333333333333299</v>
      </c>
      <c r="CP13" s="17">
        <v>3.43333333333333</v>
      </c>
      <c r="CQ13" s="17">
        <v>3.4666666666666699</v>
      </c>
      <c r="CR13" s="42" t="str">
        <f>Table13[[#This Row],[ State]]</f>
        <v>Florida</v>
      </c>
      <c r="CS13" s="17">
        <v>3.56666666666667</v>
      </c>
      <c r="CT13" s="17">
        <v>3.7</v>
      </c>
      <c r="CU13" s="17">
        <v>3.8</v>
      </c>
      <c r="CV13" s="111"/>
      <c r="CW13" s="42" t="s">
        <v>193</v>
      </c>
      <c r="CX13" s="52">
        <v>10.9</v>
      </c>
      <c r="CY13" s="53">
        <v>10.8</v>
      </c>
      <c r="CZ13" s="53">
        <v>10.6</v>
      </c>
      <c r="DA13" s="53">
        <v>10.5</v>
      </c>
      <c r="DB13" s="53">
        <v>10.4</v>
      </c>
      <c r="DC13" s="53">
        <v>10.3</v>
      </c>
      <c r="DD13" s="53">
        <v>10.199999999999999</v>
      </c>
      <c r="DE13" s="53">
        <v>10.1</v>
      </c>
      <c r="DF13" s="53">
        <v>9.8000000000000007</v>
      </c>
      <c r="DG13" s="53">
        <v>9.6999999999999993</v>
      </c>
      <c r="DH13" s="53">
        <v>9.5</v>
      </c>
      <c r="DI13" s="53">
        <v>9.4</v>
      </c>
      <c r="DJ13" s="53">
        <v>9.1999999999999993</v>
      </c>
      <c r="DK13" s="53">
        <v>9.1</v>
      </c>
      <c r="DL13" s="53">
        <v>9</v>
      </c>
      <c r="DM13" s="53">
        <v>8.9</v>
      </c>
      <c r="DN13" s="53">
        <v>8.9</v>
      </c>
      <c r="DO13" s="53">
        <v>8.8000000000000007</v>
      </c>
      <c r="DP13" s="53">
        <v>8.6999999999999993</v>
      </c>
      <c r="DQ13" s="53">
        <v>8.5</v>
      </c>
      <c r="DR13" s="53">
        <v>8.4</v>
      </c>
      <c r="DS13" s="53">
        <v>8.3000000000000007</v>
      </c>
      <c r="DT13" s="53">
        <v>8.1999999999999993</v>
      </c>
      <c r="DU13" s="63">
        <v>8.1</v>
      </c>
      <c r="DV13" s="54" t="s">
        <v>193</v>
      </c>
      <c r="DW13" s="53">
        <v>8</v>
      </c>
      <c r="DX13" s="53">
        <v>7.9</v>
      </c>
      <c r="DY13" s="53">
        <v>7.9</v>
      </c>
      <c r="DZ13" s="53">
        <v>7.7</v>
      </c>
      <c r="EA13" s="53">
        <v>7.6</v>
      </c>
      <c r="EB13" s="53">
        <v>7.6</v>
      </c>
      <c r="EC13" s="53">
        <v>7.5</v>
      </c>
      <c r="ED13" s="53">
        <v>7.4</v>
      </c>
      <c r="EE13" s="53">
        <v>7.3</v>
      </c>
      <c r="EF13" s="53">
        <v>7.2</v>
      </c>
      <c r="EG13" s="55">
        <v>7.1</v>
      </c>
      <c r="EH13" s="55">
        <v>7</v>
      </c>
      <c r="EI13" s="55">
        <v>6.9</v>
      </c>
      <c r="EJ13" s="55">
        <v>6.8</v>
      </c>
      <c r="EK13" s="53">
        <v>6.8</v>
      </c>
      <c r="EL13" s="55">
        <v>6.7</v>
      </c>
      <c r="EM13" s="55">
        <v>6.6</v>
      </c>
      <c r="EN13" s="55">
        <v>6.5</v>
      </c>
      <c r="EO13" s="55">
        <v>6.4</v>
      </c>
      <c r="EP13" s="55">
        <v>6.3</v>
      </c>
      <c r="EQ13" s="55">
        <v>6.2</v>
      </c>
      <c r="ER13" s="53">
        <v>6.1</v>
      </c>
      <c r="ES13" s="55">
        <v>6</v>
      </c>
      <c r="ET13" s="56">
        <v>6</v>
      </c>
      <c r="EU13" s="54" t="s">
        <v>193</v>
      </c>
      <c r="EV13" s="53">
        <v>5.9</v>
      </c>
      <c r="EW13" s="55">
        <v>5.8</v>
      </c>
      <c r="EX13" s="55">
        <v>5.8</v>
      </c>
      <c r="EY13" s="55">
        <v>5.7</v>
      </c>
      <c r="EZ13" s="55">
        <v>5.6</v>
      </c>
      <c r="FA13" s="55">
        <v>5.5</v>
      </c>
      <c r="FB13" s="55">
        <v>5.5</v>
      </c>
      <c r="FC13" s="55">
        <v>5.4</v>
      </c>
      <c r="FD13" s="55">
        <v>5.3</v>
      </c>
      <c r="FE13" s="55">
        <v>5.2</v>
      </c>
      <c r="FF13" s="55">
        <v>5.2</v>
      </c>
      <c r="FG13" s="55">
        <v>5.0999999999999996</v>
      </c>
      <c r="FH13" s="55">
        <v>5.0999999999999996</v>
      </c>
      <c r="FI13" s="55">
        <v>5</v>
      </c>
      <c r="FJ13" s="55">
        <v>4.9000000000000004</v>
      </c>
      <c r="FK13" s="55">
        <v>4.9000000000000004</v>
      </c>
      <c r="FL13" s="55">
        <v>4.9000000000000004</v>
      </c>
      <c r="FM13" s="55">
        <v>4.9000000000000004</v>
      </c>
      <c r="FN13" s="55">
        <v>4.9000000000000004</v>
      </c>
      <c r="FO13" s="55">
        <v>4.9000000000000004</v>
      </c>
      <c r="FP13" s="55">
        <v>4.9000000000000004</v>
      </c>
      <c r="FQ13" s="55">
        <v>4.9000000000000004</v>
      </c>
      <c r="FR13" s="55">
        <v>4.8</v>
      </c>
      <c r="FS13" s="56">
        <v>4.8</v>
      </c>
      <c r="FT13" s="54" t="s">
        <v>193</v>
      </c>
      <c r="FU13" s="53">
        <v>4.7</v>
      </c>
      <c r="FV13" s="55">
        <v>4.5999999999999996</v>
      </c>
      <c r="FW13" s="55">
        <v>4.5</v>
      </c>
      <c r="FX13" s="55">
        <v>4.4000000000000004</v>
      </c>
      <c r="FY13" s="55">
        <v>4.3</v>
      </c>
      <c r="FZ13" s="55">
        <v>4.2</v>
      </c>
      <c r="GA13" s="55">
        <v>4.2</v>
      </c>
      <c r="GB13" s="55">
        <v>4.2</v>
      </c>
      <c r="GC13" s="55">
        <v>4.0999999999999996</v>
      </c>
      <c r="GD13" s="55">
        <v>4.0999999999999996</v>
      </c>
      <c r="GE13" s="55">
        <v>4.0999999999999996</v>
      </c>
      <c r="GF13" s="55">
        <v>4</v>
      </c>
      <c r="GG13" s="55">
        <v>3.9</v>
      </c>
      <c r="GH13" s="55">
        <v>3.9</v>
      </c>
      <c r="GI13" s="55">
        <v>3.8</v>
      </c>
      <c r="GJ13" s="55">
        <v>3.7</v>
      </c>
      <c r="GK13" s="55">
        <v>3.7</v>
      </c>
      <c r="GL13" s="55">
        <v>3.6</v>
      </c>
      <c r="GM13" s="55">
        <v>3.6</v>
      </c>
      <c r="GN13" s="55">
        <v>3.5</v>
      </c>
      <c r="GO13" s="55">
        <v>3.5</v>
      </c>
      <c r="GP13" s="55">
        <v>3.5</v>
      </c>
      <c r="GQ13" s="55">
        <v>3.5</v>
      </c>
      <c r="GR13" s="55">
        <v>3.5</v>
      </c>
      <c r="GS13" s="54" t="s">
        <v>193</v>
      </c>
      <c r="GT13" s="55">
        <v>3.5</v>
      </c>
      <c r="GU13" s="55">
        <v>3.4</v>
      </c>
      <c r="GV13" s="55">
        <v>3.4</v>
      </c>
      <c r="GW13" s="55">
        <v>3.3</v>
      </c>
      <c r="GX13" s="55">
        <v>3.3</v>
      </c>
      <c r="GY13" s="55">
        <v>3.2</v>
      </c>
      <c r="GZ13" s="55">
        <v>3.2</v>
      </c>
      <c r="HA13" s="55">
        <v>3.2</v>
      </c>
      <c r="HB13" s="55">
        <v>3.2</v>
      </c>
      <c r="HC13" s="55">
        <v>3.1</v>
      </c>
      <c r="HD13" s="55">
        <v>3.1</v>
      </c>
      <c r="HE13" s="55">
        <v>3</v>
      </c>
      <c r="HF13" s="55">
        <v>3</v>
      </c>
      <c r="HG13" s="55">
        <v>3</v>
      </c>
      <c r="HH13" s="55">
        <v>4</v>
      </c>
      <c r="HI13" s="55">
        <v>13.3</v>
      </c>
      <c r="HJ13" s="55">
        <v>14.1</v>
      </c>
      <c r="HK13" s="55">
        <v>11.6</v>
      </c>
      <c r="HL13" s="55">
        <v>11.6</v>
      </c>
      <c r="HM13" s="55">
        <v>8.6</v>
      </c>
      <c r="HN13" s="55">
        <v>8</v>
      </c>
      <c r="HO13" s="55">
        <v>6.9</v>
      </c>
      <c r="HP13" s="55">
        <v>6.5</v>
      </c>
      <c r="HQ13" s="56">
        <v>6.2</v>
      </c>
      <c r="HR13" s="54" t="s">
        <v>193</v>
      </c>
      <c r="HS13" s="55">
        <v>5.8</v>
      </c>
      <c r="HT13" s="55">
        <v>5.5</v>
      </c>
      <c r="HU13" s="55">
        <v>5.4</v>
      </c>
      <c r="HV13" s="55">
        <v>5.2</v>
      </c>
      <c r="HW13" s="55">
        <v>5</v>
      </c>
      <c r="HX13" s="55">
        <v>4.9000000000000004</v>
      </c>
      <c r="HY13" s="55">
        <v>4.7</v>
      </c>
      <c r="HZ13" s="55">
        <v>4.5</v>
      </c>
      <c r="IA13" s="55">
        <v>4.2</v>
      </c>
      <c r="IB13" s="55">
        <v>4</v>
      </c>
      <c r="IC13" s="55">
        <v>3.8</v>
      </c>
      <c r="ID13" s="55">
        <v>3.6</v>
      </c>
      <c r="IE13" s="55">
        <v>3.5</v>
      </c>
      <c r="IF13" s="55">
        <v>3.3</v>
      </c>
      <c r="IG13" s="55">
        <v>3.2</v>
      </c>
      <c r="IH13" s="55">
        <v>3.1</v>
      </c>
      <c r="II13" s="55">
        <v>3</v>
      </c>
      <c r="IJ13" s="55">
        <v>2.9</v>
      </c>
      <c r="IK13" s="55">
        <v>2.9</v>
      </c>
      <c r="IL13" s="55">
        <v>2.8</v>
      </c>
      <c r="IM13" s="55">
        <v>2.8</v>
      </c>
      <c r="IN13" s="55">
        <v>2.9</v>
      </c>
      <c r="IO13" s="55">
        <v>2.9</v>
      </c>
      <c r="IP13" s="56">
        <v>2.9</v>
      </c>
      <c r="IQ13" s="54" t="s">
        <v>193</v>
      </c>
      <c r="IR13" s="55">
        <v>2.8</v>
      </c>
      <c r="IS13" s="55">
        <v>2.8</v>
      </c>
      <c r="IT13" s="55">
        <v>2.8</v>
      </c>
      <c r="IU13" s="55">
        <v>2.8</v>
      </c>
      <c r="IV13" s="55">
        <v>2.9</v>
      </c>
      <c r="IW13" s="55">
        <v>2.9</v>
      </c>
      <c r="IX13" s="55">
        <v>2.9</v>
      </c>
      <c r="IY13" s="55">
        <v>3</v>
      </c>
      <c r="IZ13" s="55">
        <v>3.1</v>
      </c>
      <c r="JA13" s="55">
        <v>3.1</v>
      </c>
      <c r="JB13" s="55">
        <v>3.1</v>
      </c>
      <c r="JC13" s="55">
        <v>3.2</v>
      </c>
      <c r="JD13" s="55">
        <v>3.2</v>
      </c>
      <c r="JE13" s="55">
        <v>3.2</v>
      </c>
      <c r="JF13" s="55">
        <v>3.2</v>
      </c>
      <c r="JG13" s="55">
        <v>3.3</v>
      </c>
      <c r="JH13" s="55">
        <v>3.3</v>
      </c>
      <c r="JI13" s="55">
        <v>3.4</v>
      </c>
      <c r="JJ13" s="55">
        <v>3.4</v>
      </c>
      <c r="JK13" s="55">
        <v>3.4</v>
      </c>
      <c r="JL13" s="55">
        <v>3.5</v>
      </c>
      <c r="JM13" s="55">
        <v>3.5</v>
      </c>
      <c r="JN13" s="55">
        <v>3.5</v>
      </c>
      <c r="JO13" s="56">
        <v>3.4</v>
      </c>
      <c r="JP13" s="54" t="s">
        <v>193</v>
      </c>
      <c r="JQ13" s="82">
        <v>3.5</v>
      </c>
      <c r="JR13" s="82">
        <v>3.6</v>
      </c>
      <c r="JS13" s="82">
        <v>3.6</v>
      </c>
      <c r="JT13" s="82">
        <v>3.7</v>
      </c>
      <c r="JU13" s="82">
        <v>3.7</v>
      </c>
      <c r="JV13" s="82">
        <v>3.7</v>
      </c>
      <c r="JW13" s="82">
        <v>3.7</v>
      </c>
      <c r="JX13" s="82">
        <v>3.8</v>
      </c>
      <c r="JY13" s="82">
        <v>3.9</v>
      </c>
      <c r="JZ13" s="82" t="s">
        <v>402</v>
      </c>
      <c r="KA13" s="83">
        <v>4.2</v>
      </c>
    </row>
    <row r="14" spans="1:289" x14ac:dyDescent="0.3">
      <c r="B14" s="39" t="s">
        <v>194</v>
      </c>
      <c r="C14" s="17">
        <v>3.5333333333333328</v>
      </c>
      <c r="D14" s="17">
        <v>3.9833333333333347</v>
      </c>
      <c r="E14" s="17">
        <v>4.9833333333333352</v>
      </c>
      <c r="F14" s="17">
        <v>4.8250000000000002</v>
      </c>
      <c r="G14" s="17">
        <v>4.7666666666666675</v>
      </c>
      <c r="H14" s="17">
        <v>5.283333333333335</v>
      </c>
      <c r="I14" s="17">
        <v>4.6583333333333332</v>
      </c>
      <c r="J14" s="17">
        <v>4.5750000000000002</v>
      </c>
      <c r="K14" s="17">
        <v>6.4083333333333332</v>
      </c>
      <c r="L14" s="17">
        <v>9.9083333333333421</v>
      </c>
      <c r="M14" s="17">
        <v>10.383333333333326</v>
      </c>
      <c r="N14" s="17">
        <v>10.033333333333331</v>
      </c>
      <c r="O14" s="19">
        <v>9.0416666666666679</v>
      </c>
      <c r="P14" s="19">
        <v>8.1333333333333329</v>
      </c>
      <c r="Q14" s="19">
        <v>7.1499999999999995</v>
      </c>
      <c r="R14" s="19">
        <v>6.05</v>
      </c>
      <c r="S14" s="19">
        <v>5.45</v>
      </c>
      <c r="T14" s="19">
        <v>4.758333333333332</v>
      </c>
      <c r="U14" s="19">
        <v>4.0166666666666648</v>
      </c>
      <c r="V14" s="19">
        <v>3.5999999999999974</v>
      </c>
      <c r="W14" s="19">
        <v>6.5499999999999901</v>
      </c>
      <c r="X14" s="19">
        <v>3.9416666666666673</v>
      </c>
      <c r="Y14" s="19">
        <v>3.1666666666666679</v>
      </c>
      <c r="Z14" s="19">
        <v>3.2833333333333323</v>
      </c>
      <c r="AA14" s="19">
        <v>3.5083333333333324</v>
      </c>
      <c r="AB14" s="96"/>
      <c r="AC14" s="36" t="str">
        <f>Table11[[#This Row],[State]]</f>
        <v>Georgia</v>
      </c>
      <c r="AD14" s="27">
        <v>9.1</v>
      </c>
      <c r="AE14" s="27">
        <v>9.8666666666666707</v>
      </c>
      <c r="AF14" s="27">
        <v>10.199999999999999</v>
      </c>
      <c r="AG14" s="27">
        <v>10.466666666666701</v>
      </c>
      <c r="AH14" s="27">
        <v>10.533333333333299</v>
      </c>
      <c r="AI14" s="27">
        <v>10.3</v>
      </c>
      <c r="AJ14" s="27">
        <v>10.3</v>
      </c>
      <c r="AK14" s="27">
        <v>10.4</v>
      </c>
      <c r="AL14" s="27">
        <v>10.233333333333301</v>
      </c>
      <c r="AM14" s="27">
        <v>10.1</v>
      </c>
      <c r="AN14" s="27">
        <v>10.0666666666667</v>
      </c>
      <c r="AO14" s="27">
        <v>9.7333333333333307</v>
      </c>
      <c r="AP14" s="27">
        <v>9.4</v>
      </c>
      <c r="AQ14" s="27">
        <v>9.1999999999999993</v>
      </c>
      <c r="AR14" s="27">
        <v>8.9</v>
      </c>
      <c r="AS14" s="27">
        <v>8.6666666666666696</v>
      </c>
      <c r="AT14" s="27">
        <v>8.5333333333333297</v>
      </c>
      <c r="AU14" s="27">
        <v>8.3000000000000007</v>
      </c>
      <c r="AV14" s="27">
        <v>8</v>
      </c>
      <c r="AW14" s="27">
        <v>7.7</v>
      </c>
      <c r="AX14" s="27">
        <v>7.43333333333333</v>
      </c>
      <c r="AY14" s="27">
        <v>7.3666666666666698</v>
      </c>
      <c r="AZ14" s="27">
        <v>7.1</v>
      </c>
      <c r="BA14" s="27">
        <v>6.7</v>
      </c>
      <c r="BB14" s="36" t="str">
        <f t="shared" si="0"/>
        <v>Georgia</v>
      </c>
      <c r="BC14" s="27">
        <v>6.4</v>
      </c>
      <c r="BD14" s="27">
        <v>6.1666666666666696</v>
      </c>
      <c r="BE14" s="27">
        <v>5.9</v>
      </c>
      <c r="BF14" s="27">
        <v>5.7333333333333298</v>
      </c>
      <c r="BG14" s="27">
        <v>5.6</v>
      </c>
      <c r="BH14" s="27">
        <v>5.43333333333333</v>
      </c>
      <c r="BI14" s="27">
        <v>5.4</v>
      </c>
      <c r="BJ14" s="27">
        <v>5.3666666666666698</v>
      </c>
      <c r="BK14" s="27">
        <v>5.0999999999999996</v>
      </c>
      <c r="BL14" s="27">
        <v>4.8666666666666698</v>
      </c>
      <c r="BM14" s="27">
        <v>4.6333333333333302</v>
      </c>
      <c r="BN14" s="27">
        <v>4.43333333333333</v>
      </c>
      <c r="BO14" s="27">
        <v>4.2333333333333298</v>
      </c>
      <c r="BP14" s="27">
        <v>4.0333333333333297</v>
      </c>
      <c r="BQ14" s="27">
        <v>3.9</v>
      </c>
      <c r="BR14" s="27">
        <v>3.9</v>
      </c>
      <c r="BS14" s="27">
        <v>3.8</v>
      </c>
      <c r="BT14" s="27">
        <v>3.6333333333333302</v>
      </c>
      <c r="BU14" s="27">
        <v>3.5333333333333301</v>
      </c>
      <c r="BV14" s="27">
        <v>3.43333333333333</v>
      </c>
      <c r="BW14" s="36" t="str">
        <f>Table13[[#This Row],[State]]</f>
        <v>Georgia</v>
      </c>
      <c r="BX14" s="27">
        <v>3.6333333333333302</v>
      </c>
      <c r="BY14" s="27">
        <v>10.233333333333301</v>
      </c>
      <c r="BZ14" s="27">
        <v>7</v>
      </c>
      <c r="CA14" s="27">
        <v>5.3333333333333304</v>
      </c>
      <c r="CB14" s="27">
        <v>4.6666666666666696</v>
      </c>
      <c r="CC14" s="27">
        <v>4.1333333333333302</v>
      </c>
      <c r="CD14" s="27">
        <v>3.6666666666666701</v>
      </c>
      <c r="CE14" s="27">
        <v>3.3</v>
      </c>
      <c r="CF14" s="27">
        <v>3.1</v>
      </c>
      <c r="CG14" s="27">
        <v>3.1</v>
      </c>
      <c r="CH14" s="27">
        <v>3.1666666666666701</v>
      </c>
      <c r="CI14" s="27">
        <v>3.3</v>
      </c>
      <c r="CJ14" s="27">
        <v>3.3</v>
      </c>
      <c r="CK14" s="27">
        <v>3.2333333333333298</v>
      </c>
      <c r="CL14" s="27">
        <v>3.3</v>
      </c>
      <c r="CM14" s="27">
        <v>3.3</v>
      </c>
      <c r="CN14" s="27">
        <v>3.3333333333333299</v>
      </c>
      <c r="CO14" s="27">
        <v>3.5</v>
      </c>
      <c r="CP14" s="27">
        <v>3.6</v>
      </c>
      <c r="CQ14" s="27">
        <v>3.6</v>
      </c>
      <c r="CR14" s="79" t="str">
        <f>Table13[[#This Row],[ State]]</f>
        <v>Georgia</v>
      </c>
      <c r="CS14" s="27">
        <v>3.6</v>
      </c>
      <c r="CT14" s="27">
        <v>3.5333333333333301</v>
      </c>
      <c r="CU14" s="27">
        <v>3.4</v>
      </c>
      <c r="CV14" s="111"/>
      <c r="CW14" s="41" t="s">
        <v>194</v>
      </c>
      <c r="CX14" s="47">
        <v>10.3</v>
      </c>
      <c r="CY14" s="48">
        <v>10.199999999999999</v>
      </c>
      <c r="CZ14" s="48">
        <v>10.199999999999999</v>
      </c>
      <c r="DA14" s="48">
        <v>10.1</v>
      </c>
      <c r="DB14" s="48">
        <v>10.1</v>
      </c>
      <c r="DC14" s="48">
        <v>10.1</v>
      </c>
      <c r="DD14" s="48">
        <v>10.1</v>
      </c>
      <c r="DE14" s="48">
        <v>10.1</v>
      </c>
      <c r="DF14" s="48">
        <v>10</v>
      </c>
      <c r="DG14" s="48">
        <v>9.9</v>
      </c>
      <c r="DH14" s="48">
        <v>9.6999999999999993</v>
      </c>
      <c r="DI14" s="48">
        <v>9.6</v>
      </c>
      <c r="DJ14" s="48">
        <v>9.5</v>
      </c>
      <c r="DK14" s="48">
        <v>9.4</v>
      </c>
      <c r="DL14" s="48">
        <v>9.3000000000000007</v>
      </c>
      <c r="DM14" s="48">
        <v>9.3000000000000007</v>
      </c>
      <c r="DN14" s="48">
        <v>9.1999999999999993</v>
      </c>
      <c r="DO14" s="48">
        <v>9.1</v>
      </c>
      <c r="DP14" s="48">
        <v>9</v>
      </c>
      <c r="DQ14" s="48">
        <v>8.9</v>
      </c>
      <c r="DR14" s="48">
        <v>8.8000000000000007</v>
      </c>
      <c r="DS14" s="48">
        <v>8.6999999999999993</v>
      </c>
      <c r="DT14" s="48">
        <v>8.6999999999999993</v>
      </c>
      <c r="DU14" s="62">
        <v>8.6</v>
      </c>
      <c r="DV14" s="49" t="s">
        <v>194</v>
      </c>
      <c r="DW14" s="48">
        <v>8.6</v>
      </c>
      <c r="DX14" s="48">
        <v>8.5</v>
      </c>
      <c r="DY14" s="48">
        <v>8.5</v>
      </c>
      <c r="DZ14" s="48">
        <v>8.4</v>
      </c>
      <c r="EA14" s="48">
        <v>8.3000000000000007</v>
      </c>
      <c r="EB14" s="48">
        <v>8.1999999999999993</v>
      </c>
      <c r="EC14" s="48">
        <v>8.1</v>
      </c>
      <c r="ED14" s="48">
        <v>8</v>
      </c>
      <c r="EE14" s="48">
        <v>7.9</v>
      </c>
      <c r="EF14" s="48">
        <v>7.8</v>
      </c>
      <c r="EG14" s="50">
        <v>7.7</v>
      </c>
      <c r="EH14" s="50">
        <v>7.6</v>
      </c>
      <c r="EI14" s="50">
        <v>7.5</v>
      </c>
      <c r="EJ14" s="50">
        <v>7.4</v>
      </c>
      <c r="EK14" s="48">
        <v>7.4</v>
      </c>
      <c r="EL14" s="50">
        <v>7.4</v>
      </c>
      <c r="EM14" s="50">
        <v>7.4</v>
      </c>
      <c r="EN14" s="50">
        <v>7.3</v>
      </c>
      <c r="EO14" s="50">
        <v>7.2</v>
      </c>
      <c r="EP14" s="50">
        <v>7.1</v>
      </c>
      <c r="EQ14" s="50">
        <v>7</v>
      </c>
      <c r="ER14" s="48">
        <v>6.8</v>
      </c>
      <c r="ES14" s="50">
        <v>6.7</v>
      </c>
      <c r="ET14" s="51">
        <v>6.6</v>
      </c>
      <c r="EU14" s="49" t="s">
        <v>194</v>
      </c>
      <c r="EV14" s="48">
        <v>6.5</v>
      </c>
      <c r="EW14" s="50">
        <v>6.4</v>
      </c>
      <c r="EX14" s="50">
        <v>6.3</v>
      </c>
      <c r="EY14" s="50">
        <v>6.2</v>
      </c>
      <c r="EZ14" s="50">
        <v>6.2</v>
      </c>
      <c r="FA14" s="50">
        <v>6.1</v>
      </c>
      <c r="FB14" s="50">
        <v>6</v>
      </c>
      <c r="FC14" s="50">
        <v>5.9</v>
      </c>
      <c r="FD14" s="50">
        <v>5.8</v>
      </c>
      <c r="FE14" s="50">
        <v>5.8</v>
      </c>
      <c r="FF14" s="50">
        <v>5.7</v>
      </c>
      <c r="FG14" s="50">
        <v>5.7</v>
      </c>
      <c r="FH14" s="50">
        <v>5.7</v>
      </c>
      <c r="FI14" s="50">
        <v>5.6</v>
      </c>
      <c r="FJ14" s="50">
        <v>5.5</v>
      </c>
      <c r="FK14" s="50">
        <v>5.5</v>
      </c>
      <c r="FL14" s="50">
        <v>5.4</v>
      </c>
      <c r="FM14" s="50">
        <v>5.4</v>
      </c>
      <c r="FN14" s="50">
        <v>5.4</v>
      </c>
      <c r="FO14" s="50">
        <v>5.4</v>
      </c>
      <c r="FP14" s="50">
        <v>5.4</v>
      </c>
      <c r="FQ14" s="50">
        <v>5.4</v>
      </c>
      <c r="FR14" s="50">
        <v>5.4</v>
      </c>
      <c r="FS14" s="51">
        <v>5.3</v>
      </c>
      <c r="FT14" s="49" t="s">
        <v>194</v>
      </c>
      <c r="FU14" s="48">
        <v>5.2</v>
      </c>
      <c r="FV14" s="50">
        <v>5.0999999999999996</v>
      </c>
      <c r="FW14" s="50">
        <v>5</v>
      </c>
      <c r="FX14" s="50">
        <v>4.9000000000000004</v>
      </c>
      <c r="FY14" s="50">
        <v>4.9000000000000004</v>
      </c>
      <c r="FZ14" s="50">
        <v>4.8</v>
      </c>
      <c r="GA14" s="50">
        <v>4.7</v>
      </c>
      <c r="GB14" s="50">
        <v>4.5999999999999996</v>
      </c>
      <c r="GC14" s="50">
        <v>4.5999999999999996</v>
      </c>
      <c r="GD14" s="50">
        <v>4.5</v>
      </c>
      <c r="GE14" s="50">
        <v>4.4000000000000004</v>
      </c>
      <c r="GF14" s="50">
        <v>4.4000000000000004</v>
      </c>
      <c r="GG14" s="50">
        <v>4.3</v>
      </c>
      <c r="GH14" s="50">
        <v>4.2</v>
      </c>
      <c r="GI14" s="50">
        <v>4.2</v>
      </c>
      <c r="GJ14" s="50">
        <v>4.0999999999999996</v>
      </c>
      <c r="GK14" s="50">
        <v>4</v>
      </c>
      <c r="GL14" s="50">
        <v>4</v>
      </c>
      <c r="GM14" s="50">
        <v>3.9</v>
      </c>
      <c r="GN14" s="50">
        <v>3.9</v>
      </c>
      <c r="GO14" s="50">
        <v>3.9</v>
      </c>
      <c r="GP14" s="50">
        <v>3.9</v>
      </c>
      <c r="GQ14" s="50">
        <v>3.9</v>
      </c>
      <c r="GR14" s="50">
        <v>3.9</v>
      </c>
      <c r="GS14" s="49" t="s">
        <v>194</v>
      </c>
      <c r="GT14" s="50">
        <v>3.9</v>
      </c>
      <c r="GU14" s="50">
        <v>3.8</v>
      </c>
      <c r="GV14" s="50">
        <v>3.7</v>
      </c>
      <c r="GW14" s="50">
        <v>3.7</v>
      </c>
      <c r="GX14" s="50">
        <v>3.6</v>
      </c>
      <c r="GY14" s="50">
        <v>3.6</v>
      </c>
      <c r="GZ14" s="50">
        <v>3.6</v>
      </c>
      <c r="HA14" s="50">
        <v>3.5</v>
      </c>
      <c r="HB14" s="50">
        <v>3.5</v>
      </c>
      <c r="HC14" s="50">
        <v>3.4</v>
      </c>
      <c r="HD14" s="50">
        <v>3.4</v>
      </c>
      <c r="HE14" s="50">
        <v>3.5</v>
      </c>
      <c r="HF14" s="50">
        <v>3.6</v>
      </c>
      <c r="HG14" s="50">
        <v>3.6</v>
      </c>
      <c r="HH14" s="50">
        <v>3.7</v>
      </c>
      <c r="HI14" s="50">
        <v>12.5</v>
      </c>
      <c r="HJ14" s="50">
        <v>9.8000000000000007</v>
      </c>
      <c r="HK14" s="50">
        <v>8.4</v>
      </c>
      <c r="HL14" s="50">
        <v>7.7</v>
      </c>
      <c r="HM14" s="50">
        <v>6.8</v>
      </c>
      <c r="HN14" s="50">
        <v>6.5</v>
      </c>
      <c r="HO14" s="50">
        <v>5.6</v>
      </c>
      <c r="HP14" s="50">
        <v>5.3</v>
      </c>
      <c r="HQ14" s="51">
        <v>5.0999999999999996</v>
      </c>
      <c r="HR14" s="49" t="s">
        <v>194</v>
      </c>
      <c r="HS14" s="50">
        <v>4.9000000000000004</v>
      </c>
      <c r="HT14" s="50">
        <v>4.5999999999999996</v>
      </c>
      <c r="HU14" s="50">
        <v>4.5</v>
      </c>
      <c r="HV14" s="50">
        <v>4.3</v>
      </c>
      <c r="HW14" s="50">
        <v>4.0999999999999996</v>
      </c>
      <c r="HX14" s="50">
        <v>4</v>
      </c>
      <c r="HY14" s="50">
        <v>3.8</v>
      </c>
      <c r="HZ14" s="50">
        <v>3.7</v>
      </c>
      <c r="IA14" s="50">
        <v>3.5</v>
      </c>
      <c r="IB14" s="50">
        <v>3.4</v>
      </c>
      <c r="IC14" s="50">
        <v>3.3</v>
      </c>
      <c r="ID14" s="50">
        <v>3.2</v>
      </c>
      <c r="IE14" s="50">
        <v>3.1</v>
      </c>
      <c r="IF14" s="50">
        <v>3.1</v>
      </c>
      <c r="IG14" s="50">
        <v>3.1</v>
      </c>
      <c r="IH14" s="50">
        <v>3.1</v>
      </c>
      <c r="II14" s="50">
        <v>3.1</v>
      </c>
      <c r="IJ14" s="50">
        <v>3.1</v>
      </c>
      <c r="IK14" s="50">
        <v>3.1</v>
      </c>
      <c r="IL14" s="50">
        <v>3.2</v>
      </c>
      <c r="IM14" s="50">
        <v>3.2</v>
      </c>
      <c r="IN14" s="50">
        <v>3.3</v>
      </c>
      <c r="IO14" s="50">
        <v>3.3</v>
      </c>
      <c r="IP14" s="51">
        <v>3.3</v>
      </c>
      <c r="IQ14" s="49" t="s">
        <v>194</v>
      </c>
      <c r="IR14" s="50">
        <v>3.3</v>
      </c>
      <c r="IS14" s="50">
        <v>3.3</v>
      </c>
      <c r="IT14" s="50">
        <v>3.3</v>
      </c>
      <c r="IU14" s="50">
        <v>3.2</v>
      </c>
      <c r="IV14" s="50">
        <v>3.2</v>
      </c>
      <c r="IW14" s="50">
        <v>3.3</v>
      </c>
      <c r="IX14" s="50">
        <v>3.3</v>
      </c>
      <c r="IY14" s="50">
        <v>3.3</v>
      </c>
      <c r="IZ14" s="50">
        <v>3.3</v>
      </c>
      <c r="JA14" s="50">
        <v>3.3</v>
      </c>
      <c r="JB14" s="50">
        <v>3.3</v>
      </c>
      <c r="JC14" s="50">
        <v>3.3</v>
      </c>
      <c r="JD14" s="50">
        <v>3.3</v>
      </c>
      <c r="JE14" s="50">
        <v>3.3</v>
      </c>
      <c r="JF14" s="50">
        <v>3.4</v>
      </c>
      <c r="JG14" s="50">
        <v>3.4</v>
      </c>
      <c r="JH14" s="50">
        <v>3.5</v>
      </c>
      <c r="JI14" s="50">
        <v>3.6</v>
      </c>
      <c r="JJ14" s="50">
        <v>3.6</v>
      </c>
      <c r="JK14" s="50">
        <v>3.6</v>
      </c>
      <c r="JL14" s="50">
        <v>3.6</v>
      </c>
      <c r="JM14" s="50">
        <v>3.6</v>
      </c>
      <c r="JN14" s="50">
        <v>3.6</v>
      </c>
      <c r="JO14" s="51">
        <v>3.6</v>
      </c>
      <c r="JP14" s="49" t="s">
        <v>194</v>
      </c>
      <c r="JQ14" s="80">
        <v>3.6</v>
      </c>
      <c r="JR14" s="80">
        <v>3.6</v>
      </c>
      <c r="JS14" s="80">
        <v>3.6</v>
      </c>
      <c r="JT14" s="80">
        <v>3.6</v>
      </c>
      <c r="JU14" s="80">
        <v>3.5</v>
      </c>
      <c r="JV14" s="80">
        <v>3.5</v>
      </c>
      <c r="JW14" s="80">
        <v>3.4</v>
      </c>
      <c r="JX14" s="80">
        <v>3.4</v>
      </c>
      <c r="JY14" s="80">
        <v>3.4</v>
      </c>
      <c r="JZ14" s="80" t="s">
        <v>402</v>
      </c>
      <c r="KA14" s="81">
        <v>3.5</v>
      </c>
    </row>
    <row r="15" spans="1:289" x14ac:dyDescent="0.3">
      <c r="B15" s="39" t="s">
        <v>195</v>
      </c>
      <c r="C15" s="17">
        <v>4.2333333333333325</v>
      </c>
      <c r="D15" s="17">
        <v>4.2750000000000004</v>
      </c>
      <c r="E15" s="17">
        <v>4.041666666666667</v>
      </c>
      <c r="F15" s="17">
        <v>3.908333333333335</v>
      </c>
      <c r="G15" s="17">
        <v>3.3083333333333327</v>
      </c>
      <c r="H15" s="17">
        <v>2.8416666666666677</v>
      </c>
      <c r="I15" s="17">
        <v>2.5666666666666673</v>
      </c>
      <c r="J15" s="17">
        <v>2.7416666666666671</v>
      </c>
      <c r="K15" s="17">
        <v>4.091666666666665</v>
      </c>
      <c r="L15" s="17">
        <v>6.5000000000000027</v>
      </c>
      <c r="M15" s="17">
        <v>6.6999999999999993</v>
      </c>
      <c r="N15" s="17">
        <v>6.7083333333333357</v>
      </c>
      <c r="O15" s="19">
        <v>5.8083333333333327</v>
      </c>
      <c r="P15" s="19">
        <v>4.7166666666666668</v>
      </c>
      <c r="Q15" s="19">
        <v>4.2249999999999979</v>
      </c>
      <c r="R15" s="19">
        <v>3.4166666666666674</v>
      </c>
      <c r="S15" s="19">
        <v>2.908333333333335</v>
      </c>
      <c r="T15" s="19">
        <v>2.2333333333333325</v>
      </c>
      <c r="U15" s="19">
        <v>2.4</v>
      </c>
      <c r="V15" s="19">
        <v>2.5083333333333324</v>
      </c>
      <c r="W15" s="19">
        <v>11.741666666666692</v>
      </c>
      <c r="X15" s="19">
        <v>5.9666666666666677</v>
      </c>
      <c r="Y15" s="19">
        <v>3.2583333333333346</v>
      </c>
      <c r="Z15" s="19">
        <v>2.9250000000000003</v>
      </c>
      <c r="AA15" s="19">
        <v>2.95</v>
      </c>
      <c r="AB15" s="96"/>
      <c r="AC15" s="35" t="str">
        <f>Table11[[#This Row],[State]]</f>
        <v>Hawaii</v>
      </c>
      <c r="AD15" s="17">
        <v>6.06666666666667</v>
      </c>
      <c r="AE15" s="17">
        <v>6.5</v>
      </c>
      <c r="AF15" s="17">
        <v>6.6666666666666696</v>
      </c>
      <c r="AG15" s="17">
        <v>6.7666666666666702</v>
      </c>
      <c r="AH15" s="17">
        <v>6.8</v>
      </c>
      <c r="AI15" s="17">
        <v>6.6666666666666696</v>
      </c>
      <c r="AJ15" s="17">
        <v>6.6333333333333302</v>
      </c>
      <c r="AK15" s="17">
        <v>6.7</v>
      </c>
      <c r="AL15" s="17">
        <v>6.6</v>
      </c>
      <c r="AM15" s="17">
        <v>6.7</v>
      </c>
      <c r="AN15" s="19">
        <v>6.8666666666666698</v>
      </c>
      <c r="AO15" s="19">
        <v>6.6666666666666696</v>
      </c>
      <c r="AP15" s="19">
        <v>6.3333333333333304</v>
      </c>
      <c r="AQ15" s="19">
        <v>6.1</v>
      </c>
      <c r="AR15" s="19">
        <v>5.6</v>
      </c>
      <c r="AS15" s="19">
        <v>5.2</v>
      </c>
      <c r="AT15" s="19">
        <v>4.9000000000000004</v>
      </c>
      <c r="AU15" s="19">
        <v>4.6666666666666696</v>
      </c>
      <c r="AV15" s="17">
        <v>4.6333333333333302</v>
      </c>
      <c r="AW15" s="17">
        <v>4.6666666666666696</v>
      </c>
      <c r="AX15" s="17">
        <v>4.5</v>
      </c>
      <c r="AY15" s="17">
        <v>4.3333333333333304</v>
      </c>
      <c r="AZ15" s="17">
        <v>4.1333333333333302</v>
      </c>
      <c r="BA15" s="17">
        <v>3.93333333333333</v>
      </c>
      <c r="BB15" s="35" t="str">
        <f t="shared" si="0"/>
        <v>Hawaii</v>
      </c>
      <c r="BC15" s="19">
        <v>3.7333333333333298</v>
      </c>
      <c r="BD15" s="19">
        <v>3.5</v>
      </c>
      <c r="BE15" s="19">
        <v>3.2666666666666702</v>
      </c>
      <c r="BF15" s="19">
        <v>3.1666666666666701</v>
      </c>
      <c r="BG15" s="17">
        <v>3.06666666666667</v>
      </c>
      <c r="BH15" s="17">
        <v>3</v>
      </c>
      <c r="BI15" s="17">
        <v>2.8666666666666698</v>
      </c>
      <c r="BJ15" s="17">
        <v>2.7</v>
      </c>
      <c r="BK15" s="17">
        <v>2.5333333333333301</v>
      </c>
      <c r="BL15" s="17">
        <v>2.2999999999999998</v>
      </c>
      <c r="BM15" s="17">
        <v>2.1</v>
      </c>
      <c r="BN15" s="17">
        <v>2</v>
      </c>
      <c r="BO15" s="17">
        <v>2.1333333333333302</v>
      </c>
      <c r="BP15" s="17">
        <v>2.2999999999999998</v>
      </c>
      <c r="BQ15" s="17">
        <v>2.5</v>
      </c>
      <c r="BR15" s="17">
        <v>2.6666666666666701</v>
      </c>
      <c r="BS15" s="17">
        <v>2.7333333333333298</v>
      </c>
      <c r="BT15" s="17">
        <v>2.56666666666667</v>
      </c>
      <c r="BU15" s="17">
        <v>2.43333333333333</v>
      </c>
      <c r="BV15" s="17">
        <v>2.2999999999999998</v>
      </c>
      <c r="BW15" s="35" t="str">
        <f>Table13[[#This Row],[State]]</f>
        <v>Hawaii</v>
      </c>
      <c r="BX15" s="17">
        <v>2.1666666666666701</v>
      </c>
      <c r="BY15" s="17">
        <v>20.1666666666667</v>
      </c>
      <c r="BZ15" s="17">
        <v>13.966666666666701</v>
      </c>
      <c r="CA15" s="17">
        <v>10.6666666666667</v>
      </c>
      <c r="CB15" s="17">
        <v>9</v>
      </c>
      <c r="CC15" s="17">
        <v>7</v>
      </c>
      <c r="CD15" s="17">
        <v>4.6666666666666696</v>
      </c>
      <c r="CE15" s="17">
        <v>3.2</v>
      </c>
      <c r="CF15" s="17">
        <v>3.1666666666666701</v>
      </c>
      <c r="CG15" s="17">
        <v>3.3</v>
      </c>
      <c r="CH15" s="17">
        <v>3.3</v>
      </c>
      <c r="CI15" s="17">
        <v>3.2666666666666702</v>
      </c>
      <c r="CJ15" s="17">
        <v>3.0333333333333301</v>
      </c>
      <c r="CK15" s="17">
        <v>2.8333333333333299</v>
      </c>
      <c r="CL15" s="17">
        <v>2.8666666666666698</v>
      </c>
      <c r="CM15" s="17">
        <v>2.9666666666666699</v>
      </c>
      <c r="CN15" s="17">
        <v>2.9</v>
      </c>
      <c r="CO15" s="17">
        <v>2.9</v>
      </c>
      <c r="CP15" s="17">
        <v>3</v>
      </c>
      <c r="CQ15" s="17">
        <v>3</v>
      </c>
      <c r="CR15" s="42" t="str">
        <f>Table13[[#This Row],[ State]]</f>
        <v>Hawaii</v>
      </c>
      <c r="CS15" s="17">
        <v>2.9666666666666699</v>
      </c>
      <c r="CT15" s="17">
        <v>2.8333333333333299</v>
      </c>
      <c r="CU15" s="17">
        <v>2.6333333333333302</v>
      </c>
      <c r="CV15" s="111"/>
      <c r="CW15" s="42" t="s">
        <v>195</v>
      </c>
      <c r="CX15" s="52">
        <v>6.6</v>
      </c>
      <c r="CY15" s="53">
        <v>6.6</v>
      </c>
      <c r="CZ15" s="53">
        <v>6.6</v>
      </c>
      <c r="DA15" s="53">
        <v>6.6</v>
      </c>
      <c r="DB15" s="53">
        <v>6.7</v>
      </c>
      <c r="DC15" s="53">
        <v>6.8</v>
      </c>
      <c r="DD15" s="53">
        <v>6.8</v>
      </c>
      <c r="DE15" s="53">
        <v>6.9</v>
      </c>
      <c r="DF15" s="53">
        <v>6.9</v>
      </c>
      <c r="DG15" s="53">
        <v>6.8</v>
      </c>
      <c r="DH15" s="53">
        <v>6.7</v>
      </c>
      <c r="DI15" s="53">
        <v>6.5</v>
      </c>
      <c r="DJ15" s="53">
        <v>6.4</v>
      </c>
      <c r="DK15" s="53">
        <v>6.3</v>
      </c>
      <c r="DL15" s="53">
        <v>6.3</v>
      </c>
      <c r="DM15" s="53">
        <v>6.2</v>
      </c>
      <c r="DN15" s="53">
        <v>6.1</v>
      </c>
      <c r="DO15" s="53">
        <v>6</v>
      </c>
      <c r="DP15" s="53">
        <v>5.8</v>
      </c>
      <c r="DQ15" s="53">
        <v>5.6</v>
      </c>
      <c r="DR15" s="53">
        <v>5.4</v>
      </c>
      <c r="DS15" s="53">
        <v>5.3</v>
      </c>
      <c r="DT15" s="53">
        <v>5.2</v>
      </c>
      <c r="DU15" s="63">
        <v>5.0999999999999996</v>
      </c>
      <c r="DV15" s="54" t="s">
        <v>195</v>
      </c>
      <c r="DW15" s="53">
        <v>5</v>
      </c>
      <c r="DX15" s="53">
        <v>4.9000000000000004</v>
      </c>
      <c r="DY15" s="53">
        <v>4.8</v>
      </c>
      <c r="DZ15" s="53">
        <v>4.7</v>
      </c>
      <c r="EA15" s="53">
        <v>4.7</v>
      </c>
      <c r="EB15" s="53">
        <v>4.5999999999999996</v>
      </c>
      <c r="EC15" s="53">
        <v>4.5999999999999996</v>
      </c>
      <c r="ED15" s="53">
        <v>4.5999999999999996</v>
      </c>
      <c r="EE15" s="53">
        <v>4.7</v>
      </c>
      <c r="EF15" s="53">
        <v>4.7</v>
      </c>
      <c r="EG15" s="55">
        <v>4.7</v>
      </c>
      <c r="EH15" s="55">
        <v>4.5999999999999996</v>
      </c>
      <c r="EI15" s="55">
        <v>4.5999999999999996</v>
      </c>
      <c r="EJ15" s="55">
        <v>4.5</v>
      </c>
      <c r="EK15" s="53">
        <v>4.4000000000000004</v>
      </c>
      <c r="EL15" s="55">
        <v>4.4000000000000004</v>
      </c>
      <c r="EM15" s="55">
        <v>4.3</v>
      </c>
      <c r="EN15" s="55">
        <v>4.3</v>
      </c>
      <c r="EO15" s="55">
        <v>4.2</v>
      </c>
      <c r="EP15" s="55">
        <v>4.0999999999999996</v>
      </c>
      <c r="EQ15" s="55">
        <v>4.0999999999999996</v>
      </c>
      <c r="ER15" s="53">
        <v>4</v>
      </c>
      <c r="ES15" s="55">
        <v>3.9</v>
      </c>
      <c r="ET15" s="56">
        <v>3.9</v>
      </c>
      <c r="EU15" s="54" t="s">
        <v>195</v>
      </c>
      <c r="EV15" s="53">
        <v>3.8</v>
      </c>
      <c r="EW15" s="55">
        <v>3.7</v>
      </c>
      <c r="EX15" s="55">
        <v>3.7</v>
      </c>
      <c r="EY15" s="55">
        <v>3.6</v>
      </c>
      <c r="EZ15" s="55">
        <v>3.5</v>
      </c>
      <c r="FA15" s="55">
        <v>3.4</v>
      </c>
      <c r="FB15" s="55">
        <v>3.3</v>
      </c>
      <c r="FC15" s="55">
        <v>3.3</v>
      </c>
      <c r="FD15" s="55">
        <v>3.2</v>
      </c>
      <c r="FE15" s="55">
        <v>3.2</v>
      </c>
      <c r="FF15" s="55">
        <v>3.2</v>
      </c>
      <c r="FG15" s="55">
        <v>3.1</v>
      </c>
      <c r="FH15" s="55">
        <v>3.1</v>
      </c>
      <c r="FI15" s="55">
        <v>3.1</v>
      </c>
      <c r="FJ15" s="55">
        <v>3</v>
      </c>
      <c r="FK15" s="55">
        <v>3</v>
      </c>
      <c r="FL15" s="55">
        <v>3</v>
      </c>
      <c r="FM15" s="55">
        <v>3</v>
      </c>
      <c r="FN15" s="55">
        <v>2.9</v>
      </c>
      <c r="FO15" s="55">
        <v>2.9</v>
      </c>
      <c r="FP15" s="55">
        <v>2.8</v>
      </c>
      <c r="FQ15" s="55">
        <v>2.8</v>
      </c>
      <c r="FR15" s="55">
        <v>2.7</v>
      </c>
      <c r="FS15" s="56">
        <v>2.6</v>
      </c>
      <c r="FT15" s="54" t="s">
        <v>195</v>
      </c>
      <c r="FU15" s="53">
        <v>2.6</v>
      </c>
      <c r="FV15" s="55">
        <v>2.5</v>
      </c>
      <c r="FW15" s="55">
        <v>2.5</v>
      </c>
      <c r="FX15" s="55">
        <v>2.4</v>
      </c>
      <c r="FY15" s="55">
        <v>2.2999999999999998</v>
      </c>
      <c r="FZ15" s="55">
        <v>2.2000000000000002</v>
      </c>
      <c r="GA15" s="55">
        <v>2.2000000000000002</v>
      </c>
      <c r="GB15" s="55">
        <v>2.1</v>
      </c>
      <c r="GC15" s="55">
        <v>2</v>
      </c>
      <c r="GD15" s="55">
        <v>2</v>
      </c>
      <c r="GE15" s="55">
        <v>2</v>
      </c>
      <c r="GF15" s="55">
        <v>2</v>
      </c>
      <c r="GG15" s="55">
        <v>2.1</v>
      </c>
      <c r="GH15" s="55">
        <v>2.1</v>
      </c>
      <c r="GI15" s="55">
        <v>2.2000000000000002</v>
      </c>
      <c r="GJ15" s="55">
        <v>2.2000000000000002</v>
      </c>
      <c r="GK15" s="55">
        <v>2.2999999999999998</v>
      </c>
      <c r="GL15" s="55">
        <v>2.4</v>
      </c>
      <c r="GM15" s="55">
        <v>2.4</v>
      </c>
      <c r="GN15" s="55">
        <v>2.5</v>
      </c>
      <c r="GO15" s="55">
        <v>2.6</v>
      </c>
      <c r="GP15" s="55">
        <v>2.6</v>
      </c>
      <c r="GQ15" s="55">
        <v>2.7</v>
      </c>
      <c r="GR15" s="55">
        <v>2.7</v>
      </c>
      <c r="GS15" s="54" t="s">
        <v>195</v>
      </c>
      <c r="GT15" s="55">
        <v>2.8</v>
      </c>
      <c r="GU15" s="55">
        <v>2.7</v>
      </c>
      <c r="GV15" s="55">
        <v>2.7</v>
      </c>
      <c r="GW15" s="55">
        <v>2.6</v>
      </c>
      <c r="GX15" s="55">
        <v>2.6</v>
      </c>
      <c r="GY15" s="55">
        <v>2.5</v>
      </c>
      <c r="GZ15" s="55">
        <v>2.5</v>
      </c>
      <c r="HA15" s="55">
        <v>2.4</v>
      </c>
      <c r="HB15" s="55">
        <v>2.4</v>
      </c>
      <c r="HC15" s="55">
        <v>2.4</v>
      </c>
      <c r="HD15" s="55">
        <v>2.2999999999999998</v>
      </c>
      <c r="HE15" s="55">
        <v>2.2000000000000002</v>
      </c>
      <c r="HF15" s="55">
        <v>2.2000000000000002</v>
      </c>
      <c r="HG15" s="55">
        <v>2.2000000000000002</v>
      </c>
      <c r="HH15" s="55">
        <v>2.1</v>
      </c>
      <c r="HI15" s="55">
        <v>22.5</v>
      </c>
      <c r="HJ15" s="55">
        <v>20.7</v>
      </c>
      <c r="HK15" s="55">
        <v>17.3</v>
      </c>
      <c r="HL15" s="55">
        <v>15.6</v>
      </c>
      <c r="HM15" s="55">
        <v>13</v>
      </c>
      <c r="HN15" s="55">
        <v>13.3</v>
      </c>
      <c r="HO15" s="55">
        <v>11.3</v>
      </c>
      <c r="HP15" s="55">
        <v>10.5</v>
      </c>
      <c r="HQ15" s="56">
        <v>10.199999999999999</v>
      </c>
      <c r="HR15" s="54" t="s">
        <v>195</v>
      </c>
      <c r="HS15" s="55">
        <v>9.5</v>
      </c>
      <c r="HT15" s="55">
        <v>9.1</v>
      </c>
      <c r="HU15" s="55">
        <v>8.4</v>
      </c>
      <c r="HV15" s="55">
        <v>7.8</v>
      </c>
      <c r="HW15" s="55">
        <v>6.9</v>
      </c>
      <c r="HX15" s="55">
        <v>6.3</v>
      </c>
      <c r="HY15" s="55">
        <v>5.4</v>
      </c>
      <c r="HZ15" s="55">
        <v>4.7</v>
      </c>
      <c r="IA15" s="55">
        <v>3.9</v>
      </c>
      <c r="IB15" s="55">
        <v>3.3</v>
      </c>
      <c r="IC15" s="55">
        <v>3.2</v>
      </c>
      <c r="ID15" s="55">
        <v>3.1</v>
      </c>
      <c r="IE15" s="55">
        <v>3.1</v>
      </c>
      <c r="IF15" s="55">
        <v>3.2</v>
      </c>
      <c r="IG15" s="55">
        <v>3.2</v>
      </c>
      <c r="IH15" s="55">
        <v>3.3</v>
      </c>
      <c r="II15" s="55">
        <v>3.3</v>
      </c>
      <c r="IJ15" s="55">
        <v>3.3</v>
      </c>
      <c r="IK15" s="55">
        <v>3.3</v>
      </c>
      <c r="IL15" s="55">
        <v>3.3</v>
      </c>
      <c r="IM15" s="55">
        <v>3.3</v>
      </c>
      <c r="IN15" s="55">
        <v>3.3</v>
      </c>
      <c r="IO15" s="55">
        <v>3.3</v>
      </c>
      <c r="IP15" s="56">
        <v>3.2</v>
      </c>
      <c r="IQ15" s="54" t="s">
        <v>195</v>
      </c>
      <c r="IR15" s="55">
        <v>3.1</v>
      </c>
      <c r="IS15" s="55">
        <v>3</v>
      </c>
      <c r="IT15" s="55">
        <v>3</v>
      </c>
      <c r="IU15" s="55">
        <v>2.9</v>
      </c>
      <c r="IV15" s="55">
        <v>2.8</v>
      </c>
      <c r="IW15" s="55">
        <v>2.8</v>
      </c>
      <c r="IX15" s="55">
        <v>2.8</v>
      </c>
      <c r="IY15" s="55">
        <v>2.9</v>
      </c>
      <c r="IZ15" s="55">
        <v>2.9</v>
      </c>
      <c r="JA15" s="55">
        <v>2.9</v>
      </c>
      <c r="JB15" s="55">
        <v>3</v>
      </c>
      <c r="JC15" s="55">
        <v>3</v>
      </c>
      <c r="JD15" s="55">
        <v>2.9</v>
      </c>
      <c r="JE15" s="55">
        <v>2.9</v>
      </c>
      <c r="JF15" s="55">
        <v>2.9</v>
      </c>
      <c r="JG15" s="55">
        <v>2.9</v>
      </c>
      <c r="JH15" s="55">
        <v>2.9</v>
      </c>
      <c r="JI15" s="55">
        <v>2.9</v>
      </c>
      <c r="JJ15" s="55">
        <v>3</v>
      </c>
      <c r="JK15" s="55">
        <v>3</v>
      </c>
      <c r="JL15" s="55">
        <v>3</v>
      </c>
      <c r="JM15" s="55">
        <v>3</v>
      </c>
      <c r="JN15" s="55">
        <v>3</v>
      </c>
      <c r="JO15" s="56">
        <v>3</v>
      </c>
      <c r="JP15" s="54" t="s">
        <v>195</v>
      </c>
      <c r="JQ15" s="82">
        <v>3</v>
      </c>
      <c r="JR15" s="82">
        <v>3</v>
      </c>
      <c r="JS15" s="82">
        <v>2.9</v>
      </c>
      <c r="JT15" s="82">
        <v>2.9</v>
      </c>
      <c r="JU15" s="82">
        <v>2.8</v>
      </c>
      <c r="JV15" s="82">
        <v>2.8</v>
      </c>
      <c r="JW15" s="82">
        <v>2.7</v>
      </c>
      <c r="JX15" s="82">
        <v>2.7</v>
      </c>
      <c r="JY15" s="82">
        <v>2.5</v>
      </c>
      <c r="JZ15" s="82" t="s">
        <v>402</v>
      </c>
      <c r="KA15" s="83">
        <v>2.2000000000000002</v>
      </c>
    </row>
    <row r="16" spans="1:289" x14ac:dyDescent="0.3">
      <c r="B16" s="39" t="s">
        <v>196</v>
      </c>
      <c r="C16" s="17">
        <v>4.625</v>
      </c>
      <c r="D16" s="17">
        <v>5.0750000000000002</v>
      </c>
      <c r="E16" s="17">
        <v>5.6416666666666675</v>
      </c>
      <c r="F16" s="17">
        <v>5.5916666666666668</v>
      </c>
      <c r="G16" s="17">
        <v>4.9000000000000004</v>
      </c>
      <c r="H16" s="17">
        <v>4.0249999999999995</v>
      </c>
      <c r="I16" s="17">
        <v>3.3916666666666648</v>
      </c>
      <c r="J16" s="17">
        <v>2.9499999999999997</v>
      </c>
      <c r="K16" s="17">
        <v>5.0166666666666675</v>
      </c>
      <c r="L16" s="17">
        <v>9.0250000000000004</v>
      </c>
      <c r="M16" s="17">
        <v>9.125</v>
      </c>
      <c r="N16" s="17">
        <v>8.4416666666666664</v>
      </c>
      <c r="O16" s="19">
        <v>7.525000000000003</v>
      </c>
      <c r="P16" s="19">
        <v>6.8999999999999968</v>
      </c>
      <c r="Q16" s="19">
        <v>4.4083333333333323</v>
      </c>
      <c r="R16" s="19">
        <v>3.908333333333335</v>
      </c>
      <c r="S16" s="19">
        <v>3.7083333333333326</v>
      </c>
      <c r="T16" s="19">
        <v>3.1833333333333322</v>
      </c>
      <c r="U16" s="19">
        <v>2.875</v>
      </c>
      <c r="V16" s="19">
        <v>2.8833333333333324</v>
      </c>
      <c r="W16" s="19">
        <v>5.5500000000000016</v>
      </c>
      <c r="X16" s="19">
        <v>3.5749999999999997</v>
      </c>
      <c r="Y16" s="19">
        <v>2.8750000000000027</v>
      </c>
      <c r="Z16" s="19">
        <v>3.1999999999999997</v>
      </c>
      <c r="AA16" s="19">
        <v>3.6583333333333323</v>
      </c>
      <c r="AB16" s="96"/>
      <c r="AC16" s="36" t="str">
        <f>Table11[[#This Row],[State]]</f>
        <v>Idaho</v>
      </c>
      <c r="AD16" s="27">
        <v>8.06666666666667</v>
      </c>
      <c r="AE16" s="27">
        <v>9.0333333333333297</v>
      </c>
      <c r="AF16" s="27">
        <v>9.5</v>
      </c>
      <c r="AG16" s="27">
        <v>9.5</v>
      </c>
      <c r="AH16" s="27">
        <v>9.4666666666666703</v>
      </c>
      <c r="AI16" s="27">
        <v>9.1333333333333293</v>
      </c>
      <c r="AJ16" s="27">
        <v>9</v>
      </c>
      <c r="AK16" s="27">
        <v>8.9</v>
      </c>
      <c r="AL16" s="27">
        <v>8.6999999999999993</v>
      </c>
      <c r="AM16" s="27">
        <v>8.5333333333333297</v>
      </c>
      <c r="AN16" s="27">
        <v>8.4666666666666703</v>
      </c>
      <c r="AO16" s="27">
        <v>8.06666666666667</v>
      </c>
      <c r="AP16" s="27">
        <v>7.7666666666666702</v>
      </c>
      <c r="AQ16" s="27">
        <v>7.6666666666666696</v>
      </c>
      <c r="AR16" s="27">
        <v>7.4666666666666703</v>
      </c>
      <c r="AS16" s="27">
        <v>7.2</v>
      </c>
      <c r="AT16" s="27">
        <v>7.1</v>
      </c>
      <c r="AU16" s="27">
        <v>7.0333333333333297</v>
      </c>
      <c r="AV16" s="27">
        <v>7.0333333333333297</v>
      </c>
      <c r="AW16" s="27">
        <v>6.43333333333333</v>
      </c>
      <c r="AX16" s="27">
        <v>5.3</v>
      </c>
      <c r="AY16" s="27">
        <v>4.3666666666666698</v>
      </c>
      <c r="AZ16" s="27">
        <v>4.0333333333333297</v>
      </c>
      <c r="BA16" s="27">
        <v>3.93333333333333</v>
      </c>
      <c r="BB16" s="36" t="str">
        <f t="shared" si="0"/>
        <v>Idaho</v>
      </c>
      <c r="BC16" s="27">
        <v>3.9</v>
      </c>
      <c r="BD16" s="27">
        <v>3.9666666666666699</v>
      </c>
      <c r="BE16" s="27">
        <v>3.9</v>
      </c>
      <c r="BF16" s="27">
        <v>3.8666666666666698</v>
      </c>
      <c r="BG16" s="27">
        <v>3.8</v>
      </c>
      <c r="BH16" s="27">
        <v>3.7333333333333298</v>
      </c>
      <c r="BI16" s="27">
        <v>3.7</v>
      </c>
      <c r="BJ16" s="27">
        <v>3.6</v>
      </c>
      <c r="BK16" s="27">
        <v>3.4</v>
      </c>
      <c r="BL16" s="27">
        <v>3.1333333333333302</v>
      </c>
      <c r="BM16" s="27">
        <v>3.1</v>
      </c>
      <c r="BN16" s="27">
        <v>3.1</v>
      </c>
      <c r="BO16" s="27">
        <v>2.93333333333333</v>
      </c>
      <c r="BP16" s="27">
        <v>2.8</v>
      </c>
      <c r="BQ16" s="27">
        <v>2.8</v>
      </c>
      <c r="BR16" s="27">
        <v>2.9666666666666699</v>
      </c>
      <c r="BS16" s="27">
        <v>2.9666666666666699</v>
      </c>
      <c r="BT16" s="27">
        <v>2.8333333333333299</v>
      </c>
      <c r="BU16" s="27">
        <v>2.9</v>
      </c>
      <c r="BV16" s="27">
        <v>2.8333333333333299</v>
      </c>
      <c r="BW16" s="36" t="str">
        <f>Table13[[#This Row],[State]]</f>
        <v>Idaho</v>
      </c>
      <c r="BX16" s="27">
        <v>2.8</v>
      </c>
      <c r="BY16" s="27">
        <v>9.4666666666666703</v>
      </c>
      <c r="BZ16" s="27">
        <v>5.6666666666666696</v>
      </c>
      <c r="CA16" s="27">
        <v>4.2666666666666702</v>
      </c>
      <c r="CB16" s="27">
        <v>4.06666666666667</v>
      </c>
      <c r="CC16" s="27">
        <v>3.8</v>
      </c>
      <c r="CD16" s="27">
        <v>3.4</v>
      </c>
      <c r="CE16" s="27">
        <v>3.0333333333333301</v>
      </c>
      <c r="CF16" s="27">
        <v>2.7666666666666702</v>
      </c>
      <c r="CG16" s="27">
        <v>2.7666666666666702</v>
      </c>
      <c r="CH16" s="27">
        <v>2.9666666666666699</v>
      </c>
      <c r="CI16" s="27">
        <v>3</v>
      </c>
      <c r="CJ16" s="27">
        <v>3</v>
      </c>
      <c r="CK16" s="27">
        <v>3.1</v>
      </c>
      <c r="CL16" s="27">
        <v>3.3</v>
      </c>
      <c r="CM16" s="27">
        <v>3.4</v>
      </c>
      <c r="CN16" s="27">
        <v>3.4666666666666699</v>
      </c>
      <c r="CO16" s="27">
        <v>3.6333333333333302</v>
      </c>
      <c r="CP16" s="27">
        <v>3.7333333333333298</v>
      </c>
      <c r="CQ16" s="27">
        <v>3.8</v>
      </c>
      <c r="CR16" s="79" t="str">
        <f>Table13[[#This Row],[ State]]</f>
        <v>Idaho</v>
      </c>
      <c r="CS16" s="27">
        <v>3.7333333333333298</v>
      </c>
      <c r="CT16" s="27">
        <v>3.6333333333333302</v>
      </c>
      <c r="CU16" s="27">
        <v>3.7</v>
      </c>
      <c r="CV16" s="111"/>
      <c r="CW16" s="41" t="s">
        <v>196</v>
      </c>
      <c r="CX16" s="47">
        <v>8.8000000000000007</v>
      </c>
      <c r="CY16" s="48">
        <v>8.6999999999999993</v>
      </c>
      <c r="CZ16" s="48">
        <v>8.6</v>
      </c>
      <c r="DA16" s="48">
        <v>8.6</v>
      </c>
      <c r="DB16" s="48">
        <v>8.5</v>
      </c>
      <c r="DC16" s="48">
        <v>8.5</v>
      </c>
      <c r="DD16" s="48">
        <v>8.5</v>
      </c>
      <c r="DE16" s="48">
        <v>8.5</v>
      </c>
      <c r="DF16" s="48">
        <v>8.4</v>
      </c>
      <c r="DG16" s="48">
        <v>8.1999999999999993</v>
      </c>
      <c r="DH16" s="48">
        <v>8</v>
      </c>
      <c r="DI16" s="48">
        <v>8</v>
      </c>
      <c r="DJ16" s="48">
        <v>7.8</v>
      </c>
      <c r="DK16" s="48">
        <v>7.8</v>
      </c>
      <c r="DL16" s="48">
        <v>7.7</v>
      </c>
      <c r="DM16" s="48">
        <v>7.6</v>
      </c>
      <c r="DN16" s="48">
        <v>7.7</v>
      </c>
      <c r="DO16" s="48">
        <v>7.7</v>
      </c>
      <c r="DP16" s="48">
        <v>7.6</v>
      </c>
      <c r="DQ16" s="48">
        <v>7.5</v>
      </c>
      <c r="DR16" s="48">
        <v>7.3</v>
      </c>
      <c r="DS16" s="48">
        <v>7.3</v>
      </c>
      <c r="DT16" s="48">
        <v>7.1</v>
      </c>
      <c r="DU16" s="62">
        <v>7.2</v>
      </c>
      <c r="DV16" s="49" t="s">
        <v>196</v>
      </c>
      <c r="DW16" s="48">
        <v>7.2</v>
      </c>
      <c r="DX16" s="48">
        <v>7.1</v>
      </c>
      <c r="DY16" s="48">
        <v>7</v>
      </c>
      <c r="DZ16" s="48">
        <v>7</v>
      </c>
      <c r="EA16" s="48">
        <v>7</v>
      </c>
      <c r="EB16" s="48">
        <v>7.1</v>
      </c>
      <c r="EC16" s="48">
        <v>7.1</v>
      </c>
      <c r="ED16" s="48">
        <v>7</v>
      </c>
      <c r="EE16" s="48">
        <v>7</v>
      </c>
      <c r="EF16" s="48">
        <v>6.9</v>
      </c>
      <c r="EG16" s="50">
        <v>6.4</v>
      </c>
      <c r="EH16" s="50">
        <v>6</v>
      </c>
      <c r="EI16" s="50">
        <v>5.6</v>
      </c>
      <c r="EJ16" s="50">
        <v>5.3</v>
      </c>
      <c r="EK16" s="48">
        <v>5</v>
      </c>
      <c r="EL16" s="50">
        <v>4.5999999999999996</v>
      </c>
      <c r="EM16" s="50">
        <v>4.5</v>
      </c>
      <c r="EN16" s="50">
        <v>4</v>
      </c>
      <c r="EO16" s="50">
        <v>4</v>
      </c>
      <c r="EP16" s="50">
        <v>4.0999999999999996</v>
      </c>
      <c r="EQ16" s="50">
        <v>4</v>
      </c>
      <c r="ER16" s="48">
        <v>4</v>
      </c>
      <c r="ES16" s="50">
        <v>3.9</v>
      </c>
      <c r="ET16" s="51">
        <v>3.9</v>
      </c>
      <c r="EU16" s="49" t="s">
        <v>196</v>
      </c>
      <c r="EV16" s="48">
        <v>3.9</v>
      </c>
      <c r="EW16" s="50">
        <v>3.9</v>
      </c>
      <c r="EX16" s="50">
        <v>3.9</v>
      </c>
      <c r="EY16" s="50">
        <v>3.9</v>
      </c>
      <c r="EZ16" s="50">
        <v>4</v>
      </c>
      <c r="FA16" s="50">
        <v>4</v>
      </c>
      <c r="FB16" s="50">
        <v>3.9</v>
      </c>
      <c r="FC16" s="50">
        <v>3.9</v>
      </c>
      <c r="FD16" s="50">
        <v>3.9</v>
      </c>
      <c r="FE16" s="50">
        <v>3.9</v>
      </c>
      <c r="FF16" s="50">
        <v>3.9</v>
      </c>
      <c r="FG16" s="50">
        <v>3.8</v>
      </c>
      <c r="FH16" s="50">
        <v>3.8</v>
      </c>
      <c r="FI16" s="50">
        <v>3.8</v>
      </c>
      <c r="FJ16" s="50">
        <v>3.8</v>
      </c>
      <c r="FK16" s="50">
        <v>3.8</v>
      </c>
      <c r="FL16" s="50">
        <v>3.7</v>
      </c>
      <c r="FM16" s="50">
        <v>3.7</v>
      </c>
      <c r="FN16" s="50">
        <v>3.7</v>
      </c>
      <c r="FO16" s="50">
        <v>3.7</v>
      </c>
      <c r="FP16" s="50">
        <v>3.7</v>
      </c>
      <c r="FQ16" s="50">
        <v>3.7</v>
      </c>
      <c r="FR16" s="50">
        <v>3.6</v>
      </c>
      <c r="FS16" s="51">
        <v>3.5</v>
      </c>
      <c r="FT16" s="49" t="s">
        <v>196</v>
      </c>
      <c r="FU16" s="48">
        <v>3.5</v>
      </c>
      <c r="FV16" s="50">
        <v>3.4</v>
      </c>
      <c r="FW16" s="50">
        <v>3.3</v>
      </c>
      <c r="FX16" s="50">
        <v>3.2</v>
      </c>
      <c r="FY16" s="50">
        <v>3.1</v>
      </c>
      <c r="FZ16" s="50">
        <v>3.1</v>
      </c>
      <c r="GA16" s="50">
        <v>3.1</v>
      </c>
      <c r="GB16" s="50">
        <v>3.1</v>
      </c>
      <c r="GC16" s="50">
        <v>3.1</v>
      </c>
      <c r="GD16" s="50">
        <v>3.1</v>
      </c>
      <c r="GE16" s="50">
        <v>3.1</v>
      </c>
      <c r="GF16" s="50">
        <v>3.1</v>
      </c>
      <c r="GG16" s="50">
        <v>3</v>
      </c>
      <c r="GH16" s="50">
        <v>2.9</v>
      </c>
      <c r="GI16" s="50">
        <v>2.9</v>
      </c>
      <c r="GJ16" s="50">
        <v>2.8</v>
      </c>
      <c r="GK16" s="50">
        <v>2.8</v>
      </c>
      <c r="GL16" s="50">
        <v>2.8</v>
      </c>
      <c r="GM16" s="50">
        <v>2.8</v>
      </c>
      <c r="GN16" s="50">
        <v>2.8</v>
      </c>
      <c r="GO16" s="50">
        <v>2.8</v>
      </c>
      <c r="GP16" s="50">
        <v>2.9</v>
      </c>
      <c r="GQ16" s="50">
        <v>3</v>
      </c>
      <c r="GR16" s="50">
        <v>3</v>
      </c>
      <c r="GS16" s="49" t="s">
        <v>196</v>
      </c>
      <c r="GT16" s="50">
        <v>3</v>
      </c>
      <c r="GU16" s="50">
        <v>3</v>
      </c>
      <c r="GV16" s="50">
        <v>2.9</v>
      </c>
      <c r="GW16" s="50">
        <v>2.9</v>
      </c>
      <c r="GX16" s="50">
        <v>2.8</v>
      </c>
      <c r="GY16" s="50">
        <v>2.8</v>
      </c>
      <c r="GZ16" s="50">
        <v>2.9</v>
      </c>
      <c r="HA16" s="50">
        <v>2.9</v>
      </c>
      <c r="HB16" s="50">
        <v>2.9</v>
      </c>
      <c r="HC16" s="50">
        <v>2.9</v>
      </c>
      <c r="HD16" s="50">
        <v>2.8</v>
      </c>
      <c r="HE16" s="50">
        <v>2.8</v>
      </c>
      <c r="HF16" s="50">
        <v>2.8</v>
      </c>
      <c r="HG16" s="50">
        <v>2.8</v>
      </c>
      <c r="HH16" s="50">
        <v>2.8</v>
      </c>
      <c r="HI16" s="50">
        <v>11.8</v>
      </c>
      <c r="HJ16" s="50">
        <v>9.1</v>
      </c>
      <c r="HK16" s="50">
        <v>7.5</v>
      </c>
      <c r="HL16" s="50">
        <v>6.6</v>
      </c>
      <c r="HM16" s="50">
        <v>5.4</v>
      </c>
      <c r="HN16" s="50">
        <v>5</v>
      </c>
      <c r="HO16" s="50">
        <v>4.4000000000000004</v>
      </c>
      <c r="HP16" s="50">
        <v>4.2</v>
      </c>
      <c r="HQ16" s="51">
        <v>4.2</v>
      </c>
      <c r="HR16" s="49" t="s">
        <v>196</v>
      </c>
      <c r="HS16" s="50">
        <v>4.0999999999999996</v>
      </c>
      <c r="HT16" s="50">
        <v>4.0999999999999996</v>
      </c>
      <c r="HU16" s="50">
        <v>4</v>
      </c>
      <c r="HV16" s="50">
        <v>3.9</v>
      </c>
      <c r="HW16" s="50">
        <v>3.8</v>
      </c>
      <c r="HX16" s="50">
        <v>3.7</v>
      </c>
      <c r="HY16" s="50">
        <v>3.5</v>
      </c>
      <c r="HZ16" s="50">
        <v>3.4</v>
      </c>
      <c r="IA16" s="50">
        <v>3.3</v>
      </c>
      <c r="IB16" s="50">
        <v>3.2</v>
      </c>
      <c r="IC16" s="50">
        <v>3</v>
      </c>
      <c r="ID16" s="50">
        <v>2.9</v>
      </c>
      <c r="IE16" s="50">
        <v>2.8</v>
      </c>
      <c r="IF16" s="50">
        <v>2.8</v>
      </c>
      <c r="IG16" s="50">
        <v>2.7</v>
      </c>
      <c r="IH16" s="50">
        <v>2.7</v>
      </c>
      <c r="II16" s="50">
        <v>2.8</v>
      </c>
      <c r="IJ16" s="50">
        <v>2.8</v>
      </c>
      <c r="IK16" s="50">
        <v>2.9</v>
      </c>
      <c r="IL16" s="50">
        <v>3</v>
      </c>
      <c r="IM16" s="50">
        <v>3</v>
      </c>
      <c r="IN16" s="50">
        <v>3</v>
      </c>
      <c r="IO16" s="50">
        <v>3</v>
      </c>
      <c r="IP16" s="51">
        <v>3</v>
      </c>
      <c r="IQ16" s="49" t="s">
        <v>196</v>
      </c>
      <c r="IR16" s="50">
        <v>3</v>
      </c>
      <c r="IS16" s="50">
        <v>3</v>
      </c>
      <c r="IT16" s="50">
        <v>3</v>
      </c>
      <c r="IU16" s="50">
        <v>3</v>
      </c>
      <c r="IV16" s="50">
        <v>3.1</v>
      </c>
      <c r="IW16" s="50">
        <v>3.2</v>
      </c>
      <c r="IX16" s="50">
        <v>3.2</v>
      </c>
      <c r="IY16" s="50">
        <v>3.3</v>
      </c>
      <c r="IZ16" s="50">
        <v>3.4</v>
      </c>
      <c r="JA16" s="50">
        <v>3.4</v>
      </c>
      <c r="JB16" s="50">
        <v>3.4</v>
      </c>
      <c r="JC16" s="50">
        <v>3.4</v>
      </c>
      <c r="JD16" s="50">
        <v>3.4</v>
      </c>
      <c r="JE16" s="50">
        <v>3.5</v>
      </c>
      <c r="JF16" s="50">
        <v>3.5</v>
      </c>
      <c r="JG16" s="50">
        <v>3.6</v>
      </c>
      <c r="JH16" s="50">
        <v>3.6</v>
      </c>
      <c r="JI16" s="50">
        <v>3.7</v>
      </c>
      <c r="JJ16" s="50">
        <v>3.7</v>
      </c>
      <c r="JK16" s="50">
        <v>3.7</v>
      </c>
      <c r="JL16" s="50">
        <v>3.8</v>
      </c>
      <c r="JM16" s="50">
        <v>3.8</v>
      </c>
      <c r="JN16" s="50">
        <v>3.8</v>
      </c>
      <c r="JO16" s="51">
        <v>3.8</v>
      </c>
      <c r="JP16" s="49" t="s">
        <v>196</v>
      </c>
      <c r="JQ16" s="80">
        <v>3.8</v>
      </c>
      <c r="JR16" s="80">
        <v>3.7</v>
      </c>
      <c r="JS16" s="80">
        <v>3.7</v>
      </c>
      <c r="JT16" s="80">
        <v>3.7</v>
      </c>
      <c r="JU16" s="80">
        <v>3.6</v>
      </c>
      <c r="JV16" s="80">
        <v>3.6</v>
      </c>
      <c r="JW16" s="80">
        <v>3.7</v>
      </c>
      <c r="JX16" s="80">
        <v>3.7</v>
      </c>
      <c r="JY16" s="80">
        <v>3.7</v>
      </c>
      <c r="JZ16" s="80" t="s">
        <v>402</v>
      </c>
      <c r="KA16" s="81">
        <v>3.7</v>
      </c>
    </row>
    <row r="17" spans="2:287" x14ac:dyDescent="0.3">
      <c r="B17" s="39" t="s">
        <v>197</v>
      </c>
      <c r="C17" s="17">
        <v>4.458333333333333</v>
      </c>
      <c r="D17" s="17">
        <v>5.4333333333333318</v>
      </c>
      <c r="E17" s="17">
        <v>6.5500000000000007</v>
      </c>
      <c r="F17" s="17">
        <v>6.75</v>
      </c>
      <c r="G17" s="17">
        <v>6.1916666666666673</v>
      </c>
      <c r="H17" s="17">
        <v>5.7333333333333343</v>
      </c>
      <c r="I17" s="17">
        <v>4.6249999999999973</v>
      </c>
      <c r="J17" s="17">
        <v>5.0583333333333353</v>
      </c>
      <c r="K17" s="17">
        <v>6.5083333333333346</v>
      </c>
      <c r="L17" s="17">
        <v>9.9666666666666668</v>
      </c>
      <c r="M17" s="17">
        <v>10.39166666666665</v>
      </c>
      <c r="N17" s="17">
        <v>9.7666666666666657</v>
      </c>
      <c r="O17" s="19">
        <v>9.0333333333333332</v>
      </c>
      <c r="P17" s="19">
        <v>9.0749999999999993</v>
      </c>
      <c r="Q17" s="19">
        <v>7.1583333333333332</v>
      </c>
      <c r="R17" s="19">
        <v>5.9916666666666671</v>
      </c>
      <c r="S17" s="19">
        <v>5.8833333333333346</v>
      </c>
      <c r="T17" s="19">
        <v>4.9583333333333321</v>
      </c>
      <c r="U17" s="19">
        <v>4.3916666666666657</v>
      </c>
      <c r="V17" s="19">
        <v>3.974999999999997</v>
      </c>
      <c r="W17" s="19">
        <v>9.333333333333341</v>
      </c>
      <c r="X17" s="19">
        <v>6.1000000000000032</v>
      </c>
      <c r="Y17" s="19">
        <v>4.5833333333333321</v>
      </c>
      <c r="Z17" s="19">
        <v>4.4833333333333325</v>
      </c>
      <c r="AA17" s="19">
        <v>4.9916666666666654</v>
      </c>
      <c r="AB17" s="96"/>
      <c r="AC17" s="35" t="str">
        <f>Table11[[#This Row],[State]]</f>
        <v>Illinois</v>
      </c>
      <c r="AD17" s="17">
        <v>8.6999999999999993</v>
      </c>
      <c r="AE17" s="17">
        <v>9.7666666666666693</v>
      </c>
      <c r="AF17" s="17">
        <v>10.4</v>
      </c>
      <c r="AG17" s="17">
        <v>11</v>
      </c>
      <c r="AH17" s="17">
        <v>11.2</v>
      </c>
      <c r="AI17" s="17">
        <v>10.633333333333301</v>
      </c>
      <c r="AJ17" s="17">
        <v>10.033333333333299</v>
      </c>
      <c r="AK17" s="17">
        <v>9.6999999999999993</v>
      </c>
      <c r="AL17" s="17">
        <v>9.5</v>
      </c>
      <c r="AM17" s="17">
        <v>9.7666666666666693</v>
      </c>
      <c r="AN17" s="19">
        <v>10.1</v>
      </c>
      <c r="AO17" s="19">
        <v>9.6999999999999993</v>
      </c>
      <c r="AP17" s="19">
        <v>9.1333333333333293</v>
      </c>
      <c r="AQ17" s="19">
        <v>9</v>
      </c>
      <c r="AR17" s="19">
        <v>8.9666666666666703</v>
      </c>
      <c r="AS17" s="19">
        <v>9.0333333333333297</v>
      </c>
      <c r="AT17" s="19">
        <v>9.2666666666666693</v>
      </c>
      <c r="AU17" s="19">
        <v>9.2333333333333307</v>
      </c>
      <c r="AV17" s="17">
        <v>9.1</v>
      </c>
      <c r="AW17" s="17">
        <v>8.6999999999999993</v>
      </c>
      <c r="AX17" s="17">
        <v>8.1</v>
      </c>
      <c r="AY17" s="17">
        <v>7.4</v>
      </c>
      <c r="AZ17" s="17">
        <v>6.8</v>
      </c>
      <c r="BA17" s="17">
        <v>6.3333333333333304</v>
      </c>
      <c r="BB17" s="35" t="str">
        <f t="shared" si="0"/>
        <v>Illinois</v>
      </c>
      <c r="BC17" s="19">
        <v>6.06666666666667</v>
      </c>
      <c r="BD17" s="19">
        <v>6</v>
      </c>
      <c r="BE17" s="19">
        <v>5.9</v>
      </c>
      <c r="BF17" s="19">
        <v>6</v>
      </c>
      <c r="BG17" s="17">
        <v>6.2</v>
      </c>
      <c r="BH17" s="17">
        <v>6</v>
      </c>
      <c r="BI17" s="17">
        <v>5.7666666666666702</v>
      </c>
      <c r="BJ17" s="17">
        <v>5.56666666666667</v>
      </c>
      <c r="BK17" s="17">
        <v>5.1333333333333302</v>
      </c>
      <c r="BL17" s="17">
        <v>4.93333333333333</v>
      </c>
      <c r="BM17" s="17">
        <v>4.9666666666666703</v>
      </c>
      <c r="BN17" s="17">
        <v>4.8</v>
      </c>
      <c r="BO17" s="17">
        <v>4.43333333333333</v>
      </c>
      <c r="BP17" s="17">
        <v>4.3</v>
      </c>
      <c r="BQ17" s="17">
        <v>4.3333333333333304</v>
      </c>
      <c r="BR17" s="17">
        <v>4.5</v>
      </c>
      <c r="BS17" s="17">
        <v>4.5</v>
      </c>
      <c r="BT17" s="17">
        <v>4.0333333333333297</v>
      </c>
      <c r="BU17" s="17">
        <v>3.7333333333333298</v>
      </c>
      <c r="BV17" s="17">
        <v>3.6333333333333302</v>
      </c>
      <c r="BW17" s="35" t="str">
        <f>Table13[[#This Row],[State]]</f>
        <v>Illinois</v>
      </c>
      <c r="BX17" s="17">
        <v>4.2</v>
      </c>
      <c r="BY17" s="17">
        <v>15.2</v>
      </c>
      <c r="BZ17" s="17">
        <v>10.0666666666667</v>
      </c>
      <c r="CA17" s="17">
        <v>7.8666666666666698</v>
      </c>
      <c r="CB17" s="17">
        <v>7</v>
      </c>
      <c r="CC17" s="17">
        <v>6.56666666666667</v>
      </c>
      <c r="CD17" s="17">
        <v>5.8666666666666698</v>
      </c>
      <c r="CE17" s="17">
        <v>4.9666666666666703</v>
      </c>
      <c r="CF17" s="17">
        <v>4.7333333333333298</v>
      </c>
      <c r="CG17" s="17">
        <v>4.56666666666667</v>
      </c>
      <c r="CH17" s="17">
        <v>4.5</v>
      </c>
      <c r="CI17" s="17">
        <v>4.5333333333333297</v>
      </c>
      <c r="CJ17" s="17">
        <v>4.3333333333333304</v>
      </c>
      <c r="CK17" s="17">
        <v>4.2333333333333298</v>
      </c>
      <c r="CL17" s="17">
        <v>4.56666666666667</v>
      </c>
      <c r="CM17" s="17">
        <v>4.8</v>
      </c>
      <c r="CN17" s="17">
        <v>4.93333333333333</v>
      </c>
      <c r="CO17" s="17">
        <v>5.0999999999999996</v>
      </c>
      <c r="CP17" s="17">
        <v>5.0333333333333297</v>
      </c>
      <c r="CQ17" s="17">
        <v>4.9000000000000004</v>
      </c>
      <c r="CR17" s="42" t="str">
        <f>Table13[[#This Row],[ State]]</f>
        <v>Illinois</v>
      </c>
      <c r="CS17" s="17">
        <v>4.8333333333333304</v>
      </c>
      <c r="CT17" s="17">
        <v>4.7333333333333298</v>
      </c>
      <c r="CU17" s="17">
        <v>4.4666666666666703</v>
      </c>
      <c r="CV17" s="111"/>
      <c r="CW17" s="42" t="s">
        <v>197</v>
      </c>
      <c r="CX17" s="52">
        <v>9.5</v>
      </c>
      <c r="CY17" s="53">
        <v>9.5</v>
      </c>
      <c r="CZ17" s="53">
        <v>9.5</v>
      </c>
      <c r="DA17" s="53">
        <v>9.6</v>
      </c>
      <c r="DB17" s="53">
        <v>9.8000000000000007</v>
      </c>
      <c r="DC17" s="53">
        <v>9.9</v>
      </c>
      <c r="DD17" s="53">
        <v>10.1</v>
      </c>
      <c r="DE17" s="53">
        <v>10.1</v>
      </c>
      <c r="DF17" s="53">
        <v>10.1</v>
      </c>
      <c r="DG17" s="53">
        <v>9.9</v>
      </c>
      <c r="DH17" s="53">
        <v>9.6999999999999993</v>
      </c>
      <c r="DI17" s="53">
        <v>9.5</v>
      </c>
      <c r="DJ17" s="53">
        <v>9.3000000000000007</v>
      </c>
      <c r="DK17" s="53">
        <v>9.1</v>
      </c>
      <c r="DL17" s="53">
        <v>9</v>
      </c>
      <c r="DM17" s="53">
        <v>9</v>
      </c>
      <c r="DN17" s="53">
        <v>9</v>
      </c>
      <c r="DO17" s="53">
        <v>9</v>
      </c>
      <c r="DP17" s="53">
        <v>9</v>
      </c>
      <c r="DQ17" s="53">
        <v>9</v>
      </c>
      <c r="DR17" s="53">
        <v>8.9</v>
      </c>
      <c r="DS17" s="53">
        <v>9</v>
      </c>
      <c r="DT17" s="53">
        <v>9</v>
      </c>
      <c r="DU17" s="63">
        <v>9.1</v>
      </c>
      <c r="DV17" s="54" t="s">
        <v>197</v>
      </c>
      <c r="DW17" s="53">
        <v>9.1999999999999993</v>
      </c>
      <c r="DX17" s="53">
        <v>9.3000000000000007</v>
      </c>
      <c r="DY17" s="53">
        <v>9.3000000000000007</v>
      </c>
      <c r="DZ17" s="53">
        <v>9.3000000000000007</v>
      </c>
      <c r="EA17" s="53">
        <v>9.1999999999999993</v>
      </c>
      <c r="EB17" s="53">
        <v>9.1999999999999993</v>
      </c>
      <c r="EC17" s="53">
        <v>9.1999999999999993</v>
      </c>
      <c r="ED17" s="53">
        <v>9.1</v>
      </c>
      <c r="EE17" s="53">
        <v>9</v>
      </c>
      <c r="EF17" s="53">
        <v>8.9</v>
      </c>
      <c r="EG17" s="55">
        <v>8.6999999999999993</v>
      </c>
      <c r="EH17" s="55">
        <v>8.5</v>
      </c>
      <c r="EI17" s="55">
        <v>8.3000000000000007</v>
      </c>
      <c r="EJ17" s="55">
        <v>8.1</v>
      </c>
      <c r="EK17" s="53">
        <v>7.9</v>
      </c>
      <c r="EL17" s="55">
        <v>7.6</v>
      </c>
      <c r="EM17" s="55">
        <v>7.4</v>
      </c>
      <c r="EN17" s="55">
        <v>7.2</v>
      </c>
      <c r="EO17" s="55">
        <v>7</v>
      </c>
      <c r="EP17" s="55">
        <v>6.8</v>
      </c>
      <c r="EQ17" s="55">
        <v>6.6</v>
      </c>
      <c r="ER17" s="53">
        <v>6.5</v>
      </c>
      <c r="ES17" s="55">
        <v>6.3</v>
      </c>
      <c r="ET17" s="56">
        <v>6.2</v>
      </c>
      <c r="EU17" s="54" t="s">
        <v>197</v>
      </c>
      <c r="EV17" s="53">
        <v>6.1</v>
      </c>
      <c r="EW17" s="55">
        <v>6.1</v>
      </c>
      <c r="EX17" s="55">
        <v>6</v>
      </c>
      <c r="EY17" s="55">
        <v>6</v>
      </c>
      <c r="EZ17" s="55">
        <v>6</v>
      </c>
      <c r="FA17" s="55">
        <v>6</v>
      </c>
      <c r="FB17" s="55">
        <v>5.9</v>
      </c>
      <c r="FC17" s="55">
        <v>5.9</v>
      </c>
      <c r="FD17" s="55">
        <v>5.9</v>
      </c>
      <c r="FE17" s="55">
        <v>5.9</v>
      </c>
      <c r="FF17" s="55">
        <v>6</v>
      </c>
      <c r="FG17" s="55">
        <v>6.1</v>
      </c>
      <c r="FH17" s="55">
        <v>6.2</v>
      </c>
      <c r="FI17" s="55">
        <v>6.2</v>
      </c>
      <c r="FJ17" s="55">
        <v>6.2</v>
      </c>
      <c r="FK17" s="55">
        <v>6.1</v>
      </c>
      <c r="FL17" s="55">
        <v>6</v>
      </c>
      <c r="FM17" s="55">
        <v>5.9</v>
      </c>
      <c r="FN17" s="55">
        <v>5.8</v>
      </c>
      <c r="FO17" s="55">
        <v>5.8</v>
      </c>
      <c r="FP17" s="55">
        <v>5.7</v>
      </c>
      <c r="FQ17" s="55">
        <v>5.7</v>
      </c>
      <c r="FR17" s="55">
        <v>5.6</v>
      </c>
      <c r="FS17" s="56">
        <v>5.4</v>
      </c>
      <c r="FT17" s="54" t="s">
        <v>197</v>
      </c>
      <c r="FU17" s="53">
        <v>5.3</v>
      </c>
      <c r="FV17" s="55">
        <v>5.0999999999999996</v>
      </c>
      <c r="FW17" s="55">
        <v>5</v>
      </c>
      <c r="FX17" s="55">
        <v>5</v>
      </c>
      <c r="FY17" s="55">
        <v>4.9000000000000004</v>
      </c>
      <c r="FZ17" s="55">
        <v>4.9000000000000004</v>
      </c>
      <c r="GA17" s="55">
        <v>5</v>
      </c>
      <c r="GB17" s="55">
        <v>5</v>
      </c>
      <c r="GC17" s="55">
        <v>4.9000000000000004</v>
      </c>
      <c r="GD17" s="55">
        <v>4.9000000000000004</v>
      </c>
      <c r="GE17" s="55">
        <v>4.8</v>
      </c>
      <c r="GF17" s="55">
        <v>4.7</v>
      </c>
      <c r="GG17" s="55">
        <v>4.5</v>
      </c>
      <c r="GH17" s="55">
        <v>4.4000000000000004</v>
      </c>
      <c r="GI17" s="55">
        <v>4.4000000000000004</v>
      </c>
      <c r="GJ17" s="55">
        <v>4.3</v>
      </c>
      <c r="GK17" s="55">
        <v>4.3</v>
      </c>
      <c r="GL17" s="55">
        <v>4.3</v>
      </c>
      <c r="GM17" s="55">
        <v>4.3</v>
      </c>
      <c r="GN17" s="55">
        <v>4.3</v>
      </c>
      <c r="GO17" s="55">
        <v>4.4000000000000004</v>
      </c>
      <c r="GP17" s="55">
        <v>4.4000000000000004</v>
      </c>
      <c r="GQ17" s="55">
        <v>4.5</v>
      </c>
      <c r="GR17" s="55">
        <v>4.5999999999999996</v>
      </c>
      <c r="GS17" s="54" t="s">
        <v>197</v>
      </c>
      <c r="GT17" s="55">
        <v>4.5999999999999996</v>
      </c>
      <c r="GU17" s="55">
        <v>4.5</v>
      </c>
      <c r="GV17" s="55">
        <v>4.4000000000000004</v>
      </c>
      <c r="GW17" s="55">
        <v>4.2</v>
      </c>
      <c r="GX17" s="55">
        <v>4</v>
      </c>
      <c r="GY17" s="55">
        <v>3.9</v>
      </c>
      <c r="GZ17" s="55">
        <v>3.8</v>
      </c>
      <c r="HA17" s="55">
        <v>3.7</v>
      </c>
      <c r="HB17" s="55">
        <v>3.7</v>
      </c>
      <c r="HC17" s="55">
        <v>3.7</v>
      </c>
      <c r="HD17" s="55">
        <v>3.6</v>
      </c>
      <c r="HE17" s="55">
        <v>3.6</v>
      </c>
      <c r="HF17" s="55">
        <v>3.7</v>
      </c>
      <c r="HG17" s="55">
        <v>3.8</v>
      </c>
      <c r="HH17" s="55">
        <v>5.0999999999999996</v>
      </c>
      <c r="HI17" s="55">
        <v>18.3</v>
      </c>
      <c r="HJ17" s="55">
        <v>14.7</v>
      </c>
      <c r="HK17" s="55">
        <v>12.6</v>
      </c>
      <c r="HL17" s="55">
        <v>11.4</v>
      </c>
      <c r="HM17" s="55">
        <v>9.6999999999999993</v>
      </c>
      <c r="HN17" s="55">
        <v>9.1</v>
      </c>
      <c r="HO17" s="55">
        <v>8.1999999999999993</v>
      </c>
      <c r="HP17" s="55">
        <v>7.8</v>
      </c>
      <c r="HQ17" s="56">
        <v>7.6</v>
      </c>
      <c r="HR17" s="54" t="s">
        <v>197</v>
      </c>
      <c r="HS17" s="55">
        <v>7.2</v>
      </c>
      <c r="HT17" s="55">
        <v>7</v>
      </c>
      <c r="HU17" s="55">
        <v>6.8</v>
      </c>
      <c r="HV17" s="55">
        <v>6.7</v>
      </c>
      <c r="HW17" s="55">
        <v>6.6</v>
      </c>
      <c r="HX17" s="55">
        <v>6.4</v>
      </c>
      <c r="HY17" s="55">
        <v>6.2</v>
      </c>
      <c r="HZ17" s="55">
        <v>5.9</v>
      </c>
      <c r="IA17" s="55">
        <v>5.5</v>
      </c>
      <c r="IB17" s="55">
        <v>5.2</v>
      </c>
      <c r="IC17" s="55">
        <v>4.9000000000000004</v>
      </c>
      <c r="ID17" s="55">
        <v>4.8</v>
      </c>
      <c r="IE17" s="55">
        <v>4.8</v>
      </c>
      <c r="IF17" s="55">
        <v>4.7</v>
      </c>
      <c r="IG17" s="55">
        <v>4.7</v>
      </c>
      <c r="IH17" s="55">
        <v>4.5999999999999996</v>
      </c>
      <c r="II17" s="55">
        <v>4.5999999999999996</v>
      </c>
      <c r="IJ17" s="55">
        <v>4.5</v>
      </c>
      <c r="IK17" s="55">
        <v>4.5</v>
      </c>
      <c r="IL17" s="55">
        <v>4.5</v>
      </c>
      <c r="IM17" s="55">
        <v>4.5</v>
      </c>
      <c r="IN17" s="55">
        <v>4.5999999999999996</v>
      </c>
      <c r="IO17" s="55">
        <v>4.5</v>
      </c>
      <c r="IP17" s="56">
        <v>4.5</v>
      </c>
      <c r="IQ17" s="54" t="s">
        <v>197</v>
      </c>
      <c r="IR17" s="55">
        <v>4.4000000000000004</v>
      </c>
      <c r="IS17" s="55">
        <v>4.3</v>
      </c>
      <c r="IT17" s="55">
        <v>4.3</v>
      </c>
      <c r="IU17" s="55">
        <v>4.2</v>
      </c>
      <c r="IV17" s="55">
        <v>4.2</v>
      </c>
      <c r="IW17" s="55">
        <v>4.3</v>
      </c>
      <c r="IX17" s="55">
        <v>4.4000000000000004</v>
      </c>
      <c r="IY17" s="55">
        <v>4.5999999999999996</v>
      </c>
      <c r="IZ17" s="55">
        <v>4.7</v>
      </c>
      <c r="JA17" s="55">
        <v>4.8</v>
      </c>
      <c r="JB17" s="55">
        <v>4.8</v>
      </c>
      <c r="JC17" s="55">
        <v>4.8</v>
      </c>
      <c r="JD17" s="55">
        <v>4.9000000000000004</v>
      </c>
      <c r="JE17" s="55">
        <v>4.9000000000000004</v>
      </c>
      <c r="JF17" s="55">
        <v>5</v>
      </c>
      <c r="JG17" s="55">
        <v>5.0999999999999996</v>
      </c>
      <c r="JH17" s="55">
        <v>5.0999999999999996</v>
      </c>
      <c r="JI17" s="55">
        <v>5.0999999999999996</v>
      </c>
      <c r="JJ17" s="55">
        <v>5.0999999999999996</v>
      </c>
      <c r="JK17" s="55">
        <v>5</v>
      </c>
      <c r="JL17" s="55">
        <v>5</v>
      </c>
      <c r="JM17" s="55">
        <v>4.9000000000000004</v>
      </c>
      <c r="JN17" s="55">
        <v>4.9000000000000004</v>
      </c>
      <c r="JO17" s="56">
        <v>4.9000000000000004</v>
      </c>
      <c r="JP17" s="54" t="s">
        <v>197</v>
      </c>
      <c r="JQ17" s="82">
        <v>4.9000000000000004</v>
      </c>
      <c r="JR17" s="82">
        <v>4.8</v>
      </c>
      <c r="JS17" s="82">
        <v>4.8</v>
      </c>
      <c r="JT17" s="82">
        <v>4.8</v>
      </c>
      <c r="JU17" s="82">
        <v>4.8</v>
      </c>
      <c r="JV17" s="82">
        <v>4.5999999999999996</v>
      </c>
      <c r="JW17" s="82">
        <v>4.5999999999999996</v>
      </c>
      <c r="JX17" s="82">
        <v>4.4000000000000004</v>
      </c>
      <c r="JY17" s="82">
        <v>4.4000000000000004</v>
      </c>
      <c r="JZ17" s="82" t="s">
        <v>402</v>
      </c>
      <c r="KA17" s="83">
        <v>4.4000000000000004</v>
      </c>
    </row>
    <row r="18" spans="2:287" x14ac:dyDescent="0.3">
      <c r="B18" s="39" t="s">
        <v>198</v>
      </c>
      <c r="C18" s="17">
        <v>3.0249999999999999</v>
      </c>
      <c r="D18" s="17">
        <v>4.1750000000000025</v>
      </c>
      <c r="E18" s="17">
        <v>5.1166666666666654</v>
      </c>
      <c r="F18" s="17">
        <v>5.2083333333333357</v>
      </c>
      <c r="G18" s="17">
        <v>5.4166666666666679</v>
      </c>
      <c r="H18" s="17">
        <v>5.400000000000003</v>
      </c>
      <c r="I18" s="17">
        <v>5.0166666666666675</v>
      </c>
      <c r="J18" s="17">
        <v>4.6416666666666675</v>
      </c>
      <c r="K18" s="17">
        <v>5.9333333333333318</v>
      </c>
      <c r="L18" s="17">
        <v>10.158333333333333</v>
      </c>
      <c r="M18" s="17">
        <v>9.9750000000000174</v>
      </c>
      <c r="N18" s="17">
        <v>8.9083333333333332</v>
      </c>
      <c r="O18" s="19">
        <v>8.2166666666666686</v>
      </c>
      <c r="P18" s="19">
        <v>7.508333333333332</v>
      </c>
      <c r="Q18" s="19">
        <v>5.9500000000000011</v>
      </c>
      <c r="R18" s="19">
        <v>4.8</v>
      </c>
      <c r="S18" s="19">
        <v>4.3916666666666657</v>
      </c>
      <c r="T18" s="19">
        <v>3.5249999999999999</v>
      </c>
      <c r="U18" s="19">
        <v>3.4333333333333349</v>
      </c>
      <c r="V18" s="19">
        <v>3.3166666666666673</v>
      </c>
      <c r="W18" s="19">
        <v>7.3833333333333249</v>
      </c>
      <c r="X18" s="19">
        <v>3.8916666666666648</v>
      </c>
      <c r="Y18" s="19">
        <v>3.0666666666666673</v>
      </c>
      <c r="Z18" s="19">
        <v>3.4499999999999997</v>
      </c>
      <c r="AA18" s="19">
        <v>4.1833333333333327</v>
      </c>
      <c r="AB18" s="96"/>
      <c r="AC18" s="36" t="str">
        <f>Table11[[#This Row],[State]]</f>
        <v>Indiana</v>
      </c>
      <c r="AD18" s="27">
        <v>9.43333333333333</v>
      </c>
      <c r="AE18" s="27">
        <v>10.4333333333333</v>
      </c>
      <c r="AF18" s="27">
        <v>10.366666666666699</v>
      </c>
      <c r="AG18" s="27">
        <v>10.4</v>
      </c>
      <c r="AH18" s="27">
        <v>10.466666666666701</v>
      </c>
      <c r="AI18" s="27">
        <v>10.1666666666667</v>
      </c>
      <c r="AJ18" s="27">
        <v>9.8000000000000007</v>
      </c>
      <c r="AK18" s="27">
        <v>9.4666666666666703</v>
      </c>
      <c r="AL18" s="27">
        <v>8.9</v>
      </c>
      <c r="AM18" s="27">
        <v>8.8000000000000007</v>
      </c>
      <c r="AN18" s="27">
        <v>9.1</v>
      </c>
      <c r="AO18" s="27">
        <v>8.8333333333333304</v>
      </c>
      <c r="AP18" s="27">
        <v>8.3000000000000007</v>
      </c>
      <c r="AQ18" s="27">
        <v>8.1999999999999993</v>
      </c>
      <c r="AR18" s="27">
        <v>8.1666666666666696</v>
      </c>
      <c r="AS18" s="27">
        <v>8.1999999999999993</v>
      </c>
      <c r="AT18" s="27">
        <v>8.1666666666666696</v>
      </c>
      <c r="AU18" s="27">
        <v>7.8333333333333304</v>
      </c>
      <c r="AV18" s="27">
        <v>7.3333333333333304</v>
      </c>
      <c r="AW18" s="27">
        <v>6.7</v>
      </c>
      <c r="AX18" s="27">
        <v>6.3</v>
      </c>
      <c r="AY18" s="27">
        <v>6.06666666666667</v>
      </c>
      <c r="AZ18" s="27">
        <v>5.8333333333333304</v>
      </c>
      <c r="BA18" s="27">
        <v>5.6</v>
      </c>
      <c r="BB18" s="36" t="str">
        <f t="shared" si="0"/>
        <v>Indiana</v>
      </c>
      <c r="BC18" s="27">
        <v>5.2333333333333298</v>
      </c>
      <c r="BD18" s="27">
        <v>4.8333333333333304</v>
      </c>
      <c r="BE18" s="27">
        <v>4.56666666666667</v>
      </c>
      <c r="BF18" s="27">
        <v>4.56666666666667</v>
      </c>
      <c r="BG18" s="27">
        <v>4.6333333333333302</v>
      </c>
      <c r="BH18" s="27">
        <v>4.5333333333333297</v>
      </c>
      <c r="BI18" s="27">
        <v>4.3</v>
      </c>
      <c r="BJ18" s="27">
        <v>4.0999999999999996</v>
      </c>
      <c r="BK18" s="27">
        <v>3.7333333333333298</v>
      </c>
      <c r="BL18" s="27">
        <v>3.4666666666666699</v>
      </c>
      <c r="BM18" s="27">
        <v>3.5</v>
      </c>
      <c r="BN18" s="27">
        <v>3.4</v>
      </c>
      <c r="BO18" s="27">
        <v>3.3</v>
      </c>
      <c r="BP18" s="27">
        <v>3.4</v>
      </c>
      <c r="BQ18" s="27">
        <v>3.4666666666666699</v>
      </c>
      <c r="BR18" s="27">
        <v>3.56666666666667</v>
      </c>
      <c r="BS18" s="27">
        <v>3.4666666666666699</v>
      </c>
      <c r="BT18" s="27">
        <v>3.2333333333333298</v>
      </c>
      <c r="BU18" s="27">
        <v>3.2666666666666702</v>
      </c>
      <c r="BV18" s="27">
        <v>3.3</v>
      </c>
      <c r="BW18" s="36" t="str">
        <f>Table13[[#This Row],[State]]</f>
        <v>Indiana</v>
      </c>
      <c r="BX18" s="27">
        <v>3.5</v>
      </c>
      <c r="BY18" s="27">
        <v>13.233333333333301</v>
      </c>
      <c r="BZ18" s="27">
        <v>7.5333333333333297</v>
      </c>
      <c r="CA18" s="27">
        <v>5.2666666666666702</v>
      </c>
      <c r="CB18" s="27">
        <v>4.5333333333333297</v>
      </c>
      <c r="CC18" s="27">
        <v>4.2</v>
      </c>
      <c r="CD18" s="27">
        <v>3.7</v>
      </c>
      <c r="CE18" s="27">
        <v>3.1333333333333302</v>
      </c>
      <c r="CF18" s="27">
        <v>2.9</v>
      </c>
      <c r="CG18" s="27">
        <v>2.9666666666666699</v>
      </c>
      <c r="CH18" s="27">
        <v>3.1333333333333302</v>
      </c>
      <c r="CI18" s="27">
        <v>3.2666666666666702</v>
      </c>
      <c r="CJ18" s="27">
        <v>3.3</v>
      </c>
      <c r="CK18" s="27">
        <v>3.3333333333333299</v>
      </c>
      <c r="CL18" s="27">
        <v>3.5</v>
      </c>
      <c r="CM18" s="27">
        <v>3.6666666666666701</v>
      </c>
      <c r="CN18" s="27">
        <v>3.8333333333333299</v>
      </c>
      <c r="CO18" s="27">
        <v>4.0999999999999996</v>
      </c>
      <c r="CP18" s="27">
        <v>4.3666666666666698</v>
      </c>
      <c r="CQ18" s="27">
        <v>4.43333333333333</v>
      </c>
      <c r="CR18" s="79" t="str">
        <f>Table13[[#This Row],[ State]]</f>
        <v>Indiana</v>
      </c>
      <c r="CS18" s="27">
        <v>4.2666666666666702</v>
      </c>
      <c r="CT18" s="27">
        <v>3.7333333333333298</v>
      </c>
      <c r="CU18" s="27">
        <v>3.6333333333333302</v>
      </c>
      <c r="CV18" s="111"/>
      <c r="CW18" s="41" t="s">
        <v>198</v>
      </c>
      <c r="CX18" s="47">
        <v>9</v>
      </c>
      <c r="CY18" s="48">
        <v>8.9</v>
      </c>
      <c r="CZ18" s="48">
        <v>8.8000000000000007</v>
      </c>
      <c r="DA18" s="48">
        <v>8.6999999999999993</v>
      </c>
      <c r="DB18" s="48">
        <v>8.8000000000000007</v>
      </c>
      <c r="DC18" s="48">
        <v>8.9</v>
      </c>
      <c r="DD18" s="48">
        <v>9.1</v>
      </c>
      <c r="DE18" s="48">
        <v>9.1</v>
      </c>
      <c r="DF18" s="48">
        <v>9.1</v>
      </c>
      <c r="DG18" s="48">
        <v>9</v>
      </c>
      <c r="DH18" s="48">
        <v>8.9</v>
      </c>
      <c r="DI18" s="48">
        <v>8.6</v>
      </c>
      <c r="DJ18" s="48">
        <v>8.4</v>
      </c>
      <c r="DK18" s="48">
        <v>8.3000000000000007</v>
      </c>
      <c r="DL18" s="48">
        <v>8.1999999999999993</v>
      </c>
      <c r="DM18" s="48">
        <v>8.1999999999999993</v>
      </c>
      <c r="DN18" s="48">
        <v>8.1999999999999993</v>
      </c>
      <c r="DO18" s="48">
        <v>8.1999999999999993</v>
      </c>
      <c r="DP18" s="48">
        <v>8.1999999999999993</v>
      </c>
      <c r="DQ18" s="48">
        <v>8.1999999999999993</v>
      </c>
      <c r="DR18" s="48">
        <v>8.1</v>
      </c>
      <c r="DS18" s="48">
        <v>8.1999999999999993</v>
      </c>
      <c r="DT18" s="48">
        <v>8.1999999999999993</v>
      </c>
      <c r="DU18" s="62">
        <v>8.1999999999999993</v>
      </c>
      <c r="DV18" s="49" t="s">
        <v>198</v>
      </c>
      <c r="DW18" s="48">
        <v>8.1999999999999993</v>
      </c>
      <c r="DX18" s="48">
        <v>8.1999999999999993</v>
      </c>
      <c r="DY18" s="48">
        <v>8.1</v>
      </c>
      <c r="DZ18" s="48">
        <v>8</v>
      </c>
      <c r="EA18" s="48">
        <v>7.8</v>
      </c>
      <c r="EB18" s="48">
        <v>7.7</v>
      </c>
      <c r="EC18" s="48">
        <v>7.5</v>
      </c>
      <c r="ED18" s="48">
        <v>7.4</v>
      </c>
      <c r="EE18" s="48">
        <v>7.1</v>
      </c>
      <c r="EF18" s="48">
        <v>6.9</v>
      </c>
      <c r="EG18" s="50">
        <v>6.7</v>
      </c>
      <c r="EH18" s="50">
        <v>6.5</v>
      </c>
      <c r="EI18" s="50">
        <v>6.4</v>
      </c>
      <c r="EJ18" s="50">
        <v>6.3</v>
      </c>
      <c r="EK18" s="48">
        <v>6.2</v>
      </c>
      <c r="EL18" s="50">
        <v>6.1</v>
      </c>
      <c r="EM18" s="50">
        <v>6.1</v>
      </c>
      <c r="EN18" s="50">
        <v>6</v>
      </c>
      <c r="EO18" s="50">
        <v>5.9</v>
      </c>
      <c r="EP18" s="50">
        <v>5.8</v>
      </c>
      <c r="EQ18" s="50">
        <v>5.8</v>
      </c>
      <c r="ER18" s="48">
        <v>5.7</v>
      </c>
      <c r="ES18" s="50">
        <v>5.6</v>
      </c>
      <c r="ET18" s="51">
        <v>5.5</v>
      </c>
      <c r="EU18" s="49" t="s">
        <v>198</v>
      </c>
      <c r="EV18" s="48">
        <v>5.4</v>
      </c>
      <c r="EW18" s="50">
        <v>5.2</v>
      </c>
      <c r="EX18" s="50">
        <v>5.0999999999999996</v>
      </c>
      <c r="EY18" s="50">
        <v>5</v>
      </c>
      <c r="EZ18" s="50">
        <v>4.8</v>
      </c>
      <c r="FA18" s="50">
        <v>4.7</v>
      </c>
      <c r="FB18" s="50">
        <v>4.5999999999999996</v>
      </c>
      <c r="FC18" s="50">
        <v>4.5999999999999996</v>
      </c>
      <c r="FD18" s="50">
        <v>4.5</v>
      </c>
      <c r="FE18" s="50">
        <v>4.5</v>
      </c>
      <c r="FF18" s="50">
        <v>4.5999999999999996</v>
      </c>
      <c r="FG18" s="50">
        <v>4.5999999999999996</v>
      </c>
      <c r="FH18" s="50">
        <v>4.5999999999999996</v>
      </c>
      <c r="FI18" s="50">
        <v>4.7</v>
      </c>
      <c r="FJ18" s="50">
        <v>4.5999999999999996</v>
      </c>
      <c r="FK18" s="50">
        <v>4.5999999999999996</v>
      </c>
      <c r="FL18" s="50">
        <v>4.5</v>
      </c>
      <c r="FM18" s="50">
        <v>4.5</v>
      </c>
      <c r="FN18" s="50">
        <v>4.4000000000000004</v>
      </c>
      <c r="FO18" s="50">
        <v>4.3</v>
      </c>
      <c r="FP18" s="50">
        <v>4.2</v>
      </c>
      <c r="FQ18" s="50">
        <v>4.2</v>
      </c>
      <c r="FR18" s="50">
        <v>4.0999999999999996</v>
      </c>
      <c r="FS18" s="51">
        <v>4</v>
      </c>
      <c r="FT18" s="49" t="s">
        <v>198</v>
      </c>
      <c r="FU18" s="48">
        <v>3.9</v>
      </c>
      <c r="FV18" s="50">
        <v>3.7</v>
      </c>
      <c r="FW18" s="50">
        <v>3.6</v>
      </c>
      <c r="FX18" s="50">
        <v>3.5</v>
      </c>
      <c r="FY18" s="50">
        <v>3.4</v>
      </c>
      <c r="FZ18" s="50">
        <v>3.5</v>
      </c>
      <c r="GA18" s="50">
        <v>3.5</v>
      </c>
      <c r="GB18" s="50">
        <v>3.5</v>
      </c>
      <c r="GC18" s="50">
        <v>3.5</v>
      </c>
      <c r="GD18" s="50">
        <v>3.5</v>
      </c>
      <c r="GE18" s="50">
        <v>3.4</v>
      </c>
      <c r="GF18" s="50">
        <v>3.3</v>
      </c>
      <c r="GG18" s="50">
        <v>3.3</v>
      </c>
      <c r="GH18" s="50">
        <v>3.3</v>
      </c>
      <c r="GI18" s="50">
        <v>3.3</v>
      </c>
      <c r="GJ18" s="50">
        <v>3.4</v>
      </c>
      <c r="GK18" s="50">
        <v>3.4</v>
      </c>
      <c r="GL18" s="50">
        <v>3.4</v>
      </c>
      <c r="GM18" s="50">
        <v>3.4</v>
      </c>
      <c r="GN18" s="50">
        <v>3.5</v>
      </c>
      <c r="GO18" s="50">
        <v>3.5</v>
      </c>
      <c r="GP18" s="50">
        <v>3.5</v>
      </c>
      <c r="GQ18" s="50">
        <v>3.6</v>
      </c>
      <c r="GR18" s="50">
        <v>3.6</v>
      </c>
      <c r="GS18" s="49" t="s">
        <v>198</v>
      </c>
      <c r="GT18" s="50">
        <v>3.5</v>
      </c>
      <c r="GU18" s="50">
        <v>3.5</v>
      </c>
      <c r="GV18" s="50">
        <v>3.4</v>
      </c>
      <c r="GW18" s="50">
        <v>3.3</v>
      </c>
      <c r="GX18" s="50">
        <v>3.2</v>
      </c>
      <c r="GY18" s="50">
        <v>3.2</v>
      </c>
      <c r="GZ18" s="50">
        <v>3.2</v>
      </c>
      <c r="HA18" s="50">
        <v>3.3</v>
      </c>
      <c r="HB18" s="50">
        <v>3.3</v>
      </c>
      <c r="HC18" s="50">
        <v>3.3</v>
      </c>
      <c r="HD18" s="50">
        <v>3.3</v>
      </c>
      <c r="HE18" s="50">
        <v>3.3</v>
      </c>
      <c r="HF18" s="50">
        <v>3.4</v>
      </c>
      <c r="HG18" s="50">
        <v>3.5</v>
      </c>
      <c r="HH18" s="50">
        <v>3.6</v>
      </c>
      <c r="HI18" s="50">
        <v>16.899999999999999</v>
      </c>
      <c r="HJ18" s="50">
        <v>12.5</v>
      </c>
      <c r="HK18" s="50">
        <v>10.3</v>
      </c>
      <c r="HL18" s="50">
        <v>8.9</v>
      </c>
      <c r="HM18" s="50">
        <v>7.2</v>
      </c>
      <c r="HN18" s="50">
        <v>6.5</v>
      </c>
      <c r="HO18" s="50">
        <v>5.6</v>
      </c>
      <c r="HP18" s="50">
        <v>5.2</v>
      </c>
      <c r="HQ18" s="51">
        <v>5</v>
      </c>
      <c r="HR18" s="49" t="s">
        <v>198</v>
      </c>
      <c r="HS18" s="50">
        <v>4.7</v>
      </c>
      <c r="HT18" s="50">
        <v>4.5</v>
      </c>
      <c r="HU18" s="50">
        <v>4.4000000000000004</v>
      </c>
      <c r="HV18" s="50">
        <v>4.3</v>
      </c>
      <c r="HW18" s="50">
        <v>4.2</v>
      </c>
      <c r="HX18" s="50">
        <v>4.0999999999999996</v>
      </c>
      <c r="HY18" s="50">
        <v>3.9</v>
      </c>
      <c r="HZ18" s="50">
        <v>3.7</v>
      </c>
      <c r="IA18" s="50">
        <v>3.5</v>
      </c>
      <c r="IB18" s="50">
        <v>3.3</v>
      </c>
      <c r="IC18" s="50">
        <v>3.1</v>
      </c>
      <c r="ID18" s="50">
        <v>3</v>
      </c>
      <c r="IE18" s="50">
        <v>2.9</v>
      </c>
      <c r="IF18" s="50">
        <v>2.9</v>
      </c>
      <c r="IG18" s="50">
        <v>2.9</v>
      </c>
      <c r="IH18" s="50">
        <v>2.9</v>
      </c>
      <c r="II18" s="50">
        <v>3</v>
      </c>
      <c r="IJ18" s="50">
        <v>3</v>
      </c>
      <c r="IK18" s="50">
        <v>3.1</v>
      </c>
      <c r="IL18" s="50">
        <v>3.1</v>
      </c>
      <c r="IM18" s="50">
        <v>3.2</v>
      </c>
      <c r="IN18" s="50">
        <v>3.2</v>
      </c>
      <c r="IO18" s="50">
        <v>3.3</v>
      </c>
      <c r="IP18" s="51">
        <v>3.3</v>
      </c>
      <c r="IQ18" s="49" t="s">
        <v>198</v>
      </c>
      <c r="IR18" s="50">
        <v>3.3</v>
      </c>
      <c r="IS18" s="50">
        <v>3.3</v>
      </c>
      <c r="IT18" s="50">
        <v>3.3</v>
      </c>
      <c r="IU18" s="50">
        <v>3.3</v>
      </c>
      <c r="IV18" s="50">
        <v>3.3</v>
      </c>
      <c r="IW18" s="50">
        <v>3.4</v>
      </c>
      <c r="IX18" s="50">
        <v>3.4</v>
      </c>
      <c r="IY18" s="50">
        <v>3.5</v>
      </c>
      <c r="IZ18" s="50">
        <v>3.6</v>
      </c>
      <c r="JA18" s="50">
        <v>3.6</v>
      </c>
      <c r="JB18" s="50">
        <v>3.7</v>
      </c>
      <c r="JC18" s="50">
        <v>3.7</v>
      </c>
      <c r="JD18" s="50">
        <v>3.8</v>
      </c>
      <c r="JE18" s="50">
        <v>3.8</v>
      </c>
      <c r="JF18" s="50">
        <v>3.9</v>
      </c>
      <c r="JG18" s="50">
        <v>4</v>
      </c>
      <c r="JH18" s="50">
        <v>4.0999999999999996</v>
      </c>
      <c r="JI18" s="50">
        <v>4.2</v>
      </c>
      <c r="JJ18" s="50">
        <v>4.3</v>
      </c>
      <c r="JK18" s="50">
        <v>4.4000000000000004</v>
      </c>
      <c r="JL18" s="50">
        <v>4.4000000000000004</v>
      </c>
      <c r="JM18" s="50">
        <v>4.5</v>
      </c>
      <c r="JN18" s="50">
        <v>4.4000000000000004</v>
      </c>
      <c r="JO18" s="51">
        <v>4.4000000000000004</v>
      </c>
      <c r="JP18" s="49" t="s">
        <v>198</v>
      </c>
      <c r="JQ18" s="80">
        <v>4.4000000000000004</v>
      </c>
      <c r="JR18" s="80">
        <v>4.3</v>
      </c>
      <c r="JS18" s="80">
        <v>4.0999999999999996</v>
      </c>
      <c r="JT18" s="80">
        <v>3.9</v>
      </c>
      <c r="JU18" s="80">
        <v>3.7</v>
      </c>
      <c r="JV18" s="80">
        <v>3.6</v>
      </c>
      <c r="JW18" s="80">
        <v>3.6</v>
      </c>
      <c r="JX18" s="80">
        <v>3.6</v>
      </c>
      <c r="JY18" s="80">
        <v>3.7</v>
      </c>
      <c r="JZ18" s="80" t="s">
        <v>402</v>
      </c>
      <c r="KA18" s="81">
        <v>3.7</v>
      </c>
    </row>
    <row r="19" spans="2:287" x14ac:dyDescent="0.3">
      <c r="B19" s="39" t="s">
        <v>199</v>
      </c>
      <c r="C19" s="17">
        <v>2.6749999999999998</v>
      </c>
      <c r="D19" s="17">
        <v>3.333333333333333</v>
      </c>
      <c r="E19" s="17">
        <v>4</v>
      </c>
      <c r="F19" s="17">
        <v>4.4583333333333357</v>
      </c>
      <c r="G19" s="17">
        <v>4.5083333333333346</v>
      </c>
      <c r="H19" s="17">
        <v>4.2833333333333314</v>
      </c>
      <c r="I19" s="17">
        <v>3.6916666666666673</v>
      </c>
      <c r="J19" s="17">
        <v>3.716666666666665</v>
      </c>
      <c r="K19" s="17">
        <v>4.1583333333333332</v>
      </c>
      <c r="L19" s="17">
        <v>6.4666666666666677</v>
      </c>
      <c r="M19" s="17">
        <v>6.091666666666665</v>
      </c>
      <c r="N19" s="17">
        <v>5.5833333333333321</v>
      </c>
      <c r="O19" s="19">
        <v>5.0083333333333329</v>
      </c>
      <c r="P19" s="19">
        <v>4.7249999999999996</v>
      </c>
      <c r="Q19" s="19">
        <v>4.2583333333333293</v>
      </c>
      <c r="R19" s="19">
        <v>3.7166666666666646</v>
      </c>
      <c r="S19" s="19">
        <v>3.6</v>
      </c>
      <c r="T19" s="19">
        <v>3.0916666666666677</v>
      </c>
      <c r="U19" s="19">
        <v>2.5833333333333326</v>
      </c>
      <c r="V19" s="19">
        <v>2.6583333333333328</v>
      </c>
      <c r="W19" s="19">
        <v>5.2166666666666668</v>
      </c>
      <c r="X19" s="19">
        <v>3.85</v>
      </c>
      <c r="Y19" s="19">
        <v>2.8250000000000002</v>
      </c>
      <c r="Z19" s="19">
        <v>2.9333333333333327</v>
      </c>
      <c r="AA19" s="19">
        <v>3.0333333333333323</v>
      </c>
      <c r="AB19" s="96"/>
      <c r="AC19" s="35" t="str">
        <f>Table11[[#This Row],[State]]</f>
        <v>Iowa</v>
      </c>
      <c r="AD19" s="17">
        <v>6.06666666666667</v>
      </c>
      <c r="AE19" s="17">
        <v>6.6666666666666696</v>
      </c>
      <c r="AF19" s="17">
        <v>6.6333333333333302</v>
      </c>
      <c r="AG19" s="17">
        <v>6.5</v>
      </c>
      <c r="AH19" s="17">
        <v>6.4</v>
      </c>
      <c r="AI19" s="17">
        <v>6.1</v>
      </c>
      <c r="AJ19" s="17">
        <v>5.93333333333333</v>
      </c>
      <c r="AK19" s="17">
        <v>5.93333333333333</v>
      </c>
      <c r="AL19" s="17">
        <v>5.7333333333333298</v>
      </c>
      <c r="AM19" s="17">
        <v>5.6</v>
      </c>
      <c r="AN19" s="19">
        <v>5.6</v>
      </c>
      <c r="AO19" s="19">
        <v>5.4</v>
      </c>
      <c r="AP19" s="19">
        <v>5.1333333333333302</v>
      </c>
      <c r="AQ19" s="19">
        <v>5</v>
      </c>
      <c r="AR19" s="19">
        <v>5</v>
      </c>
      <c r="AS19" s="19">
        <v>4.9000000000000004</v>
      </c>
      <c r="AT19" s="19">
        <v>4.9000000000000004</v>
      </c>
      <c r="AU19" s="19">
        <v>4.8333333333333304</v>
      </c>
      <c r="AV19" s="17">
        <v>4.6666666666666696</v>
      </c>
      <c r="AW19" s="17">
        <v>4.5</v>
      </c>
      <c r="AX19" s="17">
        <v>4.43333333333333</v>
      </c>
      <c r="AY19" s="17">
        <v>4.3333333333333304</v>
      </c>
      <c r="AZ19" s="17">
        <v>4.2333333333333298</v>
      </c>
      <c r="BA19" s="17">
        <v>4.0333333333333297</v>
      </c>
      <c r="BB19" s="35" t="str">
        <f t="shared" si="0"/>
        <v>Iowa</v>
      </c>
      <c r="BC19" s="19">
        <v>3.8333333333333299</v>
      </c>
      <c r="BD19" s="19">
        <v>3.7333333333333298</v>
      </c>
      <c r="BE19" s="19">
        <v>3.6333333333333302</v>
      </c>
      <c r="BF19" s="19">
        <v>3.6666666666666701</v>
      </c>
      <c r="BG19" s="17">
        <v>3.6</v>
      </c>
      <c r="BH19" s="17">
        <v>3.6333333333333302</v>
      </c>
      <c r="BI19" s="17">
        <v>3.6666666666666701</v>
      </c>
      <c r="BJ19" s="17">
        <v>3.5</v>
      </c>
      <c r="BK19" s="17">
        <v>3.2666666666666702</v>
      </c>
      <c r="BL19" s="17">
        <v>3.1</v>
      </c>
      <c r="BM19" s="17">
        <v>3.06666666666667</v>
      </c>
      <c r="BN19" s="17">
        <v>2.93333333333333</v>
      </c>
      <c r="BO19" s="17">
        <v>2.7333333333333298</v>
      </c>
      <c r="BP19" s="17">
        <v>2.5333333333333301</v>
      </c>
      <c r="BQ19" s="17">
        <v>2.5</v>
      </c>
      <c r="BR19" s="17">
        <v>2.56666666666667</v>
      </c>
      <c r="BS19" s="17">
        <v>2.6</v>
      </c>
      <c r="BT19" s="17">
        <v>2.6333333333333302</v>
      </c>
      <c r="BU19" s="17">
        <v>2.7</v>
      </c>
      <c r="BV19" s="17">
        <v>2.7</v>
      </c>
      <c r="BW19" s="35" t="str">
        <f>Table13[[#This Row],[State]]</f>
        <v>Iowa</v>
      </c>
      <c r="BX19" s="17">
        <v>2.7</v>
      </c>
      <c r="BY19" s="17">
        <v>8.7666666666666693</v>
      </c>
      <c r="BZ19" s="17">
        <v>5.2</v>
      </c>
      <c r="CA19" s="17">
        <v>4.2</v>
      </c>
      <c r="CB19" s="17">
        <v>4.2333333333333298</v>
      </c>
      <c r="CC19" s="17">
        <v>4.3</v>
      </c>
      <c r="CD19" s="17">
        <v>3.7666666666666702</v>
      </c>
      <c r="CE19" s="17">
        <v>3.1</v>
      </c>
      <c r="CF19" s="17">
        <v>2.7</v>
      </c>
      <c r="CG19" s="17">
        <v>2.6333333333333302</v>
      </c>
      <c r="CH19" s="17">
        <v>2.9</v>
      </c>
      <c r="CI19" s="17">
        <v>3.06666666666667</v>
      </c>
      <c r="CJ19" s="17">
        <v>2.93333333333333</v>
      </c>
      <c r="CK19" s="17">
        <v>2.9</v>
      </c>
      <c r="CL19" s="17">
        <v>3</v>
      </c>
      <c r="CM19" s="17">
        <v>2.9</v>
      </c>
      <c r="CN19" s="17">
        <v>2.7333333333333298</v>
      </c>
      <c r="CO19" s="17">
        <v>2.9</v>
      </c>
      <c r="CP19" s="17">
        <v>3.2</v>
      </c>
      <c r="CQ19" s="17">
        <v>3.3</v>
      </c>
      <c r="CR19" s="42" t="str">
        <f>Table13[[#This Row],[ State]]</f>
        <v>Iowa</v>
      </c>
      <c r="CS19" s="17">
        <v>3.3333333333333299</v>
      </c>
      <c r="CT19" s="17">
        <v>3.6</v>
      </c>
      <c r="CU19" s="17">
        <v>3.7333333333333298</v>
      </c>
      <c r="CV19" s="111"/>
      <c r="CW19" s="42" t="s">
        <v>199</v>
      </c>
      <c r="CX19" s="52">
        <v>5.8</v>
      </c>
      <c r="CY19" s="53">
        <v>5.7</v>
      </c>
      <c r="CZ19" s="53">
        <v>5.7</v>
      </c>
      <c r="DA19" s="53">
        <v>5.6</v>
      </c>
      <c r="DB19" s="53">
        <v>5.6</v>
      </c>
      <c r="DC19" s="53">
        <v>5.6</v>
      </c>
      <c r="DD19" s="53">
        <v>5.6</v>
      </c>
      <c r="DE19" s="53">
        <v>5.6</v>
      </c>
      <c r="DF19" s="53">
        <v>5.6</v>
      </c>
      <c r="DG19" s="53">
        <v>5.5</v>
      </c>
      <c r="DH19" s="53">
        <v>5.4</v>
      </c>
      <c r="DI19" s="53">
        <v>5.3</v>
      </c>
      <c r="DJ19" s="53">
        <v>5.2</v>
      </c>
      <c r="DK19" s="53">
        <v>5.0999999999999996</v>
      </c>
      <c r="DL19" s="53">
        <v>5.0999999999999996</v>
      </c>
      <c r="DM19" s="53">
        <v>5</v>
      </c>
      <c r="DN19" s="53">
        <v>5</v>
      </c>
      <c r="DO19" s="53">
        <v>5</v>
      </c>
      <c r="DP19" s="53">
        <v>5</v>
      </c>
      <c r="DQ19" s="53">
        <v>5</v>
      </c>
      <c r="DR19" s="53">
        <v>5</v>
      </c>
      <c r="DS19" s="53">
        <v>4.9000000000000004</v>
      </c>
      <c r="DT19" s="53">
        <v>4.9000000000000004</v>
      </c>
      <c r="DU19" s="63">
        <v>4.9000000000000004</v>
      </c>
      <c r="DV19" s="54" t="s">
        <v>199</v>
      </c>
      <c r="DW19" s="53">
        <v>4.9000000000000004</v>
      </c>
      <c r="DX19" s="53">
        <v>4.9000000000000004</v>
      </c>
      <c r="DY19" s="53">
        <v>4.9000000000000004</v>
      </c>
      <c r="DZ19" s="53">
        <v>4.9000000000000004</v>
      </c>
      <c r="EA19" s="53">
        <v>4.8</v>
      </c>
      <c r="EB19" s="53">
        <v>4.8</v>
      </c>
      <c r="EC19" s="53">
        <v>4.7</v>
      </c>
      <c r="ED19" s="53">
        <v>4.7</v>
      </c>
      <c r="EE19" s="53">
        <v>4.5999999999999996</v>
      </c>
      <c r="EF19" s="53">
        <v>4.5</v>
      </c>
      <c r="EG19" s="55">
        <v>4.5</v>
      </c>
      <c r="EH19" s="55">
        <v>4.5</v>
      </c>
      <c r="EI19" s="55">
        <v>4.5</v>
      </c>
      <c r="EJ19" s="55">
        <v>4.4000000000000004</v>
      </c>
      <c r="EK19" s="53">
        <v>4.4000000000000004</v>
      </c>
      <c r="EL19" s="55">
        <v>4.4000000000000004</v>
      </c>
      <c r="EM19" s="55">
        <v>4.3</v>
      </c>
      <c r="EN19" s="55">
        <v>4.3</v>
      </c>
      <c r="EO19" s="55">
        <v>4.3</v>
      </c>
      <c r="EP19" s="55">
        <v>4.2</v>
      </c>
      <c r="EQ19" s="55">
        <v>4.2</v>
      </c>
      <c r="ER19" s="53">
        <v>4.0999999999999996</v>
      </c>
      <c r="ES19" s="55">
        <v>4</v>
      </c>
      <c r="ET19" s="56">
        <v>4</v>
      </c>
      <c r="EU19" s="54" t="s">
        <v>199</v>
      </c>
      <c r="EV19" s="53">
        <v>3.9</v>
      </c>
      <c r="EW19" s="55">
        <v>3.8</v>
      </c>
      <c r="EX19" s="55">
        <v>3.8</v>
      </c>
      <c r="EY19" s="55">
        <v>3.8</v>
      </c>
      <c r="EZ19" s="55">
        <v>3.7</v>
      </c>
      <c r="FA19" s="55">
        <v>3.7</v>
      </c>
      <c r="FB19" s="55">
        <v>3.7</v>
      </c>
      <c r="FC19" s="55">
        <v>3.6</v>
      </c>
      <c r="FD19" s="55">
        <v>3.6</v>
      </c>
      <c r="FE19" s="55">
        <v>3.6</v>
      </c>
      <c r="FF19" s="55">
        <v>3.7</v>
      </c>
      <c r="FG19" s="55">
        <v>3.7</v>
      </c>
      <c r="FH19" s="55">
        <v>3.6</v>
      </c>
      <c r="FI19" s="55">
        <v>3.6</v>
      </c>
      <c r="FJ19" s="55">
        <v>3.6</v>
      </c>
      <c r="FK19" s="55">
        <v>3.6</v>
      </c>
      <c r="FL19" s="55">
        <v>3.6</v>
      </c>
      <c r="FM19" s="55">
        <v>3.7</v>
      </c>
      <c r="FN19" s="55">
        <v>3.7</v>
      </c>
      <c r="FO19" s="55">
        <v>3.7</v>
      </c>
      <c r="FP19" s="55">
        <v>3.6</v>
      </c>
      <c r="FQ19" s="55">
        <v>3.6</v>
      </c>
      <c r="FR19" s="55">
        <v>3.5</v>
      </c>
      <c r="FS19" s="56">
        <v>3.4</v>
      </c>
      <c r="FT19" s="54" t="s">
        <v>199</v>
      </c>
      <c r="FU19" s="53">
        <v>3.3</v>
      </c>
      <c r="FV19" s="55">
        <v>3.3</v>
      </c>
      <c r="FW19" s="55">
        <v>3.2</v>
      </c>
      <c r="FX19" s="55">
        <v>3.1</v>
      </c>
      <c r="FY19" s="55">
        <v>3.1</v>
      </c>
      <c r="FZ19" s="55">
        <v>3.1</v>
      </c>
      <c r="GA19" s="55">
        <v>3.1</v>
      </c>
      <c r="GB19" s="55">
        <v>3.1</v>
      </c>
      <c r="GC19" s="55">
        <v>3</v>
      </c>
      <c r="GD19" s="55">
        <v>3</v>
      </c>
      <c r="GE19" s="55">
        <v>2.9</v>
      </c>
      <c r="GF19" s="55">
        <v>2.9</v>
      </c>
      <c r="GG19" s="55">
        <v>2.8</v>
      </c>
      <c r="GH19" s="55">
        <v>2.7</v>
      </c>
      <c r="GI19" s="55">
        <v>2.7</v>
      </c>
      <c r="GJ19" s="55">
        <v>2.6</v>
      </c>
      <c r="GK19" s="55">
        <v>2.5</v>
      </c>
      <c r="GL19" s="55">
        <v>2.5</v>
      </c>
      <c r="GM19" s="55">
        <v>2.5</v>
      </c>
      <c r="GN19" s="55">
        <v>2.5</v>
      </c>
      <c r="GO19" s="55">
        <v>2.5</v>
      </c>
      <c r="GP19" s="55">
        <v>2.5</v>
      </c>
      <c r="GQ19" s="55">
        <v>2.6</v>
      </c>
      <c r="GR19" s="55">
        <v>2.6</v>
      </c>
      <c r="GS19" s="54" t="s">
        <v>199</v>
      </c>
      <c r="GT19" s="55">
        <v>2.6</v>
      </c>
      <c r="GU19" s="55">
        <v>2.6</v>
      </c>
      <c r="GV19" s="55">
        <v>2.6</v>
      </c>
      <c r="GW19" s="55">
        <v>2.6</v>
      </c>
      <c r="GX19" s="55">
        <v>2.6</v>
      </c>
      <c r="GY19" s="55">
        <v>2.7</v>
      </c>
      <c r="GZ19" s="55">
        <v>2.7</v>
      </c>
      <c r="HA19" s="55">
        <v>2.7</v>
      </c>
      <c r="HB19" s="55">
        <v>2.7</v>
      </c>
      <c r="HC19" s="55">
        <v>2.7</v>
      </c>
      <c r="HD19" s="55">
        <v>2.7</v>
      </c>
      <c r="HE19" s="55">
        <v>2.7</v>
      </c>
      <c r="HF19" s="55">
        <v>2.7</v>
      </c>
      <c r="HG19" s="55">
        <v>2.7</v>
      </c>
      <c r="HH19" s="55">
        <v>2.7</v>
      </c>
      <c r="HI19" s="55">
        <v>11</v>
      </c>
      <c r="HJ19" s="55">
        <v>8.5</v>
      </c>
      <c r="HK19" s="55">
        <v>6.8</v>
      </c>
      <c r="HL19" s="55">
        <v>6</v>
      </c>
      <c r="HM19" s="55">
        <v>5</v>
      </c>
      <c r="HN19" s="55">
        <v>4.5999999999999996</v>
      </c>
      <c r="HO19" s="55">
        <v>4.2</v>
      </c>
      <c r="HP19" s="55">
        <v>4.2</v>
      </c>
      <c r="HQ19" s="56">
        <v>4.2</v>
      </c>
      <c r="HR19" s="54" t="s">
        <v>199</v>
      </c>
      <c r="HS19" s="55">
        <v>4.2</v>
      </c>
      <c r="HT19" s="55">
        <v>4.2</v>
      </c>
      <c r="HU19" s="55">
        <v>4.3</v>
      </c>
      <c r="HV19" s="55">
        <v>4.4000000000000004</v>
      </c>
      <c r="HW19" s="55">
        <v>4.3</v>
      </c>
      <c r="HX19" s="55">
        <v>4.2</v>
      </c>
      <c r="HY19" s="55">
        <v>4</v>
      </c>
      <c r="HZ19" s="55">
        <v>3.8</v>
      </c>
      <c r="IA19" s="55">
        <v>3.5</v>
      </c>
      <c r="IB19" s="55">
        <v>3.3</v>
      </c>
      <c r="IC19" s="55">
        <v>3.1</v>
      </c>
      <c r="ID19" s="55">
        <v>2.9</v>
      </c>
      <c r="IE19" s="55">
        <v>2.8</v>
      </c>
      <c r="IF19" s="55">
        <v>2.7</v>
      </c>
      <c r="IG19" s="55">
        <v>2.6</v>
      </c>
      <c r="IH19" s="55">
        <v>2.6</v>
      </c>
      <c r="II19" s="55">
        <v>2.6</v>
      </c>
      <c r="IJ19" s="55">
        <v>2.7</v>
      </c>
      <c r="IK19" s="55">
        <v>2.8</v>
      </c>
      <c r="IL19" s="55">
        <v>2.9</v>
      </c>
      <c r="IM19" s="55">
        <v>3</v>
      </c>
      <c r="IN19" s="55">
        <v>3.1</v>
      </c>
      <c r="IO19" s="55">
        <v>3.1</v>
      </c>
      <c r="IP19" s="56">
        <v>3</v>
      </c>
      <c r="IQ19" s="54" t="s">
        <v>199</v>
      </c>
      <c r="IR19" s="55">
        <v>3</v>
      </c>
      <c r="IS19" s="55">
        <v>2.9</v>
      </c>
      <c r="IT19" s="55">
        <v>2.9</v>
      </c>
      <c r="IU19" s="55">
        <v>2.9</v>
      </c>
      <c r="IV19" s="55">
        <v>2.9</v>
      </c>
      <c r="IW19" s="55">
        <v>2.9</v>
      </c>
      <c r="IX19" s="55">
        <v>3</v>
      </c>
      <c r="IY19" s="55">
        <v>3</v>
      </c>
      <c r="IZ19" s="55">
        <v>3</v>
      </c>
      <c r="JA19" s="55">
        <v>3</v>
      </c>
      <c r="JB19" s="55">
        <v>2.9</v>
      </c>
      <c r="JC19" s="55">
        <v>2.8</v>
      </c>
      <c r="JD19" s="55">
        <v>2.8</v>
      </c>
      <c r="JE19" s="55">
        <v>2.7</v>
      </c>
      <c r="JF19" s="55">
        <v>2.7</v>
      </c>
      <c r="JG19" s="55">
        <v>2.8</v>
      </c>
      <c r="JH19" s="55">
        <v>2.9</v>
      </c>
      <c r="JI19" s="55">
        <v>3</v>
      </c>
      <c r="JJ19" s="55">
        <v>3.1</v>
      </c>
      <c r="JK19" s="55">
        <v>3.2</v>
      </c>
      <c r="JL19" s="55">
        <v>3.3</v>
      </c>
      <c r="JM19" s="55">
        <v>3.3</v>
      </c>
      <c r="JN19" s="55">
        <v>3.3</v>
      </c>
      <c r="JO19" s="56">
        <v>3.3</v>
      </c>
      <c r="JP19" s="54" t="s">
        <v>199</v>
      </c>
      <c r="JQ19" s="82">
        <v>3.3</v>
      </c>
      <c r="JR19" s="82">
        <v>3.3</v>
      </c>
      <c r="JS19" s="82">
        <v>3.4</v>
      </c>
      <c r="JT19" s="82">
        <v>3.5</v>
      </c>
      <c r="JU19" s="82">
        <v>3.6</v>
      </c>
      <c r="JV19" s="82">
        <v>3.7</v>
      </c>
      <c r="JW19" s="82">
        <v>3.7</v>
      </c>
      <c r="JX19" s="82">
        <v>3.8</v>
      </c>
      <c r="JY19" s="82">
        <v>3.7</v>
      </c>
      <c r="JZ19" s="82" t="s">
        <v>402</v>
      </c>
      <c r="KA19" s="83">
        <v>3.5</v>
      </c>
    </row>
    <row r="20" spans="2:287" x14ac:dyDescent="0.3">
      <c r="B20" s="39" t="s">
        <v>200</v>
      </c>
      <c r="C20" s="17">
        <v>3.7416666666666676</v>
      </c>
      <c r="D20" s="17">
        <v>4.3</v>
      </c>
      <c r="E20" s="17">
        <v>5.0916666666666668</v>
      </c>
      <c r="F20" s="17">
        <v>5.583333333333333</v>
      </c>
      <c r="G20" s="17">
        <v>5.4916666666666654</v>
      </c>
      <c r="H20" s="17">
        <v>5.0833333333333321</v>
      </c>
      <c r="I20" s="17">
        <v>4.4166666666666652</v>
      </c>
      <c r="J20" s="17">
        <v>4.2583333333333355</v>
      </c>
      <c r="K20" s="17">
        <v>4.5833333333333321</v>
      </c>
      <c r="L20" s="17">
        <v>7.0416666666666643</v>
      </c>
      <c r="M20" s="17">
        <v>6.9416666666666682</v>
      </c>
      <c r="N20" s="17">
        <v>6.35</v>
      </c>
      <c r="O20" s="19">
        <v>5.6833333333333318</v>
      </c>
      <c r="P20" s="19">
        <v>5.3166666666666673</v>
      </c>
      <c r="Q20" s="19">
        <v>4.5250000000000004</v>
      </c>
      <c r="R20" s="19">
        <v>4.1749999999999998</v>
      </c>
      <c r="S20" s="19">
        <v>4.05</v>
      </c>
      <c r="T20" s="19">
        <v>3.6416666666666675</v>
      </c>
      <c r="U20" s="19">
        <v>3.3083333333333327</v>
      </c>
      <c r="V20" s="19">
        <v>3.15</v>
      </c>
      <c r="W20" s="19">
        <v>5.8250000000000002</v>
      </c>
      <c r="X20" s="19">
        <v>3.3916666666666675</v>
      </c>
      <c r="Y20" s="19">
        <v>2.7250000000000001</v>
      </c>
      <c r="Z20" s="19">
        <v>2.875</v>
      </c>
      <c r="AA20" s="19">
        <v>3.5583333333333327</v>
      </c>
      <c r="AB20" s="96"/>
      <c r="AC20" s="36" t="str">
        <f>Table11[[#This Row],[State]]</f>
        <v>Kansas</v>
      </c>
      <c r="AD20" s="27">
        <v>6.3</v>
      </c>
      <c r="AE20" s="27">
        <v>7.1333333333333302</v>
      </c>
      <c r="AF20" s="27">
        <v>7.4</v>
      </c>
      <c r="AG20" s="27">
        <v>7.3333333333333304</v>
      </c>
      <c r="AH20" s="27">
        <v>7.2</v>
      </c>
      <c r="AI20" s="27">
        <v>6.9</v>
      </c>
      <c r="AJ20" s="27">
        <v>6.8</v>
      </c>
      <c r="AK20" s="27">
        <v>6.8666666666666698</v>
      </c>
      <c r="AL20" s="27">
        <v>6.6</v>
      </c>
      <c r="AM20" s="27">
        <v>6.4</v>
      </c>
      <c r="AN20" s="27">
        <v>6.3</v>
      </c>
      <c r="AO20" s="27">
        <v>6.1</v>
      </c>
      <c r="AP20" s="27">
        <v>5.8333333333333304</v>
      </c>
      <c r="AQ20" s="27">
        <v>5.7333333333333298</v>
      </c>
      <c r="AR20" s="27">
        <v>5.6</v>
      </c>
      <c r="AS20" s="27">
        <v>5.56666666666667</v>
      </c>
      <c r="AT20" s="27">
        <v>5.56666666666667</v>
      </c>
      <c r="AU20" s="27">
        <v>5.43333333333333</v>
      </c>
      <c r="AV20" s="27">
        <v>5.2666666666666702</v>
      </c>
      <c r="AW20" s="27">
        <v>5</v>
      </c>
      <c r="AX20" s="27">
        <v>4.7666666666666702</v>
      </c>
      <c r="AY20" s="27">
        <v>4.5999999999999996</v>
      </c>
      <c r="AZ20" s="27">
        <v>4.43333333333333</v>
      </c>
      <c r="BA20" s="27">
        <v>4.3</v>
      </c>
      <c r="BB20" s="36" t="str">
        <f t="shared" si="0"/>
        <v>Kansas</v>
      </c>
      <c r="BC20" s="27">
        <v>4.3666666666666698</v>
      </c>
      <c r="BD20" s="27">
        <v>4.3</v>
      </c>
      <c r="BE20" s="27">
        <v>4.0333333333333297</v>
      </c>
      <c r="BF20" s="27">
        <v>4</v>
      </c>
      <c r="BG20" s="27">
        <v>3.9</v>
      </c>
      <c r="BH20" s="27">
        <v>4.0333333333333297</v>
      </c>
      <c r="BI20" s="27">
        <v>4.1666666666666696</v>
      </c>
      <c r="BJ20" s="27">
        <v>4.0999999999999996</v>
      </c>
      <c r="BK20" s="27">
        <v>3.8</v>
      </c>
      <c r="BL20" s="27">
        <v>3.6666666666666701</v>
      </c>
      <c r="BM20" s="27">
        <v>3.6</v>
      </c>
      <c r="BN20" s="27">
        <v>3.5</v>
      </c>
      <c r="BO20" s="27">
        <v>3.4</v>
      </c>
      <c r="BP20" s="27">
        <v>3.3333333333333299</v>
      </c>
      <c r="BQ20" s="27">
        <v>3.2</v>
      </c>
      <c r="BR20" s="27">
        <v>3.3</v>
      </c>
      <c r="BS20" s="27">
        <v>3.2666666666666702</v>
      </c>
      <c r="BT20" s="27">
        <v>3.1333333333333302</v>
      </c>
      <c r="BU20" s="27">
        <v>3.1</v>
      </c>
      <c r="BV20" s="27">
        <v>3.1</v>
      </c>
      <c r="BW20" s="36" t="str">
        <f>Table13[[#This Row],[State]]</f>
        <v>Kansas</v>
      </c>
      <c r="BX20" s="27">
        <v>3.1</v>
      </c>
      <c r="BY20" s="27">
        <v>9.6</v>
      </c>
      <c r="BZ20" s="27">
        <v>5.9666666666666703</v>
      </c>
      <c r="CA20" s="27">
        <v>4.6333333333333302</v>
      </c>
      <c r="CB20" s="27">
        <v>3.8666666666666698</v>
      </c>
      <c r="CC20" s="27">
        <v>3.6333333333333302</v>
      </c>
      <c r="CD20" s="27">
        <v>3.3</v>
      </c>
      <c r="CE20" s="27">
        <v>2.7666666666666702</v>
      </c>
      <c r="CF20" s="27">
        <v>2.56666666666667</v>
      </c>
      <c r="CG20" s="27">
        <v>2.6333333333333302</v>
      </c>
      <c r="CH20" s="27">
        <v>2.8</v>
      </c>
      <c r="CI20" s="27">
        <v>2.9</v>
      </c>
      <c r="CJ20" s="27">
        <v>2.9</v>
      </c>
      <c r="CK20" s="27">
        <v>2.8</v>
      </c>
      <c r="CL20" s="27">
        <v>2.8333333333333299</v>
      </c>
      <c r="CM20" s="27">
        <v>2.9666666666666699</v>
      </c>
      <c r="CN20" s="27">
        <v>3.2</v>
      </c>
      <c r="CO20" s="27">
        <v>3.5</v>
      </c>
      <c r="CP20" s="27">
        <v>3.7333333333333298</v>
      </c>
      <c r="CQ20" s="27">
        <v>3.8</v>
      </c>
      <c r="CR20" s="79" t="str">
        <f>Table13[[#This Row],[ State]]</f>
        <v>Kansas</v>
      </c>
      <c r="CS20" s="27">
        <v>3.8</v>
      </c>
      <c r="CT20" s="27">
        <v>3.8</v>
      </c>
      <c r="CU20" s="27">
        <v>3.8</v>
      </c>
      <c r="CV20" s="111"/>
      <c r="CW20" s="41" t="s">
        <v>200</v>
      </c>
      <c r="CX20" s="47">
        <v>6.7</v>
      </c>
      <c r="CY20" s="48">
        <v>6.6</v>
      </c>
      <c r="CZ20" s="48">
        <v>6.5</v>
      </c>
      <c r="DA20" s="48">
        <v>6.4</v>
      </c>
      <c r="DB20" s="48">
        <v>6.4</v>
      </c>
      <c r="DC20" s="48">
        <v>6.4</v>
      </c>
      <c r="DD20" s="48">
        <v>6.3</v>
      </c>
      <c r="DE20" s="48">
        <v>6.3</v>
      </c>
      <c r="DF20" s="48">
        <v>6.3</v>
      </c>
      <c r="DG20" s="48">
        <v>6.2</v>
      </c>
      <c r="DH20" s="48">
        <v>6.1</v>
      </c>
      <c r="DI20" s="48">
        <v>6</v>
      </c>
      <c r="DJ20" s="48">
        <v>5.9</v>
      </c>
      <c r="DK20" s="48">
        <v>5.8</v>
      </c>
      <c r="DL20" s="48">
        <v>5.8</v>
      </c>
      <c r="DM20" s="48">
        <v>5.8</v>
      </c>
      <c r="DN20" s="48">
        <v>5.7</v>
      </c>
      <c r="DO20" s="48">
        <v>5.7</v>
      </c>
      <c r="DP20" s="48">
        <v>5.6</v>
      </c>
      <c r="DQ20" s="48">
        <v>5.6</v>
      </c>
      <c r="DR20" s="48">
        <v>5.6</v>
      </c>
      <c r="DS20" s="48">
        <v>5.5</v>
      </c>
      <c r="DT20" s="48">
        <v>5.6</v>
      </c>
      <c r="DU20" s="62">
        <v>5.6</v>
      </c>
      <c r="DV20" s="49" t="s">
        <v>200</v>
      </c>
      <c r="DW20" s="48">
        <v>5.6</v>
      </c>
      <c r="DX20" s="48">
        <v>5.6</v>
      </c>
      <c r="DY20" s="48">
        <v>5.5</v>
      </c>
      <c r="DZ20" s="48">
        <v>5.5</v>
      </c>
      <c r="EA20" s="48">
        <v>5.4</v>
      </c>
      <c r="EB20" s="48">
        <v>5.4</v>
      </c>
      <c r="EC20" s="48">
        <v>5.3</v>
      </c>
      <c r="ED20" s="48">
        <v>5.3</v>
      </c>
      <c r="EE20" s="48">
        <v>5.2</v>
      </c>
      <c r="EF20" s="48">
        <v>5.0999999999999996</v>
      </c>
      <c r="EG20" s="50">
        <v>5</v>
      </c>
      <c r="EH20" s="50">
        <v>4.9000000000000004</v>
      </c>
      <c r="EI20" s="50">
        <v>4.8</v>
      </c>
      <c r="EJ20" s="50">
        <v>4.8</v>
      </c>
      <c r="EK20" s="48">
        <v>4.7</v>
      </c>
      <c r="EL20" s="50">
        <v>4.7</v>
      </c>
      <c r="EM20" s="50">
        <v>4.5999999999999996</v>
      </c>
      <c r="EN20" s="50">
        <v>4.5</v>
      </c>
      <c r="EO20" s="50">
        <v>4.5</v>
      </c>
      <c r="EP20" s="50">
        <v>4.4000000000000004</v>
      </c>
      <c r="EQ20" s="50">
        <v>4.4000000000000004</v>
      </c>
      <c r="ER20" s="48">
        <v>4.3</v>
      </c>
      <c r="ES20" s="50">
        <v>4.3</v>
      </c>
      <c r="ET20" s="51">
        <v>4.3</v>
      </c>
      <c r="EU20" s="49" t="s">
        <v>200</v>
      </c>
      <c r="EV20" s="48">
        <v>4.3</v>
      </c>
      <c r="EW20" s="50">
        <v>4.4000000000000004</v>
      </c>
      <c r="EX20" s="50">
        <v>4.4000000000000004</v>
      </c>
      <c r="EY20" s="50">
        <v>4.4000000000000004</v>
      </c>
      <c r="EZ20" s="50">
        <v>4.3</v>
      </c>
      <c r="FA20" s="50">
        <v>4.2</v>
      </c>
      <c r="FB20" s="50">
        <v>4.0999999999999996</v>
      </c>
      <c r="FC20" s="50">
        <v>4</v>
      </c>
      <c r="FD20" s="50">
        <v>4</v>
      </c>
      <c r="FE20" s="50">
        <v>4</v>
      </c>
      <c r="FF20" s="50">
        <v>4</v>
      </c>
      <c r="FG20" s="50">
        <v>4</v>
      </c>
      <c r="FH20" s="50">
        <v>3.9</v>
      </c>
      <c r="FI20" s="50">
        <v>3.9</v>
      </c>
      <c r="FJ20" s="50">
        <v>3.9</v>
      </c>
      <c r="FK20" s="50">
        <v>4</v>
      </c>
      <c r="FL20" s="50">
        <v>4</v>
      </c>
      <c r="FM20" s="50">
        <v>4.0999999999999996</v>
      </c>
      <c r="FN20" s="50">
        <v>4.0999999999999996</v>
      </c>
      <c r="FO20" s="50">
        <v>4.2</v>
      </c>
      <c r="FP20" s="50">
        <v>4.2</v>
      </c>
      <c r="FQ20" s="50">
        <v>4.2</v>
      </c>
      <c r="FR20" s="50">
        <v>4.0999999999999996</v>
      </c>
      <c r="FS20" s="51">
        <v>4</v>
      </c>
      <c r="FT20" s="49" t="s">
        <v>200</v>
      </c>
      <c r="FU20" s="48">
        <v>3.9</v>
      </c>
      <c r="FV20" s="50">
        <v>3.8</v>
      </c>
      <c r="FW20" s="50">
        <v>3.7</v>
      </c>
      <c r="FX20" s="50">
        <v>3.7</v>
      </c>
      <c r="FY20" s="50">
        <v>3.7</v>
      </c>
      <c r="FZ20" s="50">
        <v>3.6</v>
      </c>
      <c r="GA20" s="50">
        <v>3.6</v>
      </c>
      <c r="GB20" s="50">
        <v>3.6</v>
      </c>
      <c r="GC20" s="50">
        <v>3.6</v>
      </c>
      <c r="GD20" s="50">
        <v>3.5</v>
      </c>
      <c r="GE20" s="50">
        <v>3.5</v>
      </c>
      <c r="GF20" s="50">
        <v>3.5</v>
      </c>
      <c r="GG20" s="50">
        <v>3.4</v>
      </c>
      <c r="GH20" s="50">
        <v>3.4</v>
      </c>
      <c r="GI20" s="50">
        <v>3.4</v>
      </c>
      <c r="GJ20" s="50">
        <v>3.4</v>
      </c>
      <c r="GK20" s="50">
        <v>3.3</v>
      </c>
      <c r="GL20" s="50">
        <v>3.3</v>
      </c>
      <c r="GM20" s="50">
        <v>3.2</v>
      </c>
      <c r="GN20" s="50">
        <v>3.2</v>
      </c>
      <c r="GO20" s="50">
        <v>3.2</v>
      </c>
      <c r="GP20" s="50">
        <v>3.3</v>
      </c>
      <c r="GQ20" s="50">
        <v>3.3</v>
      </c>
      <c r="GR20" s="50">
        <v>3.3</v>
      </c>
      <c r="GS20" s="49" t="s">
        <v>200</v>
      </c>
      <c r="GT20" s="50">
        <v>3.3</v>
      </c>
      <c r="GU20" s="50">
        <v>3.3</v>
      </c>
      <c r="GV20" s="50">
        <v>3.2</v>
      </c>
      <c r="GW20" s="50">
        <v>3.2</v>
      </c>
      <c r="GX20" s="50">
        <v>3.1</v>
      </c>
      <c r="GY20" s="50">
        <v>3.1</v>
      </c>
      <c r="GZ20" s="50">
        <v>3.1</v>
      </c>
      <c r="HA20" s="50">
        <v>3.1</v>
      </c>
      <c r="HB20" s="50">
        <v>3.1</v>
      </c>
      <c r="HC20" s="50">
        <v>3.1</v>
      </c>
      <c r="HD20" s="50">
        <v>3.1</v>
      </c>
      <c r="HE20" s="50">
        <v>3.1</v>
      </c>
      <c r="HF20" s="50">
        <v>3.1</v>
      </c>
      <c r="HG20" s="50">
        <v>3.1</v>
      </c>
      <c r="HH20" s="50">
        <v>3.1</v>
      </c>
      <c r="HI20" s="50">
        <v>12.1</v>
      </c>
      <c r="HJ20" s="50">
        <v>9.1999999999999993</v>
      </c>
      <c r="HK20" s="50">
        <v>7.5</v>
      </c>
      <c r="HL20" s="50">
        <v>6.7</v>
      </c>
      <c r="HM20" s="50">
        <v>5.8</v>
      </c>
      <c r="HN20" s="50">
        <v>5.4</v>
      </c>
      <c r="HO20" s="50">
        <v>4.9000000000000004</v>
      </c>
      <c r="HP20" s="50">
        <v>4.5999999999999996</v>
      </c>
      <c r="HQ20" s="51">
        <v>4.4000000000000004</v>
      </c>
      <c r="HR20" s="49" t="s">
        <v>200</v>
      </c>
      <c r="HS20" s="50">
        <v>4.0999999999999996</v>
      </c>
      <c r="HT20" s="50">
        <v>3.8</v>
      </c>
      <c r="HU20" s="50">
        <v>3.7</v>
      </c>
      <c r="HV20" s="50">
        <v>3.7</v>
      </c>
      <c r="HW20" s="50">
        <v>3.6</v>
      </c>
      <c r="HX20" s="50">
        <v>3.6</v>
      </c>
      <c r="HY20" s="50">
        <v>3.5</v>
      </c>
      <c r="HZ20" s="50">
        <v>3.3</v>
      </c>
      <c r="IA20" s="50">
        <v>3.1</v>
      </c>
      <c r="IB20" s="50">
        <v>2.9</v>
      </c>
      <c r="IC20" s="50">
        <v>2.8</v>
      </c>
      <c r="ID20" s="50">
        <v>2.6</v>
      </c>
      <c r="IE20" s="50">
        <v>2.6</v>
      </c>
      <c r="IF20" s="50">
        <v>2.5</v>
      </c>
      <c r="IG20" s="50">
        <v>2.6</v>
      </c>
      <c r="IH20" s="50">
        <v>2.6</v>
      </c>
      <c r="II20" s="50">
        <v>2.6</v>
      </c>
      <c r="IJ20" s="50">
        <v>2.7</v>
      </c>
      <c r="IK20" s="50">
        <v>2.7</v>
      </c>
      <c r="IL20" s="50">
        <v>2.8</v>
      </c>
      <c r="IM20" s="50">
        <v>2.9</v>
      </c>
      <c r="IN20" s="50">
        <v>2.9</v>
      </c>
      <c r="IO20" s="50">
        <v>2.9</v>
      </c>
      <c r="IP20" s="51">
        <v>2.9</v>
      </c>
      <c r="IQ20" s="49" t="s">
        <v>200</v>
      </c>
      <c r="IR20" s="50">
        <v>2.9</v>
      </c>
      <c r="IS20" s="50">
        <v>2.9</v>
      </c>
      <c r="IT20" s="50">
        <v>2.9</v>
      </c>
      <c r="IU20" s="50">
        <v>2.8</v>
      </c>
      <c r="IV20" s="50">
        <v>2.8</v>
      </c>
      <c r="IW20" s="50">
        <v>2.8</v>
      </c>
      <c r="IX20" s="50">
        <v>2.8</v>
      </c>
      <c r="IY20" s="50">
        <v>2.8</v>
      </c>
      <c r="IZ20" s="50">
        <v>2.9</v>
      </c>
      <c r="JA20" s="50">
        <v>2.9</v>
      </c>
      <c r="JB20" s="50">
        <v>3</v>
      </c>
      <c r="JC20" s="50">
        <v>3</v>
      </c>
      <c r="JD20" s="50">
        <v>3.1</v>
      </c>
      <c r="JE20" s="50">
        <v>3.2</v>
      </c>
      <c r="JF20" s="50">
        <v>3.3</v>
      </c>
      <c r="JG20" s="50">
        <v>3.4</v>
      </c>
      <c r="JH20" s="50">
        <v>3.5</v>
      </c>
      <c r="JI20" s="50">
        <v>3.6</v>
      </c>
      <c r="JJ20" s="50">
        <v>3.7</v>
      </c>
      <c r="JK20" s="50">
        <v>3.7</v>
      </c>
      <c r="JL20" s="50">
        <v>3.8</v>
      </c>
      <c r="JM20" s="50">
        <v>3.8</v>
      </c>
      <c r="JN20" s="50">
        <v>3.8</v>
      </c>
      <c r="JO20" s="51">
        <v>3.8</v>
      </c>
      <c r="JP20" s="49" t="s">
        <v>200</v>
      </c>
      <c r="JQ20" s="80">
        <v>3.8</v>
      </c>
      <c r="JR20" s="80">
        <v>3.8</v>
      </c>
      <c r="JS20" s="80">
        <v>3.8</v>
      </c>
      <c r="JT20" s="80">
        <v>3.8</v>
      </c>
      <c r="JU20" s="80">
        <v>3.8</v>
      </c>
      <c r="JV20" s="80">
        <v>3.8</v>
      </c>
      <c r="JW20" s="80">
        <v>3.8</v>
      </c>
      <c r="JX20" s="80">
        <v>3.8</v>
      </c>
      <c r="JY20" s="80">
        <v>3.8</v>
      </c>
      <c r="JZ20" s="80" t="s">
        <v>402</v>
      </c>
      <c r="KA20" s="81">
        <v>3.8</v>
      </c>
    </row>
    <row r="21" spans="2:287" x14ac:dyDescent="0.3">
      <c r="B21" s="39" t="s">
        <v>201</v>
      </c>
      <c r="C21" s="17">
        <v>4.1500000000000004</v>
      </c>
      <c r="D21" s="17">
        <v>5.1583333333333323</v>
      </c>
      <c r="E21" s="17">
        <v>5.7833333333333332</v>
      </c>
      <c r="F21" s="17">
        <v>6.1833333333333327</v>
      </c>
      <c r="G21" s="17">
        <v>5.5166666666666639</v>
      </c>
      <c r="H21" s="17">
        <v>5.8416666666666686</v>
      </c>
      <c r="I21" s="17">
        <v>5.7333333333333325</v>
      </c>
      <c r="J21" s="17">
        <v>5.3666666666666671</v>
      </c>
      <c r="K21" s="17">
        <v>6.5416666666666643</v>
      </c>
      <c r="L21" s="17">
        <v>10.625000000000018</v>
      </c>
      <c r="M21" s="17">
        <v>10.283333333333317</v>
      </c>
      <c r="N21" s="17">
        <v>9.375</v>
      </c>
      <c r="O21" s="19">
        <v>8.1916666666666682</v>
      </c>
      <c r="P21" s="19">
        <v>7.916666666666667</v>
      </c>
      <c r="Q21" s="19">
        <v>6.4416666666666682</v>
      </c>
      <c r="R21" s="19">
        <v>5.25</v>
      </c>
      <c r="S21" s="19">
        <v>5.0749999999999993</v>
      </c>
      <c r="T21" s="19">
        <v>4.75</v>
      </c>
      <c r="U21" s="19">
        <v>4.2</v>
      </c>
      <c r="V21" s="19">
        <v>4.0833333333333348</v>
      </c>
      <c r="W21" s="19">
        <v>6.45</v>
      </c>
      <c r="X21" s="19">
        <v>4.4749999999999996</v>
      </c>
      <c r="Y21" s="19">
        <v>4.05</v>
      </c>
      <c r="Z21" s="19">
        <v>4.2916666666666679</v>
      </c>
      <c r="AA21" s="19">
        <v>5.0583333333333327</v>
      </c>
      <c r="AB21" s="96"/>
      <c r="AC21" s="35" t="str">
        <f>Table11[[#This Row],[State]]</f>
        <v>Kentucky</v>
      </c>
      <c r="AD21" s="17">
        <v>9.7666666666666693</v>
      </c>
      <c r="AE21" s="17">
        <v>10.866666666666699</v>
      </c>
      <c r="AF21" s="17">
        <v>10.966666666666701</v>
      </c>
      <c r="AG21" s="17">
        <v>10.9</v>
      </c>
      <c r="AH21" s="17">
        <v>10.8</v>
      </c>
      <c r="AI21" s="17">
        <v>10.3333333333333</v>
      </c>
      <c r="AJ21" s="17">
        <v>10.033333333333299</v>
      </c>
      <c r="AK21" s="17">
        <v>9.9666666666666703</v>
      </c>
      <c r="AL21" s="17">
        <v>9.6999999999999993</v>
      </c>
      <c r="AM21" s="17">
        <v>9.5</v>
      </c>
      <c r="AN21" s="19">
        <v>9.4</v>
      </c>
      <c r="AO21" s="19">
        <v>8.9</v>
      </c>
      <c r="AP21" s="19">
        <v>8.3333333333333304</v>
      </c>
      <c r="AQ21" s="19">
        <v>8.1999999999999993</v>
      </c>
      <c r="AR21" s="19">
        <v>8.1666666666666696</v>
      </c>
      <c r="AS21" s="19">
        <v>8.06666666666667</v>
      </c>
      <c r="AT21" s="19">
        <v>8</v>
      </c>
      <c r="AU21" s="19">
        <v>8</v>
      </c>
      <c r="AV21" s="17">
        <v>7.9666666666666703</v>
      </c>
      <c r="AW21" s="17">
        <v>7.7</v>
      </c>
      <c r="AX21" s="17">
        <v>7.3333333333333304</v>
      </c>
      <c r="AY21" s="17">
        <v>6.7666666666666702</v>
      </c>
      <c r="AZ21" s="17">
        <v>6.1</v>
      </c>
      <c r="BA21" s="17">
        <v>5.56666666666667</v>
      </c>
      <c r="BB21" s="35" t="str">
        <f t="shared" si="0"/>
        <v>Kentucky</v>
      </c>
      <c r="BC21" s="19">
        <v>5.3333333333333304</v>
      </c>
      <c r="BD21" s="19">
        <v>5.2666666666666702</v>
      </c>
      <c r="BE21" s="19">
        <v>5.2</v>
      </c>
      <c r="BF21" s="19">
        <v>5.2</v>
      </c>
      <c r="BG21" s="17">
        <v>5.1666666666666696</v>
      </c>
      <c r="BH21" s="17">
        <v>5</v>
      </c>
      <c r="BI21" s="17">
        <v>5.0333333333333297</v>
      </c>
      <c r="BJ21" s="17">
        <v>5.0999999999999996</v>
      </c>
      <c r="BK21" s="17">
        <v>5.0333333333333297</v>
      </c>
      <c r="BL21" s="17">
        <v>4.8666666666666698</v>
      </c>
      <c r="BM21" s="17">
        <v>4.7</v>
      </c>
      <c r="BN21" s="17">
        <v>4.4000000000000004</v>
      </c>
      <c r="BO21" s="17">
        <v>4.2</v>
      </c>
      <c r="BP21" s="17">
        <v>4.2</v>
      </c>
      <c r="BQ21" s="17">
        <v>4.2</v>
      </c>
      <c r="BR21" s="17">
        <v>4.2</v>
      </c>
      <c r="BS21" s="17">
        <v>4.1666666666666696</v>
      </c>
      <c r="BT21" s="17">
        <v>4.0999999999999996</v>
      </c>
      <c r="BU21" s="17">
        <v>4.06666666666667</v>
      </c>
      <c r="BV21" s="17">
        <v>4</v>
      </c>
      <c r="BW21" s="35" t="str">
        <f>Table13[[#This Row],[State]]</f>
        <v>Kentucky</v>
      </c>
      <c r="BX21" s="17">
        <v>4.0999999999999996</v>
      </c>
      <c r="BY21" s="17">
        <v>11.6</v>
      </c>
      <c r="BZ21" s="17">
        <v>5.3333333333333304</v>
      </c>
      <c r="CA21" s="17">
        <v>4.7666666666666702</v>
      </c>
      <c r="CB21" s="17">
        <v>4.5999999999999996</v>
      </c>
      <c r="CC21" s="17">
        <v>4.5999999999999996</v>
      </c>
      <c r="CD21" s="17">
        <v>4.5</v>
      </c>
      <c r="CE21" s="17">
        <v>4.2</v>
      </c>
      <c r="CF21" s="17">
        <v>4</v>
      </c>
      <c r="CG21" s="17">
        <v>4</v>
      </c>
      <c r="CH21" s="17">
        <v>4.0999999999999996</v>
      </c>
      <c r="CI21" s="17">
        <v>4.0999999999999996</v>
      </c>
      <c r="CJ21" s="17">
        <v>4.0999999999999996</v>
      </c>
      <c r="CK21" s="17">
        <v>4.1666666666666696</v>
      </c>
      <c r="CL21" s="17">
        <v>4.3666666666666698</v>
      </c>
      <c r="CM21" s="17">
        <v>4.5333333333333297</v>
      </c>
      <c r="CN21" s="17">
        <v>4.7333333333333298</v>
      </c>
      <c r="CO21" s="17">
        <v>4.93333333333333</v>
      </c>
      <c r="CP21" s="17">
        <v>5.2</v>
      </c>
      <c r="CQ21" s="17">
        <v>5.3666666666666698</v>
      </c>
      <c r="CR21" s="42" t="str">
        <f>Table13[[#This Row],[ State]]</f>
        <v>Kentucky</v>
      </c>
      <c r="CS21" s="17">
        <v>5.2666666666666702</v>
      </c>
      <c r="CT21" s="17">
        <v>5.0333333333333297</v>
      </c>
      <c r="CU21" s="17">
        <v>4.7666666666666702</v>
      </c>
      <c r="CV21" s="111"/>
      <c r="CW21" s="42" t="s">
        <v>201</v>
      </c>
      <c r="CX21" s="52">
        <v>9.8000000000000007</v>
      </c>
      <c r="CY21" s="53">
        <v>9.6999999999999993</v>
      </c>
      <c r="CZ21" s="53">
        <v>9.6</v>
      </c>
      <c r="DA21" s="53">
        <v>9.5</v>
      </c>
      <c r="DB21" s="53">
        <v>9.5</v>
      </c>
      <c r="DC21" s="53">
        <v>9.5</v>
      </c>
      <c r="DD21" s="53">
        <v>9.5</v>
      </c>
      <c r="DE21" s="53">
        <v>9.4</v>
      </c>
      <c r="DF21" s="53">
        <v>9.3000000000000007</v>
      </c>
      <c r="DG21" s="53">
        <v>9.1</v>
      </c>
      <c r="DH21" s="53">
        <v>8.9</v>
      </c>
      <c r="DI21" s="53">
        <v>8.6999999999999993</v>
      </c>
      <c r="DJ21" s="53">
        <v>8.5</v>
      </c>
      <c r="DK21" s="53">
        <v>8.3000000000000007</v>
      </c>
      <c r="DL21" s="53">
        <v>8.1999999999999993</v>
      </c>
      <c r="DM21" s="53">
        <v>8.1999999999999993</v>
      </c>
      <c r="DN21" s="53">
        <v>8.1999999999999993</v>
      </c>
      <c r="DO21" s="53">
        <v>8.1999999999999993</v>
      </c>
      <c r="DP21" s="53">
        <v>8.1999999999999993</v>
      </c>
      <c r="DQ21" s="53">
        <v>8.1999999999999993</v>
      </c>
      <c r="DR21" s="53">
        <v>8.1</v>
      </c>
      <c r="DS21" s="53">
        <v>8.1</v>
      </c>
      <c r="DT21" s="53">
        <v>8.1</v>
      </c>
      <c r="DU21" s="63">
        <v>8</v>
      </c>
      <c r="DV21" s="54" t="s">
        <v>201</v>
      </c>
      <c r="DW21" s="53">
        <v>8</v>
      </c>
      <c r="DX21" s="53">
        <v>8</v>
      </c>
      <c r="DY21" s="53">
        <v>8</v>
      </c>
      <c r="DZ21" s="53">
        <v>8</v>
      </c>
      <c r="EA21" s="53">
        <v>8</v>
      </c>
      <c r="EB21" s="53">
        <v>8</v>
      </c>
      <c r="EC21" s="53">
        <v>8</v>
      </c>
      <c r="ED21" s="53">
        <v>8</v>
      </c>
      <c r="EE21" s="53">
        <v>7.9</v>
      </c>
      <c r="EF21" s="53">
        <v>7.8</v>
      </c>
      <c r="EG21" s="55">
        <v>7.7</v>
      </c>
      <c r="EH21" s="55">
        <v>7.6</v>
      </c>
      <c r="EI21" s="55">
        <v>7.5</v>
      </c>
      <c r="EJ21" s="55">
        <v>7.3</v>
      </c>
      <c r="EK21" s="53">
        <v>7.2</v>
      </c>
      <c r="EL21" s="55">
        <v>7</v>
      </c>
      <c r="EM21" s="55">
        <v>6.8</v>
      </c>
      <c r="EN21" s="55">
        <v>6.5</v>
      </c>
      <c r="EO21" s="55">
        <v>6.3</v>
      </c>
      <c r="EP21" s="55">
        <v>6.1</v>
      </c>
      <c r="EQ21" s="55">
        <v>5.9</v>
      </c>
      <c r="ER21" s="53">
        <v>5.7</v>
      </c>
      <c r="ES21" s="55">
        <v>5.6</v>
      </c>
      <c r="ET21" s="56">
        <v>5.4</v>
      </c>
      <c r="EU21" s="54" t="s">
        <v>201</v>
      </c>
      <c r="EV21" s="53">
        <v>5.4</v>
      </c>
      <c r="EW21" s="55">
        <v>5.3</v>
      </c>
      <c r="EX21" s="55">
        <v>5.3</v>
      </c>
      <c r="EY21" s="55">
        <v>5.3</v>
      </c>
      <c r="EZ21" s="55">
        <v>5.3</v>
      </c>
      <c r="FA21" s="55">
        <v>5.2</v>
      </c>
      <c r="FB21" s="55">
        <v>5.2</v>
      </c>
      <c r="FC21" s="55">
        <v>5.2</v>
      </c>
      <c r="FD21" s="55">
        <v>5.2</v>
      </c>
      <c r="FE21" s="55">
        <v>5.2</v>
      </c>
      <c r="FF21" s="55">
        <v>5.2</v>
      </c>
      <c r="FG21" s="55">
        <v>5.2</v>
      </c>
      <c r="FH21" s="55">
        <v>5.2</v>
      </c>
      <c r="FI21" s="55">
        <v>5.2</v>
      </c>
      <c r="FJ21" s="55">
        <v>5.0999999999999996</v>
      </c>
      <c r="FK21" s="55">
        <v>5</v>
      </c>
      <c r="FL21" s="55">
        <v>5</v>
      </c>
      <c r="FM21" s="55">
        <v>5</v>
      </c>
      <c r="FN21" s="55">
        <v>5</v>
      </c>
      <c r="FO21" s="55">
        <v>5</v>
      </c>
      <c r="FP21" s="55">
        <v>5.0999999999999996</v>
      </c>
      <c r="FQ21" s="55">
        <v>5.0999999999999996</v>
      </c>
      <c r="FR21" s="55">
        <v>5.0999999999999996</v>
      </c>
      <c r="FS21" s="56">
        <v>5.0999999999999996</v>
      </c>
      <c r="FT21" s="54" t="s">
        <v>201</v>
      </c>
      <c r="FU21" s="53">
        <v>5.0999999999999996</v>
      </c>
      <c r="FV21" s="55">
        <v>5</v>
      </c>
      <c r="FW21" s="55">
        <v>5</v>
      </c>
      <c r="FX21" s="55">
        <v>4.9000000000000004</v>
      </c>
      <c r="FY21" s="55">
        <v>4.9000000000000004</v>
      </c>
      <c r="FZ21" s="55">
        <v>4.8</v>
      </c>
      <c r="GA21" s="55">
        <v>4.8</v>
      </c>
      <c r="GB21" s="55">
        <v>4.7</v>
      </c>
      <c r="GC21" s="55">
        <v>4.5999999999999996</v>
      </c>
      <c r="GD21" s="55">
        <v>4.5</v>
      </c>
      <c r="GE21" s="55">
        <v>4.4000000000000004</v>
      </c>
      <c r="GF21" s="55">
        <v>4.3</v>
      </c>
      <c r="GG21" s="55">
        <v>4.2</v>
      </c>
      <c r="GH21" s="55">
        <v>4.2</v>
      </c>
      <c r="GI21" s="55">
        <v>4.2</v>
      </c>
      <c r="GJ21" s="55">
        <v>4.2</v>
      </c>
      <c r="GK21" s="55">
        <v>4.2</v>
      </c>
      <c r="GL21" s="55">
        <v>4.2</v>
      </c>
      <c r="GM21" s="55">
        <v>4.2</v>
      </c>
      <c r="GN21" s="55">
        <v>4.2</v>
      </c>
      <c r="GO21" s="55">
        <v>4.2</v>
      </c>
      <c r="GP21" s="55">
        <v>4.2</v>
      </c>
      <c r="GQ21" s="55">
        <v>4.2</v>
      </c>
      <c r="GR21" s="55">
        <v>4.2</v>
      </c>
      <c r="GS21" s="54" t="s">
        <v>201</v>
      </c>
      <c r="GT21" s="55">
        <v>4.2</v>
      </c>
      <c r="GU21" s="55">
        <v>4.2</v>
      </c>
      <c r="GV21" s="55">
        <v>4.0999999999999996</v>
      </c>
      <c r="GW21" s="55">
        <v>4.0999999999999996</v>
      </c>
      <c r="GX21" s="55">
        <v>4.0999999999999996</v>
      </c>
      <c r="GY21" s="55">
        <v>4.0999999999999996</v>
      </c>
      <c r="GZ21" s="55">
        <v>4.0999999999999996</v>
      </c>
      <c r="HA21" s="55">
        <v>4.0999999999999996</v>
      </c>
      <c r="HB21" s="55">
        <v>4</v>
      </c>
      <c r="HC21" s="55">
        <v>4</v>
      </c>
      <c r="HD21" s="55">
        <v>4</v>
      </c>
      <c r="HE21" s="55">
        <v>4</v>
      </c>
      <c r="HF21" s="55">
        <v>4.0999999999999996</v>
      </c>
      <c r="HG21" s="55">
        <v>4.0999999999999996</v>
      </c>
      <c r="HH21" s="55">
        <v>4.0999999999999996</v>
      </c>
      <c r="HI21" s="55">
        <v>16.7</v>
      </c>
      <c r="HJ21" s="55">
        <v>12.8</v>
      </c>
      <c r="HK21" s="55">
        <v>5.3</v>
      </c>
      <c r="HL21" s="55">
        <v>5.8</v>
      </c>
      <c r="HM21" s="55">
        <v>5.2</v>
      </c>
      <c r="HN21" s="55">
        <v>5</v>
      </c>
      <c r="HO21" s="55">
        <v>4.8</v>
      </c>
      <c r="HP21" s="55">
        <v>4.8</v>
      </c>
      <c r="HQ21" s="56">
        <v>4.7</v>
      </c>
      <c r="HR21" s="54" t="s">
        <v>201</v>
      </c>
      <c r="HS21" s="55">
        <v>4.5999999999999996</v>
      </c>
      <c r="HT21" s="55">
        <v>4.5999999999999996</v>
      </c>
      <c r="HU21" s="55">
        <v>4.5999999999999996</v>
      </c>
      <c r="HV21" s="55">
        <v>4.5999999999999996</v>
      </c>
      <c r="HW21" s="55">
        <v>4.5999999999999996</v>
      </c>
      <c r="HX21" s="55">
        <v>4.5999999999999996</v>
      </c>
      <c r="HY21" s="55">
        <v>4.5999999999999996</v>
      </c>
      <c r="HZ21" s="55">
        <v>4.5</v>
      </c>
      <c r="IA21" s="55">
        <v>4.4000000000000004</v>
      </c>
      <c r="IB21" s="55">
        <v>4.3</v>
      </c>
      <c r="IC21" s="55">
        <v>4.2</v>
      </c>
      <c r="ID21" s="55">
        <v>4.0999999999999996</v>
      </c>
      <c r="IE21" s="55">
        <v>4</v>
      </c>
      <c r="IF21" s="55">
        <v>4</v>
      </c>
      <c r="IG21" s="55">
        <v>4</v>
      </c>
      <c r="IH21" s="55">
        <v>4</v>
      </c>
      <c r="II21" s="55">
        <v>4</v>
      </c>
      <c r="IJ21" s="55">
        <v>4</v>
      </c>
      <c r="IK21" s="55">
        <v>4.0999999999999996</v>
      </c>
      <c r="IL21" s="55">
        <v>4.0999999999999996</v>
      </c>
      <c r="IM21" s="55">
        <v>4.0999999999999996</v>
      </c>
      <c r="IN21" s="55">
        <v>4.0999999999999996</v>
      </c>
      <c r="IO21" s="55">
        <v>4.0999999999999996</v>
      </c>
      <c r="IP21" s="56">
        <v>4.0999999999999996</v>
      </c>
      <c r="IQ21" s="54" t="s">
        <v>201</v>
      </c>
      <c r="IR21" s="55">
        <v>4.0999999999999996</v>
      </c>
      <c r="IS21" s="55">
        <v>4.0999999999999996</v>
      </c>
      <c r="IT21" s="55">
        <v>4.0999999999999996</v>
      </c>
      <c r="IU21" s="55">
        <v>4.0999999999999996</v>
      </c>
      <c r="IV21" s="55">
        <v>4.2</v>
      </c>
      <c r="IW21" s="55">
        <v>4.2</v>
      </c>
      <c r="IX21" s="55">
        <v>4.3</v>
      </c>
      <c r="IY21" s="55">
        <v>4.4000000000000004</v>
      </c>
      <c r="IZ21" s="55">
        <v>4.4000000000000004</v>
      </c>
      <c r="JA21" s="55">
        <v>4.5</v>
      </c>
      <c r="JB21" s="55">
        <v>4.5</v>
      </c>
      <c r="JC21" s="55">
        <v>4.5999999999999996</v>
      </c>
      <c r="JD21" s="55">
        <v>4.7</v>
      </c>
      <c r="JE21" s="55">
        <v>4.7</v>
      </c>
      <c r="JF21" s="55">
        <v>4.8</v>
      </c>
      <c r="JG21" s="55">
        <v>4.9000000000000004</v>
      </c>
      <c r="JH21" s="55">
        <v>4.9000000000000004</v>
      </c>
      <c r="JI21" s="55">
        <v>5</v>
      </c>
      <c r="JJ21" s="55">
        <v>5.0999999999999996</v>
      </c>
      <c r="JK21" s="55">
        <v>5.2</v>
      </c>
      <c r="JL21" s="55">
        <v>5.3</v>
      </c>
      <c r="JM21" s="55">
        <v>5.4</v>
      </c>
      <c r="JN21" s="55">
        <v>5.4</v>
      </c>
      <c r="JO21" s="56">
        <v>5.3</v>
      </c>
      <c r="JP21" s="54" t="s">
        <v>201</v>
      </c>
      <c r="JQ21" s="82">
        <v>5.3</v>
      </c>
      <c r="JR21" s="82">
        <v>5.3</v>
      </c>
      <c r="JS21" s="82">
        <v>5.2</v>
      </c>
      <c r="JT21" s="82">
        <v>5.2</v>
      </c>
      <c r="JU21" s="82">
        <v>5</v>
      </c>
      <c r="JV21" s="82">
        <v>4.9000000000000004</v>
      </c>
      <c r="JW21" s="82">
        <v>4.9000000000000004</v>
      </c>
      <c r="JX21" s="82">
        <v>4.7</v>
      </c>
      <c r="JY21" s="82">
        <v>4.7</v>
      </c>
      <c r="JZ21" s="82" t="s">
        <v>402</v>
      </c>
      <c r="KA21" s="83">
        <v>4.7</v>
      </c>
    </row>
    <row r="22" spans="2:287" x14ac:dyDescent="0.3">
      <c r="B22" s="39" t="s">
        <v>202</v>
      </c>
      <c r="C22" s="17">
        <v>5.125</v>
      </c>
      <c r="D22" s="17">
        <v>5.591666666666665</v>
      </c>
      <c r="E22" s="17">
        <v>5.9666666666666668</v>
      </c>
      <c r="F22" s="17">
        <v>6.2333333333333361</v>
      </c>
      <c r="G22" s="17">
        <v>5.6833333333333353</v>
      </c>
      <c r="H22" s="17">
        <v>7.0499999999999972</v>
      </c>
      <c r="I22" s="17">
        <v>4.1416666666666675</v>
      </c>
      <c r="J22" s="17">
        <v>4.0833333333333321</v>
      </c>
      <c r="K22" s="17">
        <v>4.6666666666666679</v>
      </c>
      <c r="L22" s="17">
        <v>6.7083333333333321</v>
      </c>
      <c r="M22" s="17">
        <v>7.4333333333333327</v>
      </c>
      <c r="N22" s="17">
        <v>7.3416666666666668</v>
      </c>
      <c r="O22" s="19">
        <v>6.716666666666665</v>
      </c>
      <c r="P22" s="19">
        <v>6.3749999999999982</v>
      </c>
      <c r="Q22" s="19">
        <v>6.241666666666668</v>
      </c>
      <c r="R22" s="19">
        <v>6.2666666666666675</v>
      </c>
      <c r="S22" s="19">
        <v>6.0416666666666679</v>
      </c>
      <c r="T22" s="19">
        <v>5.125</v>
      </c>
      <c r="U22" s="19">
        <v>4.8250000000000002</v>
      </c>
      <c r="V22" s="19">
        <v>4.6333333333333329</v>
      </c>
      <c r="W22" s="19">
        <v>8.6833333333333425</v>
      </c>
      <c r="X22" s="19">
        <v>5.6083333333333325</v>
      </c>
      <c r="Y22" s="19">
        <v>3.6666666666666674</v>
      </c>
      <c r="Z22" s="19">
        <v>3.7250000000000001</v>
      </c>
      <c r="AA22" s="19">
        <v>4.3416666666666677</v>
      </c>
      <c r="AB22" s="96"/>
      <c r="AC22" s="36" t="str">
        <f>Table11[[#This Row],[State]]</f>
        <v>Louisiana</v>
      </c>
      <c r="AD22" s="27">
        <v>6.2333333333333298</v>
      </c>
      <c r="AE22" s="27">
        <v>6.7666666666666702</v>
      </c>
      <c r="AF22" s="27">
        <v>6.9</v>
      </c>
      <c r="AG22" s="27">
        <v>6.93333333333333</v>
      </c>
      <c r="AH22" s="27">
        <v>7.1</v>
      </c>
      <c r="AI22" s="27">
        <v>7.3</v>
      </c>
      <c r="AJ22" s="27">
        <v>7.6</v>
      </c>
      <c r="AK22" s="27">
        <v>7.7333333333333298</v>
      </c>
      <c r="AL22" s="27">
        <v>7.6</v>
      </c>
      <c r="AM22" s="27">
        <v>7.3333333333333304</v>
      </c>
      <c r="AN22" s="27">
        <v>7.2666666666666702</v>
      </c>
      <c r="AO22" s="27">
        <v>7.1666666666666696</v>
      </c>
      <c r="AP22" s="27">
        <v>7.0333333333333297</v>
      </c>
      <c r="AQ22" s="27">
        <v>6.8666666666666698</v>
      </c>
      <c r="AR22" s="27">
        <v>6.5333333333333297</v>
      </c>
      <c r="AS22" s="27">
        <v>6.43333333333333</v>
      </c>
      <c r="AT22" s="27">
        <v>6.7</v>
      </c>
      <c r="AU22" s="27">
        <v>6.6333333333333302</v>
      </c>
      <c r="AV22" s="27">
        <v>6.3333333333333304</v>
      </c>
      <c r="AW22" s="27">
        <v>5.8333333333333304</v>
      </c>
      <c r="AX22" s="27">
        <v>5.6</v>
      </c>
      <c r="AY22" s="27">
        <v>6</v>
      </c>
      <c r="AZ22" s="27">
        <v>6.56666666666667</v>
      </c>
      <c r="BA22" s="27">
        <v>6.8</v>
      </c>
      <c r="BB22" s="36" t="str">
        <f t="shared" si="0"/>
        <v>Louisiana</v>
      </c>
      <c r="BC22" s="27">
        <v>6.6666666666666696</v>
      </c>
      <c r="BD22" s="27">
        <v>6.3666666666666698</v>
      </c>
      <c r="BE22" s="27">
        <v>6.0333333333333297</v>
      </c>
      <c r="BF22" s="27">
        <v>6</v>
      </c>
      <c r="BG22" s="27">
        <v>6</v>
      </c>
      <c r="BH22" s="27">
        <v>6.1</v>
      </c>
      <c r="BI22" s="27">
        <v>6.1</v>
      </c>
      <c r="BJ22" s="27">
        <v>5.9666666666666703</v>
      </c>
      <c r="BK22" s="27">
        <v>5.6666666666666696</v>
      </c>
      <c r="BL22" s="27">
        <v>5.2333333333333298</v>
      </c>
      <c r="BM22" s="27">
        <v>4.9000000000000004</v>
      </c>
      <c r="BN22" s="27">
        <v>4.7</v>
      </c>
      <c r="BO22" s="27">
        <v>4.7333333333333298</v>
      </c>
      <c r="BP22" s="27">
        <v>4.9000000000000004</v>
      </c>
      <c r="BQ22" s="27">
        <v>4.8666666666666698</v>
      </c>
      <c r="BR22" s="27">
        <v>4.8</v>
      </c>
      <c r="BS22" s="27">
        <v>4.5999999999999996</v>
      </c>
      <c r="BT22" s="27">
        <v>4.43333333333333</v>
      </c>
      <c r="BU22" s="27">
        <v>4.7</v>
      </c>
      <c r="BV22" s="27">
        <v>4.8</v>
      </c>
      <c r="BW22" s="36" t="str">
        <f>Table13[[#This Row],[State]]</f>
        <v>Louisiana</v>
      </c>
      <c r="BX22" s="27">
        <v>5.3666666666666698</v>
      </c>
      <c r="BY22" s="27">
        <v>12.266666666666699</v>
      </c>
      <c r="BZ22" s="27">
        <v>9.43333333333333</v>
      </c>
      <c r="CA22" s="27">
        <v>7.6666666666666696</v>
      </c>
      <c r="CB22" s="27">
        <v>6.8</v>
      </c>
      <c r="CC22" s="27">
        <v>6.2</v>
      </c>
      <c r="CD22" s="27">
        <v>5.2</v>
      </c>
      <c r="CE22" s="27">
        <v>4.2333333333333298</v>
      </c>
      <c r="CF22" s="27">
        <v>3.8</v>
      </c>
      <c r="CG22" s="27">
        <v>3.6666666666666701</v>
      </c>
      <c r="CH22" s="27">
        <v>3.6</v>
      </c>
      <c r="CI22" s="27">
        <v>3.6</v>
      </c>
      <c r="CJ22" s="27">
        <v>3.6</v>
      </c>
      <c r="CK22" s="27">
        <v>3.5</v>
      </c>
      <c r="CL22" s="27">
        <v>3.7</v>
      </c>
      <c r="CM22" s="27">
        <v>4.0999999999999996</v>
      </c>
      <c r="CN22" s="27">
        <v>4.1666666666666696</v>
      </c>
      <c r="CO22" s="27">
        <v>4.1333333333333302</v>
      </c>
      <c r="CP22" s="27">
        <v>4.4666666666666703</v>
      </c>
      <c r="CQ22" s="27">
        <v>4.5999999999999996</v>
      </c>
      <c r="CR22" s="79" t="str">
        <f>Table13[[#This Row],[ State]]</f>
        <v>Louisiana</v>
      </c>
      <c r="CS22" s="27">
        <v>4.43333333333333</v>
      </c>
      <c r="CT22" s="27">
        <v>4.4666666666666703</v>
      </c>
      <c r="CU22" s="27">
        <v>4.43333333333333</v>
      </c>
      <c r="CV22" s="111"/>
      <c r="CW22" s="41" t="s">
        <v>202</v>
      </c>
      <c r="CX22" s="47">
        <v>7.7</v>
      </c>
      <c r="CY22" s="48">
        <v>7.6</v>
      </c>
      <c r="CZ22" s="48">
        <v>7.5</v>
      </c>
      <c r="DA22" s="48">
        <v>7.4</v>
      </c>
      <c r="DB22" s="48">
        <v>7.3</v>
      </c>
      <c r="DC22" s="48">
        <v>7.3</v>
      </c>
      <c r="DD22" s="48">
        <v>7.3</v>
      </c>
      <c r="DE22" s="48">
        <v>7.3</v>
      </c>
      <c r="DF22" s="48">
        <v>7.2</v>
      </c>
      <c r="DG22" s="48">
        <v>7.2</v>
      </c>
      <c r="DH22" s="48">
        <v>7.2</v>
      </c>
      <c r="DI22" s="48">
        <v>7.1</v>
      </c>
      <c r="DJ22" s="48">
        <v>7.1</v>
      </c>
      <c r="DK22" s="48">
        <v>7</v>
      </c>
      <c r="DL22" s="48">
        <v>7</v>
      </c>
      <c r="DM22" s="48">
        <v>6.9</v>
      </c>
      <c r="DN22" s="48">
        <v>6.9</v>
      </c>
      <c r="DO22" s="48">
        <v>6.8</v>
      </c>
      <c r="DP22" s="48">
        <v>6.7</v>
      </c>
      <c r="DQ22" s="48">
        <v>6.5</v>
      </c>
      <c r="DR22" s="48">
        <v>6.4</v>
      </c>
      <c r="DS22" s="48">
        <v>6.4</v>
      </c>
      <c r="DT22" s="48">
        <v>6.4</v>
      </c>
      <c r="DU22" s="62">
        <v>6.5</v>
      </c>
      <c r="DV22" s="49" t="s">
        <v>202</v>
      </c>
      <c r="DW22" s="48">
        <v>6.6</v>
      </c>
      <c r="DX22" s="48">
        <v>6.7</v>
      </c>
      <c r="DY22" s="48">
        <v>6.8</v>
      </c>
      <c r="DZ22" s="48">
        <v>6.7</v>
      </c>
      <c r="EA22" s="48">
        <v>6.6</v>
      </c>
      <c r="EB22" s="48">
        <v>6.6</v>
      </c>
      <c r="EC22" s="48">
        <v>6.5</v>
      </c>
      <c r="ED22" s="48">
        <v>6.3</v>
      </c>
      <c r="EE22" s="48">
        <v>6.2</v>
      </c>
      <c r="EF22" s="48">
        <v>6</v>
      </c>
      <c r="EG22" s="50">
        <v>5.8</v>
      </c>
      <c r="EH22" s="50">
        <v>5.7</v>
      </c>
      <c r="EI22" s="50">
        <v>5.6</v>
      </c>
      <c r="EJ22" s="50">
        <v>5.6</v>
      </c>
      <c r="EK22" s="48">
        <v>5.6</v>
      </c>
      <c r="EL22" s="50">
        <v>5.8</v>
      </c>
      <c r="EM22" s="50">
        <v>6</v>
      </c>
      <c r="EN22" s="50">
        <v>6.2</v>
      </c>
      <c r="EO22" s="50">
        <v>6.4</v>
      </c>
      <c r="EP22" s="50">
        <v>6.6</v>
      </c>
      <c r="EQ22" s="50">
        <v>6.7</v>
      </c>
      <c r="ER22" s="48">
        <v>6.8</v>
      </c>
      <c r="ES22" s="50">
        <v>6.8</v>
      </c>
      <c r="ET22" s="51">
        <v>6.8</v>
      </c>
      <c r="EU22" s="49" t="s">
        <v>202</v>
      </c>
      <c r="EV22" s="48">
        <v>6.7</v>
      </c>
      <c r="EW22" s="50">
        <v>6.7</v>
      </c>
      <c r="EX22" s="50">
        <v>6.6</v>
      </c>
      <c r="EY22" s="50">
        <v>6.5</v>
      </c>
      <c r="EZ22" s="50">
        <v>6.4</v>
      </c>
      <c r="FA22" s="50">
        <v>6.2</v>
      </c>
      <c r="FB22" s="50">
        <v>6.1</v>
      </c>
      <c r="FC22" s="50">
        <v>6</v>
      </c>
      <c r="FD22" s="50">
        <v>6</v>
      </c>
      <c r="FE22" s="50">
        <v>6</v>
      </c>
      <c r="FF22" s="50">
        <v>6</v>
      </c>
      <c r="FG22" s="50">
        <v>6</v>
      </c>
      <c r="FH22" s="50">
        <v>6</v>
      </c>
      <c r="FI22" s="50">
        <v>6</v>
      </c>
      <c r="FJ22" s="50">
        <v>6</v>
      </c>
      <c r="FK22" s="50">
        <v>6.1</v>
      </c>
      <c r="FL22" s="50">
        <v>6.1</v>
      </c>
      <c r="FM22" s="50">
        <v>6.1</v>
      </c>
      <c r="FN22" s="50">
        <v>6.1</v>
      </c>
      <c r="FO22" s="50">
        <v>6.1</v>
      </c>
      <c r="FP22" s="50">
        <v>6.1</v>
      </c>
      <c r="FQ22" s="50">
        <v>6</v>
      </c>
      <c r="FR22" s="50">
        <v>6</v>
      </c>
      <c r="FS22" s="51">
        <v>5.9</v>
      </c>
      <c r="FT22" s="49" t="s">
        <v>202</v>
      </c>
      <c r="FU22" s="48">
        <v>5.8</v>
      </c>
      <c r="FV22" s="50">
        <v>5.7</v>
      </c>
      <c r="FW22" s="50">
        <v>5.5</v>
      </c>
      <c r="FX22" s="50">
        <v>5.4</v>
      </c>
      <c r="FY22" s="50">
        <v>5.2</v>
      </c>
      <c r="FZ22" s="50">
        <v>5.0999999999999996</v>
      </c>
      <c r="GA22" s="50">
        <v>5</v>
      </c>
      <c r="GB22" s="50">
        <v>4.9000000000000004</v>
      </c>
      <c r="GC22" s="50">
        <v>4.8</v>
      </c>
      <c r="GD22" s="50">
        <v>4.7</v>
      </c>
      <c r="GE22" s="50">
        <v>4.7</v>
      </c>
      <c r="GF22" s="50">
        <v>4.7</v>
      </c>
      <c r="GG22" s="50">
        <v>4.7</v>
      </c>
      <c r="GH22" s="50">
        <v>4.7</v>
      </c>
      <c r="GI22" s="50">
        <v>4.8</v>
      </c>
      <c r="GJ22" s="50">
        <v>4.9000000000000004</v>
      </c>
      <c r="GK22" s="50">
        <v>4.9000000000000004</v>
      </c>
      <c r="GL22" s="50">
        <v>4.9000000000000004</v>
      </c>
      <c r="GM22" s="50">
        <v>4.9000000000000004</v>
      </c>
      <c r="GN22" s="50">
        <v>4.9000000000000004</v>
      </c>
      <c r="GO22" s="50">
        <v>4.8</v>
      </c>
      <c r="GP22" s="50">
        <v>4.8</v>
      </c>
      <c r="GQ22" s="50">
        <v>4.8</v>
      </c>
      <c r="GR22" s="50">
        <v>4.8</v>
      </c>
      <c r="GS22" s="49" t="s">
        <v>202</v>
      </c>
      <c r="GT22" s="50">
        <v>4.7</v>
      </c>
      <c r="GU22" s="50">
        <v>4.5999999999999996</v>
      </c>
      <c r="GV22" s="50">
        <v>4.5</v>
      </c>
      <c r="GW22" s="50">
        <v>4.4000000000000004</v>
      </c>
      <c r="GX22" s="50">
        <v>4.4000000000000004</v>
      </c>
      <c r="GY22" s="50">
        <v>4.5</v>
      </c>
      <c r="GZ22" s="50">
        <v>4.5999999999999996</v>
      </c>
      <c r="HA22" s="50">
        <v>4.7</v>
      </c>
      <c r="HB22" s="50">
        <v>4.8</v>
      </c>
      <c r="HC22" s="50">
        <v>4.8</v>
      </c>
      <c r="HD22" s="50">
        <v>4.8</v>
      </c>
      <c r="HE22" s="50">
        <v>4.8</v>
      </c>
      <c r="HF22" s="50">
        <v>4.7</v>
      </c>
      <c r="HG22" s="50">
        <v>4.7</v>
      </c>
      <c r="HH22" s="50">
        <v>6.7</v>
      </c>
      <c r="HI22" s="50">
        <v>13.5</v>
      </c>
      <c r="HJ22" s="50">
        <v>12.3</v>
      </c>
      <c r="HK22" s="50">
        <v>11</v>
      </c>
      <c r="HL22" s="50">
        <v>10.4</v>
      </c>
      <c r="HM22" s="50">
        <v>9.1999999999999993</v>
      </c>
      <c r="HN22" s="50">
        <v>8.6999999999999993</v>
      </c>
      <c r="HO22" s="50">
        <v>8</v>
      </c>
      <c r="HP22" s="50">
        <v>7.6</v>
      </c>
      <c r="HQ22" s="51">
        <v>7.4</v>
      </c>
      <c r="HR22" s="49" t="s">
        <v>202</v>
      </c>
      <c r="HS22" s="50">
        <v>7</v>
      </c>
      <c r="HT22" s="50">
        <v>6.8</v>
      </c>
      <c r="HU22" s="50">
        <v>6.6</v>
      </c>
      <c r="HV22" s="50">
        <v>6.4</v>
      </c>
      <c r="HW22" s="50">
        <v>6.2</v>
      </c>
      <c r="HX22" s="50">
        <v>6</v>
      </c>
      <c r="HY22" s="50">
        <v>5.6</v>
      </c>
      <c r="HZ22" s="50">
        <v>5.2</v>
      </c>
      <c r="IA22" s="50">
        <v>4.8</v>
      </c>
      <c r="IB22" s="50">
        <v>4.5</v>
      </c>
      <c r="IC22" s="50">
        <v>4.2</v>
      </c>
      <c r="ID22" s="50">
        <v>4</v>
      </c>
      <c r="IE22" s="50">
        <v>3.9</v>
      </c>
      <c r="IF22" s="50">
        <v>3.8</v>
      </c>
      <c r="IG22" s="50">
        <v>3.7</v>
      </c>
      <c r="IH22" s="50">
        <v>3.7</v>
      </c>
      <c r="II22" s="50">
        <v>3.7</v>
      </c>
      <c r="IJ22" s="50">
        <v>3.6</v>
      </c>
      <c r="IK22" s="50">
        <v>3.6</v>
      </c>
      <c r="IL22" s="50">
        <v>3.6</v>
      </c>
      <c r="IM22" s="50">
        <v>3.6</v>
      </c>
      <c r="IN22" s="50">
        <v>3.6</v>
      </c>
      <c r="IO22" s="50">
        <v>3.6</v>
      </c>
      <c r="IP22" s="51">
        <v>3.6</v>
      </c>
      <c r="IQ22" s="49" t="s">
        <v>202</v>
      </c>
      <c r="IR22" s="50">
        <v>3.6</v>
      </c>
      <c r="IS22" s="50">
        <v>3.6</v>
      </c>
      <c r="IT22" s="50">
        <v>3.6</v>
      </c>
      <c r="IU22" s="50">
        <v>3.5</v>
      </c>
      <c r="IV22" s="50">
        <v>3.5</v>
      </c>
      <c r="IW22" s="50">
        <v>3.5</v>
      </c>
      <c r="IX22" s="50">
        <v>3.6</v>
      </c>
      <c r="IY22" s="50">
        <v>3.7</v>
      </c>
      <c r="IZ22" s="50">
        <v>3.8</v>
      </c>
      <c r="JA22" s="50">
        <v>4</v>
      </c>
      <c r="JB22" s="50">
        <v>4.0999999999999996</v>
      </c>
      <c r="JC22" s="50">
        <v>4.2</v>
      </c>
      <c r="JD22" s="50">
        <v>4.2</v>
      </c>
      <c r="JE22" s="50">
        <v>4.2</v>
      </c>
      <c r="JF22" s="50">
        <v>4.0999999999999996</v>
      </c>
      <c r="JG22" s="50">
        <v>4.0999999999999996</v>
      </c>
      <c r="JH22" s="50">
        <v>4.0999999999999996</v>
      </c>
      <c r="JI22" s="50">
        <v>4.2</v>
      </c>
      <c r="JJ22" s="50">
        <v>4.3</v>
      </c>
      <c r="JK22" s="50">
        <v>4.5</v>
      </c>
      <c r="JL22" s="50">
        <v>4.5999999999999996</v>
      </c>
      <c r="JM22" s="50">
        <v>4.5999999999999996</v>
      </c>
      <c r="JN22" s="50">
        <v>4.5999999999999996</v>
      </c>
      <c r="JO22" s="51">
        <v>4.5999999999999996</v>
      </c>
      <c r="JP22" s="49" t="s">
        <v>202</v>
      </c>
      <c r="JQ22" s="80">
        <v>4.5</v>
      </c>
      <c r="JR22" s="80">
        <v>4.4000000000000004</v>
      </c>
      <c r="JS22" s="80">
        <v>4.4000000000000004</v>
      </c>
      <c r="JT22" s="80">
        <v>4.4000000000000004</v>
      </c>
      <c r="JU22" s="80">
        <v>4.5</v>
      </c>
      <c r="JV22" s="80">
        <v>4.5</v>
      </c>
      <c r="JW22" s="80">
        <v>4.5</v>
      </c>
      <c r="JX22" s="80">
        <v>4.4000000000000004</v>
      </c>
      <c r="JY22" s="80">
        <v>4.4000000000000004</v>
      </c>
      <c r="JZ22" s="80" t="s">
        <v>402</v>
      </c>
      <c r="KA22" s="81">
        <v>4.3</v>
      </c>
    </row>
    <row r="23" spans="2:287" x14ac:dyDescent="0.3">
      <c r="B23" s="39" t="s">
        <v>203</v>
      </c>
      <c r="C23" s="17">
        <v>3.3083333333333327</v>
      </c>
      <c r="D23" s="17">
        <v>3.75</v>
      </c>
      <c r="E23" s="17">
        <v>4.4333333333333327</v>
      </c>
      <c r="F23" s="17">
        <v>5.0999999999999996</v>
      </c>
      <c r="G23" s="17">
        <v>4.6666666666666679</v>
      </c>
      <c r="H23" s="17">
        <v>4.8833333333333346</v>
      </c>
      <c r="I23" s="17">
        <v>4.7083333333333321</v>
      </c>
      <c r="J23" s="17">
        <v>4.7</v>
      </c>
      <c r="K23" s="17">
        <v>5.4083333333333323</v>
      </c>
      <c r="L23" s="17">
        <v>8.2999999999999972</v>
      </c>
      <c r="M23" s="17">
        <v>8.35</v>
      </c>
      <c r="N23" s="17">
        <v>7.7750000000000004</v>
      </c>
      <c r="O23" s="19">
        <v>7.2083333333333321</v>
      </c>
      <c r="P23" s="19">
        <v>6.6833333333333327</v>
      </c>
      <c r="Q23" s="19">
        <v>5.5750000000000002</v>
      </c>
      <c r="R23" s="19">
        <v>4.3916666666666675</v>
      </c>
      <c r="S23" s="19">
        <v>3.7916666666666652</v>
      </c>
      <c r="T23" s="19">
        <v>3.375</v>
      </c>
      <c r="U23" s="19">
        <v>3.1749999999999998</v>
      </c>
      <c r="V23" s="19">
        <v>2.8999999999999972</v>
      </c>
      <c r="W23" s="19">
        <v>5.1166666666666671</v>
      </c>
      <c r="X23" s="19">
        <v>4.7333333333333325</v>
      </c>
      <c r="Y23" s="19">
        <v>2.8416666666666672</v>
      </c>
      <c r="Z23" s="19">
        <v>2.6083333333333352</v>
      </c>
      <c r="AA23" s="19">
        <v>3.0833333333333326</v>
      </c>
      <c r="AB23" s="96"/>
      <c r="AC23" s="35" t="str">
        <f>Table11[[#This Row],[State]]</f>
        <v>Maine</v>
      </c>
      <c r="AD23" s="17">
        <v>7.8333333333333304</v>
      </c>
      <c r="AE23" s="17">
        <v>8.43333333333333</v>
      </c>
      <c r="AF23" s="17">
        <v>8.4</v>
      </c>
      <c r="AG23" s="17">
        <v>8.5333333333333297</v>
      </c>
      <c r="AH23" s="17">
        <v>8.6333333333333293</v>
      </c>
      <c r="AI23" s="17">
        <v>8.4</v>
      </c>
      <c r="AJ23" s="17">
        <v>8.1999999999999993</v>
      </c>
      <c r="AK23" s="17">
        <v>8.1666666666666696</v>
      </c>
      <c r="AL23" s="17">
        <v>8</v>
      </c>
      <c r="AM23" s="17">
        <v>7.8666666666666698</v>
      </c>
      <c r="AN23" s="19">
        <v>7.7333333333333298</v>
      </c>
      <c r="AO23" s="19">
        <v>7.5</v>
      </c>
      <c r="AP23" s="19">
        <v>7.2333333333333298</v>
      </c>
      <c r="AQ23" s="19">
        <v>7.2666666666666702</v>
      </c>
      <c r="AR23" s="19">
        <v>7.2333333333333298</v>
      </c>
      <c r="AS23" s="19">
        <v>7.1</v>
      </c>
      <c r="AT23" s="19">
        <v>7.0333333333333297</v>
      </c>
      <c r="AU23" s="19">
        <v>6.8</v>
      </c>
      <c r="AV23" s="17">
        <v>6.6</v>
      </c>
      <c r="AW23" s="17">
        <v>6.3</v>
      </c>
      <c r="AX23" s="17">
        <v>6</v>
      </c>
      <c r="AY23" s="17">
        <v>5.7</v>
      </c>
      <c r="AZ23" s="17">
        <v>5.4</v>
      </c>
      <c r="BA23" s="17">
        <v>5.2</v>
      </c>
      <c r="BB23" s="35" t="str">
        <f t="shared" si="0"/>
        <v>Maine</v>
      </c>
      <c r="BC23" s="19">
        <v>4.8</v>
      </c>
      <c r="BD23" s="19">
        <v>4.5</v>
      </c>
      <c r="BE23" s="19">
        <v>4.2</v>
      </c>
      <c r="BF23" s="19">
        <v>4.06666666666667</v>
      </c>
      <c r="BG23" s="17">
        <v>3.9666666666666699</v>
      </c>
      <c r="BH23" s="17">
        <v>3.8333333333333299</v>
      </c>
      <c r="BI23" s="17">
        <v>3.7333333333333298</v>
      </c>
      <c r="BJ23" s="17">
        <v>3.6333333333333302</v>
      </c>
      <c r="BK23" s="17">
        <v>3.5</v>
      </c>
      <c r="BL23" s="17">
        <v>3.4</v>
      </c>
      <c r="BM23" s="17">
        <v>3.4</v>
      </c>
      <c r="BN23" s="17">
        <v>3.2</v>
      </c>
      <c r="BO23" s="17">
        <v>3.0333333333333301</v>
      </c>
      <c r="BP23" s="17">
        <v>3.1</v>
      </c>
      <c r="BQ23" s="17">
        <v>3.3</v>
      </c>
      <c r="BR23" s="17">
        <v>3.2666666666666702</v>
      </c>
      <c r="BS23" s="17">
        <v>3</v>
      </c>
      <c r="BT23" s="17">
        <v>2.7333333333333298</v>
      </c>
      <c r="BU23" s="17">
        <v>2.8333333333333299</v>
      </c>
      <c r="BV23" s="17">
        <v>3.0333333333333301</v>
      </c>
      <c r="BW23" s="35" t="str">
        <f>Table13[[#This Row],[State]]</f>
        <v>Maine</v>
      </c>
      <c r="BX23" s="17">
        <v>3.2</v>
      </c>
      <c r="BY23" s="17">
        <v>8.4666666666666703</v>
      </c>
      <c r="BZ23" s="17">
        <v>4.8333333333333304</v>
      </c>
      <c r="CA23" s="17">
        <v>3.9666666666666699</v>
      </c>
      <c r="CB23" s="17">
        <v>4.7333333333333298</v>
      </c>
      <c r="CC23" s="17">
        <v>5.1666666666666696</v>
      </c>
      <c r="CD23" s="17">
        <v>4.8333333333333304</v>
      </c>
      <c r="CE23" s="17">
        <v>4.2</v>
      </c>
      <c r="CF23" s="17">
        <v>3.3333333333333299</v>
      </c>
      <c r="CG23" s="17">
        <v>2.8</v>
      </c>
      <c r="CH23" s="17">
        <v>2.56666666666667</v>
      </c>
      <c r="CI23" s="17">
        <v>2.6666666666666701</v>
      </c>
      <c r="CJ23" s="17">
        <v>2.4666666666666699</v>
      </c>
      <c r="CK23" s="17">
        <v>2.4666666666666699</v>
      </c>
      <c r="CL23" s="17">
        <v>2.7</v>
      </c>
      <c r="CM23" s="17">
        <v>2.8</v>
      </c>
      <c r="CN23" s="17">
        <v>2.8</v>
      </c>
      <c r="CO23" s="17">
        <v>2.9</v>
      </c>
      <c r="CP23" s="17">
        <v>3.2333333333333298</v>
      </c>
      <c r="CQ23" s="17">
        <v>3.4</v>
      </c>
      <c r="CR23" s="42" t="str">
        <f>Table13[[#This Row],[ State]]</f>
        <v>Maine</v>
      </c>
      <c r="CS23" s="17">
        <v>3.5</v>
      </c>
      <c r="CT23" s="17">
        <v>3.4</v>
      </c>
      <c r="CU23" s="17">
        <v>3.2</v>
      </c>
      <c r="CV23" s="111"/>
      <c r="CW23" s="42" t="s">
        <v>203</v>
      </c>
      <c r="CX23" s="52">
        <v>8.1</v>
      </c>
      <c r="CY23" s="53">
        <v>8</v>
      </c>
      <c r="CZ23" s="53">
        <v>7.9</v>
      </c>
      <c r="DA23" s="53">
        <v>7.9</v>
      </c>
      <c r="DB23" s="53">
        <v>7.9</v>
      </c>
      <c r="DC23" s="53">
        <v>7.8</v>
      </c>
      <c r="DD23" s="53">
        <v>7.8</v>
      </c>
      <c r="DE23" s="53">
        <v>7.7</v>
      </c>
      <c r="DF23" s="53">
        <v>7.7</v>
      </c>
      <c r="DG23" s="53">
        <v>7.6</v>
      </c>
      <c r="DH23" s="53">
        <v>7.5</v>
      </c>
      <c r="DI23" s="53">
        <v>7.4</v>
      </c>
      <c r="DJ23" s="53">
        <v>7.3</v>
      </c>
      <c r="DK23" s="53">
        <v>7.2</v>
      </c>
      <c r="DL23" s="53">
        <v>7.2</v>
      </c>
      <c r="DM23" s="53">
        <v>7.2</v>
      </c>
      <c r="DN23" s="53">
        <v>7.3</v>
      </c>
      <c r="DO23" s="53">
        <v>7.3</v>
      </c>
      <c r="DP23" s="53">
        <v>7.3</v>
      </c>
      <c r="DQ23" s="53">
        <v>7.2</v>
      </c>
      <c r="DR23" s="53">
        <v>7.2</v>
      </c>
      <c r="DS23" s="53">
        <v>7.1</v>
      </c>
      <c r="DT23" s="53">
        <v>7.1</v>
      </c>
      <c r="DU23" s="63">
        <v>7.1</v>
      </c>
      <c r="DV23" s="54" t="s">
        <v>203</v>
      </c>
      <c r="DW23" s="53">
        <v>7.1</v>
      </c>
      <c r="DX23" s="53">
        <v>7</v>
      </c>
      <c r="DY23" s="53">
        <v>7</v>
      </c>
      <c r="DZ23" s="53">
        <v>6.9</v>
      </c>
      <c r="EA23" s="53">
        <v>6.8</v>
      </c>
      <c r="EB23" s="53">
        <v>6.7</v>
      </c>
      <c r="EC23" s="53">
        <v>6.7</v>
      </c>
      <c r="ED23" s="53">
        <v>6.6</v>
      </c>
      <c r="EE23" s="53">
        <v>6.5</v>
      </c>
      <c r="EF23" s="53">
        <v>6.4</v>
      </c>
      <c r="EG23" s="55">
        <v>6.3</v>
      </c>
      <c r="EH23" s="55">
        <v>6.2</v>
      </c>
      <c r="EI23" s="55">
        <v>6.1</v>
      </c>
      <c r="EJ23" s="55">
        <v>6</v>
      </c>
      <c r="EK23" s="53">
        <v>5.9</v>
      </c>
      <c r="EL23" s="55">
        <v>5.8</v>
      </c>
      <c r="EM23" s="55">
        <v>5.7</v>
      </c>
      <c r="EN23" s="55">
        <v>5.6</v>
      </c>
      <c r="EO23" s="55">
        <v>5.5</v>
      </c>
      <c r="EP23" s="55">
        <v>5.4</v>
      </c>
      <c r="EQ23" s="55">
        <v>5.3</v>
      </c>
      <c r="ER23" s="53">
        <v>5.3</v>
      </c>
      <c r="ES23" s="55">
        <v>5.2</v>
      </c>
      <c r="ET23" s="56">
        <v>5.0999999999999996</v>
      </c>
      <c r="EU23" s="54" t="s">
        <v>203</v>
      </c>
      <c r="EV23" s="53">
        <v>4.9000000000000004</v>
      </c>
      <c r="EW23" s="55">
        <v>4.8</v>
      </c>
      <c r="EX23" s="55">
        <v>4.7</v>
      </c>
      <c r="EY23" s="55">
        <v>4.5999999999999996</v>
      </c>
      <c r="EZ23" s="55">
        <v>4.5</v>
      </c>
      <c r="FA23" s="55">
        <v>4.4000000000000004</v>
      </c>
      <c r="FB23" s="55">
        <v>4.3</v>
      </c>
      <c r="FC23" s="55">
        <v>4.2</v>
      </c>
      <c r="FD23" s="55">
        <v>4.0999999999999996</v>
      </c>
      <c r="FE23" s="55">
        <v>4.0999999999999996</v>
      </c>
      <c r="FF23" s="55">
        <v>4.0999999999999996</v>
      </c>
      <c r="FG23" s="55">
        <v>4</v>
      </c>
      <c r="FH23" s="55">
        <v>4</v>
      </c>
      <c r="FI23" s="55">
        <v>4</v>
      </c>
      <c r="FJ23" s="55">
        <v>3.9</v>
      </c>
      <c r="FK23" s="55">
        <v>3.9</v>
      </c>
      <c r="FL23" s="55">
        <v>3.8</v>
      </c>
      <c r="FM23" s="55">
        <v>3.8</v>
      </c>
      <c r="FN23" s="55">
        <v>3.8</v>
      </c>
      <c r="FO23" s="55">
        <v>3.7</v>
      </c>
      <c r="FP23" s="55">
        <v>3.7</v>
      </c>
      <c r="FQ23" s="55">
        <v>3.7</v>
      </c>
      <c r="FR23" s="55">
        <v>3.6</v>
      </c>
      <c r="FS23" s="56">
        <v>3.6</v>
      </c>
      <c r="FT23" s="54" t="s">
        <v>203</v>
      </c>
      <c r="FU23" s="53">
        <v>3.5</v>
      </c>
      <c r="FV23" s="55">
        <v>3.5</v>
      </c>
      <c r="FW23" s="55">
        <v>3.5</v>
      </c>
      <c r="FX23" s="55">
        <v>3.4</v>
      </c>
      <c r="FY23" s="55">
        <v>3.4</v>
      </c>
      <c r="FZ23" s="55">
        <v>3.4</v>
      </c>
      <c r="GA23" s="55">
        <v>3.4</v>
      </c>
      <c r="GB23" s="55">
        <v>3.4</v>
      </c>
      <c r="GC23" s="55">
        <v>3.4</v>
      </c>
      <c r="GD23" s="55">
        <v>3.3</v>
      </c>
      <c r="GE23" s="55">
        <v>3.2</v>
      </c>
      <c r="GF23" s="55">
        <v>3.1</v>
      </c>
      <c r="GG23" s="55">
        <v>3.1</v>
      </c>
      <c r="GH23" s="55">
        <v>3</v>
      </c>
      <c r="GI23" s="55">
        <v>3</v>
      </c>
      <c r="GJ23" s="55">
        <v>3</v>
      </c>
      <c r="GK23" s="55">
        <v>3.1</v>
      </c>
      <c r="GL23" s="55">
        <v>3.2</v>
      </c>
      <c r="GM23" s="55">
        <v>3.3</v>
      </c>
      <c r="GN23" s="55">
        <v>3.3</v>
      </c>
      <c r="GO23" s="55">
        <v>3.3</v>
      </c>
      <c r="GP23" s="55">
        <v>3.3</v>
      </c>
      <c r="GQ23" s="55">
        <v>3.3</v>
      </c>
      <c r="GR23" s="55">
        <v>3.2</v>
      </c>
      <c r="GS23" s="54" t="s">
        <v>203</v>
      </c>
      <c r="GT23" s="55">
        <v>3.1</v>
      </c>
      <c r="GU23" s="55">
        <v>3</v>
      </c>
      <c r="GV23" s="55">
        <v>2.9</v>
      </c>
      <c r="GW23" s="55">
        <v>2.8</v>
      </c>
      <c r="GX23" s="55">
        <v>2.7</v>
      </c>
      <c r="GY23" s="55">
        <v>2.7</v>
      </c>
      <c r="GZ23" s="55">
        <v>2.8</v>
      </c>
      <c r="HA23" s="55">
        <v>2.8</v>
      </c>
      <c r="HB23" s="55">
        <v>2.9</v>
      </c>
      <c r="HC23" s="55">
        <v>3</v>
      </c>
      <c r="HD23" s="55">
        <v>3</v>
      </c>
      <c r="HE23" s="55">
        <v>3.1</v>
      </c>
      <c r="HF23" s="55">
        <v>3.2</v>
      </c>
      <c r="HG23" s="55">
        <v>3.2</v>
      </c>
      <c r="HH23" s="55">
        <v>3.2</v>
      </c>
      <c r="HI23" s="55">
        <v>9.3000000000000007</v>
      </c>
      <c r="HJ23" s="55">
        <v>9.5</v>
      </c>
      <c r="HK23" s="55">
        <v>6.6</v>
      </c>
      <c r="HL23" s="55">
        <v>6.3</v>
      </c>
      <c r="HM23" s="55">
        <v>4.2</v>
      </c>
      <c r="HN23" s="55">
        <v>4</v>
      </c>
      <c r="HO23" s="55">
        <v>3.8</v>
      </c>
      <c r="HP23" s="55">
        <v>3.9</v>
      </c>
      <c r="HQ23" s="56">
        <v>4.2</v>
      </c>
      <c r="HR23" s="54" t="s">
        <v>203</v>
      </c>
      <c r="HS23" s="55">
        <v>4.4000000000000004</v>
      </c>
      <c r="HT23" s="55">
        <v>4.8</v>
      </c>
      <c r="HU23" s="55">
        <v>5</v>
      </c>
      <c r="HV23" s="55">
        <v>5.2</v>
      </c>
      <c r="HW23" s="55">
        <v>5.0999999999999996</v>
      </c>
      <c r="HX23" s="55">
        <v>5.2</v>
      </c>
      <c r="HY23" s="55">
        <v>5</v>
      </c>
      <c r="HZ23" s="55">
        <v>4.9000000000000004</v>
      </c>
      <c r="IA23" s="55">
        <v>4.5999999999999996</v>
      </c>
      <c r="IB23" s="55">
        <v>4.5</v>
      </c>
      <c r="IC23" s="55">
        <v>4.2</v>
      </c>
      <c r="ID23" s="55">
        <v>3.9</v>
      </c>
      <c r="IE23" s="55">
        <v>3.7</v>
      </c>
      <c r="IF23" s="55">
        <v>3.3</v>
      </c>
      <c r="IG23" s="55">
        <v>3</v>
      </c>
      <c r="IH23" s="55">
        <v>2.9</v>
      </c>
      <c r="II23" s="55">
        <v>2.8</v>
      </c>
      <c r="IJ23" s="55">
        <v>2.7</v>
      </c>
      <c r="IK23" s="55">
        <v>2.6</v>
      </c>
      <c r="IL23" s="55">
        <v>2.5</v>
      </c>
      <c r="IM23" s="55">
        <v>2.6</v>
      </c>
      <c r="IN23" s="55">
        <v>2.7</v>
      </c>
      <c r="IO23" s="55">
        <v>2.7</v>
      </c>
      <c r="IP23" s="56">
        <v>2.6</v>
      </c>
      <c r="IQ23" s="54" t="s">
        <v>203</v>
      </c>
      <c r="IR23" s="55">
        <v>2.5</v>
      </c>
      <c r="IS23" s="55">
        <v>2.5</v>
      </c>
      <c r="IT23" s="55">
        <v>2.4</v>
      </c>
      <c r="IU23" s="55">
        <v>2.4</v>
      </c>
      <c r="IV23" s="55">
        <v>2.5</v>
      </c>
      <c r="IW23" s="55">
        <v>2.5</v>
      </c>
      <c r="IX23" s="55">
        <v>2.6</v>
      </c>
      <c r="IY23" s="55">
        <v>2.7</v>
      </c>
      <c r="IZ23" s="55">
        <v>2.8</v>
      </c>
      <c r="JA23" s="55">
        <v>2.8</v>
      </c>
      <c r="JB23" s="55">
        <v>2.8</v>
      </c>
      <c r="JC23" s="55">
        <v>2.8</v>
      </c>
      <c r="JD23" s="55">
        <v>2.8</v>
      </c>
      <c r="JE23" s="55">
        <v>2.8</v>
      </c>
      <c r="JF23" s="55">
        <v>2.8</v>
      </c>
      <c r="JG23" s="55">
        <v>2.8</v>
      </c>
      <c r="JH23" s="55">
        <v>2.9</v>
      </c>
      <c r="JI23" s="55">
        <v>3</v>
      </c>
      <c r="JJ23" s="55">
        <v>3.1</v>
      </c>
      <c r="JK23" s="55">
        <v>3.2</v>
      </c>
      <c r="JL23" s="55">
        <v>3.4</v>
      </c>
      <c r="JM23" s="55">
        <v>3.4</v>
      </c>
      <c r="JN23" s="55">
        <v>3.4</v>
      </c>
      <c r="JO23" s="56">
        <v>3.4</v>
      </c>
      <c r="JP23" s="54" t="s">
        <v>203</v>
      </c>
      <c r="JQ23" s="82">
        <v>3.5</v>
      </c>
      <c r="JR23" s="82">
        <v>3.5</v>
      </c>
      <c r="JS23" s="82">
        <v>3.5</v>
      </c>
      <c r="JT23" s="82">
        <v>3.5</v>
      </c>
      <c r="JU23" s="82">
        <v>3.4</v>
      </c>
      <c r="JV23" s="82">
        <v>3.3</v>
      </c>
      <c r="JW23" s="82">
        <v>3.2</v>
      </c>
      <c r="JX23" s="82">
        <v>3.2</v>
      </c>
      <c r="JY23" s="82">
        <v>3.2</v>
      </c>
      <c r="JZ23" s="82" t="s">
        <v>402</v>
      </c>
      <c r="KA23" s="83">
        <v>3.2</v>
      </c>
    </row>
    <row r="24" spans="2:287" x14ac:dyDescent="0.3">
      <c r="B24" s="39" t="s">
        <v>204</v>
      </c>
      <c r="C24" s="17">
        <v>3.5750000000000002</v>
      </c>
      <c r="D24" s="17">
        <v>4.1416666666666675</v>
      </c>
      <c r="E24" s="17">
        <v>4.4833333333333325</v>
      </c>
      <c r="F24" s="17">
        <v>4.4750000000000023</v>
      </c>
      <c r="G24" s="17">
        <v>4.3083333333333318</v>
      </c>
      <c r="H24" s="17">
        <v>4.166666666666667</v>
      </c>
      <c r="I24" s="17">
        <v>3.8499999999999996</v>
      </c>
      <c r="J24" s="17">
        <v>3.4416666666666651</v>
      </c>
      <c r="K24" s="17">
        <v>4.31666666666667</v>
      </c>
      <c r="L24" s="17">
        <v>7.133333333333332</v>
      </c>
      <c r="M24" s="17">
        <v>7.7666666666666675</v>
      </c>
      <c r="N24" s="17">
        <v>7.2833333333333332</v>
      </c>
      <c r="O24" s="19">
        <v>6.8666666666666654</v>
      </c>
      <c r="P24" s="19">
        <v>6.5666666666666647</v>
      </c>
      <c r="Q24" s="19">
        <v>5.7333333333333325</v>
      </c>
      <c r="R24" s="19">
        <v>5.0333333333333332</v>
      </c>
      <c r="S24" s="19">
        <v>4.25</v>
      </c>
      <c r="T24" s="19">
        <v>4.0666666666666647</v>
      </c>
      <c r="U24" s="19">
        <v>3.8083333333333322</v>
      </c>
      <c r="V24" s="19">
        <v>3.3833333333333329</v>
      </c>
      <c r="W24" s="19">
        <v>6.5166666666666648</v>
      </c>
      <c r="X24" s="19">
        <v>5.2</v>
      </c>
      <c r="Y24" s="19">
        <v>2.966666666666665</v>
      </c>
      <c r="Z24" s="19">
        <v>2.1916666666666673</v>
      </c>
      <c r="AA24" s="19">
        <v>3.0333333333333323</v>
      </c>
      <c r="AB24" s="96"/>
      <c r="AC24" s="36" t="str">
        <f>Table11[[#This Row],[State]]</f>
        <v>Maryland</v>
      </c>
      <c r="AD24" s="27">
        <v>6.43333333333333</v>
      </c>
      <c r="AE24" s="27">
        <v>7</v>
      </c>
      <c r="AF24" s="27">
        <v>7.3333333333333304</v>
      </c>
      <c r="AG24" s="27">
        <v>7.7666666666666702</v>
      </c>
      <c r="AH24" s="27">
        <v>7.9666666666666703</v>
      </c>
      <c r="AI24" s="27">
        <v>7.8</v>
      </c>
      <c r="AJ24" s="27">
        <v>7.7</v>
      </c>
      <c r="AK24" s="27">
        <v>7.6</v>
      </c>
      <c r="AL24" s="27">
        <v>7.3666666666666698</v>
      </c>
      <c r="AM24" s="27">
        <v>7.3333333333333304</v>
      </c>
      <c r="AN24" s="27">
        <v>7.3333333333333304</v>
      </c>
      <c r="AO24" s="27">
        <v>7.1</v>
      </c>
      <c r="AP24" s="27">
        <v>6.93333333333333</v>
      </c>
      <c r="AQ24" s="27">
        <v>6.9</v>
      </c>
      <c r="AR24" s="27">
        <v>6.8333333333333304</v>
      </c>
      <c r="AS24" s="27">
        <v>6.8</v>
      </c>
      <c r="AT24" s="27">
        <v>6.8333333333333304</v>
      </c>
      <c r="AU24" s="27">
        <v>6.7333333333333298</v>
      </c>
      <c r="AV24" s="27">
        <v>6.5</v>
      </c>
      <c r="AW24" s="27">
        <v>6.2</v>
      </c>
      <c r="AX24" s="27">
        <v>5.93333333333333</v>
      </c>
      <c r="AY24" s="27">
        <v>5.8333333333333304</v>
      </c>
      <c r="AZ24" s="27">
        <v>5.7</v>
      </c>
      <c r="BA24" s="27">
        <v>5.4666666666666703</v>
      </c>
      <c r="BB24" s="36" t="str">
        <f t="shared" si="0"/>
        <v>Maryland</v>
      </c>
      <c r="BC24" s="27">
        <v>5.3333333333333304</v>
      </c>
      <c r="BD24" s="27">
        <v>5.1333333333333302</v>
      </c>
      <c r="BE24" s="27">
        <v>4.9666666666666703</v>
      </c>
      <c r="BF24" s="27">
        <v>4.7</v>
      </c>
      <c r="BG24" s="27">
        <v>4.4000000000000004</v>
      </c>
      <c r="BH24" s="27">
        <v>4.2</v>
      </c>
      <c r="BI24" s="27">
        <v>4.2</v>
      </c>
      <c r="BJ24" s="27">
        <v>4.2</v>
      </c>
      <c r="BK24" s="27">
        <v>4.1333333333333302</v>
      </c>
      <c r="BL24" s="27">
        <v>4</v>
      </c>
      <c r="BM24" s="27">
        <v>4.0333333333333297</v>
      </c>
      <c r="BN24" s="27">
        <v>4.0999999999999996</v>
      </c>
      <c r="BO24" s="27">
        <v>4.0333333333333297</v>
      </c>
      <c r="BP24" s="27">
        <v>3.8333333333333299</v>
      </c>
      <c r="BQ24" s="27">
        <v>3.7</v>
      </c>
      <c r="BR24" s="27">
        <v>3.6666666666666701</v>
      </c>
      <c r="BS24" s="27">
        <v>3.5333333333333301</v>
      </c>
      <c r="BT24" s="27">
        <v>3.4</v>
      </c>
      <c r="BU24" s="27">
        <v>3.3666666666666698</v>
      </c>
      <c r="BV24" s="27">
        <v>3.2333333333333298</v>
      </c>
      <c r="BW24" s="36" t="str">
        <f>Table13[[#This Row],[State]]</f>
        <v>Maryland</v>
      </c>
      <c r="BX24" s="27">
        <v>3.4</v>
      </c>
      <c r="BY24" s="27">
        <v>8.6333333333333293</v>
      </c>
      <c r="BZ24" s="27">
        <v>7.4</v>
      </c>
      <c r="CA24" s="27">
        <v>6.6333333333333302</v>
      </c>
      <c r="CB24" s="27">
        <v>6.2333333333333298</v>
      </c>
      <c r="CC24" s="27">
        <v>5.7333333333333298</v>
      </c>
      <c r="CD24" s="27">
        <v>4.9666666666666703</v>
      </c>
      <c r="CE24" s="27">
        <v>3.8666666666666698</v>
      </c>
      <c r="CF24" s="27">
        <v>3.3</v>
      </c>
      <c r="CG24" s="27">
        <v>3.0333333333333301</v>
      </c>
      <c r="CH24" s="27">
        <v>2.93333333333333</v>
      </c>
      <c r="CI24" s="27">
        <v>2.6</v>
      </c>
      <c r="CJ24" s="27">
        <v>2.1666666666666701</v>
      </c>
      <c r="CK24" s="27">
        <v>1.9</v>
      </c>
      <c r="CL24" s="27">
        <v>2.1666666666666701</v>
      </c>
      <c r="CM24" s="27">
        <v>2.5333333333333301</v>
      </c>
      <c r="CN24" s="27">
        <v>2.8</v>
      </c>
      <c r="CO24" s="27">
        <v>3</v>
      </c>
      <c r="CP24" s="27">
        <v>3.2</v>
      </c>
      <c r="CQ24" s="27">
        <v>3.1333333333333302</v>
      </c>
      <c r="CR24" s="79" t="str">
        <f>Table13[[#This Row],[ State]]</f>
        <v>Maryland</v>
      </c>
      <c r="CS24" s="27">
        <v>3</v>
      </c>
      <c r="CT24" s="27">
        <v>3.2</v>
      </c>
      <c r="CU24" s="27">
        <v>3.6</v>
      </c>
      <c r="CV24" s="111"/>
      <c r="CW24" s="41" t="s">
        <v>204</v>
      </c>
      <c r="CX24" s="47">
        <v>7.4</v>
      </c>
      <c r="CY24" s="48">
        <v>7.4</v>
      </c>
      <c r="CZ24" s="48">
        <v>7.3</v>
      </c>
      <c r="DA24" s="48">
        <v>7.3</v>
      </c>
      <c r="DB24" s="48">
        <v>7.3</v>
      </c>
      <c r="DC24" s="48">
        <v>7.4</v>
      </c>
      <c r="DD24" s="48">
        <v>7.4</v>
      </c>
      <c r="DE24" s="48">
        <v>7.3</v>
      </c>
      <c r="DF24" s="48">
        <v>7.3</v>
      </c>
      <c r="DG24" s="48">
        <v>7.2</v>
      </c>
      <c r="DH24" s="48">
        <v>7.1</v>
      </c>
      <c r="DI24" s="48">
        <v>7</v>
      </c>
      <c r="DJ24" s="48">
        <v>7</v>
      </c>
      <c r="DK24" s="48">
        <v>6.9</v>
      </c>
      <c r="DL24" s="48">
        <v>6.9</v>
      </c>
      <c r="DM24" s="48">
        <v>6.9</v>
      </c>
      <c r="DN24" s="48">
        <v>6.9</v>
      </c>
      <c r="DO24" s="48">
        <v>6.9</v>
      </c>
      <c r="DP24" s="48">
        <v>6.9</v>
      </c>
      <c r="DQ24" s="48">
        <v>6.8</v>
      </c>
      <c r="DR24" s="48">
        <v>6.8</v>
      </c>
      <c r="DS24" s="48">
        <v>6.8</v>
      </c>
      <c r="DT24" s="48">
        <v>6.8</v>
      </c>
      <c r="DU24" s="62">
        <v>6.8</v>
      </c>
      <c r="DV24" s="49" t="s">
        <v>204</v>
      </c>
      <c r="DW24" s="48">
        <v>6.8</v>
      </c>
      <c r="DX24" s="48">
        <v>6.9</v>
      </c>
      <c r="DY24" s="48">
        <v>6.8</v>
      </c>
      <c r="DZ24" s="48">
        <v>6.8</v>
      </c>
      <c r="EA24" s="48">
        <v>6.7</v>
      </c>
      <c r="EB24" s="48">
        <v>6.7</v>
      </c>
      <c r="EC24" s="48">
        <v>6.6</v>
      </c>
      <c r="ED24" s="48">
        <v>6.5</v>
      </c>
      <c r="EE24" s="48">
        <v>6.4</v>
      </c>
      <c r="EF24" s="48">
        <v>6.3</v>
      </c>
      <c r="EG24" s="50">
        <v>6.2</v>
      </c>
      <c r="EH24" s="50">
        <v>6.1</v>
      </c>
      <c r="EI24" s="50">
        <v>6</v>
      </c>
      <c r="EJ24" s="50">
        <v>5.9</v>
      </c>
      <c r="EK24" s="48">
        <v>5.9</v>
      </c>
      <c r="EL24" s="50">
        <v>5.9</v>
      </c>
      <c r="EM24" s="50">
        <v>5.8</v>
      </c>
      <c r="EN24" s="50">
        <v>5.8</v>
      </c>
      <c r="EO24" s="50">
        <v>5.8</v>
      </c>
      <c r="EP24" s="50">
        <v>5.7</v>
      </c>
      <c r="EQ24" s="50">
        <v>5.6</v>
      </c>
      <c r="ER24" s="48">
        <v>5.5</v>
      </c>
      <c r="ES24" s="50">
        <v>5.5</v>
      </c>
      <c r="ET24" s="51">
        <v>5.4</v>
      </c>
      <c r="EU24" s="49" t="s">
        <v>204</v>
      </c>
      <c r="EV24" s="48">
        <v>5.4</v>
      </c>
      <c r="EW24" s="50">
        <v>5.3</v>
      </c>
      <c r="EX24" s="50">
        <v>5.3</v>
      </c>
      <c r="EY24" s="50">
        <v>5.2</v>
      </c>
      <c r="EZ24" s="50">
        <v>5.0999999999999996</v>
      </c>
      <c r="FA24" s="50">
        <v>5.0999999999999996</v>
      </c>
      <c r="FB24" s="50">
        <v>5</v>
      </c>
      <c r="FC24" s="50">
        <v>5</v>
      </c>
      <c r="FD24" s="50">
        <v>4.9000000000000004</v>
      </c>
      <c r="FE24" s="50">
        <v>4.8</v>
      </c>
      <c r="FF24" s="50">
        <v>4.7</v>
      </c>
      <c r="FG24" s="50">
        <v>4.5999999999999996</v>
      </c>
      <c r="FH24" s="50">
        <v>4.5</v>
      </c>
      <c r="FI24" s="50">
        <v>4.4000000000000004</v>
      </c>
      <c r="FJ24" s="50">
        <v>4.3</v>
      </c>
      <c r="FK24" s="50">
        <v>4.2</v>
      </c>
      <c r="FL24" s="50">
        <v>4.2</v>
      </c>
      <c r="FM24" s="50">
        <v>4.2</v>
      </c>
      <c r="FN24" s="50">
        <v>4.2</v>
      </c>
      <c r="FO24" s="50">
        <v>4.2</v>
      </c>
      <c r="FP24" s="50">
        <v>4.2</v>
      </c>
      <c r="FQ24" s="50">
        <v>4.2</v>
      </c>
      <c r="FR24" s="50">
        <v>4.2</v>
      </c>
      <c r="FS24" s="51">
        <v>4.2</v>
      </c>
      <c r="FT24" s="49" t="s">
        <v>204</v>
      </c>
      <c r="FU24" s="48">
        <v>4.2</v>
      </c>
      <c r="FV24" s="50">
        <v>4.0999999999999996</v>
      </c>
      <c r="FW24" s="50">
        <v>4.0999999999999996</v>
      </c>
      <c r="FX24" s="50">
        <v>4</v>
      </c>
      <c r="FY24" s="50">
        <v>4</v>
      </c>
      <c r="FZ24" s="50">
        <v>4</v>
      </c>
      <c r="GA24" s="50">
        <v>4</v>
      </c>
      <c r="GB24" s="50">
        <v>4</v>
      </c>
      <c r="GC24" s="50">
        <v>4.0999999999999996</v>
      </c>
      <c r="GD24" s="50">
        <v>4.0999999999999996</v>
      </c>
      <c r="GE24" s="50">
        <v>4.0999999999999996</v>
      </c>
      <c r="GF24" s="50">
        <v>4.0999999999999996</v>
      </c>
      <c r="GG24" s="50">
        <v>4.0999999999999996</v>
      </c>
      <c r="GH24" s="50">
        <v>4</v>
      </c>
      <c r="GI24" s="50">
        <v>4</v>
      </c>
      <c r="GJ24" s="50">
        <v>3.9</v>
      </c>
      <c r="GK24" s="50">
        <v>3.8</v>
      </c>
      <c r="GL24" s="50">
        <v>3.8</v>
      </c>
      <c r="GM24" s="50">
        <v>3.7</v>
      </c>
      <c r="GN24" s="50">
        <v>3.7</v>
      </c>
      <c r="GO24" s="50">
        <v>3.7</v>
      </c>
      <c r="GP24" s="50">
        <v>3.7</v>
      </c>
      <c r="GQ24" s="50">
        <v>3.7</v>
      </c>
      <c r="GR24" s="50">
        <v>3.6</v>
      </c>
      <c r="GS24" s="49" t="s">
        <v>204</v>
      </c>
      <c r="GT24" s="50">
        <v>3.6</v>
      </c>
      <c r="GU24" s="50">
        <v>3.5</v>
      </c>
      <c r="GV24" s="50">
        <v>3.5</v>
      </c>
      <c r="GW24" s="50">
        <v>3.4</v>
      </c>
      <c r="GX24" s="50">
        <v>3.4</v>
      </c>
      <c r="GY24" s="50">
        <v>3.4</v>
      </c>
      <c r="GZ24" s="50">
        <v>3.4</v>
      </c>
      <c r="HA24" s="50">
        <v>3.4</v>
      </c>
      <c r="HB24" s="50">
        <v>3.3</v>
      </c>
      <c r="HC24" s="50">
        <v>3.3</v>
      </c>
      <c r="HD24" s="50">
        <v>3.2</v>
      </c>
      <c r="HE24" s="50">
        <v>3.2</v>
      </c>
      <c r="HF24" s="50">
        <v>3.3</v>
      </c>
      <c r="HG24" s="50">
        <v>3.4</v>
      </c>
      <c r="HH24" s="50">
        <v>3.5</v>
      </c>
      <c r="HI24" s="50">
        <v>9</v>
      </c>
      <c r="HJ24" s="50">
        <v>8.8000000000000007</v>
      </c>
      <c r="HK24" s="50">
        <v>8.1</v>
      </c>
      <c r="HL24" s="50">
        <v>7.9</v>
      </c>
      <c r="HM24" s="50">
        <v>7.2</v>
      </c>
      <c r="HN24" s="50">
        <v>7.1</v>
      </c>
      <c r="HO24" s="50">
        <v>6.7</v>
      </c>
      <c r="HP24" s="50">
        <v>6.6</v>
      </c>
      <c r="HQ24" s="51">
        <v>6.6</v>
      </c>
      <c r="HR24" s="49" t="s">
        <v>204</v>
      </c>
      <c r="HS24" s="50">
        <v>6.4</v>
      </c>
      <c r="HT24" s="50">
        <v>6.2</v>
      </c>
      <c r="HU24" s="50">
        <v>6.1</v>
      </c>
      <c r="HV24" s="50">
        <v>5.9</v>
      </c>
      <c r="HW24" s="50">
        <v>5.7</v>
      </c>
      <c r="HX24" s="50">
        <v>5.6</v>
      </c>
      <c r="HY24" s="50">
        <v>5.3</v>
      </c>
      <c r="HZ24" s="50">
        <v>5</v>
      </c>
      <c r="IA24" s="50">
        <v>4.5999999999999996</v>
      </c>
      <c r="IB24" s="50">
        <v>4.2</v>
      </c>
      <c r="IC24" s="50">
        <v>3.9</v>
      </c>
      <c r="ID24" s="50">
        <v>3.5</v>
      </c>
      <c r="IE24" s="50">
        <v>3.5</v>
      </c>
      <c r="IF24" s="50">
        <v>3.3</v>
      </c>
      <c r="IG24" s="50">
        <v>3.1</v>
      </c>
      <c r="IH24" s="50">
        <v>3.1</v>
      </c>
      <c r="II24" s="50">
        <v>3</v>
      </c>
      <c r="IJ24" s="50">
        <v>3</v>
      </c>
      <c r="IK24" s="50">
        <v>3</v>
      </c>
      <c r="IL24" s="50">
        <v>3</v>
      </c>
      <c r="IM24" s="50">
        <v>2.8</v>
      </c>
      <c r="IN24" s="50">
        <v>2.8</v>
      </c>
      <c r="IO24" s="50">
        <v>2.6</v>
      </c>
      <c r="IP24" s="51">
        <v>2.4</v>
      </c>
      <c r="IQ24" s="49" t="s">
        <v>204</v>
      </c>
      <c r="IR24" s="50">
        <v>2.2999999999999998</v>
      </c>
      <c r="IS24" s="50">
        <v>2.2000000000000002</v>
      </c>
      <c r="IT24" s="50">
        <v>2</v>
      </c>
      <c r="IU24" s="50">
        <v>1.9</v>
      </c>
      <c r="IV24" s="50">
        <v>1.9</v>
      </c>
      <c r="IW24" s="50">
        <v>1.9</v>
      </c>
      <c r="IX24" s="50">
        <v>2</v>
      </c>
      <c r="IY24" s="50">
        <v>2.2000000000000002</v>
      </c>
      <c r="IZ24" s="50">
        <v>2.2999999999999998</v>
      </c>
      <c r="JA24" s="50">
        <v>2.4</v>
      </c>
      <c r="JB24" s="50">
        <v>2.5</v>
      </c>
      <c r="JC24" s="50">
        <v>2.7</v>
      </c>
      <c r="JD24" s="50">
        <v>2.7</v>
      </c>
      <c r="JE24" s="50">
        <v>2.8</v>
      </c>
      <c r="JF24" s="50">
        <v>2.9</v>
      </c>
      <c r="JG24" s="50">
        <v>2.9</v>
      </c>
      <c r="JH24" s="50">
        <v>3</v>
      </c>
      <c r="JI24" s="50">
        <v>3.1</v>
      </c>
      <c r="JJ24" s="50">
        <v>3.2</v>
      </c>
      <c r="JK24" s="50">
        <v>3.2</v>
      </c>
      <c r="JL24" s="50">
        <v>3.2</v>
      </c>
      <c r="JM24" s="50">
        <v>3.2</v>
      </c>
      <c r="JN24" s="50">
        <v>3.1</v>
      </c>
      <c r="JO24" s="51">
        <v>3.1</v>
      </c>
      <c r="JP24" s="49" t="s">
        <v>204</v>
      </c>
      <c r="JQ24" s="80">
        <v>3</v>
      </c>
      <c r="JR24" s="80">
        <v>3</v>
      </c>
      <c r="JS24" s="80">
        <v>3</v>
      </c>
      <c r="JT24" s="80">
        <v>3.1</v>
      </c>
      <c r="JU24" s="80">
        <v>3.2</v>
      </c>
      <c r="JV24" s="80">
        <v>3.3</v>
      </c>
      <c r="JW24" s="80">
        <v>3.4</v>
      </c>
      <c r="JX24" s="80">
        <v>3.6</v>
      </c>
      <c r="JY24" s="80">
        <v>3.8</v>
      </c>
      <c r="JZ24" s="80" t="s">
        <v>402</v>
      </c>
      <c r="KA24" s="81">
        <v>4.2</v>
      </c>
    </row>
    <row r="25" spans="2:287" x14ac:dyDescent="0.3">
      <c r="B25" s="39" t="s">
        <v>205</v>
      </c>
      <c r="C25" s="17">
        <v>2.8083333333333327</v>
      </c>
      <c r="D25" s="17">
        <v>3.7916666666666674</v>
      </c>
      <c r="E25" s="17">
        <v>5.2416666666666671</v>
      </c>
      <c r="F25" s="17">
        <v>5.7416666666666671</v>
      </c>
      <c r="G25" s="17">
        <v>5.1333333333333329</v>
      </c>
      <c r="H25" s="17">
        <v>4.7916666666666679</v>
      </c>
      <c r="I25" s="17">
        <v>4.6916666666666682</v>
      </c>
      <c r="J25" s="17">
        <v>4.5166666666666675</v>
      </c>
      <c r="K25" s="17">
        <v>5.3166666666666647</v>
      </c>
      <c r="L25" s="17">
        <v>8.15</v>
      </c>
      <c r="M25" s="17">
        <v>8.1</v>
      </c>
      <c r="N25" s="17">
        <v>7.2333333333333325</v>
      </c>
      <c r="O25" s="19">
        <v>6.7</v>
      </c>
      <c r="P25" s="19">
        <v>6.658333333333335</v>
      </c>
      <c r="Q25" s="19">
        <v>5.7583333333333346</v>
      </c>
      <c r="R25" s="19">
        <v>4.8</v>
      </c>
      <c r="S25" s="19">
        <v>4.0166666666666675</v>
      </c>
      <c r="T25" s="19">
        <v>3.8333333333333348</v>
      </c>
      <c r="U25" s="19">
        <v>3.458333333333333</v>
      </c>
      <c r="V25" s="19">
        <v>3.05</v>
      </c>
      <c r="W25" s="19">
        <v>9.3416666666666597</v>
      </c>
      <c r="X25" s="19">
        <v>5.2916666666666652</v>
      </c>
      <c r="Y25" s="19">
        <v>3.625</v>
      </c>
      <c r="Z25" s="19">
        <v>3.4916666666666671</v>
      </c>
      <c r="AA25" s="19">
        <v>4.0083333333333346</v>
      </c>
      <c r="AB25" s="96"/>
      <c r="AC25" s="35" t="str">
        <f>Table11[[#This Row],[State]]</f>
        <v>Massachusetts</v>
      </c>
      <c r="AD25" s="17">
        <v>7.4</v>
      </c>
      <c r="AE25" s="17">
        <v>8.1333333333333293</v>
      </c>
      <c r="AF25" s="17">
        <v>8.4666666666666703</v>
      </c>
      <c r="AG25" s="17">
        <v>8.6</v>
      </c>
      <c r="AH25" s="17">
        <v>8.5</v>
      </c>
      <c r="AI25" s="17">
        <v>8.1999999999999993</v>
      </c>
      <c r="AJ25" s="17">
        <v>7.93333333333333</v>
      </c>
      <c r="AK25" s="17">
        <v>7.7666666666666702</v>
      </c>
      <c r="AL25" s="17">
        <v>7.5333333333333297</v>
      </c>
      <c r="AM25" s="17">
        <v>7.3333333333333304</v>
      </c>
      <c r="AN25" s="19">
        <v>7.1666666666666696</v>
      </c>
      <c r="AO25" s="19">
        <v>6.9</v>
      </c>
      <c r="AP25" s="19">
        <v>6.7</v>
      </c>
      <c r="AQ25" s="19">
        <v>6.7</v>
      </c>
      <c r="AR25" s="19">
        <v>6.7</v>
      </c>
      <c r="AS25" s="19">
        <v>6.7</v>
      </c>
      <c r="AT25" s="19">
        <v>6.7666666666666702</v>
      </c>
      <c r="AU25" s="19">
        <v>6.8</v>
      </c>
      <c r="AV25" s="17">
        <v>6.6666666666666696</v>
      </c>
      <c r="AW25" s="17">
        <v>6.4</v>
      </c>
      <c r="AX25" s="17">
        <v>6.1</v>
      </c>
      <c r="AY25" s="17">
        <v>5.8666666666666698</v>
      </c>
      <c r="AZ25" s="17">
        <v>5.6666666666666696</v>
      </c>
      <c r="BA25" s="17">
        <v>5.4</v>
      </c>
      <c r="BB25" s="35" t="str">
        <f t="shared" si="0"/>
        <v>Massachusetts</v>
      </c>
      <c r="BC25" s="19">
        <v>5.0999999999999996</v>
      </c>
      <c r="BD25" s="19">
        <v>4.9000000000000004</v>
      </c>
      <c r="BE25" s="19">
        <v>4.6666666666666696</v>
      </c>
      <c r="BF25" s="19">
        <v>4.5333333333333297</v>
      </c>
      <c r="BG25" s="17">
        <v>4.3</v>
      </c>
      <c r="BH25" s="17">
        <v>4.06666666666667</v>
      </c>
      <c r="BI25" s="17">
        <v>3.8666666666666698</v>
      </c>
      <c r="BJ25" s="17">
        <v>3.8333333333333299</v>
      </c>
      <c r="BK25" s="17">
        <v>3.9</v>
      </c>
      <c r="BL25" s="17">
        <v>3.8666666666666698</v>
      </c>
      <c r="BM25" s="17">
        <v>3.8</v>
      </c>
      <c r="BN25" s="17">
        <v>3.7666666666666702</v>
      </c>
      <c r="BO25" s="17">
        <v>3.6333333333333302</v>
      </c>
      <c r="BP25" s="17">
        <v>3.5333333333333301</v>
      </c>
      <c r="BQ25" s="17">
        <v>3.3666666666666698</v>
      </c>
      <c r="BR25" s="17">
        <v>3.3</v>
      </c>
      <c r="BS25" s="17">
        <v>3.1666666666666701</v>
      </c>
      <c r="BT25" s="17">
        <v>3.0333333333333301</v>
      </c>
      <c r="BU25" s="17">
        <v>3</v>
      </c>
      <c r="BV25" s="17">
        <v>3</v>
      </c>
      <c r="BW25" s="35" t="str">
        <f>Table13[[#This Row],[State]]</f>
        <v>Massachusetts</v>
      </c>
      <c r="BX25" s="17">
        <v>3.06666666666667</v>
      </c>
      <c r="BY25" s="17">
        <v>15.6</v>
      </c>
      <c r="BZ25" s="17">
        <v>10.8333333333333</v>
      </c>
      <c r="CA25" s="17">
        <v>7.8666666666666698</v>
      </c>
      <c r="CB25" s="17">
        <v>6.43333333333333</v>
      </c>
      <c r="CC25" s="17">
        <v>5.6666666666666696</v>
      </c>
      <c r="CD25" s="17">
        <v>4.93333333333333</v>
      </c>
      <c r="CE25" s="17">
        <v>4.1333333333333302</v>
      </c>
      <c r="CF25" s="17">
        <v>3.7</v>
      </c>
      <c r="CG25" s="17">
        <v>3.6</v>
      </c>
      <c r="CH25" s="17">
        <v>3.6333333333333302</v>
      </c>
      <c r="CI25" s="17">
        <v>3.56666666666667</v>
      </c>
      <c r="CJ25" s="17">
        <v>3.5</v>
      </c>
      <c r="CK25" s="17">
        <v>3.3666666666666698</v>
      </c>
      <c r="CL25" s="17">
        <v>3.4666666666666699</v>
      </c>
      <c r="CM25" s="17">
        <v>3.6333333333333302</v>
      </c>
      <c r="CN25" s="17">
        <v>3.7666666666666702</v>
      </c>
      <c r="CO25" s="17">
        <v>3.9666666666666699</v>
      </c>
      <c r="CP25" s="17">
        <v>4.1666666666666696</v>
      </c>
      <c r="CQ25" s="17">
        <v>4.1333333333333302</v>
      </c>
      <c r="CR25" s="42" t="str">
        <f>Table13[[#This Row],[ State]]</f>
        <v>Massachusetts</v>
      </c>
      <c r="CS25" s="17">
        <v>4.3</v>
      </c>
      <c r="CT25" s="17">
        <v>4.7333333333333298</v>
      </c>
      <c r="CU25" s="17">
        <v>4.7666666666666702</v>
      </c>
      <c r="CV25" s="111"/>
      <c r="CW25" s="42" t="s">
        <v>205</v>
      </c>
      <c r="CX25" s="52">
        <v>7.6</v>
      </c>
      <c r="CY25" s="53">
        <v>7.5</v>
      </c>
      <c r="CZ25" s="53">
        <v>7.5</v>
      </c>
      <c r="DA25" s="53">
        <v>7.4</v>
      </c>
      <c r="DB25" s="53">
        <v>7.3</v>
      </c>
      <c r="DC25" s="53">
        <v>7.3</v>
      </c>
      <c r="DD25" s="53">
        <v>7.2</v>
      </c>
      <c r="DE25" s="53">
        <v>7.2</v>
      </c>
      <c r="DF25" s="53">
        <v>7.1</v>
      </c>
      <c r="DG25" s="53">
        <v>7</v>
      </c>
      <c r="DH25" s="53">
        <v>6.9</v>
      </c>
      <c r="DI25" s="53">
        <v>6.8</v>
      </c>
      <c r="DJ25" s="53">
        <v>6.7</v>
      </c>
      <c r="DK25" s="53">
        <v>6.7</v>
      </c>
      <c r="DL25" s="53">
        <v>6.7</v>
      </c>
      <c r="DM25" s="53">
        <v>6.7</v>
      </c>
      <c r="DN25" s="53">
        <v>6.7</v>
      </c>
      <c r="DO25" s="53">
        <v>6.7</v>
      </c>
      <c r="DP25" s="53">
        <v>6.7</v>
      </c>
      <c r="DQ25" s="53">
        <v>6.7</v>
      </c>
      <c r="DR25" s="53">
        <v>6.7</v>
      </c>
      <c r="DS25" s="53">
        <v>6.7</v>
      </c>
      <c r="DT25" s="53">
        <v>6.7</v>
      </c>
      <c r="DU25" s="63">
        <v>6.7</v>
      </c>
      <c r="DV25" s="54" t="s">
        <v>205</v>
      </c>
      <c r="DW25" s="53">
        <v>6.7</v>
      </c>
      <c r="DX25" s="53">
        <v>6.8</v>
      </c>
      <c r="DY25" s="53">
        <v>6.8</v>
      </c>
      <c r="DZ25" s="53">
        <v>6.8</v>
      </c>
      <c r="EA25" s="53">
        <v>6.8</v>
      </c>
      <c r="EB25" s="53">
        <v>6.8</v>
      </c>
      <c r="EC25" s="53">
        <v>6.7</v>
      </c>
      <c r="ED25" s="53">
        <v>6.7</v>
      </c>
      <c r="EE25" s="53">
        <v>6.6</v>
      </c>
      <c r="EF25" s="53">
        <v>6.5</v>
      </c>
      <c r="EG25" s="55">
        <v>6.4</v>
      </c>
      <c r="EH25" s="55">
        <v>6.3</v>
      </c>
      <c r="EI25" s="55">
        <v>6.2</v>
      </c>
      <c r="EJ25" s="55">
        <v>6.1</v>
      </c>
      <c r="EK25" s="53">
        <v>6</v>
      </c>
      <c r="EL25" s="55">
        <v>5.9</v>
      </c>
      <c r="EM25" s="55">
        <v>5.9</v>
      </c>
      <c r="EN25" s="55">
        <v>5.8</v>
      </c>
      <c r="EO25" s="55">
        <v>5.7</v>
      </c>
      <c r="EP25" s="55">
        <v>5.7</v>
      </c>
      <c r="EQ25" s="55">
        <v>5.6</v>
      </c>
      <c r="ER25" s="53">
        <v>5.5</v>
      </c>
      <c r="ES25" s="55">
        <v>5.4</v>
      </c>
      <c r="ET25" s="56">
        <v>5.3</v>
      </c>
      <c r="EU25" s="54" t="s">
        <v>205</v>
      </c>
      <c r="EV25" s="53">
        <v>5.2</v>
      </c>
      <c r="EW25" s="55">
        <v>5.0999999999999996</v>
      </c>
      <c r="EX25" s="55">
        <v>5</v>
      </c>
      <c r="EY25" s="55">
        <v>5</v>
      </c>
      <c r="EZ25" s="55">
        <v>4.9000000000000004</v>
      </c>
      <c r="FA25" s="55">
        <v>4.8</v>
      </c>
      <c r="FB25" s="55">
        <v>4.7</v>
      </c>
      <c r="FC25" s="55">
        <v>4.7</v>
      </c>
      <c r="FD25" s="55">
        <v>4.5999999999999996</v>
      </c>
      <c r="FE25" s="55">
        <v>4.5999999999999996</v>
      </c>
      <c r="FF25" s="55">
        <v>4.5</v>
      </c>
      <c r="FG25" s="55">
        <v>4.5</v>
      </c>
      <c r="FH25" s="55">
        <v>4.4000000000000004</v>
      </c>
      <c r="FI25" s="55">
        <v>4.3</v>
      </c>
      <c r="FJ25" s="55">
        <v>4.2</v>
      </c>
      <c r="FK25" s="55">
        <v>4.0999999999999996</v>
      </c>
      <c r="FL25" s="55">
        <v>4.0999999999999996</v>
      </c>
      <c r="FM25" s="55">
        <v>4</v>
      </c>
      <c r="FN25" s="55">
        <v>3.9</v>
      </c>
      <c r="FO25" s="55">
        <v>3.9</v>
      </c>
      <c r="FP25" s="55">
        <v>3.8</v>
      </c>
      <c r="FQ25" s="55">
        <v>3.8</v>
      </c>
      <c r="FR25" s="55">
        <v>3.8</v>
      </c>
      <c r="FS25" s="56">
        <v>3.9</v>
      </c>
      <c r="FT25" s="54" t="s">
        <v>205</v>
      </c>
      <c r="FU25" s="53">
        <v>3.9</v>
      </c>
      <c r="FV25" s="55">
        <v>3.9</v>
      </c>
      <c r="FW25" s="55">
        <v>3.9</v>
      </c>
      <c r="FX25" s="55">
        <v>3.9</v>
      </c>
      <c r="FY25" s="55">
        <v>3.9</v>
      </c>
      <c r="FZ25" s="55">
        <v>3.8</v>
      </c>
      <c r="GA25" s="55">
        <v>3.8</v>
      </c>
      <c r="GB25" s="55">
        <v>3.8</v>
      </c>
      <c r="GC25" s="55">
        <v>3.8</v>
      </c>
      <c r="GD25" s="55">
        <v>3.8</v>
      </c>
      <c r="GE25" s="55">
        <v>3.8</v>
      </c>
      <c r="GF25" s="55">
        <v>3.7</v>
      </c>
      <c r="GG25" s="55">
        <v>3.7</v>
      </c>
      <c r="GH25" s="55">
        <v>3.6</v>
      </c>
      <c r="GI25" s="55">
        <v>3.6</v>
      </c>
      <c r="GJ25" s="55">
        <v>3.6</v>
      </c>
      <c r="GK25" s="55">
        <v>3.5</v>
      </c>
      <c r="GL25" s="55">
        <v>3.5</v>
      </c>
      <c r="GM25" s="55">
        <v>3.4</v>
      </c>
      <c r="GN25" s="55">
        <v>3.4</v>
      </c>
      <c r="GO25" s="55">
        <v>3.3</v>
      </c>
      <c r="GP25" s="55">
        <v>3.3</v>
      </c>
      <c r="GQ25" s="55">
        <v>3.3</v>
      </c>
      <c r="GR25" s="55">
        <v>3.3</v>
      </c>
      <c r="GS25" s="54" t="s">
        <v>205</v>
      </c>
      <c r="GT25" s="55">
        <v>3.2</v>
      </c>
      <c r="GU25" s="55">
        <v>3.2</v>
      </c>
      <c r="GV25" s="55">
        <v>3.1</v>
      </c>
      <c r="GW25" s="55">
        <v>3.1</v>
      </c>
      <c r="GX25" s="55">
        <v>3</v>
      </c>
      <c r="GY25" s="55">
        <v>3</v>
      </c>
      <c r="GZ25" s="55">
        <v>3</v>
      </c>
      <c r="HA25" s="55">
        <v>3</v>
      </c>
      <c r="HB25" s="55">
        <v>3</v>
      </c>
      <c r="HC25" s="55">
        <v>3</v>
      </c>
      <c r="HD25" s="55">
        <v>3</v>
      </c>
      <c r="HE25" s="55">
        <v>3</v>
      </c>
      <c r="HF25" s="55">
        <v>3</v>
      </c>
      <c r="HG25" s="55">
        <v>3.1</v>
      </c>
      <c r="HH25" s="55">
        <v>3.1</v>
      </c>
      <c r="HI25" s="55">
        <v>17.8</v>
      </c>
      <c r="HJ25" s="55">
        <v>14.3</v>
      </c>
      <c r="HK25" s="55">
        <v>14.7</v>
      </c>
      <c r="HL25" s="55">
        <v>12.5</v>
      </c>
      <c r="HM25" s="55">
        <v>10.4</v>
      </c>
      <c r="HN25" s="55">
        <v>9.6</v>
      </c>
      <c r="HO25" s="55">
        <v>8.4</v>
      </c>
      <c r="HP25" s="55">
        <v>7.8</v>
      </c>
      <c r="HQ25" s="56">
        <v>7.4</v>
      </c>
      <c r="HR25" s="54" t="s">
        <v>205</v>
      </c>
      <c r="HS25" s="55">
        <v>6.8</v>
      </c>
      <c r="HT25" s="55">
        <v>6.4</v>
      </c>
      <c r="HU25" s="55">
        <v>6.1</v>
      </c>
      <c r="HV25" s="55">
        <v>5.9</v>
      </c>
      <c r="HW25" s="55">
        <v>5.6</v>
      </c>
      <c r="HX25" s="55">
        <v>5.5</v>
      </c>
      <c r="HY25" s="55">
        <v>5.2</v>
      </c>
      <c r="HZ25" s="55">
        <v>5</v>
      </c>
      <c r="IA25" s="55">
        <v>4.5999999999999996</v>
      </c>
      <c r="IB25" s="55">
        <v>4.4000000000000004</v>
      </c>
      <c r="IC25" s="55">
        <v>4.0999999999999996</v>
      </c>
      <c r="ID25" s="55">
        <v>3.9</v>
      </c>
      <c r="IE25" s="55">
        <v>3.8</v>
      </c>
      <c r="IF25" s="55">
        <v>3.7</v>
      </c>
      <c r="IG25" s="55">
        <v>3.6</v>
      </c>
      <c r="IH25" s="55">
        <v>3.6</v>
      </c>
      <c r="II25" s="55">
        <v>3.6</v>
      </c>
      <c r="IJ25" s="55">
        <v>3.6</v>
      </c>
      <c r="IK25" s="55">
        <v>3.6</v>
      </c>
      <c r="IL25" s="55">
        <v>3.7</v>
      </c>
      <c r="IM25" s="55">
        <v>3.6</v>
      </c>
      <c r="IN25" s="55">
        <v>3.6</v>
      </c>
      <c r="IO25" s="55">
        <v>3.6</v>
      </c>
      <c r="IP25" s="56">
        <v>3.5</v>
      </c>
      <c r="IQ25" s="54" t="s">
        <v>205</v>
      </c>
      <c r="IR25" s="55">
        <v>3.5</v>
      </c>
      <c r="IS25" s="55">
        <v>3.5</v>
      </c>
      <c r="IT25" s="55">
        <v>3.5</v>
      </c>
      <c r="IU25" s="55">
        <v>3.3</v>
      </c>
      <c r="IV25" s="55">
        <v>3.4</v>
      </c>
      <c r="IW25" s="55">
        <v>3.4</v>
      </c>
      <c r="IX25" s="55">
        <v>3.4</v>
      </c>
      <c r="IY25" s="55">
        <v>3.5</v>
      </c>
      <c r="IZ25" s="55">
        <v>3.5</v>
      </c>
      <c r="JA25" s="55">
        <v>3.6</v>
      </c>
      <c r="JB25" s="55">
        <v>3.6</v>
      </c>
      <c r="JC25" s="55">
        <v>3.7</v>
      </c>
      <c r="JD25" s="55">
        <v>3.7</v>
      </c>
      <c r="JE25" s="55">
        <v>3.8</v>
      </c>
      <c r="JF25" s="55">
        <v>3.8</v>
      </c>
      <c r="JG25" s="55">
        <v>3.9</v>
      </c>
      <c r="JH25" s="55">
        <v>4</v>
      </c>
      <c r="JI25" s="55">
        <v>4</v>
      </c>
      <c r="JJ25" s="55">
        <v>4.0999999999999996</v>
      </c>
      <c r="JK25" s="55">
        <v>4.2</v>
      </c>
      <c r="JL25" s="55">
        <v>4.2</v>
      </c>
      <c r="JM25" s="55">
        <v>4.2</v>
      </c>
      <c r="JN25" s="55">
        <v>4.0999999999999996</v>
      </c>
      <c r="JO25" s="56">
        <v>4.0999999999999996</v>
      </c>
      <c r="JP25" s="54" t="s">
        <v>205</v>
      </c>
      <c r="JQ25" s="82">
        <v>4.2</v>
      </c>
      <c r="JR25" s="82">
        <v>4.3</v>
      </c>
      <c r="JS25" s="82">
        <v>4.4000000000000004</v>
      </c>
      <c r="JT25" s="82">
        <v>4.5999999999999996</v>
      </c>
      <c r="JU25" s="82">
        <v>4.8</v>
      </c>
      <c r="JV25" s="82">
        <v>4.8</v>
      </c>
      <c r="JW25" s="82">
        <v>4.8</v>
      </c>
      <c r="JX25" s="82">
        <v>4.8</v>
      </c>
      <c r="JY25" s="82">
        <v>4.7</v>
      </c>
      <c r="JZ25" s="82" t="s">
        <v>402</v>
      </c>
      <c r="KA25" s="83">
        <v>4.7</v>
      </c>
    </row>
    <row r="26" spans="2:287" x14ac:dyDescent="0.3">
      <c r="B26" s="39" t="s">
        <v>206</v>
      </c>
      <c r="C26" s="17">
        <v>3.69166666666667</v>
      </c>
      <c r="D26" s="17">
        <v>5.1499999999999977</v>
      </c>
      <c r="E26" s="17">
        <v>6.1916666666666682</v>
      </c>
      <c r="F26" s="17">
        <v>7.1083333333333325</v>
      </c>
      <c r="G26" s="17">
        <v>6.9416666666666655</v>
      </c>
      <c r="H26" s="17">
        <v>6.7583333333333329</v>
      </c>
      <c r="I26" s="17">
        <v>6.8666666666666671</v>
      </c>
      <c r="J26" s="17">
        <v>7.0666666666666673</v>
      </c>
      <c r="K26" s="17">
        <v>8.2333333333333325</v>
      </c>
      <c r="L26" s="17">
        <v>13.483333333333324</v>
      </c>
      <c r="M26" s="17">
        <v>12.741666666666674</v>
      </c>
      <c r="N26" s="17">
        <v>10.141666666666675</v>
      </c>
      <c r="O26" s="19">
        <v>9.0666666666666647</v>
      </c>
      <c r="P26" s="19">
        <v>8.7333333333333343</v>
      </c>
      <c r="Q26" s="19">
        <v>7.2249999999999996</v>
      </c>
      <c r="R26" s="19">
        <v>5.4166666666666652</v>
      </c>
      <c r="S26" s="19">
        <v>4.9916666666666671</v>
      </c>
      <c r="T26" s="19">
        <v>4.5833333333333348</v>
      </c>
      <c r="U26" s="19">
        <v>4.1666666666666679</v>
      </c>
      <c r="V26" s="19">
        <v>4.0750000000000002</v>
      </c>
      <c r="W26" s="19">
        <v>10.074999999999999</v>
      </c>
      <c r="X26" s="19">
        <v>5.7249999999999996</v>
      </c>
      <c r="Y26" s="19">
        <v>4.1333333333333329</v>
      </c>
      <c r="Z26" s="19">
        <v>3.9</v>
      </c>
      <c r="AA26" s="19">
        <v>4.6916666666666673</v>
      </c>
      <c r="AB26" s="96"/>
      <c r="AC26" s="36" t="str">
        <f>Table11[[#This Row],[State]]</f>
        <v>Michigan</v>
      </c>
      <c r="AD26" s="27">
        <v>11.866666666666699</v>
      </c>
      <c r="AE26" s="27">
        <v>13.8</v>
      </c>
      <c r="AF26" s="27">
        <v>14.233333333333301</v>
      </c>
      <c r="AG26" s="27">
        <v>14.033333333333299</v>
      </c>
      <c r="AH26" s="27">
        <v>13.8</v>
      </c>
      <c r="AI26" s="27">
        <v>13.1666666666667</v>
      </c>
      <c r="AJ26" s="27">
        <v>12.533333333333299</v>
      </c>
      <c r="AK26" s="27">
        <v>11.466666666666701</v>
      </c>
      <c r="AL26" s="27">
        <v>10.533333333333299</v>
      </c>
      <c r="AM26" s="27">
        <v>10.266666666666699</v>
      </c>
      <c r="AN26" s="27">
        <v>10.1666666666667</v>
      </c>
      <c r="AO26" s="27">
        <v>9.6</v>
      </c>
      <c r="AP26" s="27">
        <v>9.1333333333333293</v>
      </c>
      <c r="AQ26" s="27">
        <v>9.1</v>
      </c>
      <c r="AR26" s="27">
        <v>9.0333333333333297</v>
      </c>
      <c r="AS26" s="27">
        <v>9</v>
      </c>
      <c r="AT26" s="27">
        <v>8.9666666666666703</v>
      </c>
      <c r="AU26" s="27">
        <v>8.8333333333333304</v>
      </c>
      <c r="AV26" s="27">
        <v>8.7666666666666693</v>
      </c>
      <c r="AW26" s="27">
        <v>8.3666666666666707</v>
      </c>
      <c r="AX26" s="27">
        <v>7.9666666666666703</v>
      </c>
      <c r="AY26" s="27">
        <v>7.5333333333333297</v>
      </c>
      <c r="AZ26" s="27">
        <v>7</v>
      </c>
      <c r="BA26" s="27">
        <v>6.4</v>
      </c>
      <c r="BB26" s="36" t="str">
        <f t="shared" si="0"/>
        <v>Michigan</v>
      </c>
      <c r="BC26" s="27">
        <v>5.9</v>
      </c>
      <c r="BD26" s="27">
        <v>5.6</v>
      </c>
      <c r="BE26" s="27">
        <v>5.2333333333333298</v>
      </c>
      <c r="BF26" s="27">
        <v>4.93333333333333</v>
      </c>
      <c r="BG26" s="27">
        <v>4.9000000000000004</v>
      </c>
      <c r="BH26" s="27">
        <v>5</v>
      </c>
      <c r="BI26" s="27">
        <v>5</v>
      </c>
      <c r="BJ26" s="27">
        <v>5.06666666666667</v>
      </c>
      <c r="BK26" s="27">
        <v>4.7</v>
      </c>
      <c r="BL26" s="27">
        <v>4.3666666666666698</v>
      </c>
      <c r="BM26" s="27">
        <v>4.5999999999999996</v>
      </c>
      <c r="BN26" s="27">
        <v>4.6666666666666696</v>
      </c>
      <c r="BO26" s="27">
        <v>4.4000000000000004</v>
      </c>
      <c r="BP26" s="27">
        <v>4.0999999999999996</v>
      </c>
      <c r="BQ26" s="27">
        <v>4</v>
      </c>
      <c r="BR26" s="27">
        <v>4.1666666666666696</v>
      </c>
      <c r="BS26" s="27">
        <v>4.2</v>
      </c>
      <c r="BT26" s="27">
        <v>4.2</v>
      </c>
      <c r="BU26" s="27">
        <v>4.06666666666667</v>
      </c>
      <c r="BV26" s="27">
        <v>3.8333333333333299</v>
      </c>
      <c r="BW26" s="36" t="str">
        <f>Table13[[#This Row],[State]]</f>
        <v>Michigan</v>
      </c>
      <c r="BX26" s="27">
        <v>3.7666666666666702</v>
      </c>
      <c r="BY26" s="27">
        <v>18.8333333333333</v>
      </c>
      <c r="BZ26" s="27">
        <v>10.466666666666701</v>
      </c>
      <c r="CA26" s="27">
        <v>7.2333333333333298</v>
      </c>
      <c r="CB26" s="27">
        <v>6.2333333333333298</v>
      </c>
      <c r="CC26" s="27">
        <v>6.1666666666666696</v>
      </c>
      <c r="CD26" s="27">
        <v>5.7</v>
      </c>
      <c r="CE26" s="27">
        <v>4.8</v>
      </c>
      <c r="CF26" s="27">
        <v>4.3333333333333304</v>
      </c>
      <c r="CG26" s="27">
        <v>4.0999999999999996</v>
      </c>
      <c r="CH26" s="27">
        <v>4</v>
      </c>
      <c r="CI26" s="27">
        <v>4.0999999999999996</v>
      </c>
      <c r="CJ26" s="27">
        <v>3.9</v>
      </c>
      <c r="CK26" s="27">
        <v>3.7333333333333298</v>
      </c>
      <c r="CL26" s="27">
        <v>3.9666666666666699</v>
      </c>
      <c r="CM26" s="27">
        <v>4</v>
      </c>
      <c r="CN26" s="27">
        <v>4.06666666666667</v>
      </c>
      <c r="CO26" s="27">
        <v>4.5333333333333297</v>
      </c>
      <c r="CP26" s="27">
        <v>4.9666666666666703</v>
      </c>
      <c r="CQ26" s="27">
        <v>5.2</v>
      </c>
      <c r="CR26" s="79" t="str">
        <f>Table13[[#This Row],[ State]]</f>
        <v>Michigan</v>
      </c>
      <c r="CS26" s="27">
        <v>5.4</v>
      </c>
      <c r="CT26" s="27">
        <v>5.4</v>
      </c>
      <c r="CU26" s="27">
        <v>5.2</v>
      </c>
      <c r="CV26" s="111"/>
      <c r="CW26" s="41" t="s">
        <v>206</v>
      </c>
      <c r="CX26" s="47">
        <v>10.8</v>
      </c>
      <c r="CY26" s="48">
        <v>10.6</v>
      </c>
      <c r="CZ26" s="48">
        <v>10.199999999999999</v>
      </c>
      <c r="DA26" s="48">
        <v>10.199999999999999</v>
      </c>
      <c r="DB26" s="48">
        <v>10.3</v>
      </c>
      <c r="DC26" s="48">
        <v>10.3</v>
      </c>
      <c r="DD26" s="48">
        <v>10.3</v>
      </c>
      <c r="DE26" s="48">
        <v>10.199999999999999</v>
      </c>
      <c r="DF26" s="48">
        <v>10</v>
      </c>
      <c r="DG26" s="48">
        <v>9.8000000000000007</v>
      </c>
      <c r="DH26" s="48">
        <v>9.6</v>
      </c>
      <c r="DI26" s="48">
        <v>9.4</v>
      </c>
      <c r="DJ26" s="48">
        <v>9.1999999999999993</v>
      </c>
      <c r="DK26" s="48">
        <v>9.1</v>
      </c>
      <c r="DL26" s="48">
        <v>9.1</v>
      </c>
      <c r="DM26" s="48">
        <v>9.1</v>
      </c>
      <c r="DN26" s="48">
        <v>9.1</v>
      </c>
      <c r="DO26" s="48">
        <v>9.1</v>
      </c>
      <c r="DP26" s="48">
        <v>9.1</v>
      </c>
      <c r="DQ26" s="48">
        <v>9</v>
      </c>
      <c r="DR26" s="48">
        <v>9</v>
      </c>
      <c r="DS26" s="48">
        <v>9</v>
      </c>
      <c r="DT26" s="48">
        <v>9</v>
      </c>
      <c r="DU26" s="62">
        <v>9</v>
      </c>
      <c r="DV26" s="49" t="s">
        <v>206</v>
      </c>
      <c r="DW26" s="48">
        <v>9</v>
      </c>
      <c r="DX26" s="48">
        <v>9</v>
      </c>
      <c r="DY26" s="48">
        <v>8.9</v>
      </c>
      <c r="DZ26" s="48">
        <v>8.9</v>
      </c>
      <c r="EA26" s="48">
        <v>8.8000000000000007</v>
      </c>
      <c r="EB26" s="48">
        <v>8.8000000000000007</v>
      </c>
      <c r="EC26" s="48">
        <v>8.8000000000000007</v>
      </c>
      <c r="ED26" s="48">
        <v>8.8000000000000007</v>
      </c>
      <c r="EE26" s="48">
        <v>8.6999999999999993</v>
      </c>
      <c r="EF26" s="48">
        <v>8.5</v>
      </c>
      <c r="EG26" s="50">
        <v>8.4</v>
      </c>
      <c r="EH26" s="50">
        <v>8.1999999999999993</v>
      </c>
      <c r="EI26" s="50">
        <v>8.1</v>
      </c>
      <c r="EJ26" s="50">
        <v>8</v>
      </c>
      <c r="EK26" s="48">
        <v>7.8</v>
      </c>
      <c r="EL26" s="50">
        <v>7.7</v>
      </c>
      <c r="EM26" s="50">
        <v>7.5</v>
      </c>
      <c r="EN26" s="50">
        <v>7.4</v>
      </c>
      <c r="EO26" s="50">
        <v>7.2</v>
      </c>
      <c r="EP26" s="50">
        <v>7</v>
      </c>
      <c r="EQ26" s="50">
        <v>6.8</v>
      </c>
      <c r="ER26" s="48">
        <v>6.6</v>
      </c>
      <c r="ES26" s="50">
        <v>6.4</v>
      </c>
      <c r="ET26" s="51">
        <v>6.2</v>
      </c>
      <c r="EU26" s="49" t="s">
        <v>206</v>
      </c>
      <c r="EV26" s="48">
        <v>6</v>
      </c>
      <c r="EW26" s="50">
        <v>5.9</v>
      </c>
      <c r="EX26" s="50">
        <v>5.8</v>
      </c>
      <c r="EY26" s="50">
        <v>5.7</v>
      </c>
      <c r="EZ26" s="50">
        <v>5.6</v>
      </c>
      <c r="FA26" s="50">
        <v>5.5</v>
      </c>
      <c r="FB26" s="50">
        <v>5.4</v>
      </c>
      <c r="FC26" s="50">
        <v>5.2</v>
      </c>
      <c r="FD26" s="50">
        <v>5.0999999999999996</v>
      </c>
      <c r="FE26" s="50">
        <v>5</v>
      </c>
      <c r="FF26" s="50">
        <v>4.9000000000000004</v>
      </c>
      <c r="FG26" s="50">
        <v>4.9000000000000004</v>
      </c>
      <c r="FH26" s="50">
        <v>4.9000000000000004</v>
      </c>
      <c r="FI26" s="50">
        <v>4.9000000000000004</v>
      </c>
      <c r="FJ26" s="50">
        <v>4.9000000000000004</v>
      </c>
      <c r="FK26" s="50">
        <v>5</v>
      </c>
      <c r="FL26" s="50">
        <v>5</v>
      </c>
      <c r="FM26" s="50">
        <v>5</v>
      </c>
      <c r="FN26" s="50">
        <v>5</v>
      </c>
      <c r="FO26" s="50">
        <v>5</v>
      </c>
      <c r="FP26" s="50">
        <v>5</v>
      </c>
      <c r="FQ26" s="50">
        <v>5.0999999999999996</v>
      </c>
      <c r="FR26" s="50">
        <v>5.0999999999999996</v>
      </c>
      <c r="FS26" s="51">
        <v>5</v>
      </c>
      <c r="FT26" s="49" t="s">
        <v>206</v>
      </c>
      <c r="FU26" s="48">
        <v>4.9000000000000004</v>
      </c>
      <c r="FV26" s="50">
        <v>4.7</v>
      </c>
      <c r="FW26" s="50">
        <v>4.5</v>
      </c>
      <c r="FX26" s="50">
        <v>4.4000000000000004</v>
      </c>
      <c r="FY26" s="50">
        <v>4.3</v>
      </c>
      <c r="FZ26" s="50">
        <v>4.4000000000000004</v>
      </c>
      <c r="GA26" s="50">
        <v>4.5</v>
      </c>
      <c r="GB26" s="50">
        <v>4.5999999999999996</v>
      </c>
      <c r="GC26" s="50">
        <v>4.7</v>
      </c>
      <c r="GD26" s="50">
        <v>4.7</v>
      </c>
      <c r="GE26" s="50">
        <v>4.7</v>
      </c>
      <c r="GF26" s="50">
        <v>4.5999999999999996</v>
      </c>
      <c r="GG26" s="50">
        <v>4.5</v>
      </c>
      <c r="GH26" s="50">
        <v>4.4000000000000004</v>
      </c>
      <c r="GI26" s="50">
        <v>4.3</v>
      </c>
      <c r="GJ26" s="50">
        <v>4.2</v>
      </c>
      <c r="GK26" s="50">
        <v>4.0999999999999996</v>
      </c>
      <c r="GL26" s="50">
        <v>4</v>
      </c>
      <c r="GM26" s="50">
        <v>4</v>
      </c>
      <c r="GN26" s="50">
        <v>4</v>
      </c>
      <c r="GO26" s="50">
        <v>4</v>
      </c>
      <c r="GP26" s="50">
        <v>4.0999999999999996</v>
      </c>
      <c r="GQ26" s="50">
        <v>4.2</v>
      </c>
      <c r="GR26" s="50">
        <v>4.2</v>
      </c>
      <c r="GS26" s="49" t="s">
        <v>206</v>
      </c>
      <c r="GT26" s="50">
        <v>4.2</v>
      </c>
      <c r="GU26" s="50">
        <v>4.2</v>
      </c>
      <c r="GV26" s="50">
        <v>4.2</v>
      </c>
      <c r="GW26" s="50">
        <v>4.2</v>
      </c>
      <c r="GX26" s="50">
        <v>4.2</v>
      </c>
      <c r="GY26" s="50">
        <v>4.2</v>
      </c>
      <c r="GZ26" s="50">
        <v>4.0999999999999996</v>
      </c>
      <c r="HA26" s="50">
        <v>4.0999999999999996</v>
      </c>
      <c r="HB26" s="50">
        <v>4</v>
      </c>
      <c r="HC26" s="50">
        <v>3.9</v>
      </c>
      <c r="HD26" s="50">
        <v>3.8</v>
      </c>
      <c r="HE26" s="50">
        <v>3.8</v>
      </c>
      <c r="HF26" s="50">
        <v>3.8</v>
      </c>
      <c r="HG26" s="50">
        <v>3.8</v>
      </c>
      <c r="HH26" s="50">
        <v>3.7</v>
      </c>
      <c r="HI26" s="50">
        <v>22.7</v>
      </c>
      <c r="HJ26" s="50">
        <v>19.3</v>
      </c>
      <c r="HK26" s="50">
        <v>14.5</v>
      </c>
      <c r="HL26" s="50">
        <v>12.5</v>
      </c>
      <c r="HM26" s="50">
        <v>10</v>
      </c>
      <c r="HN26" s="50">
        <v>8.9</v>
      </c>
      <c r="HO26" s="50">
        <v>7.7</v>
      </c>
      <c r="HP26" s="50">
        <v>7.1</v>
      </c>
      <c r="HQ26" s="51">
        <v>6.9</v>
      </c>
      <c r="HR26" s="49" t="s">
        <v>206</v>
      </c>
      <c r="HS26" s="50">
        <v>6.4</v>
      </c>
      <c r="HT26" s="50">
        <v>6.2</v>
      </c>
      <c r="HU26" s="50">
        <v>6.1</v>
      </c>
      <c r="HV26" s="50">
        <v>6.2</v>
      </c>
      <c r="HW26" s="50">
        <v>6.1</v>
      </c>
      <c r="HX26" s="50">
        <v>6.2</v>
      </c>
      <c r="HY26" s="50">
        <v>6</v>
      </c>
      <c r="HZ26" s="50">
        <v>5.7</v>
      </c>
      <c r="IA26" s="50">
        <v>5.4</v>
      </c>
      <c r="IB26" s="50">
        <v>5.0999999999999996</v>
      </c>
      <c r="IC26" s="50">
        <v>4.8</v>
      </c>
      <c r="ID26" s="50">
        <v>4.5</v>
      </c>
      <c r="IE26" s="50">
        <v>4.4000000000000004</v>
      </c>
      <c r="IF26" s="50">
        <v>4.3</v>
      </c>
      <c r="IG26" s="50">
        <v>4.3</v>
      </c>
      <c r="IH26" s="50">
        <v>4.2</v>
      </c>
      <c r="II26" s="50">
        <v>4.0999999999999996</v>
      </c>
      <c r="IJ26" s="50">
        <v>4</v>
      </c>
      <c r="IK26" s="50">
        <v>4</v>
      </c>
      <c r="IL26" s="50">
        <v>4</v>
      </c>
      <c r="IM26" s="50">
        <v>4</v>
      </c>
      <c r="IN26" s="50">
        <v>4.0999999999999996</v>
      </c>
      <c r="IO26" s="50">
        <v>4.0999999999999996</v>
      </c>
      <c r="IP26" s="51">
        <v>4.0999999999999996</v>
      </c>
      <c r="IQ26" s="49" t="s">
        <v>206</v>
      </c>
      <c r="IR26" s="50">
        <v>4</v>
      </c>
      <c r="IS26" s="50">
        <v>3.9</v>
      </c>
      <c r="IT26" s="50">
        <v>3.8</v>
      </c>
      <c r="IU26" s="50">
        <v>3.7</v>
      </c>
      <c r="IV26" s="50">
        <v>3.7</v>
      </c>
      <c r="IW26" s="50">
        <v>3.8</v>
      </c>
      <c r="IX26" s="50">
        <v>3.9</v>
      </c>
      <c r="IY26" s="50">
        <v>4</v>
      </c>
      <c r="IZ26" s="50">
        <v>4</v>
      </c>
      <c r="JA26" s="50">
        <v>4</v>
      </c>
      <c r="JB26" s="50">
        <v>4</v>
      </c>
      <c r="JC26" s="50">
        <v>4</v>
      </c>
      <c r="JD26" s="50">
        <v>4</v>
      </c>
      <c r="JE26" s="50">
        <v>4</v>
      </c>
      <c r="JF26" s="50">
        <v>4.2</v>
      </c>
      <c r="JG26" s="50">
        <v>4.4000000000000004</v>
      </c>
      <c r="JH26" s="50">
        <v>4.5</v>
      </c>
      <c r="JI26" s="50">
        <v>4.7</v>
      </c>
      <c r="JJ26" s="50">
        <v>4.8</v>
      </c>
      <c r="JK26" s="50">
        <v>5</v>
      </c>
      <c r="JL26" s="50">
        <v>5.0999999999999996</v>
      </c>
      <c r="JM26" s="50">
        <v>5.2</v>
      </c>
      <c r="JN26" s="50">
        <v>5.2</v>
      </c>
      <c r="JO26" s="51">
        <v>5.2</v>
      </c>
      <c r="JP26" s="49" t="s">
        <v>206</v>
      </c>
      <c r="JQ26" s="80">
        <v>5.3</v>
      </c>
      <c r="JR26" s="80">
        <v>5.4</v>
      </c>
      <c r="JS26" s="80">
        <v>5.5</v>
      </c>
      <c r="JT26" s="80">
        <v>5.5</v>
      </c>
      <c r="JU26" s="80">
        <v>5.4</v>
      </c>
      <c r="JV26" s="80">
        <v>5.3</v>
      </c>
      <c r="JW26" s="80">
        <v>5.3</v>
      </c>
      <c r="JX26" s="80">
        <v>5.2</v>
      </c>
      <c r="JY26" s="80">
        <v>5.0999999999999996</v>
      </c>
      <c r="JZ26" s="80" t="s">
        <v>402</v>
      </c>
      <c r="KA26" s="81">
        <v>5</v>
      </c>
    </row>
    <row r="27" spans="2:287" x14ac:dyDescent="0.3">
      <c r="B27" s="39" t="s">
        <v>207</v>
      </c>
      <c r="C27" s="17">
        <v>3.1083333333333352</v>
      </c>
      <c r="D27" s="17">
        <v>3.7583333333333329</v>
      </c>
      <c r="E27" s="17">
        <v>4.4166666666666652</v>
      </c>
      <c r="F27" s="17">
        <v>4.7583333333333346</v>
      </c>
      <c r="G27" s="17">
        <v>4.625</v>
      </c>
      <c r="H27" s="17">
        <v>4.1083333333333325</v>
      </c>
      <c r="I27" s="17">
        <v>4.0583333333333353</v>
      </c>
      <c r="J27" s="17">
        <v>4.5999999999999996</v>
      </c>
      <c r="K27" s="17">
        <v>5.4499999999999975</v>
      </c>
      <c r="L27" s="17">
        <v>7.7</v>
      </c>
      <c r="M27" s="17">
        <v>7.3666666666666654</v>
      </c>
      <c r="N27" s="17">
        <v>6.5750000000000028</v>
      </c>
      <c r="O27" s="19">
        <v>5.658333333333335</v>
      </c>
      <c r="P27" s="19">
        <v>5.0416666666666679</v>
      </c>
      <c r="Q27" s="19">
        <v>4.2416666666666671</v>
      </c>
      <c r="R27" s="19">
        <v>3.758333333333332</v>
      </c>
      <c r="S27" s="19">
        <v>3.8666666666666649</v>
      </c>
      <c r="T27" s="19">
        <v>3.4416666666666673</v>
      </c>
      <c r="U27" s="19">
        <v>3.0249999999999999</v>
      </c>
      <c r="V27" s="19">
        <v>3.2749999999999999</v>
      </c>
      <c r="W27" s="19">
        <v>6.2916666666666652</v>
      </c>
      <c r="X27" s="19">
        <v>3.6833333333333322</v>
      </c>
      <c r="Y27" s="19">
        <v>2.4833333333333325</v>
      </c>
      <c r="Z27" s="19">
        <v>2.8250000000000002</v>
      </c>
      <c r="AA27" s="19">
        <v>3.0249999999999999</v>
      </c>
      <c r="AB27" s="96"/>
      <c r="AC27" s="35" t="str">
        <f>Table11[[#This Row],[State]]</f>
        <v>Minnesota</v>
      </c>
      <c r="AD27" s="17">
        <v>7.3666666666666698</v>
      </c>
      <c r="AE27" s="17">
        <v>7.8666666666666698</v>
      </c>
      <c r="AF27" s="17">
        <v>7.8333333333333304</v>
      </c>
      <c r="AG27" s="17">
        <v>7.7333333333333298</v>
      </c>
      <c r="AH27" s="17">
        <v>7.6333333333333302</v>
      </c>
      <c r="AI27" s="17">
        <v>7.3333333333333304</v>
      </c>
      <c r="AJ27" s="17">
        <v>7.2666666666666702</v>
      </c>
      <c r="AK27" s="17">
        <v>7.2333333333333298</v>
      </c>
      <c r="AL27" s="17">
        <v>6.9</v>
      </c>
      <c r="AM27" s="17">
        <v>6.7666666666666702</v>
      </c>
      <c r="AN27" s="19">
        <v>6.56666666666667</v>
      </c>
      <c r="AO27" s="19">
        <v>6.06666666666667</v>
      </c>
      <c r="AP27" s="19">
        <v>5.7666666666666702</v>
      </c>
      <c r="AQ27" s="19">
        <v>5.7</v>
      </c>
      <c r="AR27" s="19">
        <v>5.6666666666666696</v>
      </c>
      <c r="AS27" s="19">
        <v>5.5</v>
      </c>
      <c r="AT27" s="19">
        <v>5.3</v>
      </c>
      <c r="AU27" s="19">
        <v>5.1333333333333302</v>
      </c>
      <c r="AV27" s="17">
        <v>4.9666666666666703</v>
      </c>
      <c r="AW27" s="17">
        <v>4.7666666666666702</v>
      </c>
      <c r="AX27" s="17">
        <v>4.6333333333333302</v>
      </c>
      <c r="AY27" s="17">
        <v>4.3666666666666698</v>
      </c>
      <c r="AZ27" s="17">
        <v>4.06666666666667</v>
      </c>
      <c r="BA27" s="17">
        <v>3.9</v>
      </c>
      <c r="BB27" s="35" t="str">
        <f t="shared" si="0"/>
        <v>Minnesota</v>
      </c>
      <c r="BC27" s="19">
        <v>3.8</v>
      </c>
      <c r="BD27" s="19">
        <v>3.8</v>
      </c>
      <c r="BE27" s="19">
        <v>3.7333333333333298</v>
      </c>
      <c r="BF27" s="19">
        <v>3.7</v>
      </c>
      <c r="BG27" s="17">
        <v>3.7333333333333298</v>
      </c>
      <c r="BH27" s="17">
        <v>3.8333333333333299</v>
      </c>
      <c r="BI27" s="17">
        <v>3.93333333333333</v>
      </c>
      <c r="BJ27" s="17">
        <v>3.9666666666666699</v>
      </c>
      <c r="BK27" s="17">
        <v>3.7</v>
      </c>
      <c r="BL27" s="17">
        <v>3.4666666666666699</v>
      </c>
      <c r="BM27" s="17">
        <v>3.3666666666666698</v>
      </c>
      <c r="BN27" s="17">
        <v>3.2333333333333298</v>
      </c>
      <c r="BO27" s="17">
        <v>3.06666666666667</v>
      </c>
      <c r="BP27" s="17">
        <v>2.93333333333333</v>
      </c>
      <c r="BQ27" s="17">
        <v>2.93333333333333</v>
      </c>
      <c r="BR27" s="17">
        <v>3.1666666666666701</v>
      </c>
      <c r="BS27" s="17">
        <v>3.3</v>
      </c>
      <c r="BT27" s="17">
        <v>3.2</v>
      </c>
      <c r="BU27" s="17">
        <v>3.2666666666666702</v>
      </c>
      <c r="BV27" s="17">
        <v>3.3333333333333299</v>
      </c>
      <c r="BW27" s="35" t="str">
        <f>Table13[[#This Row],[State]]</f>
        <v>Minnesota</v>
      </c>
      <c r="BX27" s="17">
        <v>3.5</v>
      </c>
      <c r="BY27" s="17">
        <v>9.6333333333333293</v>
      </c>
      <c r="BZ27" s="17">
        <v>6.9</v>
      </c>
      <c r="CA27" s="17">
        <v>5.1333333333333302</v>
      </c>
      <c r="CB27" s="17">
        <v>4.3</v>
      </c>
      <c r="CC27" s="17">
        <v>3.9</v>
      </c>
      <c r="CD27" s="17">
        <v>3.5333333333333301</v>
      </c>
      <c r="CE27" s="17">
        <v>3</v>
      </c>
      <c r="CF27" s="17">
        <v>2.5333333333333301</v>
      </c>
      <c r="CG27" s="17">
        <v>2.2999999999999998</v>
      </c>
      <c r="CH27" s="17">
        <v>2.4</v>
      </c>
      <c r="CI27" s="17">
        <v>2.7</v>
      </c>
      <c r="CJ27" s="17">
        <v>2.8</v>
      </c>
      <c r="CK27" s="17">
        <v>2.8666666666666698</v>
      </c>
      <c r="CL27" s="17">
        <v>2.8333333333333299</v>
      </c>
      <c r="CM27" s="17">
        <v>2.8</v>
      </c>
      <c r="CN27" s="17">
        <v>2.8333333333333299</v>
      </c>
      <c r="CO27" s="17">
        <v>3.1</v>
      </c>
      <c r="CP27" s="17">
        <v>3.1666666666666701</v>
      </c>
      <c r="CQ27" s="17">
        <v>3</v>
      </c>
      <c r="CR27" s="42" t="str">
        <f>Table13[[#This Row],[ State]]</f>
        <v>Minnesota</v>
      </c>
      <c r="CS27" s="17">
        <v>3.0333333333333301</v>
      </c>
      <c r="CT27" s="17">
        <v>3.2666666666666702</v>
      </c>
      <c r="CU27" s="17">
        <v>3.6</v>
      </c>
      <c r="CV27" s="111"/>
      <c r="CW27" s="42" t="s">
        <v>207</v>
      </c>
      <c r="CX27" s="52">
        <v>7</v>
      </c>
      <c r="CY27" s="53">
        <v>6.9</v>
      </c>
      <c r="CZ27" s="53">
        <v>6.8</v>
      </c>
      <c r="DA27" s="53">
        <v>6.8</v>
      </c>
      <c r="DB27" s="53">
        <v>6.8</v>
      </c>
      <c r="DC27" s="53">
        <v>6.7</v>
      </c>
      <c r="DD27" s="53">
        <v>6.7</v>
      </c>
      <c r="DE27" s="53">
        <v>6.6</v>
      </c>
      <c r="DF27" s="53">
        <v>6.4</v>
      </c>
      <c r="DG27" s="53">
        <v>6.2</v>
      </c>
      <c r="DH27" s="53">
        <v>6.1</v>
      </c>
      <c r="DI27" s="53">
        <v>5.9</v>
      </c>
      <c r="DJ27" s="53">
        <v>5.8</v>
      </c>
      <c r="DK27" s="53">
        <v>5.8</v>
      </c>
      <c r="DL27" s="53">
        <v>5.7</v>
      </c>
      <c r="DM27" s="53">
        <v>5.7</v>
      </c>
      <c r="DN27" s="53">
        <v>5.7</v>
      </c>
      <c r="DO27" s="53">
        <v>5.7</v>
      </c>
      <c r="DP27" s="53">
        <v>5.7</v>
      </c>
      <c r="DQ27" s="53">
        <v>5.7</v>
      </c>
      <c r="DR27" s="53">
        <v>5.6</v>
      </c>
      <c r="DS27" s="53">
        <v>5.6</v>
      </c>
      <c r="DT27" s="53">
        <v>5.5</v>
      </c>
      <c r="DU27" s="63">
        <v>5.4</v>
      </c>
      <c r="DV27" s="54" t="s">
        <v>207</v>
      </c>
      <c r="DW27" s="53">
        <v>5.4</v>
      </c>
      <c r="DX27" s="53">
        <v>5.3</v>
      </c>
      <c r="DY27" s="53">
        <v>5.2</v>
      </c>
      <c r="DZ27" s="53">
        <v>5.2</v>
      </c>
      <c r="EA27" s="53">
        <v>5.0999999999999996</v>
      </c>
      <c r="EB27" s="53">
        <v>5.0999999999999996</v>
      </c>
      <c r="EC27" s="53">
        <v>5</v>
      </c>
      <c r="ED27" s="53">
        <v>5</v>
      </c>
      <c r="EE27" s="53">
        <v>4.9000000000000004</v>
      </c>
      <c r="EF27" s="53">
        <v>4.8</v>
      </c>
      <c r="EG27" s="55">
        <v>4.8</v>
      </c>
      <c r="EH27" s="55">
        <v>4.7</v>
      </c>
      <c r="EI27" s="55">
        <v>4.7</v>
      </c>
      <c r="EJ27" s="55">
        <v>4.5999999999999996</v>
      </c>
      <c r="EK27" s="53">
        <v>4.5999999999999996</v>
      </c>
      <c r="EL27" s="55">
        <v>4.5</v>
      </c>
      <c r="EM27" s="55">
        <v>4.4000000000000004</v>
      </c>
      <c r="EN27" s="55">
        <v>4.2</v>
      </c>
      <c r="EO27" s="55">
        <v>4.0999999999999996</v>
      </c>
      <c r="EP27" s="55">
        <v>4.0999999999999996</v>
      </c>
      <c r="EQ27" s="55">
        <v>4</v>
      </c>
      <c r="ER27" s="53">
        <v>3.9</v>
      </c>
      <c r="ES27" s="55">
        <v>3.9</v>
      </c>
      <c r="ET27" s="56">
        <v>3.9</v>
      </c>
      <c r="EU27" s="54" t="s">
        <v>207</v>
      </c>
      <c r="EV27" s="53">
        <v>3.8</v>
      </c>
      <c r="EW27" s="55">
        <v>3.8</v>
      </c>
      <c r="EX27" s="55">
        <v>3.8</v>
      </c>
      <c r="EY27" s="55">
        <v>3.8</v>
      </c>
      <c r="EZ27" s="55">
        <v>3.8</v>
      </c>
      <c r="FA27" s="55">
        <v>3.8</v>
      </c>
      <c r="FB27" s="55">
        <v>3.8</v>
      </c>
      <c r="FC27" s="55">
        <v>3.7</v>
      </c>
      <c r="FD27" s="55">
        <v>3.7</v>
      </c>
      <c r="FE27" s="55">
        <v>3.7</v>
      </c>
      <c r="FF27" s="55">
        <v>3.7</v>
      </c>
      <c r="FG27" s="55">
        <v>3.7</v>
      </c>
      <c r="FH27" s="55">
        <v>3.7</v>
      </c>
      <c r="FI27" s="55">
        <v>3.7</v>
      </c>
      <c r="FJ27" s="55">
        <v>3.8</v>
      </c>
      <c r="FK27" s="55">
        <v>3.8</v>
      </c>
      <c r="FL27" s="55">
        <v>3.8</v>
      </c>
      <c r="FM27" s="55">
        <v>3.9</v>
      </c>
      <c r="FN27" s="55">
        <v>3.9</v>
      </c>
      <c r="FO27" s="55">
        <v>3.9</v>
      </c>
      <c r="FP27" s="55">
        <v>4</v>
      </c>
      <c r="FQ27" s="55">
        <v>4</v>
      </c>
      <c r="FR27" s="55">
        <v>4</v>
      </c>
      <c r="FS27" s="56">
        <v>3.9</v>
      </c>
      <c r="FT27" s="54" t="s">
        <v>207</v>
      </c>
      <c r="FU27" s="53">
        <v>3.8</v>
      </c>
      <c r="FV27" s="55">
        <v>3.7</v>
      </c>
      <c r="FW27" s="55">
        <v>3.6</v>
      </c>
      <c r="FX27" s="55">
        <v>3.5</v>
      </c>
      <c r="FY27" s="55">
        <v>3.5</v>
      </c>
      <c r="FZ27" s="55">
        <v>3.4</v>
      </c>
      <c r="GA27" s="55">
        <v>3.4</v>
      </c>
      <c r="GB27" s="55">
        <v>3.4</v>
      </c>
      <c r="GC27" s="55">
        <v>3.3</v>
      </c>
      <c r="GD27" s="55">
        <v>3.3</v>
      </c>
      <c r="GE27" s="55">
        <v>3.2</v>
      </c>
      <c r="GF27" s="55">
        <v>3.2</v>
      </c>
      <c r="GG27" s="55">
        <v>3.1</v>
      </c>
      <c r="GH27" s="55">
        <v>3.1</v>
      </c>
      <c r="GI27" s="55">
        <v>3</v>
      </c>
      <c r="GJ27" s="55">
        <v>3</v>
      </c>
      <c r="GK27" s="55">
        <v>2.9</v>
      </c>
      <c r="GL27" s="55">
        <v>2.9</v>
      </c>
      <c r="GM27" s="55">
        <v>2.9</v>
      </c>
      <c r="GN27" s="55">
        <v>2.9</v>
      </c>
      <c r="GO27" s="55">
        <v>3</v>
      </c>
      <c r="GP27" s="55">
        <v>3.1</v>
      </c>
      <c r="GQ27" s="55">
        <v>3.2</v>
      </c>
      <c r="GR27" s="55">
        <v>3.2</v>
      </c>
      <c r="GS27" s="54" t="s">
        <v>207</v>
      </c>
      <c r="GT27" s="55">
        <v>3.3</v>
      </c>
      <c r="GU27" s="55">
        <v>3.3</v>
      </c>
      <c r="GV27" s="55">
        <v>3.3</v>
      </c>
      <c r="GW27" s="55">
        <v>3.2</v>
      </c>
      <c r="GX27" s="55">
        <v>3.2</v>
      </c>
      <c r="GY27" s="55">
        <v>3.2</v>
      </c>
      <c r="GZ27" s="55">
        <v>3.2</v>
      </c>
      <c r="HA27" s="55">
        <v>3.3</v>
      </c>
      <c r="HB27" s="55">
        <v>3.3</v>
      </c>
      <c r="HC27" s="55">
        <v>3.3</v>
      </c>
      <c r="HD27" s="55">
        <v>3.3</v>
      </c>
      <c r="HE27" s="55">
        <v>3.4</v>
      </c>
      <c r="HF27" s="55">
        <v>3.4</v>
      </c>
      <c r="HG27" s="55">
        <v>3.5</v>
      </c>
      <c r="HH27" s="55">
        <v>3.6</v>
      </c>
      <c r="HI27" s="55">
        <v>8.9</v>
      </c>
      <c r="HJ27" s="55">
        <v>11.1</v>
      </c>
      <c r="HK27" s="55">
        <v>8.9</v>
      </c>
      <c r="HL27" s="55">
        <v>7.8</v>
      </c>
      <c r="HM27" s="55">
        <v>6.7</v>
      </c>
      <c r="HN27" s="55">
        <v>6.2</v>
      </c>
      <c r="HO27" s="55">
        <v>5.5</v>
      </c>
      <c r="HP27" s="55">
        <v>5.0999999999999996</v>
      </c>
      <c r="HQ27" s="56">
        <v>4.8</v>
      </c>
      <c r="HR27" s="54" t="s">
        <v>207</v>
      </c>
      <c r="HS27" s="55">
        <v>4.5</v>
      </c>
      <c r="HT27" s="55">
        <v>4.3</v>
      </c>
      <c r="HU27" s="55">
        <v>4.0999999999999996</v>
      </c>
      <c r="HV27" s="55">
        <v>4</v>
      </c>
      <c r="HW27" s="55">
        <v>3.9</v>
      </c>
      <c r="HX27" s="55">
        <v>3.8</v>
      </c>
      <c r="HY27" s="55">
        <v>3.7</v>
      </c>
      <c r="HZ27" s="55">
        <v>3.5</v>
      </c>
      <c r="IA27" s="55">
        <v>3.4</v>
      </c>
      <c r="IB27" s="55">
        <v>3.2</v>
      </c>
      <c r="IC27" s="55">
        <v>3</v>
      </c>
      <c r="ID27" s="55">
        <v>2.8</v>
      </c>
      <c r="IE27" s="55">
        <v>2.7</v>
      </c>
      <c r="IF27" s="55">
        <v>2.5</v>
      </c>
      <c r="IG27" s="55">
        <v>2.4</v>
      </c>
      <c r="IH27" s="55">
        <v>2.2999999999999998</v>
      </c>
      <c r="II27" s="55">
        <v>2.2999999999999998</v>
      </c>
      <c r="IJ27" s="55">
        <v>2.2999999999999998</v>
      </c>
      <c r="IK27" s="55">
        <v>2.2999999999999998</v>
      </c>
      <c r="IL27" s="55">
        <v>2.4</v>
      </c>
      <c r="IM27" s="55">
        <v>2.5</v>
      </c>
      <c r="IN27" s="55">
        <v>2.6</v>
      </c>
      <c r="IO27" s="55">
        <v>2.7</v>
      </c>
      <c r="IP27" s="56">
        <v>2.8</v>
      </c>
      <c r="IQ27" s="54" t="s">
        <v>207</v>
      </c>
      <c r="IR27" s="55">
        <v>2.8</v>
      </c>
      <c r="IS27" s="55">
        <v>2.8</v>
      </c>
      <c r="IT27" s="55">
        <v>2.8</v>
      </c>
      <c r="IU27" s="55">
        <v>2.8</v>
      </c>
      <c r="IV27" s="55">
        <v>2.9</v>
      </c>
      <c r="IW27" s="55">
        <v>2.9</v>
      </c>
      <c r="IX27" s="55">
        <v>2.9</v>
      </c>
      <c r="IY27" s="55">
        <v>2.8</v>
      </c>
      <c r="IZ27" s="55">
        <v>2.8</v>
      </c>
      <c r="JA27" s="55">
        <v>2.8</v>
      </c>
      <c r="JB27" s="55">
        <v>2.8</v>
      </c>
      <c r="JC27" s="55">
        <v>2.8</v>
      </c>
      <c r="JD27" s="55">
        <v>2.8</v>
      </c>
      <c r="JE27" s="55">
        <v>2.8</v>
      </c>
      <c r="JF27" s="55">
        <v>2.9</v>
      </c>
      <c r="JG27" s="55">
        <v>3</v>
      </c>
      <c r="JH27" s="55">
        <v>3.1</v>
      </c>
      <c r="JI27" s="55">
        <v>3.2</v>
      </c>
      <c r="JJ27" s="55">
        <v>3.2</v>
      </c>
      <c r="JK27" s="55">
        <v>3.2</v>
      </c>
      <c r="JL27" s="55">
        <v>3.1</v>
      </c>
      <c r="JM27" s="55">
        <v>3</v>
      </c>
      <c r="JN27" s="55">
        <v>3</v>
      </c>
      <c r="JO27" s="56">
        <v>3</v>
      </c>
      <c r="JP27" s="54" t="s">
        <v>207</v>
      </c>
      <c r="JQ27" s="82">
        <v>3</v>
      </c>
      <c r="JR27" s="82">
        <v>3</v>
      </c>
      <c r="JS27" s="82">
        <v>3.1</v>
      </c>
      <c r="JT27" s="82">
        <v>3.2</v>
      </c>
      <c r="JU27" s="82">
        <v>3.3</v>
      </c>
      <c r="JV27" s="82">
        <v>3.3</v>
      </c>
      <c r="JW27" s="82">
        <v>3.5</v>
      </c>
      <c r="JX27" s="82">
        <v>3.6</v>
      </c>
      <c r="JY27" s="82">
        <v>3.7</v>
      </c>
      <c r="JZ27" s="82" t="s">
        <v>402</v>
      </c>
      <c r="KA27" s="83">
        <v>4</v>
      </c>
    </row>
    <row r="28" spans="2:287" x14ac:dyDescent="0.3">
      <c r="B28" s="39" t="s">
        <v>208</v>
      </c>
      <c r="C28" s="17">
        <v>5.3249999999999993</v>
      </c>
      <c r="D28" s="17">
        <v>5.45</v>
      </c>
      <c r="E28" s="17">
        <v>6.4</v>
      </c>
      <c r="F28" s="17">
        <v>6.1416666666666675</v>
      </c>
      <c r="G28" s="17">
        <v>6.1666666666666652</v>
      </c>
      <c r="H28" s="17">
        <v>7.65</v>
      </c>
      <c r="I28" s="17">
        <v>6.3833333333333329</v>
      </c>
      <c r="J28" s="17">
        <v>6.1333333333333346</v>
      </c>
      <c r="K28" s="17">
        <v>6.7166666666666677</v>
      </c>
      <c r="L28" s="17">
        <v>9.2416666666666742</v>
      </c>
      <c r="M28" s="17">
        <v>10.124999999999993</v>
      </c>
      <c r="N28" s="17">
        <v>9.7999999999999989</v>
      </c>
      <c r="O28" s="19">
        <v>8.8249999999999993</v>
      </c>
      <c r="P28" s="19">
        <v>8.4916666666666671</v>
      </c>
      <c r="Q28" s="19">
        <v>7.6</v>
      </c>
      <c r="R28" s="19">
        <v>6.45</v>
      </c>
      <c r="S28" s="19">
        <v>5.991666666666668</v>
      </c>
      <c r="T28" s="19">
        <v>5.2083333333333321</v>
      </c>
      <c r="U28" s="19">
        <v>4.9416666666666673</v>
      </c>
      <c r="V28" s="19">
        <v>5.4916666666666654</v>
      </c>
      <c r="W28" s="19">
        <v>8.0000000000000071</v>
      </c>
      <c r="X28" s="19">
        <v>5.4083333333333323</v>
      </c>
      <c r="Y28" s="19">
        <v>3.7333333333333321</v>
      </c>
      <c r="Z28" s="19">
        <v>3.1083333333333352</v>
      </c>
      <c r="AA28" s="19">
        <v>3.1249999999999996</v>
      </c>
      <c r="AB28" s="96"/>
      <c r="AC28" s="36" t="str">
        <f>Table11[[#This Row],[State]]</f>
        <v>Mississippi</v>
      </c>
      <c r="AD28" s="27">
        <v>8.3000000000000007</v>
      </c>
      <c r="AE28" s="27">
        <v>9</v>
      </c>
      <c r="AF28" s="27">
        <v>9.5</v>
      </c>
      <c r="AG28" s="27">
        <v>10.1666666666667</v>
      </c>
      <c r="AH28" s="27">
        <v>10.5</v>
      </c>
      <c r="AI28" s="27">
        <v>10.233333333333301</v>
      </c>
      <c r="AJ28" s="27">
        <v>9.8666666666666707</v>
      </c>
      <c r="AK28" s="27">
        <v>9.9</v>
      </c>
      <c r="AL28" s="27">
        <v>9.9</v>
      </c>
      <c r="AM28" s="27">
        <v>9.93333333333333</v>
      </c>
      <c r="AN28" s="27">
        <v>9.9</v>
      </c>
      <c r="AO28" s="27">
        <v>9.4666666666666703</v>
      </c>
      <c r="AP28" s="27">
        <v>9</v>
      </c>
      <c r="AQ28" s="27">
        <v>8.9</v>
      </c>
      <c r="AR28" s="27">
        <v>8.7666666666666693</v>
      </c>
      <c r="AS28" s="27">
        <v>8.6333333333333293</v>
      </c>
      <c r="AT28" s="27">
        <v>8.6999999999999993</v>
      </c>
      <c r="AU28" s="27">
        <v>8.6</v>
      </c>
      <c r="AV28" s="27">
        <v>8.4666666666666703</v>
      </c>
      <c r="AW28" s="27">
        <v>8.1999999999999993</v>
      </c>
      <c r="AX28" s="27">
        <v>8.0333333333333297</v>
      </c>
      <c r="AY28" s="27">
        <v>7.8</v>
      </c>
      <c r="AZ28" s="27">
        <v>7.5</v>
      </c>
      <c r="BA28" s="27">
        <v>7.06666666666667</v>
      </c>
      <c r="BB28" s="36" t="str">
        <f t="shared" si="0"/>
        <v>Mississippi</v>
      </c>
      <c r="BC28" s="27">
        <v>6.7</v>
      </c>
      <c r="BD28" s="27">
        <v>6.5</v>
      </c>
      <c r="BE28" s="27">
        <v>6.3</v>
      </c>
      <c r="BF28" s="27">
        <v>6.3</v>
      </c>
      <c r="BG28" s="27">
        <v>6.2</v>
      </c>
      <c r="BH28" s="27">
        <v>6</v>
      </c>
      <c r="BI28" s="27">
        <v>5.9666666666666703</v>
      </c>
      <c r="BJ28" s="27">
        <v>5.8</v>
      </c>
      <c r="BK28" s="27">
        <v>5.5</v>
      </c>
      <c r="BL28" s="27">
        <v>5.3</v>
      </c>
      <c r="BM28" s="27">
        <v>5.0999999999999996</v>
      </c>
      <c r="BN28" s="27">
        <v>4.93333333333333</v>
      </c>
      <c r="BO28" s="27">
        <v>4.9000000000000004</v>
      </c>
      <c r="BP28" s="27">
        <v>4.8666666666666698</v>
      </c>
      <c r="BQ28" s="27">
        <v>4.8333333333333304</v>
      </c>
      <c r="BR28" s="27">
        <v>5.1666666666666696</v>
      </c>
      <c r="BS28" s="27">
        <v>5.4</v>
      </c>
      <c r="BT28" s="27">
        <v>5.43333333333333</v>
      </c>
      <c r="BU28" s="27">
        <v>5.6</v>
      </c>
      <c r="BV28" s="27">
        <v>5.5333333333333297</v>
      </c>
      <c r="BW28" s="36" t="str">
        <f>Table13[[#This Row],[State]]</f>
        <v>Mississippi</v>
      </c>
      <c r="BX28" s="27">
        <v>5.7333333333333298</v>
      </c>
      <c r="BY28" s="27">
        <v>12.0666666666667</v>
      </c>
      <c r="BZ28" s="27">
        <v>7.6</v>
      </c>
      <c r="CA28" s="27">
        <v>6.6</v>
      </c>
      <c r="CB28" s="27">
        <v>6.3</v>
      </c>
      <c r="CC28" s="27">
        <v>5.9</v>
      </c>
      <c r="CD28" s="27">
        <v>5.1333333333333302</v>
      </c>
      <c r="CE28" s="27">
        <v>4.3</v>
      </c>
      <c r="CF28" s="27">
        <v>3.9</v>
      </c>
      <c r="CG28" s="27">
        <v>3.7333333333333298</v>
      </c>
      <c r="CH28" s="27">
        <v>3.7</v>
      </c>
      <c r="CI28" s="27">
        <v>3.6</v>
      </c>
      <c r="CJ28" s="27">
        <v>3.3</v>
      </c>
      <c r="CK28" s="27">
        <v>3.1</v>
      </c>
      <c r="CL28" s="27">
        <v>3.06666666666667</v>
      </c>
      <c r="CM28" s="27">
        <v>2.9666666666666699</v>
      </c>
      <c r="CN28" s="27">
        <v>2.8</v>
      </c>
      <c r="CO28" s="27">
        <v>2.8333333333333299</v>
      </c>
      <c r="CP28" s="27">
        <v>3.2666666666666702</v>
      </c>
      <c r="CQ28" s="27">
        <v>3.6</v>
      </c>
      <c r="CR28" s="79" t="str">
        <f>Table13[[#This Row],[ State]]</f>
        <v>Mississippi</v>
      </c>
      <c r="CS28" s="27">
        <v>3.7666666666666702</v>
      </c>
      <c r="CT28" s="27">
        <v>4</v>
      </c>
      <c r="CU28" s="27">
        <v>3.8666666666666698</v>
      </c>
      <c r="CV28" s="111"/>
      <c r="CW28" s="41" t="s">
        <v>208</v>
      </c>
      <c r="CX28" s="47">
        <v>9.9</v>
      </c>
      <c r="CY28" s="48">
        <v>9.9</v>
      </c>
      <c r="CZ28" s="48">
        <v>9.9</v>
      </c>
      <c r="DA28" s="48">
        <v>9.9</v>
      </c>
      <c r="DB28" s="48">
        <v>9.9</v>
      </c>
      <c r="DC28" s="48">
        <v>10</v>
      </c>
      <c r="DD28" s="48">
        <v>10</v>
      </c>
      <c r="DE28" s="48">
        <v>9.9</v>
      </c>
      <c r="DF28" s="48">
        <v>9.8000000000000007</v>
      </c>
      <c r="DG28" s="48">
        <v>9.6</v>
      </c>
      <c r="DH28" s="48">
        <v>9.5</v>
      </c>
      <c r="DI28" s="48">
        <v>9.3000000000000007</v>
      </c>
      <c r="DJ28" s="48">
        <v>9.1</v>
      </c>
      <c r="DK28" s="48">
        <v>9</v>
      </c>
      <c r="DL28" s="48">
        <v>8.9</v>
      </c>
      <c r="DM28" s="48">
        <v>8.9</v>
      </c>
      <c r="DN28" s="48">
        <v>8.9</v>
      </c>
      <c r="DO28" s="48">
        <v>8.9</v>
      </c>
      <c r="DP28" s="48">
        <v>8.8000000000000007</v>
      </c>
      <c r="DQ28" s="48">
        <v>8.8000000000000007</v>
      </c>
      <c r="DR28" s="48">
        <v>8.6999999999999993</v>
      </c>
      <c r="DS28" s="48">
        <v>8.6999999999999993</v>
      </c>
      <c r="DT28" s="48">
        <v>8.6</v>
      </c>
      <c r="DU28" s="62">
        <v>8.6</v>
      </c>
      <c r="DV28" s="49" t="s">
        <v>208</v>
      </c>
      <c r="DW28" s="48">
        <v>8.6999999999999993</v>
      </c>
      <c r="DX28" s="48">
        <v>8.6999999999999993</v>
      </c>
      <c r="DY28" s="48">
        <v>8.6999999999999993</v>
      </c>
      <c r="DZ28" s="48">
        <v>8.6999999999999993</v>
      </c>
      <c r="EA28" s="48">
        <v>8.6</v>
      </c>
      <c r="EB28" s="48">
        <v>8.5</v>
      </c>
      <c r="EC28" s="48">
        <v>8.5</v>
      </c>
      <c r="ED28" s="48">
        <v>8.5</v>
      </c>
      <c r="EE28" s="48">
        <v>8.4</v>
      </c>
      <c r="EF28" s="48">
        <v>8.3000000000000007</v>
      </c>
      <c r="EG28" s="50">
        <v>8.1999999999999993</v>
      </c>
      <c r="EH28" s="50">
        <v>8.1</v>
      </c>
      <c r="EI28" s="50">
        <v>8.1</v>
      </c>
      <c r="EJ28" s="50">
        <v>8</v>
      </c>
      <c r="EK28" s="48">
        <v>8</v>
      </c>
      <c r="EL28" s="50">
        <v>7.9</v>
      </c>
      <c r="EM28" s="50">
        <v>7.8</v>
      </c>
      <c r="EN28" s="50">
        <v>7.7</v>
      </c>
      <c r="EO28" s="50">
        <v>7.6</v>
      </c>
      <c r="EP28" s="50">
        <v>7.5</v>
      </c>
      <c r="EQ28" s="50">
        <v>7.4</v>
      </c>
      <c r="ER28" s="48">
        <v>7.2</v>
      </c>
      <c r="ES28" s="50">
        <v>7.1</v>
      </c>
      <c r="ET28" s="51">
        <v>6.9</v>
      </c>
      <c r="EU28" s="49" t="s">
        <v>208</v>
      </c>
      <c r="EV28" s="48">
        <v>6.8</v>
      </c>
      <c r="EW28" s="50">
        <v>6.7</v>
      </c>
      <c r="EX28" s="50">
        <v>6.6</v>
      </c>
      <c r="EY28" s="50">
        <v>6.6</v>
      </c>
      <c r="EZ28" s="50">
        <v>6.5</v>
      </c>
      <c r="FA28" s="50">
        <v>6.4</v>
      </c>
      <c r="FB28" s="50">
        <v>6.3</v>
      </c>
      <c r="FC28" s="50">
        <v>6.3</v>
      </c>
      <c r="FD28" s="50">
        <v>6.3</v>
      </c>
      <c r="FE28" s="50">
        <v>6.3</v>
      </c>
      <c r="FF28" s="50">
        <v>6.3</v>
      </c>
      <c r="FG28" s="50">
        <v>6.3</v>
      </c>
      <c r="FH28" s="50">
        <v>6.3</v>
      </c>
      <c r="FI28" s="50">
        <v>6.2</v>
      </c>
      <c r="FJ28" s="50">
        <v>6.1</v>
      </c>
      <c r="FK28" s="50">
        <v>6</v>
      </c>
      <c r="FL28" s="50">
        <v>6</v>
      </c>
      <c r="FM28" s="50">
        <v>6</v>
      </c>
      <c r="FN28" s="50">
        <v>6</v>
      </c>
      <c r="FO28" s="50">
        <v>6</v>
      </c>
      <c r="FP28" s="50">
        <v>5.9</v>
      </c>
      <c r="FQ28" s="50">
        <v>5.9</v>
      </c>
      <c r="FR28" s="50">
        <v>5.8</v>
      </c>
      <c r="FS28" s="51">
        <v>5.7</v>
      </c>
      <c r="FT28" s="49" t="s">
        <v>208</v>
      </c>
      <c r="FU28" s="48">
        <v>5.6</v>
      </c>
      <c r="FV28" s="50">
        <v>5.5</v>
      </c>
      <c r="FW28" s="50">
        <v>5.4</v>
      </c>
      <c r="FX28" s="50">
        <v>5.4</v>
      </c>
      <c r="FY28" s="50">
        <v>5.3</v>
      </c>
      <c r="FZ28" s="50">
        <v>5.2</v>
      </c>
      <c r="GA28" s="50">
        <v>5.2</v>
      </c>
      <c r="GB28" s="50">
        <v>5.0999999999999996</v>
      </c>
      <c r="GC28" s="50">
        <v>5</v>
      </c>
      <c r="GD28" s="50">
        <v>5</v>
      </c>
      <c r="GE28" s="50">
        <v>4.9000000000000004</v>
      </c>
      <c r="GF28" s="50">
        <v>4.9000000000000004</v>
      </c>
      <c r="GG28" s="50">
        <v>4.9000000000000004</v>
      </c>
      <c r="GH28" s="50">
        <v>4.9000000000000004</v>
      </c>
      <c r="GI28" s="50">
        <v>4.9000000000000004</v>
      </c>
      <c r="GJ28" s="50">
        <v>4.9000000000000004</v>
      </c>
      <c r="GK28" s="50">
        <v>4.9000000000000004</v>
      </c>
      <c r="GL28" s="50">
        <v>4.8</v>
      </c>
      <c r="GM28" s="50">
        <v>4.8</v>
      </c>
      <c r="GN28" s="50">
        <v>4.8</v>
      </c>
      <c r="GO28" s="50">
        <v>4.9000000000000004</v>
      </c>
      <c r="GP28" s="50">
        <v>5</v>
      </c>
      <c r="GQ28" s="50">
        <v>5.2</v>
      </c>
      <c r="GR28" s="50">
        <v>5.3</v>
      </c>
      <c r="GS28" s="49" t="s">
        <v>208</v>
      </c>
      <c r="GT28" s="50">
        <v>5.4</v>
      </c>
      <c r="GU28" s="50">
        <v>5.4</v>
      </c>
      <c r="GV28" s="50">
        <v>5.4</v>
      </c>
      <c r="GW28" s="50">
        <v>5.4</v>
      </c>
      <c r="GX28" s="50">
        <v>5.4</v>
      </c>
      <c r="GY28" s="50">
        <v>5.5</v>
      </c>
      <c r="GZ28" s="50">
        <v>5.6</v>
      </c>
      <c r="HA28" s="50">
        <v>5.6</v>
      </c>
      <c r="HB28" s="50">
        <v>5.6</v>
      </c>
      <c r="HC28" s="50">
        <v>5.6</v>
      </c>
      <c r="HD28" s="50">
        <v>5.5</v>
      </c>
      <c r="HE28" s="50">
        <v>5.5</v>
      </c>
      <c r="HF28" s="50">
        <v>5.6</v>
      </c>
      <c r="HG28" s="50">
        <v>5.7</v>
      </c>
      <c r="HH28" s="50">
        <v>5.9</v>
      </c>
      <c r="HI28" s="50">
        <v>15.6</v>
      </c>
      <c r="HJ28" s="50">
        <v>11.2</v>
      </c>
      <c r="HK28" s="50">
        <v>9.4</v>
      </c>
      <c r="HL28" s="50">
        <v>8.3000000000000007</v>
      </c>
      <c r="HM28" s="50">
        <v>7.4</v>
      </c>
      <c r="HN28" s="50">
        <v>7.1</v>
      </c>
      <c r="HO28" s="50">
        <v>6.7</v>
      </c>
      <c r="HP28" s="50">
        <v>6.6</v>
      </c>
      <c r="HQ28" s="51">
        <v>6.5</v>
      </c>
      <c r="HR28" s="49" t="s">
        <v>208</v>
      </c>
      <c r="HS28" s="50">
        <v>6.4</v>
      </c>
      <c r="HT28" s="50">
        <v>6.3</v>
      </c>
      <c r="HU28" s="50">
        <v>6.2</v>
      </c>
      <c r="HV28" s="50">
        <v>6.1</v>
      </c>
      <c r="HW28" s="50">
        <v>5.9</v>
      </c>
      <c r="HX28" s="50">
        <v>5.7</v>
      </c>
      <c r="HY28" s="50">
        <v>5.5</v>
      </c>
      <c r="HZ28" s="50">
        <v>5.0999999999999996</v>
      </c>
      <c r="IA28" s="50">
        <v>4.8</v>
      </c>
      <c r="IB28" s="50">
        <v>4.5</v>
      </c>
      <c r="IC28" s="50">
        <v>4.3</v>
      </c>
      <c r="ID28" s="50">
        <v>4.0999999999999996</v>
      </c>
      <c r="IE28" s="50">
        <v>4</v>
      </c>
      <c r="IF28" s="50">
        <v>3.9</v>
      </c>
      <c r="IG28" s="50">
        <v>3.8</v>
      </c>
      <c r="IH28" s="50">
        <v>3.8</v>
      </c>
      <c r="II28" s="50">
        <v>3.7</v>
      </c>
      <c r="IJ28" s="50">
        <v>3.7</v>
      </c>
      <c r="IK28" s="50">
        <v>3.7</v>
      </c>
      <c r="IL28" s="50">
        <v>3.7</v>
      </c>
      <c r="IM28" s="50">
        <v>3.7</v>
      </c>
      <c r="IN28" s="50">
        <v>3.7</v>
      </c>
      <c r="IO28" s="50">
        <v>3.6</v>
      </c>
      <c r="IP28" s="51">
        <v>3.5</v>
      </c>
      <c r="IQ28" s="49" t="s">
        <v>208</v>
      </c>
      <c r="IR28" s="50">
        <v>3.4</v>
      </c>
      <c r="IS28" s="50">
        <v>3.3</v>
      </c>
      <c r="IT28" s="50">
        <v>3.2</v>
      </c>
      <c r="IU28" s="50">
        <v>3.1</v>
      </c>
      <c r="IV28" s="50">
        <v>3.1</v>
      </c>
      <c r="IW28" s="50">
        <v>3.1</v>
      </c>
      <c r="IX28" s="50">
        <v>3.1</v>
      </c>
      <c r="IY28" s="50">
        <v>3.1</v>
      </c>
      <c r="IZ28" s="50">
        <v>3</v>
      </c>
      <c r="JA28" s="50">
        <v>3</v>
      </c>
      <c r="JB28" s="50">
        <v>3</v>
      </c>
      <c r="JC28" s="50">
        <v>2.9</v>
      </c>
      <c r="JD28" s="50">
        <v>2.8</v>
      </c>
      <c r="JE28" s="50">
        <v>2.8</v>
      </c>
      <c r="JF28" s="50">
        <v>2.8</v>
      </c>
      <c r="JG28" s="50">
        <v>2.8</v>
      </c>
      <c r="JH28" s="50">
        <v>2.8</v>
      </c>
      <c r="JI28" s="50">
        <v>2.9</v>
      </c>
      <c r="JJ28" s="50">
        <v>3.1</v>
      </c>
      <c r="JK28" s="50">
        <v>3.3</v>
      </c>
      <c r="JL28" s="50">
        <v>3.4</v>
      </c>
      <c r="JM28" s="50">
        <v>3.6</v>
      </c>
      <c r="JN28" s="50">
        <v>3.6</v>
      </c>
      <c r="JO28" s="51">
        <v>3.6</v>
      </c>
      <c r="JP28" s="49" t="s">
        <v>208</v>
      </c>
      <c r="JQ28" s="80">
        <v>3.6</v>
      </c>
      <c r="JR28" s="80">
        <v>3.8</v>
      </c>
      <c r="JS28" s="80">
        <v>3.9</v>
      </c>
      <c r="JT28" s="80">
        <v>4</v>
      </c>
      <c r="JU28" s="80">
        <v>4</v>
      </c>
      <c r="JV28" s="80">
        <v>4</v>
      </c>
      <c r="JW28" s="80">
        <v>3.9</v>
      </c>
      <c r="JX28" s="80">
        <v>3.9</v>
      </c>
      <c r="JY28" s="80">
        <v>3.8</v>
      </c>
      <c r="JZ28" s="80" t="s">
        <v>402</v>
      </c>
      <c r="KA28" s="81">
        <v>3.8</v>
      </c>
    </row>
    <row r="29" spans="2:287" x14ac:dyDescent="0.3">
      <c r="B29" s="39" t="s">
        <v>209</v>
      </c>
      <c r="C29" s="17">
        <v>3.3916666666666653</v>
      </c>
      <c r="D29" s="17">
        <v>4.5249999999999968</v>
      </c>
      <c r="E29" s="17">
        <v>5.3250000000000002</v>
      </c>
      <c r="F29" s="17">
        <v>5.6916666666666682</v>
      </c>
      <c r="G29" s="17">
        <v>5.8416666666666677</v>
      </c>
      <c r="H29" s="17">
        <v>5.4166666666666679</v>
      </c>
      <c r="I29" s="17">
        <v>4.8916666666666648</v>
      </c>
      <c r="J29" s="17">
        <v>5.0833333333333321</v>
      </c>
      <c r="K29" s="17">
        <v>6.1583333333333323</v>
      </c>
      <c r="L29" s="17">
        <v>9.0916666666666686</v>
      </c>
      <c r="M29" s="17">
        <v>9.4166666666666679</v>
      </c>
      <c r="N29" s="17">
        <v>8.5749999999999993</v>
      </c>
      <c r="O29" s="19">
        <v>7.1416666666666675</v>
      </c>
      <c r="P29" s="19">
        <v>6.7583333333333329</v>
      </c>
      <c r="Q29" s="19">
        <v>6.1666666666666652</v>
      </c>
      <c r="R29" s="19">
        <v>5.0999999999999996</v>
      </c>
      <c r="S29" s="19">
        <v>4.5750000000000002</v>
      </c>
      <c r="T29" s="19">
        <v>3.7916666666666674</v>
      </c>
      <c r="U29" s="19">
        <v>3.2333333333333347</v>
      </c>
      <c r="V29" s="19">
        <v>3.2333333333333352</v>
      </c>
      <c r="W29" s="19">
        <v>6.2166666666666686</v>
      </c>
      <c r="X29" s="19">
        <v>4.1416666666666648</v>
      </c>
      <c r="Y29" s="19">
        <v>2.5999999999999996</v>
      </c>
      <c r="Z29" s="19">
        <v>3.1</v>
      </c>
      <c r="AA29" s="19">
        <v>3.6416666666666653</v>
      </c>
      <c r="AB29" s="96"/>
      <c r="AC29" s="35" t="str">
        <f>Table11[[#This Row],[State]]</f>
        <v>Missouri</v>
      </c>
      <c r="AD29" s="17">
        <v>8.3666666666666707</v>
      </c>
      <c r="AE29" s="17">
        <v>9.1333333333333293</v>
      </c>
      <c r="AF29" s="17">
        <v>9.3666666666666707</v>
      </c>
      <c r="AG29" s="17">
        <v>9.5</v>
      </c>
      <c r="AH29" s="17">
        <v>9.6</v>
      </c>
      <c r="AI29" s="17">
        <v>9.4</v>
      </c>
      <c r="AJ29" s="17">
        <v>9.3000000000000007</v>
      </c>
      <c r="AK29" s="17">
        <v>9.3666666666666707</v>
      </c>
      <c r="AL29" s="17">
        <v>9.0666666666666593</v>
      </c>
      <c r="AM29" s="17">
        <v>8.7666666666666693</v>
      </c>
      <c r="AN29" s="19">
        <v>8.5</v>
      </c>
      <c r="AO29" s="19">
        <v>7.9666666666666703</v>
      </c>
      <c r="AP29" s="19">
        <v>7.4</v>
      </c>
      <c r="AQ29" s="19">
        <v>7.1666666666666696</v>
      </c>
      <c r="AR29" s="19">
        <v>7.0333333333333297</v>
      </c>
      <c r="AS29" s="19">
        <v>6.9666666666666703</v>
      </c>
      <c r="AT29" s="19">
        <v>6.9</v>
      </c>
      <c r="AU29" s="19">
        <v>6.8</v>
      </c>
      <c r="AV29" s="17">
        <v>6.7333333333333298</v>
      </c>
      <c r="AW29" s="17">
        <v>6.6</v>
      </c>
      <c r="AX29" s="17">
        <v>6.6</v>
      </c>
      <c r="AY29" s="17">
        <v>6.3333333333333304</v>
      </c>
      <c r="AZ29" s="17">
        <v>6</v>
      </c>
      <c r="BA29" s="17">
        <v>5.7333333333333298</v>
      </c>
      <c r="BB29" s="35" t="str">
        <f t="shared" si="0"/>
        <v>Missouri</v>
      </c>
      <c r="BC29" s="19">
        <v>5.56666666666667</v>
      </c>
      <c r="BD29" s="19">
        <v>5.3333333333333304</v>
      </c>
      <c r="BE29" s="19">
        <v>4.9000000000000004</v>
      </c>
      <c r="BF29" s="19">
        <v>4.5999999999999996</v>
      </c>
      <c r="BG29" s="17">
        <v>4.5</v>
      </c>
      <c r="BH29" s="17">
        <v>4.5999999999999996</v>
      </c>
      <c r="BI29" s="17">
        <v>4.7</v>
      </c>
      <c r="BJ29" s="17">
        <v>4.5</v>
      </c>
      <c r="BK29" s="17">
        <v>4.0999999999999996</v>
      </c>
      <c r="BL29" s="17">
        <v>3.8</v>
      </c>
      <c r="BM29" s="17">
        <v>3.6666666666666701</v>
      </c>
      <c r="BN29" s="17">
        <v>3.6</v>
      </c>
      <c r="BO29" s="17">
        <v>3.4666666666666699</v>
      </c>
      <c r="BP29" s="17">
        <v>3.2</v>
      </c>
      <c r="BQ29" s="17">
        <v>3.1</v>
      </c>
      <c r="BR29" s="17">
        <v>3.1666666666666701</v>
      </c>
      <c r="BS29" s="17">
        <v>3.2666666666666702</v>
      </c>
      <c r="BT29" s="17">
        <v>3.1</v>
      </c>
      <c r="BU29" s="17">
        <v>3.2</v>
      </c>
      <c r="BV29" s="17">
        <v>3.3666666666666698</v>
      </c>
      <c r="BW29" s="35" t="str">
        <f>Table13[[#This Row],[State]]</f>
        <v>Missouri</v>
      </c>
      <c r="BX29" s="17">
        <v>3.4666666666666699</v>
      </c>
      <c r="BY29" s="17">
        <v>9.7333333333333307</v>
      </c>
      <c r="BZ29" s="17">
        <v>6.5</v>
      </c>
      <c r="CA29" s="17">
        <v>5.1666666666666696</v>
      </c>
      <c r="CB29" s="17">
        <v>4.8333333333333304</v>
      </c>
      <c r="CC29" s="17">
        <v>4.5333333333333297</v>
      </c>
      <c r="CD29" s="17">
        <v>3.9</v>
      </c>
      <c r="CE29" s="17">
        <v>3.3</v>
      </c>
      <c r="CF29" s="17">
        <v>2.7666666666666702</v>
      </c>
      <c r="CG29" s="17">
        <v>2.3333333333333299</v>
      </c>
      <c r="CH29" s="17">
        <v>2.5333333333333301</v>
      </c>
      <c r="CI29" s="17">
        <v>2.7666666666666702</v>
      </c>
      <c r="CJ29" s="17">
        <v>2.8</v>
      </c>
      <c r="CK29" s="17">
        <v>3</v>
      </c>
      <c r="CL29" s="17">
        <v>3.2</v>
      </c>
      <c r="CM29" s="17">
        <v>3.4</v>
      </c>
      <c r="CN29" s="17">
        <v>3.5333333333333301</v>
      </c>
      <c r="CO29" s="17">
        <v>3.7333333333333298</v>
      </c>
      <c r="CP29" s="17">
        <v>3.7</v>
      </c>
      <c r="CQ29" s="17">
        <v>3.6</v>
      </c>
      <c r="CR29" s="42" t="str">
        <f>Table13[[#This Row],[ State]]</f>
        <v>Missouri</v>
      </c>
      <c r="CS29" s="17">
        <v>3.7333333333333298</v>
      </c>
      <c r="CT29" s="17">
        <v>3.9666666666666699</v>
      </c>
      <c r="CU29" s="17">
        <v>4.0999999999999996</v>
      </c>
      <c r="CV29" s="111"/>
      <c r="CW29" s="42" t="s">
        <v>209</v>
      </c>
      <c r="CX29" s="52">
        <v>9.1999999999999993</v>
      </c>
      <c r="CY29" s="53">
        <v>9.1</v>
      </c>
      <c r="CZ29" s="53">
        <v>8.9</v>
      </c>
      <c r="DA29" s="53">
        <v>8.8000000000000007</v>
      </c>
      <c r="DB29" s="53">
        <v>8.8000000000000007</v>
      </c>
      <c r="DC29" s="53">
        <v>8.6999999999999993</v>
      </c>
      <c r="DD29" s="53">
        <v>8.6</v>
      </c>
      <c r="DE29" s="53">
        <v>8.5</v>
      </c>
      <c r="DF29" s="53">
        <v>8.4</v>
      </c>
      <c r="DG29" s="53">
        <v>8.1999999999999993</v>
      </c>
      <c r="DH29" s="53">
        <v>8</v>
      </c>
      <c r="DI29" s="53">
        <v>7.7</v>
      </c>
      <c r="DJ29" s="53">
        <v>7.5</v>
      </c>
      <c r="DK29" s="53">
        <v>7.4</v>
      </c>
      <c r="DL29" s="53">
        <v>7.3</v>
      </c>
      <c r="DM29" s="53">
        <v>7.2</v>
      </c>
      <c r="DN29" s="53">
        <v>7.2</v>
      </c>
      <c r="DO29" s="53">
        <v>7.1</v>
      </c>
      <c r="DP29" s="53">
        <v>7.1</v>
      </c>
      <c r="DQ29" s="53">
        <v>7</v>
      </c>
      <c r="DR29" s="53">
        <v>7</v>
      </c>
      <c r="DS29" s="53">
        <v>7</v>
      </c>
      <c r="DT29" s="53">
        <v>7</v>
      </c>
      <c r="DU29" s="63">
        <v>6.9</v>
      </c>
      <c r="DV29" s="54" t="s">
        <v>209</v>
      </c>
      <c r="DW29" s="53">
        <v>6.9</v>
      </c>
      <c r="DX29" s="53">
        <v>6.9</v>
      </c>
      <c r="DY29" s="53">
        <v>6.9</v>
      </c>
      <c r="DZ29" s="53">
        <v>6.8</v>
      </c>
      <c r="EA29" s="53">
        <v>6.8</v>
      </c>
      <c r="EB29" s="53">
        <v>6.8</v>
      </c>
      <c r="EC29" s="53">
        <v>6.8</v>
      </c>
      <c r="ED29" s="53">
        <v>6.7</v>
      </c>
      <c r="EE29" s="53">
        <v>6.7</v>
      </c>
      <c r="EF29" s="53">
        <v>6.6</v>
      </c>
      <c r="EG29" s="55">
        <v>6.6</v>
      </c>
      <c r="EH29" s="55">
        <v>6.6</v>
      </c>
      <c r="EI29" s="55">
        <v>6.6</v>
      </c>
      <c r="EJ29" s="55">
        <v>6.6</v>
      </c>
      <c r="EK29" s="53">
        <v>6.6</v>
      </c>
      <c r="EL29" s="55">
        <v>6.5</v>
      </c>
      <c r="EM29" s="55">
        <v>6.3</v>
      </c>
      <c r="EN29" s="55">
        <v>6.2</v>
      </c>
      <c r="EO29" s="55">
        <v>6.1</v>
      </c>
      <c r="EP29" s="55">
        <v>6</v>
      </c>
      <c r="EQ29" s="55">
        <v>5.9</v>
      </c>
      <c r="ER29" s="53">
        <v>5.8</v>
      </c>
      <c r="ES29" s="55">
        <v>5.7</v>
      </c>
      <c r="ET29" s="56">
        <v>5.7</v>
      </c>
      <c r="EU29" s="54" t="s">
        <v>209</v>
      </c>
      <c r="EV29" s="53">
        <v>5.6</v>
      </c>
      <c r="EW29" s="55">
        <v>5.6</v>
      </c>
      <c r="EX29" s="55">
        <v>5.5</v>
      </c>
      <c r="EY29" s="55">
        <v>5.5</v>
      </c>
      <c r="EZ29" s="55">
        <v>5.3</v>
      </c>
      <c r="FA29" s="55">
        <v>5.2</v>
      </c>
      <c r="FB29" s="55">
        <v>5</v>
      </c>
      <c r="FC29" s="55">
        <v>4.9000000000000004</v>
      </c>
      <c r="FD29" s="55">
        <v>4.8</v>
      </c>
      <c r="FE29" s="55">
        <v>4.7</v>
      </c>
      <c r="FF29" s="55">
        <v>4.5999999999999996</v>
      </c>
      <c r="FG29" s="55">
        <v>4.5</v>
      </c>
      <c r="FH29" s="55">
        <v>4.5</v>
      </c>
      <c r="FI29" s="55">
        <v>4.5</v>
      </c>
      <c r="FJ29" s="55">
        <v>4.5</v>
      </c>
      <c r="FK29" s="55">
        <v>4.5</v>
      </c>
      <c r="FL29" s="55">
        <v>4.5999999999999996</v>
      </c>
      <c r="FM29" s="55">
        <v>4.7</v>
      </c>
      <c r="FN29" s="55">
        <v>4.7</v>
      </c>
      <c r="FO29" s="55">
        <v>4.7</v>
      </c>
      <c r="FP29" s="55">
        <v>4.7</v>
      </c>
      <c r="FQ29" s="55">
        <v>4.5999999999999996</v>
      </c>
      <c r="FR29" s="55">
        <v>4.5</v>
      </c>
      <c r="FS29" s="56">
        <v>4.4000000000000004</v>
      </c>
      <c r="FT29" s="54" t="s">
        <v>209</v>
      </c>
      <c r="FU29" s="53">
        <v>4.2</v>
      </c>
      <c r="FV29" s="55">
        <v>4.0999999999999996</v>
      </c>
      <c r="FW29" s="55">
        <v>4</v>
      </c>
      <c r="FX29" s="55">
        <v>3.9</v>
      </c>
      <c r="FY29" s="55">
        <v>3.8</v>
      </c>
      <c r="FZ29" s="55">
        <v>3.7</v>
      </c>
      <c r="GA29" s="55">
        <v>3.7</v>
      </c>
      <c r="GB29" s="55">
        <v>3.7</v>
      </c>
      <c r="GC29" s="55">
        <v>3.6</v>
      </c>
      <c r="GD29" s="55">
        <v>3.6</v>
      </c>
      <c r="GE29" s="55">
        <v>3.6</v>
      </c>
      <c r="GF29" s="55">
        <v>3.6</v>
      </c>
      <c r="GG29" s="55">
        <v>3.5</v>
      </c>
      <c r="GH29" s="55">
        <v>3.5</v>
      </c>
      <c r="GI29" s="55">
        <v>3.4</v>
      </c>
      <c r="GJ29" s="55">
        <v>3.3</v>
      </c>
      <c r="GK29" s="55">
        <v>3.2</v>
      </c>
      <c r="GL29" s="55">
        <v>3.1</v>
      </c>
      <c r="GM29" s="55">
        <v>3.1</v>
      </c>
      <c r="GN29" s="55">
        <v>3.1</v>
      </c>
      <c r="GO29" s="55">
        <v>3.1</v>
      </c>
      <c r="GP29" s="55">
        <v>3.1</v>
      </c>
      <c r="GQ29" s="55">
        <v>3.2</v>
      </c>
      <c r="GR29" s="55">
        <v>3.2</v>
      </c>
      <c r="GS29" s="54" t="s">
        <v>209</v>
      </c>
      <c r="GT29" s="55">
        <v>3.3</v>
      </c>
      <c r="GU29" s="55">
        <v>3.3</v>
      </c>
      <c r="GV29" s="55">
        <v>3.2</v>
      </c>
      <c r="GW29" s="55">
        <v>3.1</v>
      </c>
      <c r="GX29" s="55">
        <v>3.1</v>
      </c>
      <c r="GY29" s="55">
        <v>3.1</v>
      </c>
      <c r="GZ29" s="55">
        <v>3.1</v>
      </c>
      <c r="HA29" s="55">
        <v>3.2</v>
      </c>
      <c r="HB29" s="55">
        <v>3.3</v>
      </c>
      <c r="HC29" s="55">
        <v>3.3</v>
      </c>
      <c r="HD29" s="55">
        <v>3.4</v>
      </c>
      <c r="HE29" s="55">
        <v>3.4</v>
      </c>
      <c r="HF29" s="55">
        <v>3.4</v>
      </c>
      <c r="HG29" s="55">
        <v>3.4</v>
      </c>
      <c r="HH29" s="55">
        <v>3.6</v>
      </c>
      <c r="HI29" s="55">
        <v>11.6</v>
      </c>
      <c r="HJ29" s="55">
        <v>9.6</v>
      </c>
      <c r="HK29" s="55">
        <v>8</v>
      </c>
      <c r="HL29" s="55">
        <v>7.2</v>
      </c>
      <c r="HM29" s="55">
        <v>6.4</v>
      </c>
      <c r="HN29" s="55">
        <v>5.9</v>
      </c>
      <c r="HO29" s="55">
        <v>5.4</v>
      </c>
      <c r="HP29" s="55">
        <v>5.0999999999999996</v>
      </c>
      <c r="HQ29" s="56">
        <v>5</v>
      </c>
      <c r="HR29" s="54" t="s">
        <v>209</v>
      </c>
      <c r="HS29" s="55">
        <v>4.9000000000000004</v>
      </c>
      <c r="HT29" s="55">
        <v>4.8</v>
      </c>
      <c r="HU29" s="55">
        <v>4.8</v>
      </c>
      <c r="HV29" s="55">
        <v>4.7</v>
      </c>
      <c r="HW29" s="55">
        <v>4.5</v>
      </c>
      <c r="HX29" s="55">
        <v>4.4000000000000004</v>
      </c>
      <c r="HY29" s="55">
        <v>4.0999999999999996</v>
      </c>
      <c r="HZ29" s="55">
        <v>3.9</v>
      </c>
      <c r="IA29" s="55">
        <v>3.7</v>
      </c>
      <c r="IB29" s="55">
        <v>3.5</v>
      </c>
      <c r="IC29" s="55">
        <v>3.3</v>
      </c>
      <c r="ID29" s="55">
        <v>3.1</v>
      </c>
      <c r="IE29" s="55">
        <v>3</v>
      </c>
      <c r="IF29" s="55">
        <v>2.7</v>
      </c>
      <c r="IG29" s="55">
        <v>2.6</v>
      </c>
      <c r="IH29" s="55">
        <v>2.4</v>
      </c>
      <c r="II29" s="55">
        <v>2.2999999999999998</v>
      </c>
      <c r="IJ29" s="55">
        <v>2.2999999999999998</v>
      </c>
      <c r="IK29" s="55">
        <v>2.4</v>
      </c>
      <c r="IL29" s="55">
        <v>2.5</v>
      </c>
      <c r="IM29" s="55">
        <v>2.7</v>
      </c>
      <c r="IN29" s="55">
        <v>2.7</v>
      </c>
      <c r="IO29" s="55">
        <v>2.8</v>
      </c>
      <c r="IP29" s="56">
        <v>2.8</v>
      </c>
      <c r="IQ29" s="54" t="s">
        <v>209</v>
      </c>
      <c r="IR29" s="55">
        <v>2.8</v>
      </c>
      <c r="IS29" s="55">
        <v>2.8</v>
      </c>
      <c r="IT29" s="55">
        <v>2.8</v>
      </c>
      <c r="IU29" s="55">
        <v>2.9</v>
      </c>
      <c r="IV29" s="55">
        <v>3</v>
      </c>
      <c r="IW29" s="55">
        <v>3.1</v>
      </c>
      <c r="IX29" s="55">
        <v>3.1</v>
      </c>
      <c r="IY29" s="55">
        <v>3.2</v>
      </c>
      <c r="IZ29" s="55">
        <v>3.3</v>
      </c>
      <c r="JA29" s="55">
        <v>3.4</v>
      </c>
      <c r="JB29" s="55">
        <v>3.4</v>
      </c>
      <c r="JC29" s="55">
        <v>3.4</v>
      </c>
      <c r="JD29" s="55">
        <v>3.5</v>
      </c>
      <c r="JE29" s="55">
        <v>3.5</v>
      </c>
      <c r="JF29" s="55">
        <v>3.6</v>
      </c>
      <c r="JG29" s="55">
        <v>3.7</v>
      </c>
      <c r="JH29" s="55">
        <v>3.7</v>
      </c>
      <c r="JI29" s="55">
        <v>3.8</v>
      </c>
      <c r="JJ29" s="55">
        <v>3.7</v>
      </c>
      <c r="JK29" s="55">
        <v>3.7</v>
      </c>
      <c r="JL29" s="55">
        <v>3.7</v>
      </c>
      <c r="JM29" s="55">
        <v>3.6</v>
      </c>
      <c r="JN29" s="55">
        <v>3.6</v>
      </c>
      <c r="JO29" s="56">
        <v>3.6</v>
      </c>
      <c r="JP29" s="54" t="s">
        <v>209</v>
      </c>
      <c r="JQ29" s="82">
        <v>3.7</v>
      </c>
      <c r="JR29" s="82">
        <v>3.7</v>
      </c>
      <c r="JS29" s="82">
        <v>3.8</v>
      </c>
      <c r="JT29" s="82">
        <v>3.9</v>
      </c>
      <c r="JU29" s="82">
        <v>4</v>
      </c>
      <c r="JV29" s="82">
        <v>4</v>
      </c>
      <c r="JW29" s="82">
        <v>4.0999999999999996</v>
      </c>
      <c r="JX29" s="82">
        <v>4.0999999999999996</v>
      </c>
      <c r="JY29" s="82">
        <v>4.0999999999999996</v>
      </c>
      <c r="JZ29" s="82" t="s">
        <v>402</v>
      </c>
      <c r="KA29" s="83">
        <v>4</v>
      </c>
    </row>
    <row r="30" spans="2:287" x14ac:dyDescent="0.3">
      <c r="B30" s="39" t="s">
        <v>210</v>
      </c>
      <c r="C30" s="17">
        <v>4.8333333333333321</v>
      </c>
      <c r="D30" s="17">
        <v>4.6166666666666671</v>
      </c>
      <c r="E30" s="17">
        <v>4.5666666666666682</v>
      </c>
      <c r="F30" s="17">
        <v>4.7333333333333325</v>
      </c>
      <c r="G30" s="17">
        <v>4.5416666666666679</v>
      </c>
      <c r="H30" s="17">
        <v>4.0833333333333348</v>
      </c>
      <c r="I30" s="17">
        <v>3.3666666666666676</v>
      </c>
      <c r="J30" s="17">
        <v>3.3916666666666675</v>
      </c>
      <c r="K30" s="17">
        <v>4.7249999999999996</v>
      </c>
      <c r="L30" s="17">
        <v>7.1000000000000005</v>
      </c>
      <c r="M30" s="17">
        <v>7.15</v>
      </c>
      <c r="N30" s="17">
        <v>6.625</v>
      </c>
      <c r="O30" s="19">
        <v>5.7833333333333332</v>
      </c>
      <c r="P30" s="19">
        <v>5.3000000000000007</v>
      </c>
      <c r="Q30" s="19">
        <v>4.6416666666666675</v>
      </c>
      <c r="R30" s="19">
        <v>4.241666666666668</v>
      </c>
      <c r="S30" s="19">
        <v>4.2666666666666675</v>
      </c>
      <c r="T30" s="19">
        <v>4.0999999999999996</v>
      </c>
      <c r="U30" s="19">
        <v>3.7250000000000001</v>
      </c>
      <c r="V30" s="19">
        <v>3.5</v>
      </c>
      <c r="W30" s="19">
        <v>5.8250000000000002</v>
      </c>
      <c r="X30" s="19">
        <v>3.3916666666666675</v>
      </c>
      <c r="Y30" s="19">
        <v>2.6333333333333324</v>
      </c>
      <c r="Z30" s="19">
        <v>2.6666666666666652</v>
      </c>
      <c r="AA30" s="19">
        <v>2.9750000000000001</v>
      </c>
      <c r="AB30" s="96"/>
      <c r="AC30" s="36" t="str">
        <f>Table11[[#This Row],[State]]</f>
        <v>Montana</v>
      </c>
      <c r="AD30" s="27">
        <v>6.8333333333333304</v>
      </c>
      <c r="AE30" s="27">
        <v>7.2</v>
      </c>
      <c r="AF30" s="27">
        <v>7.1</v>
      </c>
      <c r="AG30" s="27">
        <v>7.2666666666666702</v>
      </c>
      <c r="AH30" s="27">
        <v>7.4</v>
      </c>
      <c r="AI30" s="27">
        <v>7.2</v>
      </c>
      <c r="AJ30" s="27">
        <v>7</v>
      </c>
      <c r="AK30" s="27">
        <v>7</v>
      </c>
      <c r="AL30" s="27">
        <v>6.9</v>
      </c>
      <c r="AM30" s="27">
        <v>6.7</v>
      </c>
      <c r="AN30" s="27">
        <v>6.6333333333333302</v>
      </c>
      <c r="AO30" s="27">
        <v>6.2666666666666702</v>
      </c>
      <c r="AP30" s="27">
        <v>5.93333333333333</v>
      </c>
      <c r="AQ30" s="27">
        <v>5.9</v>
      </c>
      <c r="AR30" s="27">
        <v>5.7666666666666702</v>
      </c>
      <c r="AS30" s="27">
        <v>5.5333333333333297</v>
      </c>
      <c r="AT30" s="27">
        <v>5.43333333333333</v>
      </c>
      <c r="AU30" s="27">
        <v>5.4</v>
      </c>
      <c r="AV30" s="27">
        <v>5.2666666666666702</v>
      </c>
      <c r="AW30" s="27">
        <v>5.0999999999999996</v>
      </c>
      <c r="AX30" s="27">
        <v>4.8666666666666698</v>
      </c>
      <c r="AY30" s="27">
        <v>4.6666666666666696</v>
      </c>
      <c r="AZ30" s="27">
        <v>4.5999999999999996</v>
      </c>
      <c r="BA30" s="27">
        <v>4.43333333333333</v>
      </c>
      <c r="BB30" s="36" t="str">
        <f t="shared" si="0"/>
        <v>Montana</v>
      </c>
      <c r="BC30" s="27">
        <v>4.2666666666666702</v>
      </c>
      <c r="BD30" s="27">
        <v>4.2</v>
      </c>
      <c r="BE30" s="27">
        <v>4.2</v>
      </c>
      <c r="BF30" s="27">
        <v>4.3</v>
      </c>
      <c r="BG30" s="27">
        <v>4.3</v>
      </c>
      <c r="BH30" s="27">
        <v>4.3</v>
      </c>
      <c r="BI30" s="27">
        <v>4.2666666666666702</v>
      </c>
      <c r="BJ30" s="27">
        <v>4.2</v>
      </c>
      <c r="BK30" s="27">
        <v>4.1333333333333302</v>
      </c>
      <c r="BL30" s="27">
        <v>4.0999999999999996</v>
      </c>
      <c r="BM30" s="27">
        <v>4.0999999999999996</v>
      </c>
      <c r="BN30" s="27">
        <v>4.06666666666667</v>
      </c>
      <c r="BO30" s="27">
        <v>3.8666666666666698</v>
      </c>
      <c r="BP30" s="27">
        <v>3.7333333333333298</v>
      </c>
      <c r="BQ30" s="27">
        <v>3.6333333333333302</v>
      </c>
      <c r="BR30" s="27">
        <v>3.6666666666666701</v>
      </c>
      <c r="BS30" s="27">
        <v>3.56666666666667</v>
      </c>
      <c r="BT30" s="27">
        <v>3.43333333333333</v>
      </c>
      <c r="BU30" s="27">
        <v>3.5</v>
      </c>
      <c r="BV30" s="27">
        <v>3.5</v>
      </c>
      <c r="BW30" s="36" t="str">
        <f>Table13[[#This Row],[State]]</f>
        <v>Montana</v>
      </c>
      <c r="BX30" s="27">
        <v>3.5</v>
      </c>
      <c r="BY30" s="27">
        <v>9.6</v>
      </c>
      <c r="BZ30" s="27">
        <v>5.8333333333333304</v>
      </c>
      <c r="CA30" s="27">
        <v>4.3666666666666698</v>
      </c>
      <c r="CB30" s="27">
        <v>3.9</v>
      </c>
      <c r="CC30" s="27">
        <v>3.6</v>
      </c>
      <c r="CD30" s="27">
        <v>3.2666666666666702</v>
      </c>
      <c r="CE30" s="27">
        <v>2.8</v>
      </c>
      <c r="CF30" s="27">
        <v>2.6</v>
      </c>
      <c r="CG30" s="27">
        <v>2.7</v>
      </c>
      <c r="CH30" s="27">
        <v>2.7</v>
      </c>
      <c r="CI30" s="27">
        <v>2.5333333333333301</v>
      </c>
      <c r="CJ30" s="27">
        <v>2.43333333333333</v>
      </c>
      <c r="CK30" s="27">
        <v>2.5333333333333301</v>
      </c>
      <c r="CL30" s="27">
        <v>2.7</v>
      </c>
      <c r="CM30" s="27">
        <v>3</v>
      </c>
      <c r="CN30" s="27">
        <v>3</v>
      </c>
      <c r="CO30" s="27">
        <v>3</v>
      </c>
      <c r="CP30" s="27">
        <v>3</v>
      </c>
      <c r="CQ30" s="27">
        <v>2.9</v>
      </c>
      <c r="CR30" s="79" t="str">
        <f>Table13[[#This Row],[ State]]</f>
        <v>Montana</v>
      </c>
      <c r="CS30" s="27">
        <v>2.7666666666666702</v>
      </c>
      <c r="CT30" s="27">
        <v>2.7666666666666702</v>
      </c>
      <c r="CU30" s="27">
        <v>2.9</v>
      </c>
      <c r="CV30" s="111"/>
      <c r="CW30" s="41" t="s">
        <v>210</v>
      </c>
      <c r="CX30" s="47">
        <v>7</v>
      </c>
      <c r="CY30" s="48">
        <v>6.9</v>
      </c>
      <c r="CZ30" s="48">
        <v>6.8</v>
      </c>
      <c r="DA30" s="48">
        <v>6.7</v>
      </c>
      <c r="DB30" s="48">
        <v>6.7</v>
      </c>
      <c r="DC30" s="48">
        <v>6.7</v>
      </c>
      <c r="DD30" s="48">
        <v>6.7</v>
      </c>
      <c r="DE30" s="48">
        <v>6.6</v>
      </c>
      <c r="DF30" s="48">
        <v>6.6</v>
      </c>
      <c r="DG30" s="48">
        <v>6.4</v>
      </c>
      <c r="DH30" s="48">
        <v>6.3</v>
      </c>
      <c r="DI30" s="48">
        <v>6.1</v>
      </c>
      <c r="DJ30" s="48">
        <v>6</v>
      </c>
      <c r="DK30" s="48">
        <v>5.9</v>
      </c>
      <c r="DL30" s="48">
        <v>5.9</v>
      </c>
      <c r="DM30" s="48">
        <v>5.9</v>
      </c>
      <c r="DN30" s="48">
        <v>5.9</v>
      </c>
      <c r="DO30" s="48">
        <v>5.9</v>
      </c>
      <c r="DP30" s="48">
        <v>5.8</v>
      </c>
      <c r="DQ30" s="48">
        <v>5.8</v>
      </c>
      <c r="DR30" s="48">
        <v>5.7</v>
      </c>
      <c r="DS30" s="48">
        <v>5.6</v>
      </c>
      <c r="DT30" s="48">
        <v>5.5</v>
      </c>
      <c r="DU30" s="62">
        <v>5.5</v>
      </c>
      <c r="DV30" s="49" t="s">
        <v>210</v>
      </c>
      <c r="DW30" s="48">
        <v>5.5</v>
      </c>
      <c r="DX30" s="48">
        <v>5.4</v>
      </c>
      <c r="DY30" s="48">
        <v>5.4</v>
      </c>
      <c r="DZ30" s="48">
        <v>5.4</v>
      </c>
      <c r="EA30" s="48">
        <v>5.4</v>
      </c>
      <c r="EB30" s="48">
        <v>5.4</v>
      </c>
      <c r="EC30" s="48">
        <v>5.3</v>
      </c>
      <c r="ED30" s="48">
        <v>5.3</v>
      </c>
      <c r="EE30" s="48">
        <v>5.2</v>
      </c>
      <c r="EF30" s="48">
        <v>5.2</v>
      </c>
      <c r="EG30" s="50">
        <v>5.0999999999999996</v>
      </c>
      <c r="EH30" s="50">
        <v>5</v>
      </c>
      <c r="EI30" s="50">
        <v>4.9000000000000004</v>
      </c>
      <c r="EJ30" s="50">
        <v>4.9000000000000004</v>
      </c>
      <c r="EK30" s="48">
        <v>4.8</v>
      </c>
      <c r="EL30" s="50">
        <v>4.7</v>
      </c>
      <c r="EM30" s="50">
        <v>4.7</v>
      </c>
      <c r="EN30" s="50">
        <v>4.5999999999999996</v>
      </c>
      <c r="EO30" s="50">
        <v>4.5999999999999996</v>
      </c>
      <c r="EP30" s="50">
        <v>4.5999999999999996</v>
      </c>
      <c r="EQ30" s="50">
        <v>4.5999999999999996</v>
      </c>
      <c r="ER30" s="48">
        <v>4.5</v>
      </c>
      <c r="ES30" s="50">
        <v>4.4000000000000004</v>
      </c>
      <c r="ET30" s="51">
        <v>4.4000000000000004</v>
      </c>
      <c r="EU30" s="49" t="s">
        <v>210</v>
      </c>
      <c r="EV30" s="48">
        <v>4.3</v>
      </c>
      <c r="EW30" s="50">
        <v>4.3</v>
      </c>
      <c r="EX30" s="50">
        <v>4.2</v>
      </c>
      <c r="EY30" s="50">
        <v>4.2</v>
      </c>
      <c r="EZ30" s="50">
        <v>4.2</v>
      </c>
      <c r="FA30" s="50">
        <v>4.2</v>
      </c>
      <c r="FB30" s="50">
        <v>4.2</v>
      </c>
      <c r="FC30" s="50">
        <v>4.2</v>
      </c>
      <c r="FD30" s="50">
        <v>4.2</v>
      </c>
      <c r="FE30" s="50">
        <v>4.3</v>
      </c>
      <c r="FF30" s="50">
        <v>4.3</v>
      </c>
      <c r="FG30" s="50">
        <v>4.3</v>
      </c>
      <c r="FH30" s="50">
        <v>4.3</v>
      </c>
      <c r="FI30" s="50">
        <v>4.3</v>
      </c>
      <c r="FJ30" s="50">
        <v>4.3</v>
      </c>
      <c r="FK30" s="50">
        <v>4.3</v>
      </c>
      <c r="FL30" s="50">
        <v>4.3</v>
      </c>
      <c r="FM30" s="50">
        <v>4.3</v>
      </c>
      <c r="FN30" s="50">
        <v>4.3</v>
      </c>
      <c r="FO30" s="50">
        <v>4.3</v>
      </c>
      <c r="FP30" s="50">
        <v>4.2</v>
      </c>
      <c r="FQ30" s="50">
        <v>4.2</v>
      </c>
      <c r="FR30" s="50">
        <v>4.2</v>
      </c>
      <c r="FS30" s="51">
        <v>4.2</v>
      </c>
      <c r="FT30" s="49" t="s">
        <v>210</v>
      </c>
      <c r="FU30" s="48">
        <v>4.2</v>
      </c>
      <c r="FV30" s="50">
        <v>4.0999999999999996</v>
      </c>
      <c r="FW30" s="50">
        <v>4.0999999999999996</v>
      </c>
      <c r="FX30" s="50">
        <v>4.0999999999999996</v>
      </c>
      <c r="FY30" s="50">
        <v>4.0999999999999996</v>
      </c>
      <c r="FZ30" s="50">
        <v>4.0999999999999996</v>
      </c>
      <c r="GA30" s="50">
        <v>4.0999999999999996</v>
      </c>
      <c r="GB30" s="50">
        <v>4.0999999999999996</v>
      </c>
      <c r="GC30" s="50">
        <v>4.0999999999999996</v>
      </c>
      <c r="GD30" s="50">
        <v>4.0999999999999996</v>
      </c>
      <c r="GE30" s="50">
        <v>4.0999999999999996</v>
      </c>
      <c r="GF30" s="50">
        <v>4</v>
      </c>
      <c r="GG30" s="50">
        <v>3.9</v>
      </c>
      <c r="GH30" s="50">
        <v>3.9</v>
      </c>
      <c r="GI30" s="50">
        <v>3.8</v>
      </c>
      <c r="GJ30" s="50">
        <v>3.8</v>
      </c>
      <c r="GK30" s="50">
        <v>3.7</v>
      </c>
      <c r="GL30" s="50">
        <v>3.7</v>
      </c>
      <c r="GM30" s="50">
        <v>3.7</v>
      </c>
      <c r="GN30" s="50">
        <v>3.6</v>
      </c>
      <c r="GO30" s="50">
        <v>3.6</v>
      </c>
      <c r="GP30" s="50">
        <v>3.7</v>
      </c>
      <c r="GQ30" s="50">
        <v>3.7</v>
      </c>
      <c r="GR30" s="50">
        <v>3.6</v>
      </c>
      <c r="GS30" s="49" t="s">
        <v>210</v>
      </c>
      <c r="GT30" s="50">
        <v>3.6</v>
      </c>
      <c r="GU30" s="50">
        <v>3.6</v>
      </c>
      <c r="GV30" s="50">
        <v>3.5</v>
      </c>
      <c r="GW30" s="50">
        <v>3.5</v>
      </c>
      <c r="GX30" s="50">
        <v>3.4</v>
      </c>
      <c r="GY30" s="50">
        <v>3.4</v>
      </c>
      <c r="GZ30" s="50">
        <v>3.5</v>
      </c>
      <c r="HA30" s="50">
        <v>3.5</v>
      </c>
      <c r="HB30" s="50">
        <v>3.5</v>
      </c>
      <c r="HC30" s="50">
        <v>3.5</v>
      </c>
      <c r="HD30" s="50">
        <v>3.5</v>
      </c>
      <c r="HE30" s="50">
        <v>3.5</v>
      </c>
      <c r="HF30" s="50">
        <v>3.5</v>
      </c>
      <c r="HG30" s="50">
        <v>3.5</v>
      </c>
      <c r="HH30" s="50">
        <v>3.5</v>
      </c>
      <c r="HI30" s="50">
        <v>11.9</v>
      </c>
      <c r="HJ30" s="50">
        <v>9.1999999999999993</v>
      </c>
      <c r="HK30" s="50">
        <v>7.7</v>
      </c>
      <c r="HL30" s="50">
        <v>6.7</v>
      </c>
      <c r="HM30" s="50">
        <v>5.6</v>
      </c>
      <c r="HN30" s="50">
        <v>5.2</v>
      </c>
      <c r="HO30" s="50">
        <v>4.5999999999999996</v>
      </c>
      <c r="HP30" s="50">
        <v>4.3</v>
      </c>
      <c r="HQ30" s="51">
        <v>4.2</v>
      </c>
      <c r="HR30" s="49" t="s">
        <v>210</v>
      </c>
      <c r="HS30" s="50">
        <v>4</v>
      </c>
      <c r="HT30" s="50">
        <v>3.9</v>
      </c>
      <c r="HU30" s="50">
        <v>3.8</v>
      </c>
      <c r="HV30" s="50">
        <v>3.7</v>
      </c>
      <c r="HW30" s="50">
        <v>3.6</v>
      </c>
      <c r="HX30" s="50">
        <v>3.5</v>
      </c>
      <c r="HY30" s="50">
        <v>3.4</v>
      </c>
      <c r="HZ30" s="50">
        <v>3.3</v>
      </c>
      <c r="IA30" s="50">
        <v>3.1</v>
      </c>
      <c r="IB30" s="50">
        <v>2.9</v>
      </c>
      <c r="IC30" s="50">
        <v>2.8</v>
      </c>
      <c r="ID30" s="50">
        <v>2.7</v>
      </c>
      <c r="IE30" s="50">
        <v>2.6</v>
      </c>
      <c r="IF30" s="50">
        <v>2.6</v>
      </c>
      <c r="IG30" s="50">
        <v>2.6</v>
      </c>
      <c r="IH30" s="50">
        <v>2.7</v>
      </c>
      <c r="II30" s="50">
        <v>2.7</v>
      </c>
      <c r="IJ30" s="50">
        <v>2.7</v>
      </c>
      <c r="IK30" s="50">
        <v>2.7</v>
      </c>
      <c r="IL30" s="50">
        <v>2.7</v>
      </c>
      <c r="IM30" s="50">
        <v>2.7</v>
      </c>
      <c r="IN30" s="50">
        <v>2.6</v>
      </c>
      <c r="IO30" s="50">
        <v>2.5</v>
      </c>
      <c r="IP30" s="51">
        <v>2.5</v>
      </c>
      <c r="IQ30" s="49" t="s">
        <v>210</v>
      </c>
      <c r="IR30" s="50">
        <v>2.4</v>
      </c>
      <c r="IS30" s="50">
        <v>2.4</v>
      </c>
      <c r="IT30" s="50">
        <v>2.5</v>
      </c>
      <c r="IU30" s="50">
        <v>2.5</v>
      </c>
      <c r="IV30" s="50">
        <v>2.5</v>
      </c>
      <c r="IW30" s="50">
        <v>2.6</v>
      </c>
      <c r="IX30" s="50">
        <v>2.6</v>
      </c>
      <c r="IY30" s="50">
        <v>2.7</v>
      </c>
      <c r="IZ30" s="50">
        <v>2.8</v>
      </c>
      <c r="JA30" s="50">
        <v>2.9</v>
      </c>
      <c r="JB30" s="50">
        <v>3</v>
      </c>
      <c r="JC30" s="50">
        <v>3.1</v>
      </c>
      <c r="JD30" s="50">
        <v>3</v>
      </c>
      <c r="JE30" s="50">
        <v>3</v>
      </c>
      <c r="JF30" s="50">
        <v>3</v>
      </c>
      <c r="JG30" s="50">
        <v>3</v>
      </c>
      <c r="JH30" s="50">
        <v>3</v>
      </c>
      <c r="JI30" s="50">
        <v>3</v>
      </c>
      <c r="JJ30" s="50">
        <v>3</v>
      </c>
      <c r="JK30" s="50">
        <v>3</v>
      </c>
      <c r="JL30" s="50">
        <v>3</v>
      </c>
      <c r="JM30" s="50">
        <v>2.9</v>
      </c>
      <c r="JN30" s="50">
        <v>2.9</v>
      </c>
      <c r="JO30" s="51">
        <v>2.9</v>
      </c>
      <c r="JP30" s="49" t="s">
        <v>210</v>
      </c>
      <c r="JQ30" s="80">
        <v>2.8</v>
      </c>
      <c r="JR30" s="80">
        <v>2.8</v>
      </c>
      <c r="JS30" s="80">
        <v>2.7</v>
      </c>
      <c r="JT30" s="80">
        <v>2.7</v>
      </c>
      <c r="JU30" s="80">
        <v>2.8</v>
      </c>
      <c r="JV30" s="80">
        <v>2.8</v>
      </c>
      <c r="JW30" s="80">
        <v>2.8</v>
      </c>
      <c r="JX30" s="80">
        <v>2.9</v>
      </c>
      <c r="JY30" s="80">
        <v>3</v>
      </c>
      <c r="JZ30" s="80" t="s">
        <v>402</v>
      </c>
      <c r="KA30" s="81">
        <v>3.3</v>
      </c>
    </row>
    <row r="31" spans="2:287" x14ac:dyDescent="0.3">
      <c r="B31" s="39" t="s">
        <v>211</v>
      </c>
      <c r="C31" s="17">
        <v>2.8333333333333326</v>
      </c>
      <c r="D31" s="17">
        <v>3.1583333333333323</v>
      </c>
      <c r="E31" s="17">
        <v>3.6583333333333323</v>
      </c>
      <c r="F31" s="17">
        <v>3.916666666666667</v>
      </c>
      <c r="G31" s="17">
        <v>3.8499999999999996</v>
      </c>
      <c r="H31" s="17">
        <v>3.7749999999999999</v>
      </c>
      <c r="I31" s="17">
        <v>3.0416666666666674</v>
      </c>
      <c r="J31" s="17">
        <v>2.9583333333333326</v>
      </c>
      <c r="K31" s="17">
        <v>3.258333333333332</v>
      </c>
      <c r="L31" s="17">
        <v>4.6333333333333346</v>
      </c>
      <c r="M31" s="17">
        <v>4.6416666666666675</v>
      </c>
      <c r="N31" s="17">
        <v>4.3666666666666671</v>
      </c>
      <c r="O31" s="19">
        <v>3.9166666666666674</v>
      </c>
      <c r="P31" s="19">
        <v>3.7166666666666672</v>
      </c>
      <c r="Q31" s="19">
        <v>3.2333333333333329</v>
      </c>
      <c r="R31" s="19">
        <v>2.9750000000000001</v>
      </c>
      <c r="S31" s="19">
        <v>3.1083333333333347</v>
      </c>
      <c r="T31" s="19">
        <v>2.9583333333333326</v>
      </c>
      <c r="U31" s="19">
        <v>2.9083333333333323</v>
      </c>
      <c r="V31" s="19">
        <v>3.1166666666666676</v>
      </c>
      <c r="W31" s="19">
        <v>4.2666666666666648</v>
      </c>
      <c r="X31" s="19">
        <v>2.5999999999999996</v>
      </c>
      <c r="Y31" s="19">
        <v>2.1500000000000026</v>
      </c>
      <c r="Z31" s="19">
        <v>2.3083333333333327</v>
      </c>
      <c r="AA31" s="19">
        <v>2.7749999999999999</v>
      </c>
      <c r="AB31" s="96"/>
      <c r="AC31" s="35" t="str">
        <f>Table11[[#This Row],[State]]</f>
        <v>Nebraska</v>
      </c>
      <c r="AD31" s="17">
        <v>4.3</v>
      </c>
      <c r="AE31" s="17">
        <v>4.6666666666666696</v>
      </c>
      <c r="AF31" s="17">
        <v>4.7666666666666702</v>
      </c>
      <c r="AG31" s="17">
        <v>4.8</v>
      </c>
      <c r="AH31" s="17">
        <v>4.8666666666666698</v>
      </c>
      <c r="AI31" s="17">
        <v>4.7</v>
      </c>
      <c r="AJ31" s="17">
        <v>4.5</v>
      </c>
      <c r="AK31" s="17">
        <v>4.5</v>
      </c>
      <c r="AL31" s="17">
        <v>4.5</v>
      </c>
      <c r="AM31" s="17">
        <v>4.4000000000000004</v>
      </c>
      <c r="AN31" s="19">
        <v>4.3666666666666698</v>
      </c>
      <c r="AO31" s="19">
        <v>4.2</v>
      </c>
      <c r="AP31" s="19">
        <v>4</v>
      </c>
      <c r="AQ31" s="19">
        <v>3.9</v>
      </c>
      <c r="AR31" s="19">
        <v>3.8666666666666698</v>
      </c>
      <c r="AS31" s="19">
        <v>3.9</v>
      </c>
      <c r="AT31" s="19">
        <v>3.8666666666666698</v>
      </c>
      <c r="AU31" s="19">
        <v>3.8</v>
      </c>
      <c r="AV31" s="17">
        <v>3.6666666666666701</v>
      </c>
      <c r="AW31" s="17">
        <v>3.5333333333333301</v>
      </c>
      <c r="AX31" s="17">
        <v>3.5</v>
      </c>
      <c r="AY31" s="17">
        <v>3.3333333333333299</v>
      </c>
      <c r="AZ31" s="17">
        <v>3.1333333333333302</v>
      </c>
      <c r="BA31" s="17">
        <v>2.9666666666666699</v>
      </c>
      <c r="BB31" s="35" t="str">
        <f t="shared" si="0"/>
        <v>Nebraska</v>
      </c>
      <c r="BC31" s="19">
        <v>2.9</v>
      </c>
      <c r="BD31" s="19">
        <v>3</v>
      </c>
      <c r="BE31" s="19">
        <v>3</v>
      </c>
      <c r="BF31" s="19">
        <v>3</v>
      </c>
      <c r="BG31" s="17">
        <v>3</v>
      </c>
      <c r="BH31" s="17">
        <v>3.06666666666667</v>
      </c>
      <c r="BI31" s="17">
        <v>3.2</v>
      </c>
      <c r="BJ31" s="17">
        <v>3.1666666666666701</v>
      </c>
      <c r="BK31" s="17">
        <v>3</v>
      </c>
      <c r="BL31" s="17">
        <v>2.9</v>
      </c>
      <c r="BM31" s="17">
        <v>2.93333333333333</v>
      </c>
      <c r="BN31" s="17">
        <v>3</v>
      </c>
      <c r="BO31" s="17">
        <v>2.9</v>
      </c>
      <c r="BP31" s="17">
        <v>2.8</v>
      </c>
      <c r="BQ31" s="17">
        <v>2.9</v>
      </c>
      <c r="BR31" s="17">
        <v>3.0333333333333301</v>
      </c>
      <c r="BS31" s="17">
        <v>3.1</v>
      </c>
      <c r="BT31" s="17">
        <v>3.1</v>
      </c>
      <c r="BU31" s="17">
        <v>3.1666666666666701</v>
      </c>
      <c r="BV31" s="17">
        <v>3.1</v>
      </c>
      <c r="BW31" s="35" t="str">
        <f>Table13[[#This Row],[State]]</f>
        <v>Nebraska</v>
      </c>
      <c r="BX31" s="17">
        <v>3.4666666666666699</v>
      </c>
      <c r="BY31" s="17">
        <v>6.6333333333333302</v>
      </c>
      <c r="BZ31" s="17">
        <v>3.93333333333333</v>
      </c>
      <c r="CA31" s="17">
        <v>3.0333333333333301</v>
      </c>
      <c r="CB31" s="17">
        <v>2.9</v>
      </c>
      <c r="CC31" s="17">
        <v>2.8</v>
      </c>
      <c r="CD31" s="17">
        <v>2.5</v>
      </c>
      <c r="CE31" s="17">
        <v>2.2000000000000002</v>
      </c>
      <c r="CF31" s="17">
        <v>2</v>
      </c>
      <c r="CG31" s="17">
        <v>2.06666666666667</v>
      </c>
      <c r="CH31" s="17">
        <v>2.2666666666666702</v>
      </c>
      <c r="CI31" s="17">
        <v>2.2666666666666702</v>
      </c>
      <c r="CJ31" s="17">
        <v>2.1333333333333302</v>
      </c>
      <c r="CK31" s="17">
        <v>2.1666666666666701</v>
      </c>
      <c r="CL31" s="17">
        <v>2.4</v>
      </c>
      <c r="CM31" s="17">
        <v>2.5333333333333301</v>
      </c>
      <c r="CN31" s="17">
        <v>2.6</v>
      </c>
      <c r="CO31" s="17">
        <v>2.7333333333333298</v>
      </c>
      <c r="CP31" s="17">
        <v>2.8666666666666698</v>
      </c>
      <c r="CQ31" s="17">
        <v>2.9</v>
      </c>
      <c r="CR31" s="42" t="str">
        <f>Table13[[#This Row],[ State]]</f>
        <v>Nebraska</v>
      </c>
      <c r="CS31" s="17">
        <v>2.93333333333333</v>
      </c>
      <c r="CT31" s="17">
        <v>3</v>
      </c>
      <c r="CU31" s="17">
        <v>3</v>
      </c>
      <c r="CV31" s="111"/>
      <c r="CW31" s="42" t="s">
        <v>211</v>
      </c>
      <c r="CX31" s="52">
        <v>4.5</v>
      </c>
      <c r="CY31" s="53">
        <v>4.5</v>
      </c>
      <c r="CZ31" s="53">
        <v>4.5</v>
      </c>
      <c r="DA31" s="53">
        <v>4.4000000000000004</v>
      </c>
      <c r="DB31" s="53">
        <v>4.4000000000000004</v>
      </c>
      <c r="DC31" s="53">
        <v>4.4000000000000004</v>
      </c>
      <c r="DD31" s="53">
        <v>4.4000000000000004</v>
      </c>
      <c r="DE31" s="53">
        <v>4.4000000000000004</v>
      </c>
      <c r="DF31" s="53">
        <v>4.3</v>
      </c>
      <c r="DG31" s="53">
        <v>4.3</v>
      </c>
      <c r="DH31" s="53">
        <v>4.2</v>
      </c>
      <c r="DI31" s="53">
        <v>4.0999999999999996</v>
      </c>
      <c r="DJ31" s="53">
        <v>4.0999999999999996</v>
      </c>
      <c r="DK31" s="53">
        <v>4</v>
      </c>
      <c r="DL31" s="53">
        <v>3.9</v>
      </c>
      <c r="DM31" s="53">
        <v>3.9</v>
      </c>
      <c r="DN31" s="53">
        <v>3.9</v>
      </c>
      <c r="DO31" s="53">
        <v>3.9</v>
      </c>
      <c r="DP31" s="53">
        <v>3.9</v>
      </c>
      <c r="DQ31" s="53">
        <v>3.8</v>
      </c>
      <c r="DR31" s="53">
        <v>3.9</v>
      </c>
      <c r="DS31" s="53">
        <v>3.9</v>
      </c>
      <c r="DT31" s="53">
        <v>3.9</v>
      </c>
      <c r="DU31" s="63">
        <v>3.9</v>
      </c>
      <c r="DV31" s="54" t="s">
        <v>211</v>
      </c>
      <c r="DW31" s="53">
        <v>3.9</v>
      </c>
      <c r="DX31" s="53">
        <v>3.9</v>
      </c>
      <c r="DY31" s="53">
        <v>3.8</v>
      </c>
      <c r="DZ31" s="53">
        <v>3.8</v>
      </c>
      <c r="EA31" s="53">
        <v>3.8</v>
      </c>
      <c r="EB31" s="53">
        <v>3.8</v>
      </c>
      <c r="EC31" s="53">
        <v>3.7</v>
      </c>
      <c r="ED31" s="53">
        <v>3.7</v>
      </c>
      <c r="EE31" s="53">
        <v>3.6</v>
      </c>
      <c r="EF31" s="53">
        <v>3.6</v>
      </c>
      <c r="EG31" s="55">
        <v>3.5</v>
      </c>
      <c r="EH31" s="55">
        <v>3.5</v>
      </c>
      <c r="EI31" s="55">
        <v>3.5</v>
      </c>
      <c r="EJ31" s="55">
        <v>3.5</v>
      </c>
      <c r="EK31" s="53">
        <v>3.5</v>
      </c>
      <c r="EL31" s="55">
        <v>3.4</v>
      </c>
      <c r="EM31" s="55">
        <v>3.3</v>
      </c>
      <c r="EN31" s="55">
        <v>3.3</v>
      </c>
      <c r="EO31" s="55">
        <v>3.2</v>
      </c>
      <c r="EP31" s="55">
        <v>3.1</v>
      </c>
      <c r="EQ31" s="55">
        <v>3.1</v>
      </c>
      <c r="ER31" s="53">
        <v>3</v>
      </c>
      <c r="ES31" s="55">
        <v>3</v>
      </c>
      <c r="ET31" s="56">
        <v>2.9</v>
      </c>
      <c r="EU31" s="54" t="s">
        <v>211</v>
      </c>
      <c r="EV31" s="53">
        <v>2.9</v>
      </c>
      <c r="EW31" s="55">
        <v>2.9</v>
      </c>
      <c r="EX31" s="55">
        <v>2.9</v>
      </c>
      <c r="EY31" s="55">
        <v>3</v>
      </c>
      <c r="EZ31" s="55">
        <v>3</v>
      </c>
      <c r="FA31" s="55">
        <v>3</v>
      </c>
      <c r="FB31" s="55">
        <v>3</v>
      </c>
      <c r="FC31" s="55">
        <v>3</v>
      </c>
      <c r="FD31" s="55">
        <v>3</v>
      </c>
      <c r="FE31" s="55">
        <v>3</v>
      </c>
      <c r="FF31" s="55">
        <v>3</v>
      </c>
      <c r="FG31" s="55">
        <v>3</v>
      </c>
      <c r="FH31" s="55">
        <v>3</v>
      </c>
      <c r="FI31" s="55">
        <v>3</v>
      </c>
      <c r="FJ31" s="55">
        <v>3</v>
      </c>
      <c r="FK31" s="55">
        <v>3</v>
      </c>
      <c r="FL31" s="55">
        <v>3.1</v>
      </c>
      <c r="FM31" s="55">
        <v>3.1</v>
      </c>
      <c r="FN31" s="55">
        <v>3.2</v>
      </c>
      <c r="FO31" s="55">
        <v>3.2</v>
      </c>
      <c r="FP31" s="55">
        <v>3.2</v>
      </c>
      <c r="FQ31" s="55">
        <v>3.2</v>
      </c>
      <c r="FR31" s="55">
        <v>3.2</v>
      </c>
      <c r="FS31" s="56">
        <v>3.1</v>
      </c>
      <c r="FT31" s="54" t="s">
        <v>211</v>
      </c>
      <c r="FU31" s="53">
        <v>3.1</v>
      </c>
      <c r="FV31" s="55">
        <v>3</v>
      </c>
      <c r="FW31" s="55">
        <v>2.9</v>
      </c>
      <c r="FX31" s="55">
        <v>2.9</v>
      </c>
      <c r="FY31" s="55">
        <v>2.9</v>
      </c>
      <c r="FZ31" s="55">
        <v>2.9</v>
      </c>
      <c r="GA31" s="55">
        <v>2.9</v>
      </c>
      <c r="GB31" s="55">
        <v>2.9</v>
      </c>
      <c r="GC31" s="55">
        <v>3</v>
      </c>
      <c r="GD31" s="55">
        <v>3</v>
      </c>
      <c r="GE31" s="55">
        <v>3</v>
      </c>
      <c r="GF31" s="55">
        <v>3</v>
      </c>
      <c r="GG31" s="55">
        <v>2.9</v>
      </c>
      <c r="GH31" s="55">
        <v>2.9</v>
      </c>
      <c r="GI31" s="55">
        <v>2.9</v>
      </c>
      <c r="GJ31" s="55">
        <v>2.8</v>
      </c>
      <c r="GK31" s="55">
        <v>2.8</v>
      </c>
      <c r="GL31" s="55">
        <v>2.8</v>
      </c>
      <c r="GM31" s="55">
        <v>2.9</v>
      </c>
      <c r="GN31" s="55">
        <v>2.9</v>
      </c>
      <c r="GO31" s="55">
        <v>2.9</v>
      </c>
      <c r="GP31" s="55">
        <v>3</v>
      </c>
      <c r="GQ31" s="55">
        <v>3</v>
      </c>
      <c r="GR31" s="55">
        <v>3.1</v>
      </c>
      <c r="GS31" s="54" t="s">
        <v>211</v>
      </c>
      <c r="GT31" s="55">
        <v>3.1</v>
      </c>
      <c r="GU31" s="55">
        <v>3.1</v>
      </c>
      <c r="GV31" s="55">
        <v>3.1</v>
      </c>
      <c r="GW31" s="55">
        <v>3.1</v>
      </c>
      <c r="GX31" s="55">
        <v>3.1</v>
      </c>
      <c r="GY31" s="55">
        <v>3.1</v>
      </c>
      <c r="GZ31" s="55">
        <v>3.1</v>
      </c>
      <c r="HA31" s="55">
        <v>3.2</v>
      </c>
      <c r="HB31" s="55">
        <v>3.2</v>
      </c>
      <c r="HC31" s="55">
        <v>3.1</v>
      </c>
      <c r="HD31" s="55">
        <v>3.1</v>
      </c>
      <c r="HE31" s="55">
        <v>3.1</v>
      </c>
      <c r="HF31" s="55">
        <v>3</v>
      </c>
      <c r="HG31" s="55">
        <v>3</v>
      </c>
      <c r="HH31" s="55">
        <v>4.4000000000000004</v>
      </c>
      <c r="HI31" s="55">
        <v>8.1999999999999993</v>
      </c>
      <c r="HJ31" s="55">
        <v>6.4</v>
      </c>
      <c r="HK31" s="55">
        <v>5.3</v>
      </c>
      <c r="HL31" s="55">
        <v>4.5999999999999996</v>
      </c>
      <c r="HM31" s="55">
        <v>3.8</v>
      </c>
      <c r="HN31" s="55">
        <v>3.4</v>
      </c>
      <c r="HO31" s="55">
        <v>3.1</v>
      </c>
      <c r="HP31" s="55">
        <v>3</v>
      </c>
      <c r="HQ31" s="56">
        <v>3</v>
      </c>
      <c r="HR31" s="54" t="s">
        <v>211</v>
      </c>
      <c r="HS31" s="55">
        <v>2.9</v>
      </c>
      <c r="HT31" s="55">
        <v>2.9</v>
      </c>
      <c r="HU31" s="55">
        <v>2.9</v>
      </c>
      <c r="HV31" s="55">
        <v>2.9</v>
      </c>
      <c r="HW31" s="55">
        <v>2.8</v>
      </c>
      <c r="HX31" s="55">
        <v>2.7</v>
      </c>
      <c r="HY31" s="55">
        <v>2.6</v>
      </c>
      <c r="HZ31" s="55">
        <v>2.5</v>
      </c>
      <c r="IA31" s="55">
        <v>2.4</v>
      </c>
      <c r="IB31" s="55">
        <v>2.2999999999999998</v>
      </c>
      <c r="IC31" s="55">
        <v>2.2000000000000002</v>
      </c>
      <c r="ID31" s="55">
        <v>2.1</v>
      </c>
      <c r="IE31" s="55">
        <v>2</v>
      </c>
      <c r="IF31" s="55">
        <v>2</v>
      </c>
      <c r="IG31" s="55">
        <v>2</v>
      </c>
      <c r="IH31" s="55">
        <v>2</v>
      </c>
      <c r="II31" s="55">
        <v>2.1</v>
      </c>
      <c r="IJ31" s="55">
        <v>2.1</v>
      </c>
      <c r="IK31" s="55">
        <v>2.2000000000000002</v>
      </c>
      <c r="IL31" s="55">
        <v>2.2999999999999998</v>
      </c>
      <c r="IM31" s="55">
        <v>2.2999999999999998</v>
      </c>
      <c r="IN31" s="55">
        <v>2.2999999999999998</v>
      </c>
      <c r="IO31" s="55">
        <v>2.2999999999999998</v>
      </c>
      <c r="IP31" s="56">
        <v>2.2000000000000002</v>
      </c>
      <c r="IQ31" s="54" t="s">
        <v>211</v>
      </c>
      <c r="IR31" s="55">
        <v>2.2000000000000002</v>
      </c>
      <c r="IS31" s="55">
        <v>2.1</v>
      </c>
      <c r="IT31" s="55">
        <v>2.1</v>
      </c>
      <c r="IU31" s="55">
        <v>2.1</v>
      </c>
      <c r="IV31" s="55">
        <v>2.2000000000000002</v>
      </c>
      <c r="IW31" s="55">
        <v>2.2000000000000002</v>
      </c>
      <c r="IX31" s="55">
        <v>2.2999999999999998</v>
      </c>
      <c r="IY31" s="55">
        <v>2.4</v>
      </c>
      <c r="IZ31" s="55">
        <v>2.5</v>
      </c>
      <c r="JA31" s="55">
        <v>2.5</v>
      </c>
      <c r="JB31" s="55">
        <v>2.5</v>
      </c>
      <c r="JC31" s="55">
        <v>2.6</v>
      </c>
      <c r="JD31" s="55">
        <v>2.6</v>
      </c>
      <c r="JE31" s="55">
        <v>2.6</v>
      </c>
      <c r="JF31" s="55">
        <v>2.6</v>
      </c>
      <c r="JG31" s="55">
        <v>2.7</v>
      </c>
      <c r="JH31" s="55">
        <v>2.7</v>
      </c>
      <c r="JI31" s="55">
        <v>2.8</v>
      </c>
      <c r="JJ31" s="55">
        <v>2.8</v>
      </c>
      <c r="JK31" s="55">
        <v>2.9</v>
      </c>
      <c r="JL31" s="55">
        <v>2.9</v>
      </c>
      <c r="JM31" s="55">
        <v>2.9</v>
      </c>
      <c r="JN31" s="55">
        <v>2.9</v>
      </c>
      <c r="JO31" s="56">
        <v>2.9</v>
      </c>
      <c r="JP31" s="54" t="s">
        <v>211</v>
      </c>
      <c r="JQ31" s="82">
        <v>2.9</v>
      </c>
      <c r="JR31" s="82">
        <v>3</v>
      </c>
      <c r="JS31" s="82">
        <v>2.9</v>
      </c>
      <c r="JT31" s="82">
        <v>3</v>
      </c>
      <c r="JU31" s="82">
        <v>3</v>
      </c>
      <c r="JV31" s="82">
        <v>3</v>
      </c>
      <c r="JW31" s="82">
        <v>3</v>
      </c>
      <c r="JX31" s="82">
        <v>3</v>
      </c>
      <c r="JY31" s="82">
        <v>3</v>
      </c>
      <c r="JZ31" s="82" t="s">
        <v>402</v>
      </c>
      <c r="KA31" s="83">
        <v>3</v>
      </c>
    </row>
    <row r="32" spans="2:287" x14ac:dyDescent="0.3">
      <c r="B32" s="39" t="s">
        <v>212</v>
      </c>
      <c r="C32" s="17">
        <v>4.1416666666666657</v>
      </c>
      <c r="D32" s="17">
        <v>5.1083333333333325</v>
      </c>
      <c r="E32" s="17">
        <v>5.625</v>
      </c>
      <c r="F32" s="17">
        <v>5.1999999999999993</v>
      </c>
      <c r="G32" s="17">
        <v>4.45</v>
      </c>
      <c r="H32" s="17">
        <v>4.2083333333333321</v>
      </c>
      <c r="I32" s="17">
        <v>4.166666666666667</v>
      </c>
      <c r="J32" s="17">
        <v>4.7666666666666648</v>
      </c>
      <c r="K32" s="17">
        <v>6.8999999999999986</v>
      </c>
      <c r="L32" s="17">
        <v>11.075000000000001</v>
      </c>
      <c r="M32" s="17">
        <v>13.249999999999975</v>
      </c>
      <c r="N32" s="17">
        <v>12.983333333333325</v>
      </c>
      <c r="O32" s="19">
        <v>11.533333333333324</v>
      </c>
      <c r="P32" s="19">
        <v>9.9666666666666757</v>
      </c>
      <c r="Q32" s="19">
        <v>8.2000000000000011</v>
      </c>
      <c r="R32" s="19">
        <v>6.8666666666666654</v>
      </c>
      <c r="S32" s="19">
        <v>5.8333333333333321</v>
      </c>
      <c r="T32" s="19">
        <v>5.0083333333333329</v>
      </c>
      <c r="U32" s="19">
        <v>4.408333333333335</v>
      </c>
      <c r="V32" s="19">
        <v>4.1083333333333343</v>
      </c>
      <c r="W32" s="19">
        <v>13.674999999999994</v>
      </c>
      <c r="X32" s="19">
        <v>6.8249999999999993</v>
      </c>
      <c r="Y32" s="19">
        <v>5.2</v>
      </c>
      <c r="Z32" s="19">
        <v>5.1416666666666675</v>
      </c>
      <c r="AA32" s="19">
        <v>5.5666666666666673</v>
      </c>
      <c r="AB32" s="96"/>
      <c r="AC32" s="36" t="str">
        <f>Table11[[#This Row],[State]]</f>
        <v>Nevada</v>
      </c>
      <c r="AD32" s="27">
        <v>9.6</v>
      </c>
      <c r="AE32" s="27">
        <v>10.6666666666667</v>
      </c>
      <c r="AF32" s="27">
        <v>11.6</v>
      </c>
      <c r="AG32" s="27">
        <v>12.4333333333333</v>
      </c>
      <c r="AH32" s="27">
        <v>13.033333333333299</v>
      </c>
      <c r="AI32" s="27">
        <v>13.233333333333301</v>
      </c>
      <c r="AJ32" s="27">
        <v>13.3333333333333</v>
      </c>
      <c r="AK32" s="27">
        <v>13.4</v>
      </c>
      <c r="AL32" s="27">
        <v>13.233333333333301</v>
      </c>
      <c r="AM32" s="27">
        <v>13.1</v>
      </c>
      <c r="AN32" s="27">
        <v>13</v>
      </c>
      <c r="AO32" s="27">
        <v>12.6</v>
      </c>
      <c r="AP32" s="27">
        <v>12.1</v>
      </c>
      <c r="AQ32" s="27">
        <v>11.8</v>
      </c>
      <c r="AR32" s="27">
        <v>11.3333333333333</v>
      </c>
      <c r="AS32" s="27">
        <v>10.9</v>
      </c>
      <c r="AT32" s="27">
        <v>10.6</v>
      </c>
      <c r="AU32" s="27">
        <v>10.1666666666667</v>
      </c>
      <c r="AV32" s="27">
        <v>9.7666666666666693</v>
      </c>
      <c r="AW32" s="27">
        <v>9.3333333333333304</v>
      </c>
      <c r="AX32" s="27">
        <v>8.8000000000000007</v>
      </c>
      <c r="AY32" s="27">
        <v>8.3666666666666707</v>
      </c>
      <c r="AZ32" s="27">
        <v>8</v>
      </c>
      <c r="BA32" s="27">
        <v>7.6333333333333302</v>
      </c>
      <c r="BB32" s="36" t="str">
        <f t="shared" si="0"/>
        <v>Nevada</v>
      </c>
      <c r="BC32" s="27">
        <v>7.3333333333333304</v>
      </c>
      <c r="BD32" s="27">
        <v>7</v>
      </c>
      <c r="BE32" s="27">
        <v>6.7</v>
      </c>
      <c r="BF32" s="27">
        <v>6.43333333333333</v>
      </c>
      <c r="BG32" s="27">
        <v>6.2</v>
      </c>
      <c r="BH32" s="27">
        <v>5.93333333333333</v>
      </c>
      <c r="BI32" s="27">
        <v>5.7</v>
      </c>
      <c r="BJ32" s="27">
        <v>5.5</v>
      </c>
      <c r="BK32" s="27">
        <v>5.2666666666666702</v>
      </c>
      <c r="BL32" s="27">
        <v>5.0333333333333297</v>
      </c>
      <c r="BM32" s="27">
        <v>4.9000000000000004</v>
      </c>
      <c r="BN32" s="27">
        <v>4.8333333333333304</v>
      </c>
      <c r="BO32" s="27">
        <v>4.6666666666666696</v>
      </c>
      <c r="BP32" s="27">
        <v>4.4000000000000004</v>
      </c>
      <c r="BQ32" s="27">
        <v>4.2666666666666702</v>
      </c>
      <c r="BR32" s="27">
        <v>4.3</v>
      </c>
      <c r="BS32" s="27">
        <v>4.2666666666666702</v>
      </c>
      <c r="BT32" s="27">
        <v>4.06666666666667</v>
      </c>
      <c r="BU32" s="27">
        <v>4</v>
      </c>
      <c r="BV32" s="27">
        <v>4.0999999999999996</v>
      </c>
      <c r="BW32" s="36" t="str">
        <f>Table13[[#This Row],[State]]</f>
        <v>Nevada</v>
      </c>
      <c r="BX32" s="27">
        <v>5.2666666666666702</v>
      </c>
      <c r="BY32" s="27">
        <v>24.7</v>
      </c>
      <c r="BZ32" s="27">
        <v>14.4333333333333</v>
      </c>
      <c r="CA32" s="27">
        <v>10.3</v>
      </c>
      <c r="CB32" s="27">
        <v>8.4666666666666703</v>
      </c>
      <c r="CC32" s="27">
        <v>7.2333333333333298</v>
      </c>
      <c r="CD32" s="27">
        <v>6.1666666666666696</v>
      </c>
      <c r="CE32" s="27">
        <v>5.43333333333333</v>
      </c>
      <c r="CF32" s="27">
        <v>5.2</v>
      </c>
      <c r="CG32" s="27">
        <v>5.0999999999999996</v>
      </c>
      <c r="CH32" s="27">
        <v>5.2</v>
      </c>
      <c r="CI32" s="27">
        <v>5.3</v>
      </c>
      <c r="CJ32" s="27">
        <v>5.1666666666666696</v>
      </c>
      <c r="CK32" s="27">
        <v>5</v>
      </c>
      <c r="CL32" s="27">
        <v>5.1333333333333302</v>
      </c>
      <c r="CM32" s="27">
        <v>5.2666666666666702</v>
      </c>
      <c r="CN32" s="27">
        <v>5.3</v>
      </c>
      <c r="CO32" s="27">
        <v>5.5</v>
      </c>
      <c r="CP32" s="27">
        <v>5.6666666666666696</v>
      </c>
      <c r="CQ32" s="27">
        <v>5.8</v>
      </c>
      <c r="CR32" s="79" t="str">
        <f>Table13[[#This Row],[ State]]</f>
        <v>Nevada</v>
      </c>
      <c r="CS32" s="27">
        <v>5.7666666666666702</v>
      </c>
      <c r="CT32" s="27">
        <v>5.5</v>
      </c>
      <c r="CU32" s="27">
        <v>5.3333333333333304</v>
      </c>
      <c r="CV32" s="111"/>
      <c r="CW32" s="41" t="s">
        <v>212</v>
      </c>
      <c r="CX32" s="47">
        <v>13.3</v>
      </c>
      <c r="CY32" s="48">
        <v>13.2</v>
      </c>
      <c r="CZ32" s="48">
        <v>13.2</v>
      </c>
      <c r="DA32" s="48">
        <v>13.1</v>
      </c>
      <c r="DB32" s="48">
        <v>13.1</v>
      </c>
      <c r="DC32" s="48">
        <v>13.1</v>
      </c>
      <c r="DD32" s="48">
        <v>13.1</v>
      </c>
      <c r="DE32" s="48">
        <v>13</v>
      </c>
      <c r="DF32" s="48">
        <v>12.9</v>
      </c>
      <c r="DG32" s="48">
        <v>12.8</v>
      </c>
      <c r="DH32" s="48">
        <v>12.6</v>
      </c>
      <c r="DI32" s="48">
        <v>12.4</v>
      </c>
      <c r="DJ32" s="48">
        <v>12.2</v>
      </c>
      <c r="DK32" s="48">
        <v>12.1</v>
      </c>
      <c r="DL32" s="48">
        <v>12</v>
      </c>
      <c r="DM32" s="48">
        <v>11.9</v>
      </c>
      <c r="DN32" s="48">
        <v>11.8</v>
      </c>
      <c r="DO32" s="48">
        <v>11.7</v>
      </c>
      <c r="DP32" s="48">
        <v>11.5</v>
      </c>
      <c r="DQ32" s="48">
        <v>11.3</v>
      </c>
      <c r="DR32" s="48">
        <v>11.2</v>
      </c>
      <c r="DS32" s="48">
        <v>11</v>
      </c>
      <c r="DT32" s="48">
        <v>10.9</v>
      </c>
      <c r="DU32" s="62">
        <v>10.8</v>
      </c>
      <c r="DV32" s="49" t="s">
        <v>212</v>
      </c>
      <c r="DW32" s="48">
        <v>10.7</v>
      </c>
      <c r="DX32" s="48">
        <v>10.6</v>
      </c>
      <c r="DY32" s="48">
        <v>10.5</v>
      </c>
      <c r="DZ32" s="48">
        <v>10.3</v>
      </c>
      <c r="EA32" s="48">
        <v>10.199999999999999</v>
      </c>
      <c r="EB32" s="48">
        <v>10</v>
      </c>
      <c r="EC32" s="48">
        <v>9.9</v>
      </c>
      <c r="ED32" s="48">
        <v>9.8000000000000007</v>
      </c>
      <c r="EE32" s="48">
        <v>9.6</v>
      </c>
      <c r="EF32" s="48">
        <v>9.5</v>
      </c>
      <c r="EG32" s="50">
        <v>9.3000000000000007</v>
      </c>
      <c r="EH32" s="50">
        <v>9.1999999999999993</v>
      </c>
      <c r="EI32" s="50">
        <v>9</v>
      </c>
      <c r="EJ32" s="50">
        <v>8.8000000000000007</v>
      </c>
      <c r="EK32" s="48">
        <v>8.6</v>
      </c>
      <c r="EL32" s="50">
        <v>8.5</v>
      </c>
      <c r="EM32" s="50">
        <v>8.4</v>
      </c>
      <c r="EN32" s="50">
        <v>8.1999999999999993</v>
      </c>
      <c r="EO32" s="50">
        <v>8.1</v>
      </c>
      <c r="EP32" s="50">
        <v>8</v>
      </c>
      <c r="EQ32" s="50">
        <v>7.9</v>
      </c>
      <c r="ER32" s="48">
        <v>7.8</v>
      </c>
      <c r="ES32" s="50">
        <v>7.6</v>
      </c>
      <c r="ET32" s="51">
        <v>7.5</v>
      </c>
      <c r="EU32" s="49" t="s">
        <v>212</v>
      </c>
      <c r="EV32" s="48">
        <v>7.4</v>
      </c>
      <c r="EW32" s="50">
        <v>7.3</v>
      </c>
      <c r="EX32" s="50">
        <v>7.3</v>
      </c>
      <c r="EY32" s="50">
        <v>7.1</v>
      </c>
      <c r="EZ32" s="50">
        <v>7</v>
      </c>
      <c r="FA32" s="50">
        <v>6.9</v>
      </c>
      <c r="FB32" s="50">
        <v>6.8</v>
      </c>
      <c r="FC32" s="50">
        <v>6.7</v>
      </c>
      <c r="FD32" s="50">
        <v>6.6</v>
      </c>
      <c r="FE32" s="50">
        <v>6.5</v>
      </c>
      <c r="FF32" s="50">
        <v>6.4</v>
      </c>
      <c r="FG32" s="50">
        <v>6.4</v>
      </c>
      <c r="FH32" s="50">
        <v>6.3</v>
      </c>
      <c r="FI32" s="50">
        <v>6.2</v>
      </c>
      <c r="FJ32" s="50">
        <v>6.1</v>
      </c>
      <c r="FK32" s="50">
        <v>6</v>
      </c>
      <c r="FL32" s="50">
        <v>5.9</v>
      </c>
      <c r="FM32" s="50">
        <v>5.9</v>
      </c>
      <c r="FN32" s="50">
        <v>5.8</v>
      </c>
      <c r="FO32" s="50">
        <v>5.7</v>
      </c>
      <c r="FP32" s="50">
        <v>5.6</v>
      </c>
      <c r="FQ32" s="50">
        <v>5.6</v>
      </c>
      <c r="FR32" s="50">
        <v>5.5</v>
      </c>
      <c r="FS32" s="51">
        <v>5.4</v>
      </c>
      <c r="FT32" s="49" t="s">
        <v>212</v>
      </c>
      <c r="FU32" s="48">
        <v>5.3</v>
      </c>
      <c r="FV32" s="50">
        <v>5.3</v>
      </c>
      <c r="FW32" s="50">
        <v>5.2</v>
      </c>
      <c r="FX32" s="50">
        <v>5.0999999999999996</v>
      </c>
      <c r="FY32" s="50">
        <v>5</v>
      </c>
      <c r="FZ32" s="50">
        <v>5</v>
      </c>
      <c r="GA32" s="50">
        <v>4.9000000000000004</v>
      </c>
      <c r="GB32" s="50">
        <v>4.9000000000000004</v>
      </c>
      <c r="GC32" s="50">
        <v>4.9000000000000004</v>
      </c>
      <c r="GD32" s="50">
        <v>4.9000000000000004</v>
      </c>
      <c r="GE32" s="50">
        <v>4.8</v>
      </c>
      <c r="GF32" s="50">
        <v>4.8</v>
      </c>
      <c r="GG32" s="50">
        <v>4.7</v>
      </c>
      <c r="GH32" s="50">
        <v>4.7</v>
      </c>
      <c r="GI32" s="50">
        <v>4.5999999999999996</v>
      </c>
      <c r="GJ32" s="50">
        <v>4.5</v>
      </c>
      <c r="GK32" s="50">
        <v>4.4000000000000004</v>
      </c>
      <c r="GL32" s="50">
        <v>4.3</v>
      </c>
      <c r="GM32" s="50">
        <v>4.3</v>
      </c>
      <c r="GN32" s="50">
        <v>4.2</v>
      </c>
      <c r="GO32" s="50">
        <v>4.3</v>
      </c>
      <c r="GP32" s="50">
        <v>4.3</v>
      </c>
      <c r="GQ32" s="50">
        <v>4.3</v>
      </c>
      <c r="GR32" s="50">
        <v>4.3</v>
      </c>
      <c r="GS32" s="49" t="s">
        <v>212</v>
      </c>
      <c r="GT32" s="50">
        <v>4.3</v>
      </c>
      <c r="GU32" s="50">
        <v>4.3</v>
      </c>
      <c r="GV32" s="50">
        <v>4.2</v>
      </c>
      <c r="GW32" s="50">
        <v>4.0999999999999996</v>
      </c>
      <c r="GX32" s="50">
        <v>4.0999999999999996</v>
      </c>
      <c r="GY32" s="50">
        <v>4</v>
      </c>
      <c r="GZ32" s="50">
        <v>4</v>
      </c>
      <c r="HA32" s="50">
        <v>4</v>
      </c>
      <c r="HB32" s="50">
        <v>4</v>
      </c>
      <c r="HC32" s="50">
        <v>4.0999999999999996</v>
      </c>
      <c r="HD32" s="50">
        <v>4.0999999999999996</v>
      </c>
      <c r="HE32" s="50">
        <v>4.0999999999999996</v>
      </c>
      <c r="HF32" s="50">
        <v>4.2</v>
      </c>
      <c r="HG32" s="50">
        <v>4.4000000000000004</v>
      </c>
      <c r="HH32" s="50">
        <v>7.2</v>
      </c>
      <c r="HI32" s="50">
        <v>30.5</v>
      </c>
      <c r="HJ32" s="50">
        <v>24.7</v>
      </c>
      <c r="HK32" s="50">
        <v>18.899999999999999</v>
      </c>
      <c r="HL32" s="50">
        <v>16.7</v>
      </c>
      <c r="HM32" s="50">
        <v>13.9</v>
      </c>
      <c r="HN32" s="50">
        <v>12.7</v>
      </c>
      <c r="HO32" s="50">
        <v>11.1</v>
      </c>
      <c r="HP32" s="50">
        <v>10.199999999999999</v>
      </c>
      <c r="HQ32" s="51">
        <v>9.6</v>
      </c>
      <c r="HR32" s="49" t="s">
        <v>212</v>
      </c>
      <c r="HS32" s="50">
        <v>8.9</v>
      </c>
      <c r="HT32" s="50">
        <v>8.5</v>
      </c>
      <c r="HU32" s="50">
        <v>8</v>
      </c>
      <c r="HV32" s="50">
        <v>7.6</v>
      </c>
      <c r="HW32" s="50">
        <v>7.2</v>
      </c>
      <c r="HX32" s="50">
        <v>6.9</v>
      </c>
      <c r="HY32" s="50">
        <v>6.5</v>
      </c>
      <c r="HZ32" s="50">
        <v>6.2</v>
      </c>
      <c r="IA32" s="50">
        <v>5.8</v>
      </c>
      <c r="IB32" s="50">
        <v>5.6</v>
      </c>
      <c r="IC32" s="50">
        <v>5.4</v>
      </c>
      <c r="ID32" s="50">
        <v>5.3</v>
      </c>
      <c r="IE32" s="50">
        <v>5.2</v>
      </c>
      <c r="IF32" s="50">
        <v>5.2</v>
      </c>
      <c r="IG32" s="50">
        <v>5.2</v>
      </c>
      <c r="IH32" s="50">
        <v>5.0999999999999996</v>
      </c>
      <c r="II32" s="50">
        <v>5.0999999999999996</v>
      </c>
      <c r="IJ32" s="50">
        <v>5.0999999999999996</v>
      </c>
      <c r="IK32" s="50">
        <v>5.2</v>
      </c>
      <c r="IL32" s="50">
        <v>5.2</v>
      </c>
      <c r="IM32" s="50">
        <v>5.2</v>
      </c>
      <c r="IN32" s="50">
        <v>5.3</v>
      </c>
      <c r="IO32" s="50">
        <v>5.3</v>
      </c>
      <c r="IP32" s="51">
        <v>5.3</v>
      </c>
      <c r="IQ32" s="49" t="s">
        <v>212</v>
      </c>
      <c r="IR32" s="50">
        <v>5.2</v>
      </c>
      <c r="IS32" s="50">
        <v>5.2</v>
      </c>
      <c r="IT32" s="50">
        <v>5.0999999999999996</v>
      </c>
      <c r="IU32" s="50">
        <v>5</v>
      </c>
      <c r="IV32" s="50">
        <v>5</v>
      </c>
      <c r="IW32" s="50">
        <v>5</v>
      </c>
      <c r="IX32" s="50">
        <v>5.0999999999999996</v>
      </c>
      <c r="IY32" s="50">
        <v>5.0999999999999996</v>
      </c>
      <c r="IZ32" s="50">
        <v>5.2</v>
      </c>
      <c r="JA32" s="50">
        <v>5.2</v>
      </c>
      <c r="JB32" s="50">
        <v>5.3</v>
      </c>
      <c r="JC32" s="50">
        <v>5.3</v>
      </c>
      <c r="JD32" s="50">
        <v>5.3</v>
      </c>
      <c r="JE32" s="50">
        <v>5.3</v>
      </c>
      <c r="JF32" s="50">
        <v>5.3</v>
      </c>
      <c r="JG32" s="50">
        <v>5.4</v>
      </c>
      <c r="JH32" s="50">
        <v>5.5</v>
      </c>
      <c r="JI32" s="50">
        <v>5.6</v>
      </c>
      <c r="JJ32" s="50">
        <v>5.6</v>
      </c>
      <c r="JK32" s="50">
        <v>5.7</v>
      </c>
      <c r="JL32" s="50">
        <v>5.7</v>
      </c>
      <c r="JM32" s="50">
        <v>5.8</v>
      </c>
      <c r="JN32" s="50">
        <v>5.8</v>
      </c>
      <c r="JO32" s="51">
        <v>5.8</v>
      </c>
      <c r="JP32" s="49" t="s">
        <v>212</v>
      </c>
      <c r="JQ32" s="80">
        <v>5.8</v>
      </c>
      <c r="JR32" s="80">
        <v>5.8</v>
      </c>
      <c r="JS32" s="80">
        <v>5.7</v>
      </c>
      <c r="JT32" s="80">
        <v>5.6</v>
      </c>
      <c r="JU32" s="80">
        <v>5.5</v>
      </c>
      <c r="JV32" s="80">
        <v>5.4</v>
      </c>
      <c r="JW32" s="80">
        <v>5.4</v>
      </c>
      <c r="JX32" s="80">
        <v>5.3</v>
      </c>
      <c r="JY32" s="80">
        <v>5.3</v>
      </c>
      <c r="JZ32" s="80" t="s">
        <v>402</v>
      </c>
      <c r="KA32" s="81">
        <v>5.2</v>
      </c>
    </row>
    <row r="33" spans="2:287" x14ac:dyDescent="0.3">
      <c r="B33" s="39" t="s">
        <v>213</v>
      </c>
      <c r="C33" s="17">
        <v>2.6666666666666647</v>
      </c>
      <c r="D33" s="17">
        <v>3.4083333333333323</v>
      </c>
      <c r="E33" s="17">
        <v>4.4666666666666677</v>
      </c>
      <c r="F33" s="17">
        <v>4.4333333333333327</v>
      </c>
      <c r="G33" s="17">
        <v>3.8249999999999971</v>
      </c>
      <c r="H33" s="17">
        <v>3.6333333333333329</v>
      </c>
      <c r="I33" s="17">
        <v>3.5166666666666648</v>
      </c>
      <c r="J33" s="17">
        <v>3.5333333333333328</v>
      </c>
      <c r="K33" s="17">
        <v>3.7666666666666653</v>
      </c>
      <c r="L33" s="17">
        <v>6.0500000000000007</v>
      </c>
      <c r="M33" s="17">
        <v>6.0583333333333327</v>
      </c>
      <c r="N33" s="17">
        <v>5.4916666666666654</v>
      </c>
      <c r="O33" s="19">
        <v>5.4749999999999996</v>
      </c>
      <c r="P33" s="19">
        <v>5.25</v>
      </c>
      <c r="Q33" s="19">
        <v>4.3166666666666673</v>
      </c>
      <c r="R33" s="19">
        <v>3.3916666666666675</v>
      </c>
      <c r="S33" s="19">
        <v>2.8916666666666675</v>
      </c>
      <c r="T33" s="19">
        <v>2.8083333333333353</v>
      </c>
      <c r="U33" s="19">
        <v>2.6333333333333351</v>
      </c>
      <c r="V33" s="19">
        <v>2.5499999999999976</v>
      </c>
      <c r="W33" s="19">
        <v>6.7500000000000071</v>
      </c>
      <c r="X33" s="19">
        <v>3.4749999999999996</v>
      </c>
      <c r="Y33" s="19">
        <v>2.4166666666666647</v>
      </c>
      <c r="Z33" s="19">
        <v>2.2583333333333324</v>
      </c>
      <c r="AA33" s="19">
        <v>2.5583333333333327</v>
      </c>
      <c r="AB33" s="96"/>
      <c r="AC33" s="35" t="str">
        <f>Table11[[#This Row],[State]]</f>
        <v>New Hampshire</v>
      </c>
      <c r="AD33" s="17">
        <v>5.2</v>
      </c>
      <c r="AE33" s="17">
        <v>6</v>
      </c>
      <c r="AF33" s="17">
        <v>6.4</v>
      </c>
      <c r="AG33" s="17">
        <v>6.6</v>
      </c>
      <c r="AH33" s="17">
        <v>6.5</v>
      </c>
      <c r="AI33" s="17">
        <v>6.1333333333333302</v>
      </c>
      <c r="AJ33" s="17">
        <v>5.8333333333333304</v>
      </c>
      <c r="AK33" s="17">
        <v>5.7666666666666702</v>
      </c>
      <c r="AL33" s="17">
        <v>5.5333333333333297</v>
      </c>
      <c r="AM33" s="17">
        <v>5.5333333333333297</v>
      </c>
      <c r="AN33" s="19">
        <v>5.56666666666667</v>
      </c>
      <c r="AO33" s="19">
        <v>5.3333333333333304</v>
      </c>
      <c r="AP33" s="19">
        <v>5.2333333333333298</v>
      </c>
      <c r="AQ33" s="19">
        <v>5.4666666666666703</v>
      </c>
      <c r="AR33" s="19">
        <v>5.6</v>
      </c>
      <c r="AS33" s="19">
        <v>5.6</v>
      </c>
      <c r="AT33" s="19">
        <v>5.5333333333333297</v>
      </c>
      <c r="AU33" s="19">
        <v>5.3</v>
      </c>
      <c r="AV33" s="17">
        <v>5.1666666666666696</v>
      </c>
      <c r="AW33" s="17">
        <v>5</v>
      </c>
      <c r="AX33" s="17">
        <v>4.6666666666666696</v>
      </c>
      <c r="AY33" s="17">
        <v>4.4000000000000004</v>
      </c>
      <c r="AZ33" s="17">
        <v>4.2</v>
      </c>
      <c r="BA33" s="17">
        <v>4</v>
      </c>
      <c r="BB33" s="35" t="str">
        <f t="shared" si="0"/>
        <v>New Hampshire</v>
      </c>
      <c r="BC33" s="19">
        <v>3.7666666666666702</v>
      </c>
      <c r="BD33" s="19">
        <v>3.5</v>
      </c>
      <c r="BE33" s="19">
        <v>3.2666666666666702</v>
      </c>
      <c r="BF33" s="19">
        <v>3.0333333333333301</v>
      </c>
      <c r="BG33" s="17">
        <v>2.8666666666666698</v>
      </c>
      <c r="BH33" s="17">
        <v>2.9</v>
      </c>
      <c r="BI33" s="17">
        <v>2.9</v>
      </c>
      <c r="BJ33" s="17">
        <v>2.9</v>
      </c>
      <c r="BK33" s="17">
        <v>2.9</v>
      </c>
      <c r="BL33" s="17">
        <v>2.7666666666666702</v>
      </c>
      <c r="BM33" s="17">
        <v>2.7666666666666702</v>
      </c>
      <c r="BN33" s="17">
        <v>2.8</v>
      </c>
      <c r="BO33" s="17">
        <v>2.7333333333333298</v>
      </c>
      <c r="BP33" s="17">
        <v>2.6666666666666701</v>
      </c>
      <c r="BQ33" s="17">
        <v>2.56666666666667</v>
      </c>
      <c r="BR33" s="17">
        <v>2.56666666666667</v>
      </c>
      <c r="BS33" s="17">
        <v>2.6</v>
      </c>
      <c r="BT33" s="17">
        <v>2.5333333333333301</v>
      </c>
      <c r="BU33" s="17">
        <v>2.5333333333333301</v>
      </c>
      <c r="BV33" s="17">
        <v>2.5333333333333301</v>
      </c>
      <c r="BW33" s="35" t="str">
        <f>Table13[[#This Row],[State]]</f>
        <v>New Hampshire</v>
      </c>
      <c r="BX33" s="17">
        <v>2.56666666666667</v>
      </c>
      <c r="BY33" s="17">
        <v>12.466666666666701</v>
      </c>
      <c r="BZ33" s="17">
        <v>7.0333333333333297</v>
      </c>
      <c r="CA33" s="17">
        <v>4.93333333333333</v>
      </c>
      <c r="CB33" s="17">
        <v>4.1666666666666696</v>
      </c>
      <c r="CC33" s="17">
        <v>3.8</v>
      </c>
      <c r="CD33" s="17">
        <v>3.3</v>
      </c>
      <c r="CE33" s="17">
        <v>2.6333333333333302</v>
      </c>
      <c r="CF33" s="17">
        <v>2.3333333333333299</v>
      </c>
      <c r="CG33" s="17">
        <v>2.3333333333333299</v>
      </c>
      <c r="CH33" s="17">
        <v>2.4666666666666699</v>
      </c>
      <c r="CI33" s="17">
        <v>2.5333333333333301</v>
      </c>
      <c r="CJ33" s="17">
        <v>2.2999999999999998</v>
      </c>
      <c r="CK33" s="17">
        <v>2.2000000000000002</v>
      </c>
      <c r="CL33" s="17">
        <v>2.2333333333333298</v>
      </c>
      <c r="CM33" s="17">
        <v>2.2999999999999998</v>
      </c>
      <c r="CN33" s="17">
        <v>2.3333333333333299</v>
      </c>
      <c r="CO33" s="17">
        <v>2.4666666666666699</v>
      </c>
      <c r="CP33" s="17">
        <v>2.6333333333333302</v>
      </c>
      <c r="CQ33" s="17">
        <v>2.8</v>
      </c>
      <c r="CR33" s="42" t="str">
        <f>Table13[[#This Row],[ State]]</f>
        <v>New Hampshire</v>
      </c>
      <c r="CS33" s="17">
        <v>3</v>
      </c>
      <c r="CT33" s="17">
        <v>3.1</v>
      </c>
      <c r="CU33" s="17">
        <v>3.0333333333333301</v>
      </c>
      <c r="CV33" s="111"/>
      <c r="CW33" s="42" t="s">
        <v>213</v>
      </c>
      <c r="CX33" s="52">
        <v>5.6</v>
      </c>
      <c r="CY33" s="53">
        <v>5.5</v>
      </c>
      <c r="CZ33" s="53">
        <v>5.5</v>
      </c>
      <c r="DA33" s="53">
        <v>5.5</v>
      </c>
      <c r="DB33" s="53">
        <v>5.5</v>
      </c>
      <c r="DC33" s="53">
        <v>5.6</v>
      </c>
      <c r="DD33" s="53">
        <v>5.6</v>
      </c>
      <c r="DE33" s="53">
        <v>5.6</v>
      </c>
      <c r="DF33" s="53">
        <v>5.5</v>
      </c>
      <c r="DG33" s="53">
        <v>5.4</v>
      </c>
      <c r="DH33" s="53">
        <v>5.3</v>
      </c>
      <c r="DI33" s="53">
        <v>5.3</v>
      </c>
      <c r="DJ33" s="53">
        <v>5.2</v>
      </c>
      <c r="DK33" s="53">
        <v>5.2</v>
      </c>
      <c r="DL33" s="53">
        <v>5.3</v>
      </c>
      <c r="DM33" s="53">
        <v>5.4</v>
      </c>
      <c r="DN33" s="53">
        <v>5.5</v>
      </c>
      <c r="DO33" s="53">
        <v>5.5</v>
      </c>
      <c r="DP33" s="53">
        <v>5.6</v>
      </c>
      <c r="DQ33" s="53">
        <v>5.6</v>
      </c>
      <c r="DR33" s="53">
        <v>5.6</v>
      </c>
      <c r="DS33" s="53">
        <v>5.6</v>
      </c>
      <c r="DT33" s="53">
        <v>5.6</v>
      </c>
      <c r="DU33" s="63">
        <v>5.6</v>
      </c>
      <c r="DV33" s="54" t="s">
        <v>213</v>
      </c>
      <c r="DW33" s="53">
        <v>5.6</v>
      </c>
      <c r="DX33" s="53">
        <v>5.5</v>
      </c>
      <c r="DY33" s="53">
        <v>5.5</v>
      </c>
      <c r="DZ33" s="53">
        <v>5.4</v>
      </c>
      <c r="EA33" s="53">
        <v>5.3</v>
      </c>
      <c r="EB33" s="53">
        <v>5.2</v>
      </c>
      <c r="EC33" s="53">
        <v>5.2</v>
      </c>
      <c r="ED33" s="53">
        <v>5.2</v>
      </c>
      <c r="EE33" s="53">
        <v>5.0999999999999996</v>
      </c>
      <c r="EF33" s="53">
        <v>5.0999999999999996</v>
      </c>
      <c r="EG33" s="55">
        <v>5</v>
      </c>
      <c r="EH33" s="55">
        <v>4.9000000000000004</v>
      </c>
      <c r="EI33" s="55">
        <v>4.8</v>
      </c>
      <c r="EJ33" s="55">
        <v>4.5999999999999996</v>
      </c>
      <c r="EK33" s="53">
        <v>4.5999999999999996</v>
      </c>
      <c r="EL33" s="55">
        <v>4.5</v>
      </c>
      <c r="EM33" s="55">
        <v>4.4000000000000004</v>
      </c>
      <c r="EN33" s="55">
        <v>4.3</v>
      </c>
      <c r="EO33" s="55">
        <v>4.3</v>
      </c>
      <c r="EP33" s="55">
        <v>4.2</v>
      </c>
      <c r="EQ33" s="55">
        <v>4.0999999999999996</v>
      </c>
      <c r="ER33" s="53">
        <v>4.0999999999999996</v>
      </c>
      <c r="ES33" s="55">
        <v>4</v>
      </c>
      <c r="ET33" s="56">
        <v>3.9</v>
      </c>
      <c r="EU33" s="54" t="s">
        <v>213</v>
      </c>
      <c r="EV33" s="53">
        <v>3.8</v>
      </c>
      <c r="EW33" s="55">
        <v>3.8</v>
      </c>
      <c r="EX33" s="55">
        <v>3.7</v>
      </c>
      <c r="EY33" s="55">
        <v>3.6</v>
      </c>
      <c r="EZ33" s="55">
        <v>3.5</v>
      </c>
      <c r="FA33" s="55">
        <v>3.4</v>
      </c>
      <c r="FB33" s="55">
        <v>3.3</v>
      </c>
      <c r="FC33" s="55">
        <v>3.3</v>
      </c>
      <c r="FD33" s="55">
        <v>3.2</v>
      </c>
      <c r="FE33" s="55">
        <v>3.1</v>
      </c>
      <c r="FF33" s="55">
        <v>3</v>
      </c>
      <c r="FG33" s="55">
        <v>3</v>
      </c>
      <c r="FH33" s="55">
        <v>2.9</v>
      </c>
      <c r="FI33" s="55">
        <v>2.9</v>
      </c>
      <c r="FJ33" s="55">
        <v>2.8</v>
      </c>
      <c r="FK33" s="55">
        <v>2.9</v>
      </c>
      <c r="FL33" s="55">
        <v>2.9</v>
      </c>
      <c r="FM33" s="55">
        <v>2.9</v>
      </c>
      <c r="FN33" s="55">
        <v>2.9</v>
      </c>
      <c r="FO33" s="55">
        <v>2.9</v>
      </c>
      <c r="FP33" s="55">
        <v>2.9</v>
      </c>
      <c r="FQ33" s="55">
        <v>2.9</v>
      </c>
      <c r="FR33" s="55">
        <v>2.9</v>
      </c>
      <c r="FS33" s="56">
        <v>2.9</v>
      </c>
      <c r="FT33" s="54" t="s">
        <v>213</v>
      </c>
      <c r="FU33" s="53">
        <v>2.9</v>
      </c>
      <c r="FV33" s="55">
        <v>2.9</v>
      </c>
      <c r="FW33" s="55">
        <v>2.9</v>
      </c>
      <c r="FX33" s="55">
        <v>2.8</v>
      </c>
      <c r="FY33" s="55">
        <v>2.8</v>
      </c>
      <c r="FZ33" s="55">
        <v>2.7</v>
      </c>
      <c r="GA33" s="55">
        <v>2.7</v>
      </c>
      <c r="GB33" s="55">
        <v>2.8</v>
      </c>
      <c r="GC33" s="55">
        <v>2.8</v>
      </c>
      <c r="GD33" s="55">
        <v>2.8</v>
      </c>
      <c r="GE33" s="55">
        <v>2.8</v>
      </c>
      <c r="GF33" s="55">
        <v>2.8</v>
      </c>
      <c r="GG33" s="55">
        <v>2.8</v>
      </c>
      <c r="GH33" s="55">
        <v>2.7</v>
      </c>
      <c r="GI33" s="55">
        <v>2.7</v>
      </c>
      <c r="GJ33" s="55">
        <v>2.7</v>
      </c>
      <c r="GK33" s="55">
        <v>2.7</v>
      </c>
      <c r="GL33" s="55">
        <v>2.6</v>
      </c>
      <c r="GM33" s="55">
        <v>2.6</v>
      </c>
      <c r="GN33" s="55">
        <v>2.6</v>
      </c>
      <c r="GO33" s="55">
        <v>2.5</v>
      </c>
      <c r="GP33" s="55">
        <v>2.5</v>
      </c>
      <c r="GQ33" s="55">
        <v>2.6</v>
      </c>
      <c r="GR33" s="55">
        <v>2.6</v>
      </c>
      <c r="GS33" s="54" t="s">
        <v>213</v>
      </c>
      <c r="GT33" s="55">
        <v>2.6</v>
      </c>
      <c r="GU33" s="55">
        <v>2.6</v>
      </c>
      <c r="GV33" s="55">
        <v>2.6</v>
      </c>
      <c r="GW33" s="55">
        <v>2.6</v>
      </c>
      <c r="GX33" s="55">
        <v>2.5</v>
      </c>
      <c r="GY33" s="55">
        <v>2.5</v>
      </c>
      <c r="GZ33" s="55">
        <v>2.5</v>
      </c>
      <c r="HA33" s="55">
        <v>2.5</v>
      </c>
      <c r="HB33" s="55">
        <v>2.6</v>
      </c>
      <c r="HC33" s="55">
        <v>2.6</v>
      </c>
      <c r="HD33" s="55">
        <v>2.5</v>
      </c>
      <c r="HE33" s="55">
        <v>2.5</v>
      </c>
      <c r="HF33" s="55">
        <v>2.5</v>
      </c>
      <c r="HG33" s="55">
        <v>2.6</v>
      </c>
      <c r="HH33" s="55">
        <v>2.6</v>
      </c>
      <c r="HI33" s="55">
        <v>16</v>
      </c>
      <c r="HJ33" s="55">
        <v>11.8</v>
      </c>
      <c r="HK33" s="55">
        <v>9.6</v>
      </c>
      <c r="HL33" s="55">
        <v>8.3000000000000007</v>
      </c>
      <c r="HM33" s="55">
        <v>6.7</v>
      </c>
      <c r="HN33" s="55">
        <v>6.1</v>
      </c>
      <c r="HO33" s="55">
        <v>5.3</v>
      </c>
      <c r="HP33" s="55">
        <v>4.9000000000000004</v>
      </c>
      <c r="HQ33" s="56">
        <v>4.5999999999999996</v>
      </c>
      <c r="HR33" s="54" t="s">
        <v>213</v>
      </c>
      <c r="HS33" s="55">
        <v>4.3</v>
      </c>
      <c r="HT33" s="55">
        <v>4.2</v>
      </c>
      <c r="HU33" s="55">
        <v>4</v>
      </c>
      <c r="HV33" s="55">
        <v>3.9</v>
      </c>
      <c r="HW33" s="55">
        <v>3.8</v>
      </c>
      <c r="HX33" s="55">
        <v>3.7</v>
      </c>
      <c r="HY33" s="55">
        <v>3.5</v>
      </c>
      <c r="HZ33" s="55">
        <v>3.3</v>
      </c>
      <c r="IA33" s="55">
        <v>3.1</v>
      </c>
      <c r="IB33" s="55">
        <v>2.8</v>
      </c>
      <c r="IC33" s="55">
        <v>2.6</v>
      </c>
      <c r="ID33" s="55">
        <v>2.5</v>
      </c>
      <c r="IE33" s="55">
        <v>2.4</v>
      </c>
      <c r="IF33" s="55">
        <v>2.2999999999999998</v>
      </c>
      <c r="IG33" s="55">
        <v>2.2999999999999998</v>
      </c>
      <c r="IH33" s="55">
        <v>2.2999999999999998</v>
      </c>
      <c r="II33" s="55">
        <v>2.2999999999999998</v>
      </c>
      <c r="IJ33" s="55">
        <v>2.4</v>
      </c>
      <c r="IK33" s="55">
        <v>2.4</v>
      </c>
      <c r="IL33" s="55">
        <v>2.5</v>
      </c>
      <c r="IM33" s="55">
        <v>2.5</v>
      </c>
      <c r="IN33" s="55">
        <v>2.6</v>
      </c>
      <c r="IO33" s="55">
        <v>2.5</v>
      </c>
      <c r="IP33" s="56">
        <v>2.5</v>
      </c>
      <c r="IQ33" s="54" t="s">
        <v>213</v>
      </c>
      <c r="IR33" s="55">
        <v>2.4</v>
      </c>
      <c r="IS33" s="55">
        <v>2.2999999999999998</v>
      </c>
      <c r="IT33" s="55">
        <v>2.2000000000000002</v>
      </c>
      <c r="IU33" s="55">
        <v>2.2000000000000002</v>
      </c>
      <c r="IV33" s="55">
        <v>2.2000000000000002</v>
      </c>
      <c r="IW33" s="55">
        <v>2.2000000000000002</v>
      </c>
      <c r="IX33" s="55">
        <v>2.2000000000000002</v>
      </c>
      <c r="IY33" s="55">
        <v>2.2000000000000002</v>
      </c>
      <c r="IZ33" s="55">
        <v>2.2999999999999998</v>
      </c>
      <c r="JA33" s="55">
        <v>2.2999999999999998</v>
      </c>
      <c r="JB33" s="55">
        <v>2.2999999999999998</v>
      </c>
      <c r="JC33" s="55">
        <v>2.2999999999999998</v>
      </c>
      <c r="JD33" s="55">
        <v>2.2999999999999998</v>
      </c>
      <c r="JE33" s="55">
        <v>2.2999999999999998</v>
      </c>
      <c r="JF33" s="55">
        <v>2.4</v>
      </c>
      <c r="JG33" s="55">
        <v>2.4</v>
      </c>
      <c r="JH33" s="55">
        <v>2.5</v>
      </c>
      <c r="JI33" s="55">
        <v>2.5</v>
      </c>
      <c r="JJ33" s="55">
        <v>2.6</v>
      </c>
      <c r="JK33" s="55">
        <v>2.6</v>
      </c>
      <c r="JL33" s="55">
        <v>2.7</v>
      </c>
      <c r="JM33" s="55">
        <v>2.8</v>
      </c>
      <c r="JN33" s="55">
        <v>2.8</v>
      </c>
      <c r="JO33" s="56">
        <v>2.8</v>
      </c>
      <c r="JP33" s="54" t="s">
        <v>213</v>
      </c>
      <c r="JQ33" s="82">
        <v>2.9</v>
      </c>
      <c r="JR33" s="82">
        <v>3</v>
      </c>
      <c r="JS33" s="82">
        <v>3.1</v>
      </c>
      <c r="JT33" s="82">
        <v>3.1</v>
      </c>
      <c r="JU33" s="82">
        <v>3.1</v>
      </c>
      <c r="JV33" s="82">
        <v>3.1</v>
      </c>
      <c r="JW33" s="82">
        <v>3.1</v>
      </c>
      <c r="JX33" s="82">
        <v>3</v>
      </c>
      <c r="JY33" s="82">
        <v>3</v>
      </c>
      <c r="JZ33" s="82" t="s">
        <v>402</v>
      </c>
      <c r="KA33" s="83">
        <v>3</v>
      </c>
    </row>
    <row r="34" spans="2:287" x14ac:dyDescent="0.3">
      <c r="B34" s="39" t="s">
        <v>214</v>
      </c>
      <c r="C34" s="17">
        <v>3.6499999999999977</v>
      </c>
      <c r="D34" s="17">
        <v>4.2249999999999996</v>
      </c>
      <c r="E34" s="17">
        <v>5.7750000000000004</v>
      </c>
      <c r="F34" s="17">
        <v>5.85</v>
      </c>
      <c r="G34" s="17">
        <v>4.9166666666666679</v>
      </c>
      <c r="H34" s="17">
        <v>4.4416666666666673</v>
      </c>
      <c r="I34" s="17">
        <v>4.6916666666666673</v>
      </c>
      <c r="J34" s="17">
        <v>4.2083333333333321</v>
      </c>
      <c r="K34" s="17">
        <v>5.4249999999999972</v>
      </c>
      <c r="L34" s="17">
        <v>8.8333333333333357</v>
      </c>
      <c r="M34" s="17">
        <v>9.6666666666666679</v>
      </c>
      <c r="N34" s="17">
        <v>9.3999999999999986</v>
      </c>
      <c r="O34" s="19">
        <v>9.4499999999999993</v>
      </c>
      <c r="P34" s="19">
        <v>8.4166666666666643</v>
      </c>
      <c r="Q34" s="19">
        <v>6.6833333333333318</v>
      </c>
      <c r="R34" s="19">
        <v>5.6916666666666682</v>
      </c>
      <c r="S34" s="19">
        <v>4.9333333333333353</v>
      </c>
      <c r="T34" s="19">
        <v>4.5166666666666675</v>
      </c>
      <c r="U34" s="19">
        <v>4.0166666666666675</v>
      </c>
      <c r="V34" s="19">
        <v>3.4583333333333321</v>
      </c>
      <c r="W34" s="19">
        <v>9.4833333333333432</v>
      </c>
      <c r="X34" s="19">
        <v>6.6916666666666673</v>
      </c>
      <c r="Y34" s="19">
        <v>3.849999999999997</v>
      </c>
      <c r="Z34" s="19">
        <v>4.2750000000000004</v>
      </c>
      <c r="AA34" s="19">
        <v>4.5333333333333323</v>
      </c>
      <c r="AB34" s="96"/>
      <c r="AC34" s="36" t="str">
        <f>Table11[[#This Row],[State]]</f>
        <v>New Jersey</v>
      </c>
      <c r="AD34" s="27">
        <v>7.56666666666667</v>
      </c>
      <c r="AE34" s="27">
        <v>8.5</v>
      </c>
      <c r="AF34" s="27">
        <v>9.3666666666666707</v>
      </c>
      <c r="AG34" s="27">
        <v>9.9</v>
      </c>
      <c r="AH34" s="27">
        <v>9.9666666666666703</v>
      </c>
      <c r="AI34" s="27">
        <v>9.6999999999999993</v>
      </c>
      <c r="AJ34" s="27">
        <v>9.5</v>
      </c>
      <c r="AK34" s="27">
        <v>9.5</v>
      </c>
      <c r="AL34" s="27">
        <v>9.5</v>
      </c>
      <c r="AM34" s="27">
        <v>9.4</v>
      </c>
      <c r="AN34" s="27">
        <v>9.4</v>
      </c>
      <c r="AO34" s="27">
        <v>9.3000000000000007</v>
      </c>
      <c r="AP34" s="27">
        <v>9.3333333333333304</v>
      </c>
      <c r="AQ34" s="27">
        <v>9.56666666666667</v>
      </c>
      <c r="AR34" s="27">
        <v>9.5333333333333297</v>
      </c>
      <c r="AS34" s="27">
        <v>9.3666666666666707</v>
      </c>
      <c r="AT34" s="27">
        <v>9.1</v>
      </c>
      <c r="AU34" s="27">
        <v>8.7333333333333307</v>
      </c>
      <c r="AV34" s="27">
        <v>8.2333333333333307</v>
      </c>
      <c r="AW34" s="27">
        <v>7.6</v>
      </c>
      <c r="AX34" s="27">
        <v>7.0333333333333297</v>
      </c>
      <c r="AY34" s="27">
        <v>6.7</v>
      </c>
      <c r="AZ34" s="27">
        <v>6.5333333333333297</v>
      </c>
      <c r="BA34" s="27">
        <v>6.4666666666666703</v>
      </c>
      <c r="BB34" s="36" t="str">
        <f t="shared" si="0"/>
        <v>New Jersey</v>
      </c>
      <c r="BC34" s="27">
        <v>6.2666666666666702</v>
      </c>
      <c r="BD34" s="27">
        <v>5.9666666666666703</v>
      </c>
      <c r="BE34" s="27">
        <v>5.5</v>
      </c>
      <c r="BF34" s="27">
        <v>5.0333333333333297</v>
      </c>
      <c r="BG34" s="27">
        <v>4.9666666666666703</v>
      </c>
      <c r="BH34" s="27">
        <v>5</v>
      </c>
      <c r="BI34" s="27">
        <v>4.9666666666666703</v>
      </c>
      <c r="BJ34" s="27">
        <v>4.8</v>
      </c>
      <c r="BK34" s="27">
        <v>4.5</v>
      </c>
      <c r="BL34" s="27">
        <v>4.43333333333333</v>
      </c>
      <c r="BM34" s="27">
        <v>4.56666666666667</v>
      </c>
      <c r="BN34" s="27">
        <v>4.56666666666667</v>
      </c>
      <c r="BO34" s="27">
        <v>4.3666666666666698</v>
      </c>
      <c r="BP34" s="27">
        <v>4.1333333333333302</v>
      </c>
      <c r="BQ34" s="27">
        <v>3.9</v>
      </c>
      <c r="BR34" s="27">
        <v>3.6666666666666701</v>
      </c>
      <c r="BS34" s="27">
        <v>3.4</v>
      </c>
      <c r="BT34" s="27">
        <v>3.2</v>
      </c>
      <c r="BU34" s="27">
        <v>3.43333333333333</v>
      </c>
      <c r="BV34" s="27">
        <v>3.8</v>
      </c>
      <c r="BW34" s="36" t="str">
        <f>Table13[[#This Row],[State]]</f>
        <v>New Jersey</v>
      </c>
      <c r="BX34" s="27">
        <v>4.06666666666667</v>
      </c>
      <c r="BY34" s="27">
        <v>14.966666666666701</v>
      </c>
      <c r="BZ34" s="27">
        <v>11.7</v>
      </c>
      <c r="CA34" s="27">
        <v>7.2</v>
      </c>
      <c r="CB34" s="27">
        <v>7.2666666666666702</v>
      </c>
      <c r="CC34" s="27">
        <v>7.1333333333333302</v>
      </c>
      <c r="CD34" s="27">
        <v>6.6666666666666696</v>
      </c>
      <c r="CE34" s="27">
        <v>5.7</v>
      </c>
      <c r="CF34" s="27">
        <v>4.7333333333333298</v>
      </c>
      <c r="CG34" s="27">
        <v>3.8333333333333299</v>
      </c>
      <c r="CH34" s="27">
        <v>3.2</v>
      </c>
      <c r="CI34" s="27">
        <v>3.6333333333333302</v>
      </c>
      <c r="CJ34" s="27">
        <v>3.9666666666666699</v>
      </c>
      <c r="CK34" s="27">
        <v>4.2</v>
      </c>
      <c r="CL34" s="27">
        <v>4.43333333333333</v>
      </c>
      <c r="CM34" s="27">
        <v>4.5</v>
      </c>
      <c r="CN34" s="27">
        <v>4.4000000000000004</v>
      </c>
      <c r="CO34" s="27">
        <v>4.5333333333333297</v>
      </c>
      <c r="CP34" s="27">
        <v>4.5999999999999996</v>
      </c>
      <c r="CQ34" s="27">
        <v>4.5999999999999996</v>
      </c>
      <c r="CR34" s="79" t="str">
        <f>Table13[[#This Row],[ State]]</f>
        <v>New Jersey</v>
      </c>
      <c r="CS34" s="27">
        <v>4.6333333333333302</v>
      </c>
      <c r="CT34" s="27">
        <v>4.8333333333333304</v>
      </c>
      <c r="CU34" s="27">
        <v>5.0333333333333297</v>
      </c>
      <c r="CV34" s="111"/>
      <c r="CW34" s="41" t="s">
        <v>214</v>
      </c>
      <c r="CX34" s="47">
        <v>9.5</v>
      </c>
      <c r="CY34" s="48">
        <v>9.5</v>
      </c>
      <c r="CZ34" s="48">
        <v>9.5</v>
      </c>
      <c r="DA34" s="48">
        <v>9.4</v>
      </c>
      <c r="DB34" s="48">
        <v>9.4</v>
      </c>
      <c r="DC34" s="48">
        <v>9.4</v>
      </c>
      <c r="DD34" s="48">
        <v>9.4</v>
      </c>
      <c r="DE34" s="48">
        <v>9.4</v>
      </c>
      <c r="DF34" s="48">
        <v>9.4</v>
      </c>
      <c r="DG34" s="48">
        <v>9.3000000000000007</v>
      </c>
      <c r="DH34" s="48">
        <v>9.3000000000000007</v>
      </c>
      <c r="DI34" s="48">
        <v>9.3000000000000007</v>
      </c>
      <c r="DJ34" s="48">
        <v>9.3000000000000007</v>
      </c>
      <c r="DK34" s="48">
        <v>9.3000000000000007</v>
      </c>
      <c r="DL34" s="48">
        <v>9.4</v>
      </c>
      <c r="DM34" s="48">
        <v>9.5</v>
      </c>
      <c r="DN34" s="48">
        <v>9.6</v>
      </c>
      <c r="DO34" s="48">
        <v>9.6</v>
      </c>
      <c r="DP34" s="48">
        <v>9.6</v>
      </c>
      <c r="DQ34" s="48">
        <v>9.5</v>
      </c>
      <c r="DR34" s="48">
        <v>9.5</v>
      </c>
      <c r="DS34" s="48">
        <v>9.4</v>
      </c>
      <c r="DT34" s="48">
        <v>9.4</v>
      </c>
      <c r="DU34" s="62">
        <v>9.3000000000000007</v>
      </c>
      <c r="DV34" s="49" t="s">
        <v>214</v>
      </c>
      <c r="DW34" s="48">
        <v>9.1999999999999993</v>
      </c>
      <c r="DX34" s="48">
        <v>9.1</v>
      </c>
      <c r="DY34" s="48">
        <v>9</v>
      </c>
      <c r="DZ34" s="48">
        <v>8.9</v>
      </c>
      <c r="EA34" s="48">
        <v>8.6999999999999993</v>
      </c>
      <c r="EB34" s="48">
        <v>8.6</v>
      </c>
      <c r="EC34" s="48">
        <v>8.4</v>
      </c>
      <c r="ED34" s="48">
        <v>8.3000000000000007</v>
      </c>
      <c r="EE34" s="48">
        <v>8</v>
      </c>
      <c r="EF34" s="48">
        <v>7.8</v>
      </c>
      <c r="EG34" s="50">
        <v>7.6</v>
      </c>
      <c r="EH34" s="50">
        <v>7.4</v>
      </c>
      <c r="EI34" s="50">
        <v>7.2</v>
      </c>
      <c r="EJ34" s="50">
        <v>7</v>
      </c>
      <c r="EK34" s="48">
        <v>6.9</v>
      </c>
      <c r="EL34" s="50">
        <v>6.8</v>
      </c>
      <c r="EM34" s="50">
        <v>6.7</v>
      </c>
      <c r="EN34" s="50">
        <v>6.6</v>
      </c>
      <c r="EO34" s="50">
        <v>6.6</v>
      </c>
      <c r="EP34" s="50">
        <v>6.5</v>
      </c>
      <c r="EQ34" s="50">
        <v>6.5</v>
      </c>
      <c r="ER34" s="48">
        <v>6.5</v>
      </c>
      <c r="ES34" s="50">
        <v>6.5</v>
      </c>
      <c r="ET34" s="51">
        <v>6.4</v>
      </c>
      <c r="EU34" s="49" t="s">
        <v>214</v>
      </c>
      <c r="EV34" s="48">
        <v>6.3</v>
      </c>
      <c r="EW34" s="50">
        <v>6.3</v>
      </c>
      <c r="EX34" s="50">
        <v>6.2</v>
      </c>
      <c r="EY34" s="50">
        <v>6.1</v>
      </c>
      <c r="EZ34" s="50">
        <v>6</v>
      </c>
      <c r="FA34" s="50">
        <v>5.8</v>
      </c>
      <c r="FB34" s="50">
        <v>5.7</v>
      </c>
      <c r="FC34" s="50">
        <v>5.5</v>
      </c>
      <c r="FD34" s="50">
        <v>5.3</v>
      </c>
      <c r="FE34" s="50">
        <v>5.0999999999999996</v>
      </c>
      <c r="FF34" s="50">
        <v>5</v>
      </c>
      <c r="FG34" s="50">
        <v>5</v>
      </c>
      <c r="FH34" s="50">
        <v>4.9000000000000004</v>
      </c>
      <c r="FI34" s="50">
        <v>5</v>
      </c>
      <c r="FJ34" s="50">
        <v>5</v>
      </c>
      <c r="FK34" s="50">
        <v>5</v>
      </c>
      <c r="FL34" s="50">
        <v>5</v>
      </c>
      <c r="FM34" s="50">
        <v>5</v>
      </c>
      <c r="FN34" s="50">
        <v>5</v>
      </c>
      <c r="FO34" s="50">
        <v>5</v>
      </c>
      <c r="FP34" s="50">
        <v>4.9000000000000004</v>
      </c>
      <c r="FQ34" s="50">
        <v>4.9000000000000004</v>
      </c>
      <c r="FR34" s="50">
        <v>4.8</v>
      </c>
      <c r="FS34" s="51">
        <v>4.7</v>
      </c>
      <c r="FT34" s="49" t="s">
        <v>214</v>
      </c>
      <c r="FU34" s="48">
        <v>4.5999999999999996</v>
      </c>
      <c r="FV34" s="50">
        <v>4.5</v>
      </c>
      <c r="FW34" s="50">
        <v>4.4000000000000004</v>
      </c>
      <c r="FX34" s="50">
        <v>4.4000000000000004</v>
      </c>
      <c r="FY34" s="50">
        <v>4.4000000000000004</v>
      </c>
      <c r="FZ34" s="50">
        <v>4.5</v>
      </c>
      <c r="GA34" s="50">
        <v>4.5</v>
      </c>
      <c r="GB34" s="50">
        <v>4.5999999999999996</v>
      </c>
      <c r="GC34" s="50">
        <v>4.5999999999999996</v>
      </c>
      <c r="GD34" s="50">
        <v>4.5999999999999996</v>
      </c>
      <c r="GE34" s="50">
        <v>4.5999999999999996</v>
      </c>
      <c r="GF34" s="50">
        <v>4.5</v>
      </c>
      <c r="GG34" s="50">
        <v>4.4000000000000004</v>
      </c>
      <c r="GH34" s="50">
        <v>4.4000000000000004</v>
      </c>
      <c r="GI34" s="50">
        <v>4.3</v>
      </c>
      <c r="GJ34" s="50">
        <v>4.2</v>
      </c>
      <c r="GK34" s="50">
        <v>4.0999999999999996</v>
      </c>
      <c r="GL34" s="50">
        <v>4.0999999999999996</v>
      </c>
      <c r="GM34" s="50">
        <v>4</v>
      </c>
      <c r="GN34" s="50">
        <v>3.9</v>
      </c>
      <c r="GO34" s="50">
        <v>3.8</v>
      </c>
      <c r="GP34" s="50">
        <v>3.7</v>
      </c>
      <c r="GQ34" s="50">
        <v>3.7</v>
      </c>
      <c r="GR34" s="50">
        <v>3.6</v>
      </c>
      <c r="GS34" s="49" t="s">
        <v>214</v>
      </c>
      <c r="GT34" s="50">
        <v>3.5</v>
      </c>
      <c r="GU34" s="50">
        <v>3.4</v>
      </c>
      <c r="GV34" s="50">
        <v>3.3</v>
      </c>
      <c r="GW34" s="50">
        <v>3.2</v>
      </c>
      <c r="GX34" s="50">
        <v>3.2</v>
      </c>
      <c r="GY34" s="50">
        <v>3.2</v>
      </c>
      <c r="GZ34" s="50">
        <v>3.3</v>
      </c>
      <c r="HA34" s="50">
        <v>3.4</v>
      </c>
      <c r="HB34" s="50">
        <v>3.6</v>
      </c>
      <c r="HC34" s="50">
        <v>3.7</v>
      </c>
      <c r="HD34" s="50">
        <v>3.8</v>
      </c>
      <c r="HE34" s="50">
        <v>3.9</v>
      </c>
      <c r="HF34" s="50">
        <v>4</v>
      </c>
      <c r="HG34" s="50">
        <v>4.0999999999999996</v>
      </c>
      <c r="HH34" s="50">
        <v>4.0999999999999996</v>
      </c>
      <c r="HI34" s="50">
        <v>15</v>
      </c>
      <c r="HJ34" s="50">
        <v>15.4</v>
      </c>
      <c r="HK34" s="50">
        <v>14.5</v>
      </c>
      <c r="HL34" s="50">
        <v>14.4</v>
      </c>
      <c r="HM34" s="50">
        <v>13.3</v>
      </c>
      <c r="HN34" s="50">
        <v>7.4</v>
      </c>
      <c r="HO34" s="50">
        <v>7.1</v>
      </c>
      <c r="HP34" s="50">
        <v>7.2</v>
      </c>
      <c r="HQ34" s="51">
        <v>7.3</v>
      </c>
      <c r="HR34" s="49" t="s">
        <v>214</v>
      </c>
      <c r="HS34" s="50">
        <v>7.3</v>
      </c>
      <c r="HT34" s="50">
        <v>7.3</v>
      </c>
      <c r="HU34" s="50">
        <v>7.2</v>
      </c>
      <c r="HV34" s="50">
        <v>7.2</v>
      </c>
      <c r="HW34" s="50">
        <v>7</v>
      </c>
      <c r="HX34" s="50">
        <v>7.2</v>
      </c>
      <c r="HY34" s="50">
        <v>6.9</v>
      </c>
      <c r="HZ34" s="50">
        <v>6.8</v>
      </c>
      <c r="IA34" s="50">
        <v>6.3</v>
      </c>
      <c r="IB34" s="50">
        <v>6</v>
      </c>
      <c r="IC34" s="50">
        <v>5.6</v>
      </c>
      <c r="ID34" s="50">
        <v>5.5</v>
      </c>
      <c r="IE34" s="50">
        <v>5.2</v>
      </c>
      <c r="IF34" s="50">
        <v>4.7</v>
      </c>
      <c r="IG34" s="50">
        <v>4.3</v>
      </c>
      <c r="IH34" s="50">
        <v>4.0999999999999996</v>
      </c>
      <c r="II34" s="50">
        <v>3.8</v>
      </c>
      <c r="IJ34" s="50">
        <v>3.6</v>
      </c>
      <c r="IK34" s="50">
        <v>3.3</v>
      </c>
      <c r="IL34" s="50">
        <v>3</v>
      </c>
      <c r="IM34" s="50">
        <v>3.3</v>
      </c>
      <c r="IN34" s="50">
        <v>3.5</v>
      </c>
      <c r="IO34" s="50">
        <v>3.6</v>
      </c>
      <c r="IP34" s="51">
        <v>3.8</v>
      </c>
      <c r="IQ34" s="49" t="s">
        <v>214</v>
      </c>
      <c r="IR34" s="50">
        <v>3.9</v>
      </c>
      <c r="IS34" s="50">
        <v>4</v>
      </c>
      <c r="IT34" s="50">
        <v>4</v>
      </c>
      <c r="IU34" s="50">
        <v>4.0999999999999996</v>
      </c>
      <c r="IV34" s="50">
        <v>4.2</v>
      </c>
      <c r="IW34" s="50">
        <v>4.3</v>
      </c>
      <c r="IX34" s="50">
        <v>4.4000000000000004</v>
      </c>
      <c r="IY34" s="50">
        <v>4.4000000000000004</v>
      </c>
      <c r="IZ34" s="50">
        <v>4.5</v>
      </c>
      <c r="JA34" s="50">
        <v>4.5</v>
      </c>
      <c r="JB34" s="50">
        <v>4.5</v>
      </c>
      <c r="JC34" s="50">
        <v>4.5</v>
      </c>
      <c r="JD34" s="50">
        <v>4.4000000000000004</v>
      </c>
      <c r="JE34" s="50">
        <v>4.4000000000000004</v>
      </c>
      <c r="JF34" s="50">
        <v>4.4000000000000004</v>
      </c>
      <c r="JG34" s="50">
        <v>4.5</v>
      </c>
      <c r="JH34" s="50">
        <v>4.5</v>
      </c>
      <c r="JI34" s="50">
        <v>4.5999999999999996</v>
      </c>
      <c r="JJ34" s="50">
        <v>4.5999999999999996</v>
      </c>
      <c r="JK34" s="50">
        <v>4.5999999999999996</v>
      </c>
      <c r="JL34" s="50">
        <v>4.5999999999999996</v>
      </c>
      <c r="JM34" s="50">
        <v>4.5999999999999996</v>
      </c>
      <c r="JN34" s="50">
        <v>4.5999999999999996</v>
      </c>
      <c r="JO34" s="51">
        <v>4.5999999999999996</v>
      </c>
      <c r="JP34" s="49" t="s">
        <v>214</v>
      </c>
      <c r="JQ34" s="80">
        <v>4.5999999999999996</v>
      </c>
      <c r="JR34" s="80">
        <v>4.5999999999999996</v>
      </c>
      <c r="JS34" s="80">
        <v>4.7</v>
      </c>
      <c r="JT34" s="80">
        <v>4.8</v>
      </c>
      <c r="JU34" s="80">
        <v>4.8</v>
      </c>
      <c r="JV34" s="80">
        <v>4.9000000000000004</v>
      </c>
      <c r="JW34" s="80">
        <v>4.9000000000000004</v>
      </c>
      <c r="JX34" s="80">
        <v>5</v>
      </c>
      <c r="JY34" s="80">
        <v>5.2</v>
      </c>
      <c r="JZ34" s="80" t="s">
        <v>402</v>
      </c>
      <c r="KA34" s="81">
        <v>5.4</v>
      </c>
    </row>
    <row r="35" spans="2:287" x14ac:dyDescent="0.3">
      <c r="B35" s="39" t="s">
        <v>215</v>
      </c>
      <c r="C35" s="17">
        <v>5.0166666666666675</v>
      </c>
      <c r="D35" s="17">
        <v>4.9666666666666677</v>
      </c>
      <c r="E35" s="17">
        <v>5.4749999999999996</v>
      </c>
      <c r="F35" s="17">
        <v>5.9250000000000007</v>
      </c>
      <c r="G35" s="17">
        <v>5.5833333333333321</v>
      </c>
      <c r="H35" s="17">
        <v>5.2250000000000005</v>
      </c>
      <c r="I35" s="17">
        <v>4.2333333333333325</v>
      </c>
      <c r="J35" s="17">
        <v>3.5416666666666652</v>
      </c>
      <c r="K35" s="17">
        <v>4.375</v>
      </c>
      <c r="L35" s="17">
        <v>7.05</v>
      </c>
      <c r="M35" s="17">
        <v>7.8166666666666682</v>
      </c>
      <c r="N35" s="17">
        <v>7.2166666666666668</v>
      </c>
      <c r="O35" s="19">
        <v>6.9499999999999993</v>
      </c>
      <c r="P35" s="19">
        <v>6.9</v>
      </c>
      <c r="Q35" s="19">
        <v>6.5583333333333318</v>
      </c>
      <c r="R35" s="19">
        <v>6.6083333333333325</v>
      </c>
      <c r="S35" s="19">
        <v>6.783333333333335</v>
      </c>
      <c r="T35" s="19">
        <v>6.1166666666666654</v>
      </c>
      <c r="U35" s="19">
        <v>4.9333333333333353</v>
      </c>
      <c r="V35" s="19">
        <v>4.9666666666666677</v>
      </c>
      <c r="W35" s="19">
        <v>7.9249999999999989</v>
      </c>
      <c r="X35" s="19">
        <v>7.0666666666666647</v>
      </c>
      <c r="Y35" s="19">
        <v>4.0666666666666673</v>
      </c>
      <c r="Z35" s="19">
        <v>3.6666666666666679</v>
      </c>
      <c r="AA35" s="19">
        <v>4.1500000000000004</v>
      </c>
      <c r="AB35" s="96"/>
      <c r="AC35" s="35" t="str">
        <f>Table11[[#This Row],[State]]</f>
        <v>New Mexico</v>
      </c>
      <c r="AD35" s="17">
        <v>6.1</v>
      </c>
      <c r="AE35" s="17">
        <v>6.8666666666666698</v>
      </c>
      <c r="AF35" s="17">
        <v>7.43333333333333</v>
      </c>
      <c r="AG35" s="17">
        <v>7.8</v>
      </c>
      <c r="AH35" s="17">
        <v>8</v>
      </c>
      <c r="AI35" s="17">
        <v>7.9</v>
      </c>
      <c r="AJ35" s="17">
        <v>7.7666666666666702</v>
      </c>
      <c r="AK35" s="17">
        <v>7.6</v>
      </c>
      <c r="AL35" s="17">
        <v>7.3</v>
      </c>
      <c r="AM35" s="17">
        <v>7.2</v>
      </c>
      <c r="AN35" s="19">
        <v>7.2</v>
      </c>
      <c r="AO35" s="19">
        <v>7.1666666666666696</v>
      </c>
      <c r="AP35" s="19">
        <v>7</v>
      </c>
      <c r="AQ35" s="19">
        <v>7</v>
      </c>
      <c r="AR35" s="19">
        <v>6.9</v>
      </c>
      <c r="AS35" s="19">
        <v>6.9</v>
      </c>
      <c r="AT35" s="19">
        <v>7</v>
      </c>
      <c r="AU35" s="19">
        <v>6.93333333333333</v>
      </c>
      <c r="AV35" s="17">
        <v>6.8666666666666698</v>
      </c>
      <c r="AW35" s="17">
        <v>6.8</v>
      </c>
      <c r="AX35" s="17">
        <v>6.7333333333333298</v>
      </c>
      <c r="AY35" s="17">
        <v>6.6</v>
      </c>
      <c r="AZ35" s="17">
        <v>6.5</v>
      </c>
      <c r="BA35" s="17">
        <v>6.4</v>
      </c>
      <c r="BB35" s="35" t="str">
        <f t="shared" si="0"/>
        <v>New Mexico</v>
      </c>
      <c r="BC35" s="19">
        <v>6.5333333333333297</v>
      </c>
      <c r="BD35" s="19">
        <v>6.7</v>
      </c>
      <c r="BE35" s="19">
        <v>6.6666666666666696</v>
      </c>
      <c r="BF35" s="19">
        <v>6.5333333333333297</v>
      </c>
      <c r="BG35" s="17">
        <v>6.5</v>
      </c>
      <c r="BH35" s="17">
        <v>6.7</v>
      </c>
      <c r="BI35" s="17">
        <v>6.9666666666666703</v>
      </c>
      <c r="BJ35" s="17">
        <v>6.9666666666666703</v>
      </c>
      <c r="BK35" s="17">
        <v>6.7</v>
      </c>
      <c r="BL35" s="17">
        <v>6.3333333333333304</v>
      </c>
      <c r="BM35" s="17">
        <v>5.9</v>
      </c>
      <c r="BN35" s="17">
        <v>5.5333333333333297</v>
      </c>
      <c r="BO35" s="17">
        <v>5.06666666666667</v>
      </c>
      <c r="BP35" s="17">
        <v>4.7666666666666702</v>
      </c>
      <c r="BQ35" s="17">
        <v>4.8</v>
      </c>
      <c r="BR35" s="17">
        <v>5.0999999999999996</v>
      </c>
      <c r="BS35" s="17">
        <v>5.06666666666667</v>
      </c>
      <c r="BT35" s="17">
        <v>4.9666666666666703</v>
      </c>
      <c r="BU35" s="17">
        <v>4.9000000000000004</v>
      </c>
      <c r="BV35" s="17">
        <v>4.93333333333333</v>
      </c>
      <c r="BW35" s="35" t="str">
        <f>Table13[[#This Row],[State]]</f>
        <v>New Mexico</v>
      </c>
      <c r="BX35" s="17">
        <v>5.43333333333333</v>
      </c>
      <c r="BY35" s="17">
        <v>9.1</v>
      </c>
      <c r="BZ35" s="17">
        <v>8.7666666666666693</v>
      </c>
      <c r="CA35" s="17">
        <v>8.4</v>
      </c>
      <c r="CB35" s="17">
        <v>8.1333333333333293</v>
      </c>
      <c r="CC35" s="17">
        <v>7.6</v>
      </c>
      <c r="CD35" s="17">
        <v>6.7333333333333298</v>
      </c>
      <c r="CE35" s="17">
        <v>5.8</v>
      </c>
      <c r="CF35" s="17">
        <v>5.0333333333333297</v>
      </c>
      <c r="CG35" s="17">
        <v>4.1666666666666696</v>
      </c>
      <c r="CH35" s="17">
        <v>3.5</v>
      </c>
      <c r="CI35" s="17">
        <v>3.56666666666667</v>
      </c>
      <c r="CJ35" s="17">
        <v>3.6</v>
      </c>
      <c r="CK35" s="17">
        <v>3.6</v>
      </c>
      <c r="CL35" s="17">
        <v>3.6666666666666701</v>
      </c>
      <c r="CM35" s="17">
        <v>3.8</v>
      </c>
      <c r="CN35" s="17">
        <v>3.8333333333333299</v>
      </c>
      <c r="CO35" s="17">
        <v>4.0999999999999996</v>
      </c>
      <c r="CP35" s="17">
        <v>4.3</v>
      </c>
      <c r="CQ35" s="17">
        <v>4.3666666666666698</v>
      </c>
      <c r="CR35" s="42" t="str">
        <f>Table13[[#This Row],[ State]]</f>
        <v>New Mexico</v>
      </c>
      <c r="CS35" s="17">
        <v>4.3666666666666698</v>
      </c>
      <c r="CT35" s="17">
        <v>4.2333333333333298</v>
      </c>
      <c r="CU35" s="17">
        <v>4.1333333333333302</v>
      </c>
      <c r="CV35" s="111"/>
      <c r="CW35" s="42" t="s">
        <v>215</v>
      </c>
      <c r="CX35" s="52">
        <v>7.4</v>
      </c>
      <c r="CY35" s="53">
        <v>7.3</v>
      </c>
      <c r="CZ35" s="53">
        <v>7.2</v>
      </c>
      <c r="DA35" s="53">
        <v>7.2</v>
      </c>
      <c r="DB35" s="53">
        <v>7.2</v>
      </c>
      <c r="DC35" s="53">
        <v>7.2</v>
      </c>
      <c r="DD35" s="53">
        <v>7.2</v>
      </c>
      <c r="DE35" s="53">
        <v>7.2</v>
      </c>
      <c r="DF35" s="53">
        <v>7.2</v>
      </c>
      <c r="DG35" s="53">
        <v>7.2</v>
      </c>
      <c r="DH35" s="53">
        <v>7.2</v>
      </c>
      <c r="DI35" s="53">
        <v>7.1</v>
      </c>
      <c r="DJ35" s="53">
        <v>7</v>
      </c>
      <c r="DK35" s="53">
        <v>7</v>
      </c>
      <c r="DL35" s="53">
        <v>7</v>
      </c>
      <c r="DM35" s="53">
        <v>7</v>
      </c>
      <c r="DN35" s="53">
        <v>7</v>
      </c>
      <c r="DO35" s="53">
        <v>7</v>
      </c>
      <c r="DP35" s="53">
        <v>6.9</v>
      </c>
      <c r="DQ35" s="53">
        <v>6.9</v>
      </c>
      <c r="DR35" s="53">
        <v>6.9</v>
      </c>
      <c r="DS35" s="53">
        <v>6.9</v>
      </c>
      <c r="DT35" s="53">
        <v>6.9</v>
      </c>
      <c r="DU35" s="63">
        <v>6.9</v>
      </c>
      <c r="DV35" s="54" t="s">
        <v>215</v>
      </c>
      <c r="DW35" s="53">
        <v>7</v>
      </c>
      <c r="DX35" s="53">
        <v>7</v>
      </c>
      <c r="DY35" s="53">
        <v>7</v>
      </c>
      <c r="DZ35" s="53">
        <v>7</v>
      </c>
      <c r="EA35" s="53">
        <v>6.9</v>
      </c>
      <c r="EB35" s="53">
        <v>6.9</v>
      </c>
      <c r="EC35" s="53">
        <v>6.9</v>
      </c>
      <c r="ED35" s="53">
        <v>6.9</v>
      </c>
      <c r="EE35" s="53">
        <v>6.8</v>
      </c>
      <c r="EF35" s="53">
        <v>6.8</v>
      </c>
      <c r="EG35" s="55">
        <v>6.8</v>
      </c>
      <c r="EH35" s="55">
        <v>6.8</v>
      </c>
      <c r="EI35" s="55">
        <v>6.8</v>
      </c>
      <c r="EJ35" s="55">
        <v>6.7</v>
      </c>
      <c r="EK35" s="53">
        <v>6.7</v>
      </c>
      <c r="EL35" s="55">
        <v>6.6</v>
      </c>
      <c r="EM35" s="55">
        <v>6.6</v>
      </c>
      <c r="EN35" s="55">
        <v>6.6</v>
      </c>
      <c r="EO35" s="55">
        <v>6.5</v>
      </c>
      <c r="EP35" s="55">
        <v>6.5</v>
      </c>
      <c r="EQ35" s="55">
        <v>6.5</v>
      </c>
      <c r="ER35" s="53">
        <v>6.4</v>
      </c>
      <c r="ES35" s="55">
        <v>6.4</v>
      </c>
      <c r="ET35" s="56">
        <v>6.4</v>
      </c>
      <c r="EU35" s="54" t="s">
        <v>215</v>
      </c>
      <c r="EV35" s="53">
        <v>6.5</v>
      </c>
      <c r="EW35" s="55">
        <v>6.5</v>
      </c>
      <c r="EX35" s="55">
        <v>6.6</v>
      </c>
      <c r="EY35" s="55">
        <v>6.7</v>
      </c>
      <c r="EZ35" s="55">
        <v>6.7</v>
      </c>
      <c r="FA35" s="55">
        <v>6.7</v>
      </c>
      <c r="FB35" s="55">
        <v>6.7</v>
      </c>
      <c r="FC35" s="55">
        <v>6.7</v>
      </c>
      <c r="FD35" s="55">
        <v>6.6</v>
      </c>
      <c r="FE35" s="55">
        <v>6.6</v>
      </c>
      <c r="FF35" s="55">
        <v>6.5</v>
      </c>
      <c r="FG35" s="55">
        <v>6.5</v>
      </c>
      <c r="FH35" s="55">
        <v>6.5</v>
      </c>
      <c r="FI35" s="55">
        <v>6.5</v>
      </c>
      <c r="FJ35" s="55">
        <v>6.5</v>
      </c>
      <c r="FK35" s="55">
        <v>6.6</v>
      </c>
      <c r="FL35" s="55">
        <v>6.7</v>
      </c>
      <c r="FM35" s="55">
        <v>6.8</v>
      </c>
      <c r="FN35" s="55">
        <v>6.9</v>
      </c>
      <c r="FO35" s="55">
        <v>7</v>
      </c>
      <c r="FP35" s="55">
        <v>7</v>
      </c>
      <c r="FQ35" s="55">
        <v>7</v>
      </c>
      <c r="FR35" s="55">
        <v>7</v>
      </c>
      <c r="FS35" s="56">
        <v>6.9</v>
      </c>
      <c r="FT35" s="54" t="s">
        <v>215</v>
      </c>
      <c r="FU35" s="53">
        <v>6.8</v>
      </c>
      <c r="FV35" s="55">
        <v>6.7</v>
      </c>
      <c r="FW35" s="55">
        <v>6.6</v>
      </c>
      <c r="FX35" s="55">
        <v>6.5</v>
      </c>
      <c r="FY35" s="55">
        <v>6.3</v>
      </c>
      <c r="FZ35" s="55">
        <v>6.2</v>
      </c>
      <c r="GA35" s="55">
        <v>6</v>
      </c>
      <c r="GB35" s="55">
        <v>5.9</v>
      </c>
      <c r="GC35" s="55">
        <v>5.8</v>
      </c>
      <c r="GD35" s="55">
        <v>5.7</v>
      </c>
      <c r="GE35" s="55">
        <v>5.5</v>
      </c>
      <c r="GF35" s="55">
        <v>5.4</v>
      </c>
      <c r="GG35" s="55">
        <v>5.2</v>
      </c>
      <c r="GH35" s="55">
        <v>5.0999999999999996</v>
      </c>
      <c r="GI35" s="55">
        <v>4.9000000000000004</v>
      </c>
      <c r="GJ35" s="55">
        <v>4.8</v>
      </c>
      <c r="GK35" s="55">
        <v>4.8</v>
      </c>
      <c r="GL35" s="55">
        <v>4.7</v>
      </c>
      <c r="GM35" s="55">
        <v>4.7</v>
      </c>
      <c r="GN35" s="55">
        <v>4.8</v>
      </c>
      <c r="GO35" s="55">
        <v>4.9000000000000004</v>
      </c>
      <c r="GP35" s="55">
        <v>5</v>
      </c>
      <c r="GQ35" s="55">
        <v>5.0999999999999996</v>
      </c>
      <c r="GR35" s="55">
        <v>5.2</v>
      </c>
      <c r="GS35" s="54" t="s">
        <v>215</v>
      </c>
      <c r="GT35" s="55">
        <v>5.0999999999999996</v>
      </c>
      <c r="GU35" s="55">
        <v>5.0999999999999996</v>
      </c>
      <c r="GV35" s="55">
        <v>5</v>
      </c>
      <c r="GW35" s="55">
        <v>5</v>
      </c>
      <c r="GX35" s="55">
        <v>5</v>
      </c>
      <c r="GY35" s="55">
        <v>4.9000000000000004</v>
      </c>
      <c r="GZ35" s="55">
        <v>4.9000000000000004</v>
      </c>
      <c r="HA35" s="55">
        <v>4.9000000000000004</v>
      </c>
      <c r="HB35" s="55">
        <v>4.9000000000000004</v>
      </c>
      <c r="HC35" s="55">
        <v>4.9000000000000004</v>
      </c>
      <c r="HD35" s="55">
        <v>4.9000000000000004</v>
      </c>
      <c r="HE35" s="55">
        <v>5</v>
      </c>
      <c r="HF35" s="55">
        <v>5.0999999999999996</v>
      </c>
      <c r="HG35" s="55">
        <v>5.3</v>
      </c>
      <c r="HH35" s="55">
        <v>5.9</v>
      </c>
      <c r="HI35" s="55">
        <v>9</v>
      </c>
      <c r="HJ35" s="55">
        <v>9.3000000000000007</v>
      </c>
      <c r="HK35" s="55">
        <v>9</v>
      </c>
      <c r="HL35" s="55">
        <v>9</v>
      </c>
      <c r="HM35" s="55">
        <v>8.6</v>
      </c>
      <c r="HN35" s="55">
        <v>8.6999999999999993</v>
      </c>
      <c r="HO35" s="55">
        <v>8.4</v>
      </c>
      <c r="HP35" s="55">
        <v>8.4</v>
      </c>
      <c r="HQ35" s="56">
        <v>8.4</v>
      </c>
      <c r="HR35" s="54" t="s">
        <v>215</v>
      </c>
      <c r="HS35" s="55">
        <v>8.1999999999999993</v>
      </c>
      <c r="HT35" s="55">
        <v>8.1999999999999993</v>
      </c>
      <c r="HU35" s="55">
        <v>8</v>
      </c>
      <c r="HV35" s="55">
        <v>7.9</v>
      </c>
      <c r="HW35" s="55">
        <v>7.5</v>
      </c>
      <c r="HX35" s="55">
        <v>7.4</v>
      </c>
      <c r="HY35" s="55">
        <v>7.1</v>
      </c>
      <c r="HZ35" s="55">
        <v>6.8</v>
      </c>
      <c r="IA35" s="55">
        <v>6.3</v>
      </c>
      <c r="IB35" s="55">
        <v>6</v>
      </c>
      <c r="IC35" s="55">
        <v>5.8</v>
      </c>
      <c r="ID35" s="55">
        <v>5.6</v>
      </c>
      <c r="IE35" s="55">
        <v>5.4</v>
      </c>
      <c r="IF35" s="55">
        <v>5</v>
      </c>
      <c r="IG35" s="55">
        <v>4.7</v>
      </c>
      <c r="IH35" s="55">
        <v>4.4000000000000004</v>
      </c>
      <c r="II35" s="55">
        <v>4.2</v>
      </c>
      <c r="IJ35" s="55">
        <v>3.9</v>
      </c>
      <c r="IK35" s="55">
        <v>3.6</v>
      </c>
      <c r="IL35" s="55">
        <v>3.4</v>
      </c>
      <c r="IM35" s="55">
        <v>3.5</v>
      </c>
      <c r="IN35" s="55">
        <v>3.5</v>
      </c>
      <c r="IO35" s="55">
        <v>3.6</v>
      </c>
      <c r="IP35" s="56">
        <v>3.6</v>
      </c>
      <c r="IQ35" s="54" t="s">
        <v>215</v>
      </c>
      <c r="IR35" s="55">
        <v>3.6</v>
      </c>
      <c r="IS35" s="55">
        <v>3.6</v>
      </c>
      <c r="IT35" s="55">
        <v>3.6</v>
      </c>
      <c r="IU35" s="55">
        <v>3.6</v>
      </c>
      <c r="IV35" s="55">
        <v>3.6</v>
      </c>
      <c r="IW35" s="55">
        <v>3.6</v>
      </c>
      <c r="IX35" s="55">
        <v>3.6</v>
      </c>
      <c r="IY35" s="55">
        <v>3.7</v>
      </c>
      <c r="IZ35" s="55">
        <v>3.7</v>
      </c>
      <c r="JA35" s="55">
        <v>3.8</v>
      </c>
      <c r="JB35" s="55">
        <v>3.8</v>
      </c>
      <c r="JC35" s="55">
        <v>3.8</v>
      </c>
      <c r="JD35" s="55">
        <v>3.8</v>
      </c>
      <c r="JE35" s="55">
        <v>3.8</v>
      </c>
      <c r="JF35" s="55">
        <v>3.9</v>
      </c>
      <c r="JG35" s="55">
        <v>4</v>
      </c>
      <c r="JH35" s="55">
        <v>4.0999999999999996</v>
      </c>
      <c r="JI35" s="55">
        <v>4.2</v>
      </c>
      <c r="JJ35" s="55">
        <v>4.3</v>
      </c>
      <c r="JK35" s="55">
        <v>4.3</v>
      </c>
      <c r="JL35" s="55">
        <v>4.3</v>
      </c>
      <c r="JM35" s="55">
        <v>4.4000000000000004</v>
      </c>
      <c r="JN35" s="55">
        <v>4.4000000000000004</v>
      </c>
      <c r="JO35" s="56">
        <v>4.3</v>
      </c>
      <c r="JP35" s="54" t="s">
        <v>215</v>
      </c>
      <c r="JQ35" s="82">
        <v>4.4000000000000004</v>
      </c>
      <c r="JR35" s="82">
        <v>4.4000000000000004</v>
      </c>
      <c r="JS35" s="82">
        <v>4.3</v>
      </c>
      <c r="JT35" s="82">
        <v>4.3</v>
      </c>
      <c r="JU35" s="82">
        <v>4.2</v>
      </c>
      <c r="JV35" s="82">
        <v>4.2</v>
      </c>
      <c r="JW35" s="82">
        <v>4.2</v>
      </c>
      <c r="JX35" s="82">
        <v>4.0999999999999996</v>
      </c>
      <c r="JY35" s="82">
        <v>4.0999999999999996</v>
      </c>
      <c r="JZ35" s="82" t="s">
        <v>402</v>
      </c>
      <c r="KA35" s="83">
        <v>4.2</v>
      </c>
    </row>
    <row r="36" spans="2:287" x14ac:dyDescent="0.3">
      <c r="B36" s="39" t="s">
        <v>216</v>
      </c>
      <c r="C36" s="17">
        <v>4.4999999999999982</v>
      </c>
      <c r="D36" s="17">
        <v>4.8666666666666645</v>
      </c>
      <c r="E36" s="17">
        <v>6.2000000000000028</v>
      </c>
      <c r="F36" s="17">
        <v>6.4166666666666643</v>
      </c>
      <c r="G36" s="17">
        <v>5.8083333333333327</v>
      </c>
      <c r="H36" s="17">
        <v>4.9500000000000028</v>
      </c>
      <c r="I36" s="17">
        <v>4.4999999999999973</v>
      </c>
      <c r="J36" s="17">
        <v>4.4249999999999998</v>
      </c>
      <c r="K36" s="17">
        <v>5.3916666666666657</v>
      </c>
      <c r="L36" s="17">
        <v>8.3833333333333346</v>
      </c>
      <c r="M36" s="17">
        <v>8.7333333333333325</v>
      </c>
      <c r="N36" s="17">
        <v>8.3583333333333325</v>
      </c>
      <c r="O36" s="19">
        <v>8.6499999999999986</v>
      </c>
      <c r="P36" s="19">
        <v>7.8166666666666682</v>
      </c>
      <c r="Q36" s="19">
        <v>6.2916666666666652</v>
      </c>
      <c r="R36" s="19">
        <v>5.216666666666665</v>
      </c>
      <c r="S36" s="19">
        <v>4.875</v>
      </c>
      <c r="T36" s="19">
        <v>4.6416666666666648</v>
      </c>
      <c r="U36" s="19">
        <v>4.0999999999999996</v>
      </c>
      <c r="V36" s="19">
        <v>3.8916666666666675</v>
      </c>
      <c r="W36" s="19">
        <v>9.9083333333333243</v>
      </c>
      <c r="X36" s="19">
        <v>7.0833333333333321</v>
      </c>
      <c r="Y36" s="19">
        <v>4.2916666666666679</v>
      </c>
      <c r="Z36" s="19">
        <v>4.0416666666666679</v>
      </c>
      <c r="AA36" s="19">
        <v>4.3083333333333353</v>
      </c>
      <c r="AB36" s="96"/>
      <c r="AC36" s="36" t="str">
        <f>Table11[[#This Row],[State]]</f>
        <v>New York</v>
      </c>
      <c r="AD36" s="27">
        <v>7.5</v>
      </c>
      <c r="AE36" s="27">
        <v>8.3666666666666707</v>
      </c>
      <c r="AF36" s="27">
        <v>8.6999999999999993</v>
      </c>
      <c r="AG36" s="27">
        <v>8.9666666666666703</v>
      </c>
      <c r="AH36" s="27">
        <v>8.9666666666666703</v>
      </c>
      <c r="AI36" s="27">
        <v>8.8000000000000007</v>
      </c>
      <c r="AJ36" s="27">
        <v>8.6333333333333293</v>
      </c>
      <c r="AK36" s="27">
        <v>8.5333333333333297</v>
      </c>
      <c r="AL36" s="27">
        <v>8.3000000000000007</v>
      </c>
      <c r="AM36" s="27">
        <v>8.2333333333333307</v>
      </c>
      <c r="AN36" s="27">
        <v>8.3666666666666707</v>
      </c>
      <c r="AO36" s="27">
        <v>8.5333333333333297</v>
      </c>
      <c r="AP36" s="27">
        <v>8.6666666666666696</v>
      </c>
      <c r="AQ36" s="27">
        <v>8.8000000000000007</v>
      </c>
      <c r="AR36" s="27">
        <v>8.6999999999999993</v>
      </c>
      <c r="AS36" s="27">
        <v>8.43333333333333</v>
      </c>
      <c r="AT36" s="27">
        <v>8.1999999999999993</v>
      </c>
      <c r="AU36" s="27">
        <v>7.9666666666666703</v>
      </c>
      <c r="AV36" s="27">
        <v>7.8</v>
      </c>
      <c r="AW36" s="27">
        <v>7.3</v>
      </c>
      <c r="AX36" s="27">
        <v>6.8333333333333304</v>
      </c>
      <c r="AY36" s="27">
        <v>6.43333333333333</v>
      </c>
      <c r="AZ36" s="27">
        <v>6.1</v>
      </c>
      <c r="BA36" s="27">
        <v>5.8</v>
      </c>
      <c r="BB36" s="36" t="str">
        <f t="shared" si="0"/>
        <v>New York</v>
      </c>
      <c r="BC36" s="27">
        <v>5.6333333333333302</v>
      </c>
      <c r="BD36" s="27">
        <v>5.4</v>
      </c>
      <c r="BE36" s="27">
        <v>5</v>
      </c>
      <c r="BF36" s="27">
        <v>4.8333333333333304</v>
      </c>
      <c r="BG36" s="27">
        <v>4.8</v>
      </c>
      <c r="BH36" s="27">
        <v>4.8333333333333304</v>
      </c>
      <c r="BI36" s="27">
        <v>4.9666666666666703</v>
      </c>
      <c r="BJ36" s="27">
        <v>4.9000000000000004</v>
      </c>
      <c r="BK36" s="27">
        <v>4.6333333333333302</v>
      </c>
      <c r="BL36" s="27">
        <v>4.5999999999999996</v>
      </c>
      <c r="BM36" s="27">
        <v>4.7</v>
      </c>
      <c r="BN36" s="27">
        <v>4.6333333333333302</v>
      </c>
      <c r="BO36" s="27">
        <v>4.4000000000000004</v>
      </c>
      <c r="BP36" s="27">
        <v>4.0999999999999996</v>
      </c>
      <c r="BQ36" s="27">
        <v>3.9</v>
      </c>
      <c r="BR36" s="27">
        <v>4</v>
      </c>
      <c r="BS36" s="27">
        <v>3.93333333333333</v>
      </c>
      <c r="BT36" s="27">
        <v>3.8</v>
      </c>
      <c r="BU36" s="27">
        <v>3.8666666666666698</v>
      </c>
      <c r="BV36" s="27">
        <v>3.9666666666666699</v>
      </c>
      <c r="BW36" s="36" t="str">
        <f>Table13[[#This Row],[State]]</f>
        <v>New York</v>
      </c>
      <c r="BX36" s="27">
        <v>4.1666666666666696</v>
      </c>
      <c r="BY36" s="27">
        <v>15.3333333333333</v>
      </c>
      <c r="BZ36" s="27">
        <v>11.2</v>
      </c>
      <c r="CA36" s="27">
        <v>8.93333333333333</v>
      </c>
      <c r="CB36" s="27">
        <v>8.3666666666666707</v>
      </c>
      <c r="CC36" s="27">
        <v>7.6333333333333302</v>
      </c>
      <c r="CD36" s="27">
        <v>6.7</v>
      </c>
      <c r="CE36" s="27">
        <v>5.6333333333333302</v>
      </c>
      <c r="CF36" s="27">
        <v>4.8666666666666698</v>
      </c>
      <c r="CG36" s="27">
        <v>4.3333333333333304</v>
      </c>
      <c r="CH36" s="27">
        <v>3.9</v>
      </c>
      <c r="CI36" s="27">
        <v>4.06666666666667</v>
      </c>
      <c r="CJ36" s="27">
        <v>4</v>
      </c>
      <c r="CK36" s="27">
        <v>3.9</v>
      </c>
      <c r="CL36" s="27">
        <v>4.06666666666667</v>
      </c>
      <c r="CM36" s="27">
        <v>4.2</v>
      </c>
      <c r="CN36" s="27">
        <v>4.1666666666666696</v>
      </c>
      <c r="CO36" s="27">
        <v>4.2666666666666702</v>
      </c>
      <c r="CP36" s="27">
        <v>4.4000000000000004</v>
      </c>
      <c r="CQ36" s="27">
        <v>4.4000000000000004</v>
      </c>
      <c r="CR36" s="79" t="str">
        <f>Table13[[#This Row],[ State]]</f>
        <v>New York</v>
      </c>
      <c r="CS36" s="27">
        <v>4.3</v>
      </c>
      <c r="CT36" s="27">
        <v>4.06666666666667</v>
      </c>
      <c r="CU36" s="27">
        <v>4.06666666666667</v>
      </c>
      <c r="CV36" s="111"/>
      <c r="CW36" s="41" t="s">
        <v>216</v>
      </c>
      <c r="CX36" s="47">
        <v>8.4</v>
      </c>
      <c r="CY36" s="48">
        <v>8.3000000000000007</v>
      </c>
      <c r="CZ36" s="48">
        <v>8.1999999999999993</v>
      </c>
      <c r="DA36" s="48">
        <v>8.1999999999999993</v>
      </c>
      <c r="DB36" s="48">
        <v>8.1999999999999993</v>
      </c>
      <c r="DC36" s="48">
        <v>8.3000000000000007</v>
      </c>
      <c r="DD36" s="48">
        <v>8.3000000000000007</v>
      </c>
      <c r="DE36" s="48">
        <v>8.4</v>
      </c>
      <c r="DF36" s="48">
        <v>8.4</v>
      </c>
      <c r="DG36" s="48">
        <v>8.5</v>
      </c>
      <c r="DH36" s="48">
        <v>8.5</v>
      </c>
      <c r="DI36" s="48">
        <v>8.6</v>
      </c>
      <c r="DJ36" s="48">
        <v>8.6</v>
      </c>
      <c r="DK36" s="48">
        <v>8.6999999999999993</v>
      </c>
      <c r="DL36" s="48">
        <v>8.6999999999999993</v>
      </c>
      <c r="DM36" s="48">
        <v>8.8000000000000007</v>
      </c>
      <c r="DN36" s="48">
        <v>8.8000000000000007</v>
      </c>
      <c r="DO36" s="48">
        <v>8.8000000000000007</v>
      </c>
      <c r="DP36" s="48">
        <v>8.8000000000000007</v>
      </c>
      <c r="DQ36" s="48">
        <v>8.6999999999999993</v>
      </c>
      <c r="DR36" s="48">
        <v>8.6</v>
      </c>
      <c r="DS36" s="48">
        <v>8.5</v>
      </c>
      <c r="DT36" s="48">
        <v>8.4</v>
      </c>
      <c r="DU36" s="62">
        <v>8.4</v>
      </c>
      <c r="DV36" s="49" t="s">
        <v>216</v>
      </c>
      <c r="DW36" s="48">
        <v>8.3000000000000007</v>
      </c>
      <c r="DX36" s="48">
        <v>8.1999999999999993</v>
      </c>
      <c r="DY36" s="48">
        <v>8.1</v>
      </c>
      <c r="DZ36" s="48">
        <v>8</v>
      </c>
      <c r="EA36" s="48">
        <v>8</v>
      </c>
      <c r="EB36" s="48">
        <v>7.9</v>
      </c>
      <c r="EC36" s="48">
        <v>7.9</v>
      </c>
      <c r="ED36" s="48">
        <v>7.8</v>
      </c>
      <c r="EE36" s="48">
        <v>7.7</v>
      </c>
      <c r="EF36" s="48">
        <v>7.5</v>
      </c>
      <c r="EG36" s="50">
        <v>7.3</v>
      </c>
      <c r="EH36" s="50">
        <v>7.1</v>
      </c>
      <c r="EI36" s="50">
        <v>7</v>
      </c>
      <c r="EJ36" s="50">
        <v>6.8</v>
      </c>
      <c r="EK36" s="48">
        <v>6.7</v>
      </c>
      <c r="EL36" s="50">
        <v>6.6</v>
      </c>
      <c r="EM36" s="50">
        <v>6.4</v>
      </c>
      <c r="EN36" s="50">
        <v>6.3</v>
      </c>
      <c r="EO36" s="50">
        <v>6.2</v>
      </c>
      <c r="EP36" s="50">
        <v>6.1</v>
      </c>
      <c r="EQ36" s="50">
        <v>6</v>
      </c>
      <c r="ER36" s="48">
        <v>5.9</v>
      </c>
      <c r="ES36" s="50">
        <v>5.8</v>
      </c>
      <c r="ET36" s="51">
        <v>5.7</v>
      </c>
      <c r="EU36" s="49" t="s">
        <v>216</v>
      </c>
      <c r="EV36" s="48">
        <v>5.7</v>
      </c>
      <c r="EW36" s="50">
        <v>5.6</v>
      </c>
      <c r="EX36" s="50">
        <v>5.6</v>
      </c>
      <c r="EY36" s="50">
        <v>5.5</v>
      </c>
      <c r="EZ36" s="50">
        <v>5.4</v>
      </c>
      <c r="FA36" s="50">
        <v>5.3</v>
      </c>
      <c r="FB36" s="50">
        <v>5.0999999999999996</v>
      </c>
      <c r="FC36" s="50">
        <v>5</v>
      </c>
      <c r="FD36" s="50">
        <v>4.9000000000000004</v>
      </c>
      <c r="FE36" s="50">
        <v>4.9000000000000004</v>
      </c>
      <c r="FF36" s="50">
        <v>4.8</v>
      </c>
      <c r="FG36" s="50">
        <v>4.8</v>
      </c>
      <c r="FH36" s="50">
        <v>4.8</v>
      </c>
      <c r="FI36" s="50">
        <v>4.8</v>
      </c>
      <c r="FJ36" s="50">
        <v>4.8</v>
      </c>
      <c r="FK36" s="50">
        <v>4.8</v>
      </c>
      <c r="FL36" s="50">
        <v>4.8</v>
      </c>
      <c r="FM36" s="50">
        <v>4.9000000000000004</v>
      </c>
      <c r="FN36" s="50">
        <v>4.9000000000000004</v>
      </c>
      <c r="FO36" s="50">
        <v>5</v>
      </c>
      <c r="FP36" s="50">
        <v>5</v>
      </c>
      <c r="FQ36" s="50">
        <v>5</v>
      </c>
      <c r="FR36" s="50">
        <v>4.9000000000000004</v>
      </c>
      <c r="FS36" s="51">
        <v>4.8</v>
      </c>
      <c r="FT36" s="49" t="s">
        <v>216</v>
      </c>
      <c r="FU36" s="48">
        <v>4.7</v>
      </c>
      <c r="FV36" s="50">
        <v>4.5999999999999996</v>
      </c>
      <c r="FW36" s="50">
        <v>4.5999999999999996</v>
      </c>
      <c r="FX36" s="50">
        <v>4.5999999999999996</v>
      </c>
      <c r="FY36" s="50">
        <v>4.5999999999999996</v>
      </c>
      <c r="FZ36" s="50">
        <v>4.5999999999999996</v>
      </c>
      <c r="GA36" s="50">
        <v>4.7</v>
      </c>
      <c r="GB36" s="50">
        <v>4.7</v>
      </c>
      <c r="GC36" s="50">
        <v>4.7</v>
      </c>
      <c r="GD36" s="50">
        <v>4.7</v>
      </c>
      <c r="GE36" s="50">
        <v>4.5999999999999996</v>
      </c>
      <c r="GF36" s="50">
        <v>4.5999999999999996</v>
      </c>
      <c r="GG36" s="50">
        <v>4.5</v>
      </c>
      <c r="GH36" s="50">
        <v>4.4000000000000004</v>
      </c>
      <c r="GI36" s="50">
        <v>4.3</v>
      </c>
      <c r="GJ36" s="50">
        <v>4.2</v>
      </c>
      <c r="GK36" s="50">
        <v>4.0999999999999996</v>
      </c>
      <c r="GL36" s="50">
        <v>4</v>
      </c>
      <c r="GM36" s="50">
        <v>3.9</v>
      </c>
      <c r="GN36" s="50">
        <v>3.9</v>
      </c>
      <c r="GO36" s="50">
        <v>3.9</v>
      </c>
      <c r="GP36" s="50">
        <v>4</v>
      </c>
      <c r="GQ36" s="50">
        <v>4</v>
      </c>
      <c r="GR36" s="50">
        <v>4</v>
      </c>
      <c r="GS36" s="49" t="s">
        <v>216</v>
      </c>
      <c r="GT36" s="50">
        <v>4</v>
      </c>
      <c r="GU36" s="50">
        <v>3.9</v>
      </c>
      <c r="GV36" s="50">
        <v>3.9</v>
      </c>
      <c r="GW36" s="50">
        <v>3.8</v>
      </c>
      <c r="GX36" s="50">
        <v>3.8</v>
      </c>
      <c r="GY36" s="50">
        <v>3.8</v>
      </c>
      <c r="GZ36" s="50">
        <v>3.8</v>
      </c>
      <c r="HA36" s="50">
        <v>3.9</v>
      </c>
      <c r="HB36" s="50">
        <v>3.9</v>
      </c>
      <c r="HC36" s="50">
        <v>3.9</v>
      </c>
      <c r="HD36" s="50">
        <v>4</v>
      </c>
      <c r="HE36" s="50">
        <v>4</v>
      </c>
      <c r="HF36" s="50">
        <v>4.0999999999999996</v>
      </c>
      <c r="HG36" s="50">
        <v>4.2</v>
      </c>
      <c r="HH36" s="50">
        <v>4.2</v>
      </c>
      <c r="HI36" s="50">
        <v>15.7</v>
      </c>
      <c r="HJ36" s="50">
        <v>16.7</v>
      </c>
      <c r="HK36" s="50">
        <v>13.6</v>
      </c>
      <c r="HL36" s="50">
        <v>12.6</v>
      </c>
      <c r="HM36" s="50">
        <v>10.8</v>
      </c>
      <c r="HN36" s="50">
        <v>10.199999999999999</v>
      </c>
      <c r="HO36" s="50">
        <v>9.1999999999999993</v>
      </c>
      <c r="HP36" s="50">
        <v>8.9</v>
      </c>
      <c r="HQ36" s="51">
        <v>8.6999999999999993</v>
      </c>
      <c r="HR36" s="49" t="s">
        <v>216</v>
      </c>
      <c r="HS36" s="50">
        <v>8.6</v>
      </c>
      <c r="HT36" s="50">
        <v>8.4</v>
      </c>
      <c r="HU36" s="50">
        <v>8.1</v>
      </c>
      <c r="HV36" s="50">
        <v>7.9</v>
      </c>
      <c r="HW36" s="50">
        <v>7.5</v>
      </c>
      <c r="HX36" s="50">
        <v>7.5</v>
      </c>
      <c r="HY36" s="50">
        <v>7.1</v>
      </c>
      <c r="HZ36" s="50">
        <v>6.8</v>
      </c>
      <c r="IA36" s="50">
        <v>6.2</v>
      </c>
      <c r="IB36" s="50">
        <v>5.9</v>
      </c>
      <c r="IC36" s="50">
        <v>5.6</v>
      </c>
      <c r="ID36" s="50">
        <v>5.4</v>
      </c>
      <c r="IE36" s="50">
        <v>5.2</v>
      </c>
      <c r="IF36" s="50">
        <v>4.8</v>
      </c>
      <c r="IG36" s="50">
        <v>4.5999999999999996</v>
      </c>
      <c r="IH36" s="50">
        <v>4.5</v>
      </c>
      <c r="II36" s="50">
        <v>4.3</v>
      </c>
      <c r="IJ36" s="50">
        <v>4.2</v>
      </c>
      <c r="IK36" s="50">
        <v>4</v>
      </c>
      <c r="IL36" s="50">
        <v>3.8</v>
      </c>
      <c r="IM36" s="50">
        <v>3.9</v>
      </c>
      <c r="IN36" s="50">
        <v>4</v>
      </c>
      <c r="IO36" s="50">
        <v>4.0999999999999996</v>
      </c>
      <c r="IP36" s="51">
        <v>4.0999999999999996</v>
      </c>
      <c r="IQ36" s="49" t="s">
        <v>216</v>
      </c>
      <c r="IR36" s="50">
        <v>4</v>
      </c>
      <c r="IS36" s="50">
        <v>4</v>
      </c>
      <c r="IT36" s="50">
        <v>4</v>
      </c>
      <c r="IU36" s="50">
        <v>3.9</v>
      </c>
      <c r="IV36" s="50">
        <v>3.9</v>
      </c>
      <c r="IW36" s="50">
        <v>3.9</v>
      </c>
      <c r="IX36" s="50">
        <v>4</v>
      </c>
      <c r="IY36" s="50">
        <v>4.0999999999999996</v>
      </c>
      <c r="IZ36" s="50">
        <v>4.0999999999999996</v>
      </c>
      <c r="JA36" s="50">
        <v>4.2</v>
      </c>
      <c r="JB36" s="50">
        <v>4.2</v>
      </c>
      <c r="JC36" s="50">
        <v>4.2</v>
      </c>
      <c r="JD36" s="50">
        <v>4.2</v>
      </c>
      <c r="JE36" s="50">
        <v>4.0999999999999996</v>
      </c>
      <c r="JF36" s="50">
        <v>4.2</v>
      </c>
      <c r="JG36" s="50">
        <v>4.2</v>
      </c>
      <c r="JH36" s="50">
        <v>4.3</v>
      </c>
      <c r="JI36" s="50">
        <v>4.3</v>
      </c>
      <c r="JJ36" s="50">
        <v>4.4000000000000004</v>
      </c>
      <c r="JK36" s="50">
        <v>4.4000000000000004</v>
      </c>
      <c r="JL36" s="50">
        <v>4.4000000000000004</v>
      </c>
      <c r="JM36" s="50">
        <v>4.4000000000000004</v>
      </c>
      <c r="JN36" s="50">
        <v>4.4000000000000004</v>
      </c>
      <c r="JO36" s="51">
        <v>4.4000000000000004</v>
      </c>
      <c r="JP36" s="49" t="s">
        <v>216</v>
      </c>
      <c r="JQ36" s="80">
        <v>4.4000000000000004</v>
      </c>
      <c r="JR36" s="80">
        <v>4.3</v>
      </c>
      <c r="JS36" s="80">
        <v>4.2</v>
      </c>
      <c r="JT36" s="80">
        <v>4.2</v>
      </c>
      <c r="JU36" s="80">
        <v>4</v>
      </c>
      <c r="JV36" s="80">
        <v>4</v>
      </c>
      <c r="JW36" s="80">
        <v>4</v>
      </c>
      <c r="JX36" s="80">
        <v>4</v>
      </c>
      <c r="JY36" s="80">
        <v>4.2</v>
      </c>
      <c r="JZ36" s="80" t="s">
        <v>402</v>
      </c>
      <c r="KA36" s="81">
        <v>4.5</v>
      </c>
    </row>
    <row r="37" spans="2:287" x14ac:dyDescent="0.3">
      <c r="B37" s="39" t="s">
        <v>217</v>
      </c>
      <c r="C37" s="17">
        <v>3.75</v>
      </c>
      <c r="D37" s="17">
        <v>5.4749999999999996</v>
      </c>
      <c r="E37" s="17">
        <v>6.5249999999999995</v>
      </c>
      <c r="F37" s="17">
        <v>6.2583333333333329</v>
      </c>
      <c r="G37" s="17">
        <v>5.4666666666666659</v>
      </c>
      <c r="H37" s="17">
        <v>5.2166666666666677</v>
      </c>
      <c r="I37" s="17">
        <v>4.7333333333333352</v>
      </c>
      <c r="J37" s="17">
        <v>4.7166666666666677</v>
      </c>
      <c r="K37" s="17">
        <v>5.9333333333333318</v>
      </c>
      <c r="L37" s="17">
        <v>10.79166666666665</v>
      </c>
      <c r="M37" s="17">
        <v>10.8</v>
      </c>
      <c r="N37" s="17">
        <v>10.35</v>
      </c>
      <c r="O37" s="19">
        <v>9.6</v>
      </c>
      <c r="P37" s="19">
        <v>7.7749999999999995</v>
      </c>
      <c r="Q37" s="19">
        <v>6.1166666666666654</v>
      </c>
      <c r="R37" s="19">
        <v>5.6583333333333323</v>
      </c>
      <c r="S37" s="19">
        <v>5.0999999999999996</v>
      </c>
      <c r="T37" s="19">
        <v>4.55</v>
      </c>
      <c r="U37" s="19">
        <v>4.0083333333333329</v>
      </c>
      <c r="V37" s="19">
        <v>3.8750000000000027</v>
      </c>
      <c r="W37" s="19">
        <v>7.3250000000000073</v>
      </c>
      <c r="X37" s="19">
        <v>4.8916666666666675</v>
      </c>
      <c r="Y37" s="19">
        <v>3.6749999999999998</v>
      </c>
      <c r="Z37" s="19">
        <v>3.4916666666666676</v>
      </c>
      <c r="AA37" s="19">
        <v>3.6166666666666671</v>
      </c>
      <c r="AB37" s="96"/>
      <c r="AC37" s="35" t="str">
        <f>Table11[[#This Row],[State]]</f>
        <v>North Carolina</v>
      </c>
      <c r="AD37" s="17">
        <v>10.4333333333333</v>
      </c>
      <c r="AE37" s="17">
        <v>10.966666666666701</v>
      </c>
      <c r="AF37" s="17">
        <v>10.8333333333333</v>
      </c>
      <c r="AG37" s="17">
        <v>10.9333333333333</v>
      </c>
      <c r="AH37" s="17">
        <v>11.2</v>
      </c>
      <c r="AI37" s="17">
        <v>10.8333333333333</v>
      </c>
      <c r="AJ37" s="17">
        <v>10.5666666666667</v>
      </c>
      <c r="AK37" s="17">
        <v>10.6</v>
      </c>
      <c r="AL37" s="17">
        <v>10.4</v>
      </c>
      <c r="AM37" s="17">
        <v>10.3333333333333</v>
      </c>
      <c r="AN37" s="19">
        <v>10.5</v>
      </c>
      <c r="AO37" s="19">
        <v>10.1666666666667</v>
      </c>
      <c r="AP37" s="19">
        <v>9.6999999999999993</v>
      </c>
      <c r="AQ37" s="19">
        <v>9.56666666666667</v>
      </c>
      <c r="AR37" s="19">
        <v>9.6</v>
      </c>
      <c r="AS37" s="19">
        <v>9.5333333333333297</v>
      </c>
      <c r="AT37" s="19">
        <v>9.2666666666666693</v>
      </c>
      <c r="AU37" s="19">
        <v>8.1999999999999993</v>
      </c>
      <c r="AV37" s="17">
        <v>7.1333333333333302</v>
      </c>
      <c r="AW37" s="17">
        <v>6.5</v>
      </c>
      <c r="AX37" s="17">
        <v>6.3333333333333304</v>
      </c>
      <c r="AY37" s="17">
        <v>6.2333333333333298</v>
      </c>
      <c r="AZ37" s="17">
        <v>6.06666666666667</v>
      </c>
      <c r="BA37" s="17">
        <v>5.8333333333333304</v>
      </c>
      <c r="BB37" s="35" t="str">
        <f t="shared" si="0"/>
        <v>North Carolina</v>
      </c>
      <c r="BC37" s="19">
        <v>5.7333333333333298</v>
      </c>
      <c r="BD37" s="19">
        <v>5.8</v>
      </c>
      <c r="BE37" s="19">
        <v>5.6666666666666696</v>
      </c>
      <c r="BF37" s="19">
        <v>5.43333333333333</v>
      </c>
      <c r="BG37" s="17">
        <v>5.2333333333333298</v>
      </c>
      <c r="BH37" s="17">
        <v>5.0333333333333297</v>
      </c>
      <c r="BI37" s="17">
        <v>5.06666666666667</v>
      </c>
      <c r="BJ37" s="17">
        <v>5.06666666666667</v>
      </c>
      <c r="BK37" s="17">
        <v>4.8</v>
      </c>
      <c r="BL37" s="17">
        <v>4.5333333333333297</v>
      </c>
      <c r="BM37" s="17">
        <v>4.5</v>
      </c>
      <c r="BN37" s="17">
        <v>4.3666666666666698</v>
      </c>
      <c r="BO37" s="17">
        <v>4.1666666666666696</v>
      </c>
      <c r="BP37" s="17">
        <v>3.93333333333333</v>
      </c>
      <c r="BQ37" s="17">
        <v>3.93333333333333</v>
      </c>
      <c r="BR37" s="17">
        <v>4</v>
      </c>
      <c r="BS37" s="17">
        <v>3.9666666666666699</v>
      </c>
      <c r="BT37" s="17">
        <v>3.8666666666666698</v>
      </c>
      <c r="BU37" s="17">
        <v>3.9</v>
      </c>
      <c r="BV37" s="17">
        <v>3.7666666666666702</v>
      </c>
      <c r="BW37" s="35" t="str">
        <f>Table13[[#This Row],[State]]</f>
        <v>North Carolina</v>
      </c>
      <c r="BX37" s="17">
        <v>3.8666666666666698</v>
      </c>
      <c r="BY37" s="17">
        <v>11.866666666666699</v>
      </c>
      <c r="BZ37" s="17">
        <v>7.6333333333333302</v>
      </c>
      <c r="CA37" s="17">
        <v>5.93333333333333</v>
      </c>
      <c r="CB37" s="17">
        <v>5.6</v>
      </c>
      <c r="CC37" s="17">
        <v>5.2</v>
      </c>
      <c r="CD37" s="17">
        <v>4.7</v>
      </c>
      <c r="CE37" s="17">
        <v>4.06666666666667</v>
      </c>
      <c r="CF37" s="17">
        <v>3.6</v>
      </c>
      <c r="CG37" s="17">
        <v>3.6333333333333302</v>
      </c>
      <c r="CH37" s="17">
        <v>3.7666666666666702</v>
      </c>
      <c r="CI37" s="17">
        <v>3.7</v>
      </c>
      <c r="CJ37" s="17">
        <v>3.4666666666666699</v>
      </c>
      <c r="CK37" s="17">
        <v>3.4</v>
      </c>
      <c r="CL37" s="17">
        <v>3.5</v>
      </c>
      <c r="CM37" s="17">
        <v>3.6</v>
      </c>
      <c r="CN37" s="17">
        <v>3.5</v>
      </c>
      <c r="CO37" s="17">
        <v>3.6</v>
      </c>
      <c r="CP37" s="17">
        <v>3.6666666666666701</v>
      </c>
      <c r="CQ37" s="17">
        <v>3.7</v>
      </c>
      <c r="CR37" s="42" t="str">
        <f>Table13[[#This Row],[ State]]</f>
        <v>North Carolina</v>
      </c>
      <c r="CS37" s="17">
        <v>3.7</v>
      </c>
      <c r="CT37" s="17">
        <v>3.7</v>
      </c>
      <c r="CU37" s="17">
        <v>3.7</v>
      </c>
      <c r="CV37" s="111"/>
      <c r="CW37" s="42" t="s">
        <v>217</v>
      </c>
      <c r="CX37" s="52">
        <v>10.5</v>
      </c>
      <c r="CY37" s="53">
        <v>10.4</v>
      </c>
      <c r="CZ37" s="53">
        <v>10.3</v>
      </c>
      <c r="DA37" s="53">
        <v>10.3</v>
      </c>
      <c r="DB37" s="53">
        <v>10.3</v>
      </c>
      <c r="DC37" s="53">
        <v>10.4</v>
      </c>
      <c r="DD37" s="53">
        <v>10.5</v>
      </c>
      <c r="DE37" s="53">
        <v>10.5</v>
      </c>
      <c r="DF37" s="53">
        <v>10.5</v>
      </c>
      <c r="DG37" s="53">
        <v>10.4</v>
      </c>
      <c r="DH37" s="53">
        <v>10.1</v>
      </c>
      <c r="DI37" s="53">
        <v>10</v>
      </c>
      <c r="DJ37" s="53">
        <v>9.8000000000000007</v>
      </c>
      <c r="DK37" s="53">
        <v>9.6999999999999993</v>
      </c>
      <c r="DL37" s="53">
        <v>9.6</v>
      </c>
      <c r="DM37" s="53">
        <v>9.5</v>
      </c>
      <c r="DN37" s="53">
        <v>9.6</v>
      </c>
      <c r="DO37" s="53">
        <v>9.6</v>
      </c>
      <c r="DP37" s="53">
        <v>9.6999999999999993</v>
      </c>
      <c r="DQ37" s="53">
        <v>9.6</v>
      </c>
      <c r="DR37" s="53">
        <v>9.5</v>
      </c>
      <c r="DS37" s="53">
        <v>9.5</v>
      </c>
      <c r="DT37" s="53">
        <v>9.5</v>
      </c>
      <c r="DU37" s="63">
        <v>9.6</v>
      </c>
      <c r="DV37" s="54" t="s">
        <v>217</v>
      </c>
      <c r="DW37" s="53">
        <v>9.6999999999999993</v>
      </c>
      <c r="DX37" s="53">
        <v>9.1999999999999993</v>
      </c>
      <c r="DY37" s="53">
        <v>8.9</v>
      </c>
      <c r="DZ37" s="53">
        <v>8.5</v>
      </c>
      <c r="EA37" s="53">
        <v>8.1999999999999993</v>
      </c>
      <c r="EB37" s="53">
        <v>7.9</v>
      </c>
      <c r="EC37" s="53">
        <v>7.5</v>
      </c>
      <c r="ED37" s="53">
        <v>7.3</v>
      </c>
      <c r="EE37" s="53">
        <v>6.6</v>
      </c>
      <c r="EF37" s="53">
        <v>6.6</v>
      </c>
      <c r="EG37" s="55">
        <v>6.5</v>
      </c>
      <c r="EH37" s="55">
        <v>6.4</v>
      </c>
      <c r="EI37" s="55">
        <v>6.4</v>
      </c>
      <c r="EJ37" s="55">
        <v>6.3</v>
      </c>
      <c r="EK37" s="53">
        <v>6.3</v>
      </c>
      <c r="EL37" s="55">
        <v>6.3</v>
      </c>
      <c r="EM37" s="55">
        <v>6.2</v>
      </c>
      <c r="EN37" s="55">
        <v>6.2</v>
      </c>
      <c r="EO37" s="55">
        <v>6.1</v>
      </c>
      <c r="EP37" s="55">
        <v>6.1</v>
      </c>
      <c r="EQ37" s="55">
        <v>6</v>
      </c>
      <c r="ER37" s="53">
        <v>5.9</v>
      </c>
      <c r="ES37" s="55">
        <v>5.8</v>
      </c>
      <c r="ET37" s="56">
        <v>5.8</v>
      </c>
      <c r="EU37" s="54" t="s">
        <v>217</v>
      </c>
      <c r="EV37" s="53">
        <v>5.7</v>
      </c>
      <c r="EW37" s="55">
        <v>5.7</v>
      </c>
      <c r="EX37" s="55">
        <v>5.8</v>
      </c>
      <c r="EY37" s="55">
        <v>5.8</v>
      </c>
      <c r="EZ37" s="55">
        <v>5.8</v>
      </c>
      <c r="FA37" s="55">
        <v>5.8</v>
      </c>
      <c r="FB37" s="55">
        <v>5.7</v>
      </c>
      <c r="FC37" s="55">
        <v>5.7</v>
      </c>
      <c r="FD37" s="55">
        <v>5.6</v>
      </c>
      <c r="FE37" s="55">
        <v>5.5</v>
      </c>
      <c r="FF37" s="55">
        <v>5.4</v>
      </c>
      <c r="FG37" s="55">
        <v>5.4</v>
      </c>
      <c r="FH37" s="55">
        <v>5.3</v>
      </c>
      <c r="FI37" s="55">
        <v>5.2</v>
      </c>
      <c r="FJ37" s="55">
        <v>5.2</v>
      </c>
      <c r="FK37" s="55">
        <v>5.0999999999999996</v>
      </c>
      <c r="FL37" s="55">
        <v>5</v>
      </c>
      <c r="FM37" s="55">
        <v>5</v>
      </c>
      <c r="FN37" s="55">
        <v>5</v>
      </c>
      <c r="FO37" s="55">
        <v>5.0999999999999996</v>
      </c>
      <c r="FP37" s="55">
        <v>5.0999999999999996</v>
      </c>
      <c r="FQ37" s="55">
        <v>5.0999999999999996</v>
      </c>
      <c r="FR37" s="55">
        <v>5.0999999999999996</v>
      </c>
      <c r="FS37" s="56">
        <v>5</v>
      </c>
      <c r="FT37" s="54" t="s">
        <v>217</v>
      </c>
      <c r="FU37" s="53">
        <v>4.9000000000000004</v>
      </c>
      <c r="FV37" s="55">
        <v>4.8</v>
      </c>
      <c r="FW37" s="55">
        <v>4.7</v>
      </c>
      <c r="FX37" s="55">
        <v>4.5999999999999996</v>
      </c>
      <c r="FY37" s="55">
        <v>4.5</v>
      </c>
      <c r="FZ37" s="55">
        <v>4.5</v>
      </c>
      <c r="GA37" s="55">
        <v>4.5</v>
      </c>
      <c r="GB37" s="55">
        <v>4.5</v>
      </c>
      <c r="GC37" s="55">
        <v>4.5</v>
      </c>
      <c r="GD37" s="55">
        <v>4.4000000000000004</v>
      </c>
      <c r="GE37" s="55">
        <v>4.4000000000000004</v>
      </c>
      <c r="GF37" s="55">
        <v>4.3</v>
      </c>
      <c r="GG37" s="55">
        <v>4.2</v>
      </c>
      <c r="GH37" s="55">
        <v>4.2</v>
      </c>
      <c r="GI37" s="55">
        <v>4.0999999999999996</v>
      </c>
      <c r="GJ37" s="55">
        <v>4</v>
      </c>
      <c r="GK37" s="55">
        <v>3.9</v>
      </c>
      <c r="GL37" s="55">
        <v>3.9</v>
      </c>
      <c r="GM37" s="55">
        <v>3.9</v>
      </c>
      <c r="GN37" s="55">
        <v>3.9</v>
      </c>
      <c r="GO37" s="55">
        <v>4</v>
      </c>
      <c r="GP37" s="55">
        <v>4</v>
      </c>
      <c r="GQ37" s="55">
        <v>4</v>
      </c>
      <c r="GR37" s="55">
        <v>4</v>
      </c>
      <c r="GS37" s="54" t="s">
        <v>217</v>
      </c>
      <c r="GT37" s="55">
        <v>4</v>
      </c>
      <c r="GU37" s="55">
        <v>4</v>
      </c>
      <c r="GV37" s="55">
        <v>3.9</v>
      </c>
      <c r="GW37" s="55">
        <v>3.9</v>
      </c>
      <c r="GX37" s="55">
        <v>3.8</v>
      </c>
      <c r="GY37" s="55">
        <v>3.9</v>
      </c>
      <c r="GZ37" s="55">
        <v>3.9</v>
      </c>
      <c r="HA37" s="55">
        <v>3.9</v>
      </c>
      <c r="HB37" s="55">
        <v>3.9</v>
      </c>
      <c r="HC37" s="55">
        <v>3.8</v>
      </c>
      <c r="HD37" s="55">
        <v>3.8</v>
      </c>
      <c r="HE37" s="55">
        <v>3.7</v>
      </c>
      <c r="HF37" s="55">
        <v>3.8</v>
      </c>
      <c r="HG37" s="55">
        <v>3.8</v>
      </c>
      <c r="HH37" s="55">
        <v>4</v>
      </c>
      <c r="HI37" s="55">
        <v>14.2</v>
      </c>
      <c r="HJ37" s="55">
        <v>11.6</v>
      </c>
      <c r="HK37" s="55">
        <v>9.8000000000000007</v>
      </c>
      <c r="HL37" s="55">
        <v>8.6999999999999993</v>
      </c>
      <c r="HM37" s="55">
        <v>7.4</v>
      </c>
      <c r="HN37" s="55">
        <v>6.8</v>
      </c>
      <c r="HO37" s="55">
        <v>6.1</v>
      </c>
      <c r="HP37" s="55">
        <v>5.9</v>
      </c>
      <c r="HQ37" s="56">
        <v>5.8</v>
      </c>
      <c r="HR37" s="54" t="s">
        <v>217</v>
      </c>
      <c r="HS37" s="55">
        <v>5.7</v>
      </c>
      <c r="HT37" s="55">
        <v>5.6</v>
      </c>
      <c r="HU37" s="55">
        <v>5.5</v>
      </c>
      <c r="HV37" s="55">
        <v>5.3</v>
      </c>
      <c r="HW37" s="55">
        <v>5.2</v>
      </c>
      <c r="HX37" s="55">
        <v>5.0999999999999996</v>
      </c>
      <c r="HY37" s="55">
        <v>4.9000000000000004</v>
      </c>
      <c r="HZ37" s="55">
        <v>4.7</v>
      </c>
      <c r="IA37" s="55">
        <v>4.5</v>
      </c>
      <c r="IB37" s="55">
        <v>4.3</v>
      </c>
      <c r="IC37" s="55">
        <v>4.0999999999999996</v>
      </c>
      <c r="ID37" s="55">
        <v>3.8</v>
      </c>
      <c r="IE37" s="55">
        <v>3.7</v>
      </c>
      <c r="IF37" s="55">
        <v>3.6</v>
      </c>
      <c r="IG37" s="55">
        <v>3.5</v>
      </c>
      <c r="IH37" s="55">
        <v>3.6</v>
      </c>
      <c r="II37" s="55">
        <v>3.6</v>
      </c>
      <c r="IJ37" s="55">
        <v>3.7</v>
      </c>
      <c r="IK37" s="55">
        <v>3.7</v>
      </c>
      <c r="IL37" s="55">
        <v>3.8</v>
      </c>
      <c r="IM37" s="55">
        <v>3.8</v>
      </c>
      <c r="IN37" s="55">
        <v>3.8</v>
      </c>
      <c r="IO37" s="55">
        <v>3.7</v>
      </c>
      <c r="IP37" s="56">
        <v>3.6</v>
      </c>
      <c r="IQ37" s="54" t="s">
        <v>217</v>
      </c>
      <c r="IR37" s="55">
        <v>3.5</v>
      </c>
      <c r="IS37" s="55">
        <v>3.5</v>
      </c>
      <c r="IT37" s="55">
        <v>3.4</v>
      </c>
      <c r="IU37" s="55">
        <v>3.4</v>
      </c>
      <c r="IV37" s="55">
        <v>3.4</v>
      </c>
      <c r="IW37" s="55">
        <v>3.4</v>
      </c>
      <c r="IX37" s="55">
        <v>3.5</v>
      </c>
      <c r="IY37" s="55">
        <v>3.5</v>
      </c>
      <c r="IZ37" s="55">
        <v>3.5</v>
      </c>
      <c r="JA37" s="55">
        <v>3.6</v>
      </c>
      <c r="JB37" s="55">
        <v>3.6</v>
      </c>
      <c r="JC37" s="55">
        <v>3.6</v>
      </c>
      <c r="JD37" s="55">
        <v>3.5</v>
      </c>
      <c r="JE37" s="55">
        <v>3.5</v>
      </c>
      <c r="JF37" s="55">
        <v>3.5</v>
      </c>
      <c r="JG37" s="55">
        <v>3.6</v>
      </c>
      <c r="JH37" s="55">
        <v>3.6</v>
      </c>
      <c r="JI37" s="55">
        <v>3.6</v>
      </c>
      <c r="JJ37" s="55">
        <v>3.6</v>
      </c>
      <c r="JK37" s="55">
        <v>3.7</v>
      </c>
      <c r="JL37" s="55">
        <v>3.7</v>
      </c>
      <c r="JM37" s="55">
        <v>3.7</v>
      </c>
      <c r="JN37" s="55">
        <v>3.7</v>
      </c>
      <c r="JO37" s="56">
        <v>3.7</v>
      </c>
      <c r="JP37" s="54" t="s">
        <v>217</v>
      </c>
      <c r="JQ37" s="82">
        <v>3.7</v>
      </c>
      <c r="JR37" s="82">
        <v>3.7</v>
      </c>
      <c r="JS37" s="82">
        <v>3.7</v>
      </c>
      <c r="JT37" s="82">
        <v>3.7</v>
      </c>
      <c r="JU37" s="82">
        <v>3.7</v>
      </c>
      <c r="JV37" s="82">
        <v>3.7</v>
      </c>
      <c r="JW37" s="82">
        <v>3.7</v>
      </c>
      <c r="JX37" s="82">
        <v>3.7</v>
      </c>
      <c r="JY37" s="82">
        <v>3.7</v>
      </c>
      <c r="JZ37" s="82" t="s">
        <v>402</v>
      </c>
      <c r="KA37" s="83">
        <v>3.8</v>
      </c>
    </row>
    <row r="38" spans="2:287" x14ac:dyDescent="0.3">
      <c r="B38" s="39" t="s">
        <v>218</v>
      </c>
      <c r="C38" s="17">
        <v>2.908333333333335</v>
      </c>
      <c r="D38" s="17">
        <v>2.8166666666666673</v>
      </c>
      <c r="E38" s="17">
        <v>3.375</v>
      </c>
      <c r="F38" s="17">
        <v>3.45</v>
      </c>
      <c r="G38" s="17">
        <v>3.3583333333333325</v>
      </c>
      <c r="H38" s="17">
        <v>3.3250000000000002</v>
      </c>
      <c r="I38" s="17">
        <v>3.1166666666666649</v>
      </c>
      <c r="J38" s="17">
        <v>3.0416666666666647</v>
      </c>
      <c r="K38" s="17">
        <v>3.0750000000000002</v>
      </c>
      <c r="L38" s="17">
        <v>3.875</v>
      </c>
      <c r="M38" s="17">
        <v>3.6583333333333323</v>
      </c>
      <c r="N38" s="17">
        <v>3.3416666666666677</v>
      </c>
      <c r="O38" s="19">
        <v>2.9416666666666651</v>
      </c>
      <c r="P38" s="19">
        <v>2.8916666666666675</v>
      </c>
      <c r="Q38" s="19">
        <v>2.6666666666666652</v>
      </c>
      <c r="R38" s="19">
        <v>2.7749999999999999</v>
      </c>
      <c r="S38" s="19">
        <v>3.0166666666666675</v>
      </c>
      <c r="T38" s="19">
        <v>2.6</v>
      </c>
      <c r="U38" s="19">
        <v>2.3916666666666675</v>
      </c>
      <c r="V38" s="19">
        <v>2.1499999999999972</v>
      </c>
      <c r="W38" s="19">
        <v>5.0083333333333346</v>
      </c>
      <c r="X38" s="19">
        <v>3.0916666666666672</v>
      </c>
      <c r="Y38" s="19">
        <v>2.0916666666666677</v>
      </c>
      <c r="Z38" s="19">
        <v>2.0333333333333323</v>
      </c>
      <c r="AA38" s="19">
        <v>2.4083333333333323</v>
      </c>
      <c r="AB38" s="96"/>
      <c r="AC38" s="36" t="str">
        <f>Table11[[#This Row],[State]]</f>
        <v>North Dakota</v>
      </c>
      <c r="AD38" s="27">
        <v>3.8666666666666698</v>
      </c>
      <c r="AE38" s="27">
        <v>3.9666666666666699</v>
      </c>
      <c r="AF38" s="27">
        <v>3.8333333333333299</v>
      </c>
      <c r="AG38" s="27">
        <v>3.8333333333333299</v>
      </c>
      <c r="AH38" s="27">
        <v>3.8333333333333299</v>
      </c>
      <c r="AI38" s="27">
        <v>3.6666666666666701</v>
      </c>
      <c r="AJ38" s="27">
        <v>3.6</v>
      </c>
      <c r="AK38" s="27">
        <v>3.5333333333333301</v>
      </c>
      <c r="AL38" s="27">
        <v>3.4</v>
      </c>
      <c r="AM38" s="27">
        <v>3.4</v>
      </c>
      <c r="AN38" s="27">
        <v>3.3666666666666698</v>
      </c>
      <c r="AO38" s="27">
        <v>3.2</v>
      </c>
      <c r="AP38" s="27">
        <v>2.93333333333333</v>
      </c>
      <c r="AQ38" s="27">
        <v>2.9</v>
      </c>
      <c r="AR38" s="27">
        <v>2.93333333333333</v>
      </c>
      <c r="AS38" s="27">
        <v>3</v>
      </c>
      <c r="AT38" s="27">
        <v>3</v>
      </c>
      <c r="AU38" s="27">
        <v>2.9</v>
      </c>
      <c r="AV38" s="27">
        <v>2.8666666666666698</v>
      </c>
      <c r="AW38" s="27">
        <v>2.8</v>
      </c>
      <c r="AX38" s="27">
        <v>2.7</v>
      </c>
      <c r="AY38" s="27">
        <v>2.6333333333333302</v>
      </c>
      <c r="AZ38" s="27">
        <v>2.7</v>
      </c>
      <c r="BA38" s="27">
        <v>2.6333333333333302</v>
      </c>
      <c r="BB38" s="36" t="str">
        <f t="shared" si="0"/>
        <v>North Dakota</v>
      </c>
      <c r="BC38" s="27">
        <v>2.6666666666666701</v>
      </c>
      <c r="BD38" s="27">
        <v>2.8</v>
      </c>
      <c r="BE38" s="27">
        <v>2.8</v>
      </c>
      <c r="BF38" s="27">
        <v>2.8333333333333299</v>
      </c>
      <c r="BG38" s="27">
        <v>3.06666666666667</v>
      </c>
      <c r="BH38" s="27">
        <v>3.1</v>
      </c>
      <c r="BI38" s="27">
        <v>3</v>
      </c>
      <c r="BJ38" s="27">
        <v>2.9</v>
      </c>
      <c r="BK38" s="27">
        <v>2.7666666666666702</v>
      </c>
      <c r="BL38" s="27">
        <v>2.5333333333333301</v>
      </c>
      <c r="BM38" s="27">
        <v>2.5</v>
      </c>
      <c r="BN38" s="27">
        <v>2.6</v>
      </c>
      <c r="BO38" s="27">
        <v>2.6</v>
      </c>
      <c r="BP38" s="27">
        <v>2.4</v>
      </c>
      <c r="BQ38" s="27">
        <v>2.2666666666666702</v>
      </c>
      <c r="BR38" s="27">
        <v>2.2999999999999998</v>
      </c>
      <c r="BS38" s="27">
        <v>2.3333333333333299</v>
      </c>
      <c r="BT38" s="27">
        <v>2.1333333333333302</v>
      </c>
      <c r="BU38" s="27">
        <v>2.1</v>
      </c>
      <c r="BV38" s="27">
        <v>2.0333333333333301</v>
      </c>
      <c r="BW38" s="36" t="str">
        <f>Table13[[#This Row],[State]]</f>
        <v>North Dakota</v>
      </c>
      <c r="BX38" s="27">
        <v>2.2666666666666702</v>
      </c>
      <c r="BY38" s="27">
        <v>7.5</v>
      </c>
      <c r="BZ38" s="27">
        <v>5.7</v>
      </c>
      <c r="CA38" s="27">
        <v>4.56666666666667</v>
      </c>
      <c r="CB38" s="27">
        <v>3.9</v>
      </c>
      <c r="CC38" s="27">
        <v>3.3</v>
      </c>
      <c r="CD38" s="27">
        <v>2.7666666666666702</v>
      </c>
      <c r="CE38" s="27">
        <v>2.4</v>
      </c>
      <c r="CF38" s="27">
        <v>2.1666666666666701</v>
      </c>
      <c r="CG38" s="27">
        <v>2.0333333333333301</v>
      </c>
      <c r="CH38" s="27">
        <v>2.06666666666667</v>
      </c>
      <c r="CI38" s="27">
        <v>2.1</v>
      </c>
      <c r="CJ38" s="27">
        <v>2.0333333333333301</v>
      </c>
      <c r="CK38" s="27">
        <v>1.93333333333333</v>
      </c>
      <c r="CL38" s="27">
        <v>2</v>
      </c>
      <c r="CM38" s="27">
        <v>2.1666666666666701</v>
      </c>
      <c r="CN38" s="27">
        <v>2.2333333333333298</v>
      </c>
      <c r="CO38" s="27">
        <v>2.4</v>
      </c>
      <c r="CP38" s="27">
        <v>2.5</v>
      </c>
      <c r="CQ38" s="27">
        <v>2.5</v>
      </c>
      <c r="CR38" s="79" t="str">
        <f>Table13[[#This Row],[ State]]</f>
        <v>North Dakota</v>
      </c>
      <c r="CS38" s="27">
        <v>2.6</v>
      </c>
      <c r="CT38" s="27">
        <v>2.5333333333333301</v>
      </c>
      <c r="CU38" s="27">
        <v>2.5333333333333301</v>
      </c>
      <c r="CV38" s="111"/>
      <c r="CW38" s="41" t="s">
        <v>218</v>
      </c>
      <c r="CX38" s="47">
        <v>3.4</v>
      </c>
      <c r="CY38" s="48">
        <v>3.4</v>
      </c>
      <c r="CZ38" s="48">
        <v>3.4</v>
      </c>
      <c r="DA38" s="48">
        <v>3.4</v>
      </c>
      <c r="DB38" s="48">
        <v>3.4</v>
      </c>
      <c r="DC38" s="48">
        <v>3.4</v>
      </c>
      <c r="DD38" s="48">
        <v>3.4</v>
      </c>
      <c r="DE38" s="48">
        <v>3.4</v>
      </c>
      <c r="DF38" s="48">
        <v>3.3</v>
      </c>
      <c r="DG38" s="48">
        <v>3.3</v>
      </c>
      <c r="DH38" s="48">
        <v>3.2</v>
      </c>
      <c r="DI38" s="48">
        <v>3.1</v>
      </c>
      <c r="DJ38" s="48">
        <v>3</v>
      </c>
      <c r="DK38" s="48">
        <v>2.9</v>
      </c>
      <c r="DL38" s="48">
        <v>2.9</v>
      </c>
      <c r="DM38" s="48">
        <v>2.9</v>
      </c>
      <c r="DN38" s="48">
        <v>2.9</v>
      </c>
      <c r="DO38" s="48">
        <v>2.9</v>
      </c>
      <c r="DP38" s="48">
        <v>2.9</v>
      </c>
      <c r="DQ38" s="48">
        <v>2.9</v>
      </c>
      <c r="DR38" s="48">
        <v>3</v>
      </c>
      <c r="DS38" s="48">
        <v>3</v>
      </c>
      <c r="DT38" s="48">
        <v>3</v>
      </c>
      <c r="DU38" s="62">
        <v>3</v>
      </c>
      <c r="DV38" s="49" t="s">
        <v>218</v>
      </c>
      <c r="DW38" s="48">
        <v>3</v>
      </c>
      <c r="DX38" s="48">
        <v>3</v>
      </c>
      <c r="DY38" s="48">
        <v>3</v>
      </c>
      <c r="DZ38" s="48">
        <v>2.9</v>
      </c>
      <c r="EA38" s="48">
        <v>2.9</v>
      </c>
      <c r="EB38" s="48">
        <v>2.9</v>
      </c>
      <c r="EC38" s="48">
        <v>2.9</v>
      </c>
      <c r="ED38" s="48">
        <v>2.9</v>
      </c>
      <c r="EE38" s="48">
        <v>2.8</v>
      </c>
      <c r="EF38" s="48">
        <v>2.8</v>
      </c>
      <c r="EG38" s="50">
        <v>2.8</v>
      </c>
      <c r="EH38" s="50">
        <v>2.8</v>
      </c>
      <c r="EI38" s="50">
        <v>2.7</v>
      </c>
      <c r="EJ38" s="50">
        <v>2.7</v>
      </c>
      <c r="EK38" s="48">
        <v>2.7</v>
      </c>
      <c r="EL38" s="50">
        <v>2.7</v>
      </c>
      <c r="EM38" s="50">
        <v>2.6</v>
      </c>
      <c r="EN38" s="50">
        <v>2.6</v>
      </c>
      <c r="EO38" s="50">
        <v>2.7</v>
      </c>
      <c r="EP38" s="50">
        <v>2.7</v>
      </c>
      <c r="EQ38" s="50">
        <v>2.7</v>
      </c>
      <c r="ER38" s="48">
        <v>2.7</v>
      </c>
      <c r="ES38" s="50">
        <v>2.6</v>
      </c>
      <c r="ET38" s="51">
        <v>2.6</v>
      </c>
      <c r="EU38" s="49" t="s">
        <v>218</v>
      </c>
      <c r="EV38" s="48">
        <v>2.6</v>
      </c>
      <c r="EW38" s="50">
        <v>2.7</v>
      </c>
      <c r="EX38" s="50">
        <v>2.7</v>
      </c>
      <c r="EY38" s="50">
        <v>2.8</v>
      </c>
      <c r="EZ38" s="50">
        <v>2.8</v>
      </c>
      <c r="FA38" s="50">
        <v>2.8</v>
      </c>
      <c r="FB38" s="50">
        <v>2.8</v>
      </c>
      <c r="FC38" s="50">
        <v>2.8</v>
      </c>
      <c r="FD38" s="50">
        <v>2.8</v>
      </c>
      <c r="FE38" s="50">
        <v>2.8</v>
      </c>
      <c r="FF38" s="50">
        <v>2.8</v>
      </c>
      <c r="FG38" s="50">
        <v>2.9</v>
      </c>
      <c r="FH38" s="50">
        <v>3</v>
      </c>
      <c r="FI38" s="50">
        <v>3.1</v>
      </c>
      <c r="FJ38" s="50">
        <v>3.1</v>
      </c>
      <c r="FK38" s="50">
        <v>3.1</v>
      </c>
      <c r="FL38" s="50">
        <v>3.1</v>
      </c>
      <c r="FM38" s="50">
        <v>3.1</v>
      </c>
      <c r="FN38" s="50">
        <v>3</v>
      </c>
      <c r="FO38" s="50">
        <v>3</v>
      </c>
      <c r="FP38" s="50">
        <v>3</v>
      </c>
      <c r="FQ38" s="50">
        <v>2.9</v>
      </c>
      <c r="FR38" s="50">
        <v>2.9</v>
      </c>
      <c r="FS38" s="51">
        <v>2.9</v>
      </c>
      <c r="FT38" s="49" t="s">
        <v>218</v>
      </c>
      <c r="FU38" s="48">
        <v>2.8</v>
      </c>
      <c r="FV38" s="50">
        <v>2.8</v>
      </c>
      <c r="FW38" s="50">
        <v>2.7</v>
      </c>
      <c r="FX38" s="50">
        <v>2.6</v>
      </c>
      <c r="FY38" s="50">
        <v>2.5</v>
      </c>
      <c r="FZ38" s="50">
        <v>2.5</v>
      </c>
      <c r="GA38" s="50">
        <v>2.5</v>
      </c>
      <c r="GB38" s="50">
        <v>2.5</v>
      </c>
      <c r="GC38" s="50">
        <v>2.5</v>
      </c>
      <c r="GD38" s="50">
        <v>2.6</v>
      </c>
      <c r="GE38" s="50">
        <v>2.6</v>
      </c>
      <c r="GF38" s="50">
        <v>2.6</v>
      </c>
      <c r="GG38" s="50">
        <v>2.6</v>
      </c>
      <c r="GH38" s="50">
        <v>2.6</v>
      </c>
      <c r="GI38" s="50">
        <v>2.6</v>
      </c>
      <c r="GJ38" s="50">
        <v>2.5</v>
      </c>
      <c r="GK38" s="50">
        <v>2.4</v>
      </c>
      <c r="GL38" s="50">
        <v>2.2999999999999998</v>
      </c>
      <c r="GM38" s="50">
        <v>2.2999999999999998</v>
      </c>
      <c r="GN38" s="50">
        <v>2.2000000000000002</v>
      </c>
      <c r="GO38" s="50">
        <v>2.2999999999999998</v>
      </c>
      <c r="GP38" s="50">
        <v>2.2999999999999998</v>
      </c>
      <c r="GQ38" s="50">
        <v>2.2999999999999998</v>
      </c>
      <c r="GR38" s="50">
        <v>2.2999999999999998</v>
      </c>
      <c r="GS38" s="49" t="s">
        <v>218</v>
      </c>
      <c r="GT38" s="50">
        <v>2.4</v>
      </c>
      <c r="GU38" s="50">
        <v>2.2999999999999998</v>
      </c>
      <c r="GV38" s="50">
        <v>2.2999999999999998</v>
      </c>
      <c r="GW38" s="50">
        <v>2.2000000000000002</v>
      </c>
      <c r="GX38" s="50">
        <v>2.1</v>
      </c>
      <c r="GY38" s="50">
        <v>2.1</v>
      </c>
      <c r="GZ38" s="50">
        <v>2.1</v>
      </c>
      <c r="HA38" s="50">
        <v>2.1</v>
      </c>
      <c r="HB38" s="50">
        <v>2.1</v>
      </c>
      <c r="HC38" s="50">
        <v>2.1</v>
      </c>
      <c r="HD38" s="50">
        <v>2</v>
      </c>
      <c r="HE38" s="50">
        <v>2</v>
      </c>
      <c r="HF38" s="50">
        <v>2.1</v>
      </c>
      <c r="HG38" s="50">
        <v>2.2000000000000002</v>
      </c>
      <c r="HH38" s="50">
        <v>2.5</v>
      </c>
      <c r="HI38" s="50">
        <v>8.6999999999999993</v>
      </c>
      <c r="HJ38" s="50">
        <v>7.3</v>
      </c>
      <c r="HK38" s="50">
        <v>6.5</v>
      </c>
      <c r="HL38" s="50">
        <v>6.2</v>
      </c>
      <c r="HM38" s="50">
        <v>5.6</v>
      </c>
      <c r="HN38" s="50">
        <v>5.3</v>
      </c>
      <c r="HO38" s="50">
        <v>4.8</v>
      </c>
      <c r="HP38" s="50">
        <v>4.5</v>
      </c>
      <c r="HQ38" s="51">
        <v>4.4000000000000004</v>
      </c>
      <c r="HR38" s="49" t="s">
        <v>218</v>
      </c>
      <c r="HS38" s="50">
        <v>4.0999999999999996</v>
      </c>
      <c r="HT38" s="50">
        <v>3.9</v>
      </c>
      <c r="HU38" s="50">
        <v>3.7</v>
      </c>
      <c r="HV38" s="50">
        <v>3.5</v>
      </c>
      <c r="HW38" s="50">
        <v>3.3</v>
      </c>
      <c r="HX38" s="50">
        <v>3.1</v>
      </c>
      <c r="HY38" s="50">
        <v>2.9</v>
      </c>
      <c r="HZ38" s="50">
        <v>2.8</v>
      </c>
      <c r="IA38" s="50">
        <v>2.6</v>
      </c>
      <c r="IB38" s="50">
        <v>2.5</v>
      </c>
      <c r="IC38" s="50">
        <v>2.4</v>
      </c>
      <c r="ID38" s="50">
        <v>2.2999999999999998</v>
      </c>
      <c r="IE38" s="50">
        <v>2.2000000000000002</v>
      </c>
      <c r="IF38" s="50">
        <v>2.2000000000000002</v>
      </c>
      <c r="IG38" s="50">
        <v>2.1</v>
      </c>
      <c r="IH38" s="50">
        <v>2.1</v>
      </c>
      <c r="II38" s="50">
        <v>2</v>
      </c>
      <c r="IJ38" s="50">
        <v>2</v>
      </c>
      <c r="IK38" s="50">
        <v>2</v>
      </c>
      <c r="IL38" s="50">
        <v>2.1</v>
      </c>
      <c r="IM38" s="50">
        <v>2.1</v>
      </c>
      <c r="IN38" s="50">
        <v>2.1</v>
      </c>
      <c r="IO38" s="50">
        <v>2.1</v>
      </c>
      <c r="IP38" s="51">
        <v>2.1</v>
      </c>
      <c r="IQ38" s="49" t="s">
        <v>218</v>
      </c>
      <c r="IR38" s="50">
        <v>2.1</v>
      </c>
      <c r="IS38" s="50">
        <v>2</v>
      </c>
      <c r="IT38" s="50">
        <v>2</v>
      </c>
      <c r="IU38" s="50">
        <v>2</v>
      </c>
      <c r="IV38" s="50">
        <v>1.9</v>
      </c>
      <c r="IW38" s="50">
        <v>1.9</v>
      </c>
      <c r="IX38" s="50">
        <v>2</v>
      </c>
      <c r="IY38" s="50">
        <v>2</v>
      </c>
      <c r="IZ38" s="50">
        <v>2</v>
      </c>
      <c r="JA38" s="50">
        <v>2.1</v>
      </c>
      <c r="JB38" s="50">
        <v>2.2000000000000002</v>
      </c>
      <c r="JC38" s="50">
        <v>2.2000000000000002</v>
      </c>
      <c r="JD38" s="50">
        <v>2.2000000000000002</v>
      </c>
      <c r="JE38" s="50">
        <v>2.2000000000000002</v>
      </c>
      <c r="JF38" s="50">
        <v>2.2999999999999998</v>
      </c>
      <c r="JG38" s="50">
        <v>2.2999999999999998</v>
      </c>
      <c r="JH38" s="50">
        <v>2.4</v>
      </c>
      <c r="JI38" s="50">
        <v>2.5</v>
      </c>
      <c r="JJ38" s="50">
        <v>2.5</v>
      </c>
      <c r="JK38" s="50">
        <v>2.5</v>
      </c>
      <c r="JL38" s="50">
        <v>2.5</v>
      </c>
      <c r="JM38" s="50">
        <v>2.5</v>
      </c>
      <c r="JN38" s="50">
        <v>2.5</v>
      </c>
      <c r="JO38" s="51">
        <v>2.5</v>
      </c>
      <c r="JP38" s="49" t="s">
        <v>218</v>
      </c>
      <c r="JQ38" s="80">
        <v>2.6</v>
      </c>
      <c r="JR38" s="80">
        <v>2.6</v>
      </c>
      <c r="JS38" s="80">
        <v>2.6</v>
      </c>
      <c r="JT38" s="80">
        <v>2.6</v>
      </c>
      <c r="JU38" s="80">
        <v>2.5</v>
      </c>
      <c r="JV38" s="80">
        <v>2.5</v>
      </c>
      <c r="JW38" s="80">
        <v>2.5</v>
      </c>
      <c r="JX38" s="80">
        <v>2.5</v>
      </c>
      <c r="JY38" s="80">
        <v>2.6</v>
      </c>
      <c r="JZ38" s="80" t="s">
        <v>402</v>
      </c>
      <c r="KA38" s="81">
        <v>2.6</v>
      </c>
    </row>
    <row r="39" spans="2:287" x14ac:dyDescent="0.3">
      <c r="B39" s="39" t="s">
        <v>219</v>
      </c>
      <c r="C39" s="17">
        <v>4.0666666666666647</v>
      </c>
      <c r="D39" s="17">
        <v>4.4333333333333327</v>
      </c>
      <c r="E39" s="17">
        <v>5.8166666666666647</v>
      </c>
      <c r="F39" s="17">
        <v>6.25</v>
      </c>
      <c r="G39" s="17">
        <v>6.2250000000000005</v>
      </c>
      <c r="H39" s="17">
        <v>5.9</v>
      </c>
      <c r="I39" s="17">
        <v>5.4333333333333327</v>
      </c>
      <c r="J39" s="17">
        <v>5.6</v>
      </c>
      <c r="K39" s="17">
        <v>6.5999999999999979</v>
      </c>
      <c r="L39" s="17">
        <v>10.216666666666669</v>
      </c>
      <c r="M39" s="17">
        <v>9.991666666666676</v>
      </c>
      <c r="N39" s="17">
        <v>8.7583333333333329</v>
      </c>
      <c r="O39" s="19">
        <v>7.3916666666666657</v>
      </c>
      <c r="P39" s="19">
        <v>7.3833333333333346</v>
      </c>
      <c r="Q39" s="19">
        <v>5.8166666666666673</v>
      </c>
      <c r="R39" s="19">
        <v>4.9583333333333348</v>
      </c>
      <c r="S39" s="19">
        <v>5.0583333333333327</v>
      </c>
      <c r="T39" s="19">
        <v>4.9333333333333327</v>
      </c>
      <c r="U39" s="19">
        <v>4.4749999999999996</v>
      </c>
      <c r="V39" s="19">
        <v>4.125</v>
      </c>
      <c r="W39" s="19">
        <v>8.2583333333333275</v>
      </c>
      <c r="X39" s="19">
        <v>5.2416666666666671</v>
      </c>
      <c r="Y39" s="19">
        <v>3.9750000000000001</v>
      </c>
      <c r="Z39" s="19">
        <v>3.6333333333333329</v>
      </c>
      <c r="AA39" s="19">
        <v>4.2833333333333323</v>
      </c>
      <c r="AB39" s="96"/>
      <c r="AC39" s="35" t="str">
        <f>Table11[[#This Row],[State]]</f>
        <v>Ohio</v>
      </c>
      <c r="AD39" s="17">
        <v>9.3666666666666707</v>
      </c>
      <c r="AE39" s="17">
        <v>10.366666666666699</v>
      </c>
      <c r="AF39" s="17">
        <v>10.5</v>
      </c>
      <c r="AG39" s="17">
        <v>10.633333333333301</v>
      </c>
      <c r="AH39" s="17">
        <v>10.6666666666667</v>
      </c>
      <c r="AI39" s="17">
        <v>10.1</v>
      </c>
      <c r="AJ39" s="17">
        <v>9.7333333333333307</v>
      </c>
      <c r="AK39" s="17">
        <v>9.4666666666666703</v>
      </c>
      <c r="AL39" s="17">
        <v>9.0333333333333297</v>
      </c>
      <c r="AM39" s="17">
        <v>8.9</v>
      </c>
      <c r="AN39" s="19">
        <v>8.8333333333333304</v>
      </c>
      <c r="AO39" s="19">
        <v>8.2666666666666693</v>
      </c>
      <c r="AP39" s="19">
        <v>7.6333333333333302</v>
      </c>
      <c r="AQ39" s="19">
        <v>7.3666666666666698</v>
      </c>
      <c r="AR39" s="19">
        <v>7.2333333333333298</v>
      </c>
      <c r="AS39" s="19">
        <v>7.3333333333333304</v>
      </c>
      <c r="AT39" s="19">
        <v>7.5</v>
      </c>
      <c r="AU39" s="19">
        <v>7.5</v>
      </c>
      <c r="AV39" s="17">
        <v>7.4666666666666703</v>
      </c>
      <c r="AW39" s="17">
        <v>7.06666666666667</v>
      </c>
      <c r="AX39" s="17">
        <v>6.4</v>
      </c>
      <c r="AY39" s="17">
        <v>5.9666666666666703</v>
      </c>
      <c r="AZ39" s="17">
        <v>5.6</v>
      </c>
      <c r="BA39" s="17">
        <v>5.3</v>
      </c>
      <c r="BB39" s="35" t="str">
        <f t="shared" si="0"/>
        <v>Ohio</v>
      </c>
      <c r="BC39" s="19">
        <v>5.1666666666666696</v>
      </c>
      <c r="BD39" s="19">
        <v>5</v>
      </c>
      <c r="BE39" s="19">
        <v>4.8</v>
      </c>
      <c r="BF39" s="19">
        <v>4.8666666666666698</v>
      </c>
      <c r="BG39" s="17">
        <v>5</v>
      </c>
      <c r="BH39" s="17">
        <v>5</v>
      </c>
      <c r="BI39" s="17">
        <v>5.0333333333333297</v>
      </c>
      <c r="BJ39" s="17">
        <v>5.2</v>
      </c>
      <c r="BK39" s="17">
        <v>5.1333333333333302</v>
      </c>
      <c r="BL39" s="17">
        <v>5</v>
      </c>
      <c r="BM39" s="17">
        <v>4.9000000000000004</v>
      </c>
      <c r="BN39" s="17">
        <v>4.7</v>
      </c>
      <c r="BO39" s="17">
        <v>4.5333333333333297</v>
      </c>
      <c r="BP39" s="17">
        <v>4.4666666666666703</v>
      </c>
      <c r="BQ39" s="17">
        <v>4.4000000000000004</v>
      </c>
      <c r="BR39" s="17">
        <v>4.5</v>
      </c>
      <c r="BS39" s="17">
        <v>4.2</v>
      </c>
      <c r="BT39" s="17">
        <v>3.9</v>
      </c>
      <c r="BU39" s="17">
        <v>4.0999999999999996</v>
      </c>
      <c r="BV39" s="17">
        <v>4.3</v>
      </c>
      <c r="BW39" s="35" t="str">
        <f>Table13[[#This Row],[State]]</f>
        <v>Ohio</v>
      </c>
      <c r="BX39" s="17">
        <v>4.56666666666667</v>
      </c>
      <c r="BY39" s="17">
        <v>13.4333333333333</v>
      </c>
      <c r="BZ39" s="17">
        <v>8.56666666666667</v>
      </c>
      <c r="CA39" s="17">
        <v>6.4666666666666703</v>
      </c>
      <c r="CB39" s="17">
        <v>6.06666666666667</v>
      </c>
      <c r="CC39" s="17">
        <v>5.7</v>
      </c>
      <c r="CD39" s="17">
        <v>4.93333333333333</v>
      </c>
      <c r="CE39" s="17">
        <v>4.2666666666666702</v>
      </c>
      <c r="CF39" s="17">
        <v>3.93333333333333</v>
      </c>
      <c r="CG39" s="17">
        <v>3.9</v>
      </c>
      <c r="CH39" s="17">
        <v>4.06666666666667</v>
      </c>
      <c r="CI39" s="17">
        <v>4</v>
      </c>
      <c r="CJ39" s="17">
        <v>3.6333333333333302</v>
      </c>
      <c r="CK39" s="17">
        <v>3.4</v>
      </c>
      <c r="CL39" s="17">
        <v>3.6333333333333302</v>
      </c>
      <c r="CM39" s="17">
        <v>3.8666666666666698</v>
      </c>
      <c r="CN39" s="17">
        <v>4.0333333333333297</v>
      </c>
      <c r="CO39" s="17">
        <v>4.2333333333333298</v>
      </c>
      <c r="CP39" s="17">
        <v>4.3666666666666698</v>
      </c>
      <c r="CQ39" s="17">
        <v>4.5</v>
      </c>
      <c r="CR39" s="42" t="str">
        <f>Table13[[#This Row],[ State]]</f>
        <v>Ohio</v>
      </c>
      <c r="CS39" s="17">
        <v>4.7</v>
      </c>
      <c r="CT39" s="17">
        <v>4.9000000000000004</v>
      </c>
      <c r="CU39" s="17">
        <v>4.93333333333333</v>
      </c>
      <c r="CV39" s="111"/>
      <c r="CW39" s="42" t="s">
        <v>219</v>
      </c>
      <c r="CX39" s="52">
        <v>9.1999999999999993</v>
      </c>
      <c r="CY39" s="53">
        <v>9</v>
      </c>
      <c r="CZ39" s="53">
        <v>8.9</v>
      </c>
      <c r="DA39" s="53">
        <v>8.9</v>
      </c>
      <c r="DB39" s="53">
        <v>8.9</v>
      </c>
      <c r="DC39" s="53">
        <v>8.9</v>
      </c>
      <c r="DD39" s="53">
        <v>8.9</v>
      </c>
      <c r="DE39" s="53">
        <v>8.9</v>
      </c>
      <c r="DF39" s="53">
        <v>8.6999999999999993</v>
      </c>
      <c r="DG39" s="53">
        <v>8.5</v>
      </c>
      <c r="DH39" s="53">
        <v>8.3000000000000007</v>
      </c>
      <c r="DI39" s="53">
        <v>8</v>
      </c>
      <c r="DJ39" s="53">
        <v>7.8</v>
      </c>
      <c r="DK39" s="53">
        <v>7.6</v>
      </c>
      <c r="DL39" s="53">
        <v>7.5</v>
      </c>
      <c r="DM39" s="53">
        <v>7.4</v>
      </c>
      <c r="DN39" s="53">
        <v>7.4</v>
      </c>
      <c r="DO39" s="53">
        <v>7.3</v>
      </c>
      <c r="DP39" s="53">
        <v>7.3</v>
      </c>
      <c r="DQ39" s="53">
        <v>7.2</v>
      </c>
      <c r="DR39" s="53">
        <v>7.2</v>
      </c>
      <c r="DS39" s="53">
        <v>7.3</v>
      </c>
      <c r="DT39" s="53">
        <v>7.3</v>
      </c>
      <c r="DU39" s="63">
        <v>7.4</v>
      </c>
      <c r="DV39" s="54" t="s">
        <v>219</v>
      </c>
      <c r="DW39" s="53">
        <v>7.5</v>
      </c>
      <c r="DX39" s="53">
        <v>7.5</v>
      </c>
      <c r="DY39" s="53">
        <v>7.5</v>
      </c>
      <c r="DZ39" s="53">
        <v>7.5</v>
      </c>
      <c r="EA39" s="53">
        <v>7.5</v>
      </c>
      <c r="EB39" s="53">
        <v>7.5</v>
      </c>
      <c r="EC39" s="53">
        <v>7.5</v>
      </c>
      <c r="ED39" s="53">
        <v>7.5</v>
      </c>
      <c r="EE39" s="53">
        <v>7.4</v>
      </c>
      <c r="EF39" s="53">
        <v>7.2</v>
      </c>
      <c r="EG39" s="55">
        <v>7.1</v>
      </c>
      <c r="EH39" s="55">
        <v>6.9</v>
      </c>
      <c r="EI39" s="55">
        <v>6.6</v>
      </c>
      <c r="EJ39" s="55">
        <v>6.4</v>
      </c>
      <c r="EK39" s="53">
        <v>6.2</v>
      </c>
      <c r="EL39" s="55">
        <v>6.1</v>
      </c>
      <c r="EM39" s="55">
        <v>6</v>
      </c>
      <c r="EN39" s="55">
        <v>5.8</v>
      </c>
      <c r="EO39" s="55">
        <v>5.7</v>
      </c>
      <c r="EP39" s="55">
        <v>5.6</v>
      </c>
      <c r="EQ39" s="55">
        <v>5.5</v>
      </c>
      <c r="ER39" s="53">
        <v>5.4</v>
      </c>
      <c r="ES39" s="55">
        <v>5.3</v>
      </c>
      <c r="ET39" s="56">
        <v>5.2</v>
      </c>
      <c r="EU39" s="54" t="s">
        <v>219</v>
      </c>
      <c r="EV39" s="53">
        <v>5.2</v>
      </c>
      <c r="EW39" s="55">
        <v>5.2</v>
      </c>
      <c r="EX39" s="55">
        <v>5.0999999999999996</v>
      </c>
      <c r="EY39" s="55">
        <v>5.0999999999999996</v>
      </c>
      <c r="EZ39" s="55">
        <v>5</v>
      </c>
      <c r="FA39" s="55">
        <v>4.9000000000000004</v>
      </c>
      <c r="FB39" s="55">
        <v>4.8</v>
      </c>
      <c r="FC39" s="55">
        <v>4.8</v>
      </c>
      <c r="FD39" s="55">
        <v>4.8</v>
      </c>
      <c r="FE39" s="55">
        <v>4.8</v>
      </c>
      <c r="FF39" s="55">
        <v>4.9000000000000004</v>
      </c>
      <c r="FG39" s="55">
        <v>4.9000000000000004</v>
      </c>
      <c r="FH39" s="55">
        <v>5</v>
      </c>
      <c r="FI39" s="55">
        <v>5</v>
      </c>
      <c r="FJ39" s="55">
        <v>5</v>
      </c>
      <c r="FK39" s="55">
        <v>5</v>
      </c>
      <c r="FL39" s="55">
        <v>5</v>
      </c>
      <c r="FM39" s="55">
        <v>5</v>
      </c>
      <c r="FN39" s="55">
        <v>5</v>
      </c>
      <c r="FO39" s="55">
        <v>5</v>
      </c>
      <c r="FP39" s="55">
        <v>5.0999999999999996</v>
      </c>
      <c r="FQ39" s="55">
        <v>5.2</v>
      </c>
      <c r="FR39" s="55">
        <v>5.2</v>
      </c>
      <c r="FS39" s="56">
        <v>5.2</v>
      </c>
      <c r="FT39" s="54" t="s">
        <v>219</v>
      </c>
      <c r="FU39" s="53">
        <v>5.2</v>
      </c>
      <c r="FV39" s="55">
        <v>5.0999999999999996</v>
      </c>
      <c r="FW39" s="55">
        <v>5.0999999999999996</v>
      </c>
      <c r="FX39" s="55">
        <v>5</v>
      </c>
      <c r="FY39" s="55">
        <v>5</v>
      </c>
      <c r="FZ39" s="55">
        <v>5</v>
      </c>
      <c r="GA39" s="55">
        <v>4.9000000000000004</v>
      </c>
      <c r="GB39" s="55">
        <v>4.9000000000000004</v>
      </c>
      <c r="GC39" s="55">
        <v>4.9000000000000004</v>
      </c>
      <c r="GD39" s="55">
        <v>4.8</v>
      </c>
      <c r="GE39" s="55">
        <v>4.7</v>
      </c>
      <c r="GF39" s="55">
        <v>4.5999999999999996</v>
      </c>
      <c r="GG39" s="55">
        <v>4.5999999999999996</v>
      </c>
      <c r="GH39" s="55">
        <v>4.5</v>
      </c>
      <c r="GI39" s="55">
        <v>4.5</v>
      </c>
      <c r="GJ39" s="55">
        <v>4.5</v>
      </c>
      <c r="GK39" s="55">
        <v>4.5</v>
      </c>
      <c r="GL39" s="55">
        <v>4.4000000000000004</v>
      </c>
      <c r="GM39" s="55">
        <v>4.4000000000000004</v>
      </c>
      <c r="GN39" s="55">
        <v>4.4000000000000004</v>
      </c>
      <c r="GO39" s="55">
        <v>4.4000000000000004</v>
      </c>
      <c r="GP39" s="55">
        <v>4.5</v>
      </c>
      <c r="GQ39" s="55">
        <v>4.5</v>
      </c>
      <c r="GR39" s="55">
        <v>4.5</v>
      </c>
      <c r="GS39" s="54" t="s">
        <v>219</v>
      </c>
      <c r="GT39" s="55">
        <v>4.4000000000000004</v>
      </c>
      <c r="GU39" s="55">
        <v>4.2</v>
      </c>
      <c r="GV39" s="55">
        <v>4</v>
      </c>
      <c r="GW39" s="55">
        <v>3.9</v>
      </c>
      <c r="GX39" s="55">
        <v>3.9</v>
      </c>
      <c r="GY39" s="55">
        <v>3.9</v>
      </c>
      <c r="GZ39" s="55">
        <v>4</v>
      </c>
      <c r="HA39" s="55">
        <v>4.0999999999999996</v>
      </c>
      <c r="HB39" s="55">
        <v>4.2</v>
      </c>
      <c r="HC39" s="55">
        <v>4.3</v>
      </c>
      <c r="HD39" s="55">
        <v>4.3</v>
      </c>
      <c r="HE39" s="55">
        <v>4.3</v>
      </c>
      <c r="HF39" s="55">
        <v>4.4000000000000004</v>
      </c>
      <c r="HG39" s="55">
        <v>4.5</v>
      </c>
      <c r="HH39" s="55">
        <v>4.8</v>
      </c>
      <c r="HI39" s="55">
        <v>16.5</v>
      </c>
      <c r="HJ39" s="55">
        <v>12.8</v>
      </c>
      <c r="HK39" s="55">
        <v>11</v>
      </c>
      <c r="HL39" s="55">
        <v>9.8000000000000007</v>
      </c>
      <c r="HM39" s="55">
        <v>8.3000000000000007</v>
      </c>
      <c r="HN39" s="55">
        <v>7.6</v>
      </c>
      <c r="HO39" s="55">
        <v>6.7</v>
      </c>
      <c r="HP39" s="55">
        <v>6.4</v>
      </c>
      <c r="HQ39" s="56">
        <v>6.3</v>
      </c>
      <c r="HR39" s="54" t="s">
        <v>219</v>
      </c>
      <c r="HS39" s="55">
        <v>6.1</v>
      </c>
      <c r="HT39" s="55">
        <v>6.1</v>
      </c>
      <c r="HU39" s="55">
        <v>6</v>
      </c>
      <c r="HV39" s="55">
        <v>5.9</v>
      </c>
      <c r="HW39" s="55">
        <v>5.7</v>
      </c>
      <c r="HX39" s="55">
        <v>5.5</v>
      </c>
      <c r="HY39" s="55">
        <v>5.2</v>
      </c>
      <c r="HZ39" s="55">
        <v>4.9000000000000004</v>
      </c>
      <c r="IA39" s="55">
        <v>4.7</v>
      </c>
      <c r="IB39" s="55">
        <v>4.4000000000000004</v>
      </c>
      <c r="IC39" s="55">
        <v>4.3</v>
      </c>
      <c r="ID39" s="55">
        <v>4.0999999999999996</v>
      </c>
      <c r="IE39" s="55">
        <v>4</v>
      </c>
      <c r="IF39" s="55">
        <v>3.9</v>
      </c>
      <c r="IG39" s="55">
        <v>3.9</v>
      </c>
      <c r="IH39" s="55">
        <v>3.9</v>
      </c>
      <c r="II39" s="55">
        <v>3.9</v>
      </c>
      <c r="IJ39" s="55">
        <v>3.9</v>
      </c>
      <c r="IK39" s="55">
        <v>4</v>
      </c>
      <c r="IL39" s="55">
        <v>4.0999999999999996</v>
      </c>
      <c r="IM39" s="55">
        <v>4.0999999999999996</v>
      </c>
      <c r="IN39" s="55">
        <v>4.0999999999999996</v>
      </c>
      <c r="IO39" s="55">
        <v>4</v>
      </c>
      <c r="IP39" s="56">
        <v>3.9</v>
      </c>
      <c r="IQ39" s="54" t="s">
        <v>219</v>
      </c>
      <c r="IR39" s="55">
        <v>3.8</v>
      </c>
      <c r="IS39" s="55">
        <v>3.6</v>
      </c>
      <c r="IT39" s="55">
        <v>3.5</v>
      </c>
      <c r="IU39" s="55">
        <v>3.4</v>
      </c>
      <c r="IV39" s="55">
        <v>3.4</v>
      </c>
      <c r="IW39" s="55">
        <v>3.4</v>
      </c>
      <c r="IX39" s="55">
        <v>3.5</v>
      </c>
      <c r="IY39" s="55">
        <v>3.6</v>
      </c>
      <c r="IZ39" s="55">
        <v>3.8</v>
      </c>
      <c r="JA39" s="55">
        <v>3.8</v>
      </c>
      <c r="JB39" s="55">
        <v>3.9</v>
      </c>
      <c r="JC39" s="55">
        <v>3.9</v>
      </c>
      <c r="JD39" s="55">
        <v>4</v>
      </c>
      <c r="JE39" s="55">
        <v>4</v>
      </c>
      <c r="JF39" s="55">
        <v>4.0999999999999996</v>
      </c>
      <c r="JG39" s="55">
        <v>4.2</v>
      </c>
      <c r="JH39" s="55">
        <v>4.2</v>
      </c>
      <c r="JI39" s="55">
        <v>4.3</v>
      </c>
      <c r="JJ39" s="55">
        <v>4.3</v>
      </c>
      <c r="JK39" s="55">
        <v>4.4000000000000004</v>
      </c>
      <c r="JL39" s="55">
        <v>4.4000000000000004</v>
      </c>
      <c r="JM39" s="55">
        <v>4.5</v>
      </c>
      <c r="JN39" s="55">
        <v>4.5</v>
      </c>
      <c r="JO39" s="56">
        <v>4.5</v>
      </c>
      <c r="JP39" s="54" t="s">
        <v>219</v>
      </c>
      <c r="JQ39" s="82">
        <v>4.5999999999999996</v>
      </c>
      <c r="JR39" s="82">
        <v>4.7</v>
      </c>
      <c r="JS39" s="82">
        <v>4.8</v>
      </c>
      <c r="JT39" s="82">
        <v>4.9000000000000004</v>
      </c>
      <c r="JU39" s="82">
        <v>4.9000000000000004</v>
      </c>
      <c r="JV39" s="82">
        <v>4.9000000000000004</v>
      </c>
      <c r="JW39" s="82">
        <v>5</v>
      </c>
      <c r="JX39" s="82">
        <v>5</v>
      </c>
      <c r="JY39" s="82">
        <v>4.8</v>
      </c>
      <c r="JZ39" s="82" t="s">
        <v>402</v>
      </c>
      <c r="KA39" s="83">
        <v>4.5</v>
      </c>
    </row>
    <row r="40" spans="2:287" x14ac:dyDescent="0.3">
      <c r="B40" s="39" t="s">
        <v>220</v>
      </c>
      <c r="C40" s="17">
        <v>2.9916666666666676</v>
      </c>
      <c r="D40" s="17">
        <v>3.625</v>
      </c>
      <c r="E40" s="17">
        <v>4.6166666666666671</v>
      </c>
      <c r="F40" s="17">
        <v>5.3833333333333346</v>
      </c>
      <c r="G40" s="17">
        <v>4.7083333333333321</v>
      </c>
      <c r="H40" s="17">
        <v>4.3250000000000002</v>
      </c>
      <c r="I40" s="17">
        <v>3.9083333333333323</v>
      </c>
      <c r="J40" s="17">
        <v>3.9583333333333348</v>
      </c>
      <c r="K40" s="17">
        <v>3.6083333333333325</v>
      </c>
      <c r="L40" s="17">
        <v>6.5166666666666675</v>
      </c>
      <c r="M40" s="17">
        <v>6.4416666666666664</v>
      </c>
      <c r="N40" s="17">
        <v>5.5666666666666682</v>
      </c>
      <c r="O40" s="19">
        <v>5.0749999999999975</v>
      </c>
      <c r="P40" s="19">
        <v>5.1166666666666654</v>
      </c>
      <c r="Q40" s="19">
        <v>4.341666666666665</v>
      </c>
      <c r="R40" s="19">
        <v>4.2833333333333323</v>
      </c>
      <c r="S40" s="19">
        <v>4.6500000000000004</v>
      </c>
      <c r="T40" s="19">
        <v>4.0333333333333323</v>
      </c>
      <c r="U40" s="19">
        <v>3.2916666666666674</v>
      </c>
      <c r="V40" s="19">
        <v>3.1166666666666654</v>
      </c>
      <c r="W40" s="19">
        <v>6.3000000000000078</v>
      </c>
      <c r="X40" s="19">
        <v>4.0250000000000004</v>
      </c>
      <c r="Y40" s="19">
        <v>3.0249999999999999</v>
      </c>
      <c r="Z40" s="19">
        <v>3.1999999999999997</v>
      </c>
      <c r="AA40" s="19">
        <v>3.3166666666666673</v>
      </c>
      <c r="AB40" s="96"/>
      <c r="AC40" s="36" t="str">
        <f>Table11[[#This Row],[State]]</f>
        <v>Oklahoma</v>
      </c>
      <c r="AD40" s="27">
        <v>5.6</v>
      </c>
      <c r="AE40" s="27">
        <v>6.6666666666666696</v>
      </c>
      <c r="AF40" s="27">
        <v>6.9</v>
      </c>
      <c r="AG40" s="27">
        <v>6.9</v>
      </c>
      <c r="AH40" s="27">
        <v>6.8666666666666698</v>
      </c>
      <c r="AI40" s="27">
        <v>6.5333333333333297</v>
      </c>
      <c r="AJ40" s="27">
        <v>6.2666666666666702</v>
      </c>
      <c r="AK40" s="27">
        <v>6.1</v>
      </c>
      <c r="AL40" s="27">
        <v>5.7333333333333298</v>
      </c>
      <c r="AM40" s="27">
        <v>5.5</v>
      </c>
      <c r="AN40" s="27">
        <v>5.56666666666667</v>
      </c>
      <c r="AO40" s="27">
        <v>5.4666666666666703</v>
      </c>
      <c r="AP40" s="27">
        <v>5.1333333333333302</v>
      </c>
      <c r="AQ40" s="27">
        <v>5.0333333333333297</v>
      </c>
      <c r="AR40" s="27">
        <v>5.0333333333333297</v>
      </c>
      <c r="AS40" s="27">
        <v>5.0999999999999996</v>
      </c>
      <c r="AT40" s="27">
        <v>5.2</v>
      </c>
      <c r="AU40" s="27">
        <v>5.1333333333333302</v>
      </c>
      <c r="AV40" s="27">
        <v>5.0999999999999996</v>
      </c>
      <c r="AW40" s="27">
        <v>5.0333333333333297</v>
      </c>
      <c r="AX40" s="27">
        <v>4.7333333333333298</v>
      </c>
      <c r="AY40" s="27">
        <v>4.4000000000000004</v>
      </c>
      <c r="AZ40" s="27">
        <v>4.2</v>
      </c>
      <c r="BA40" s="27">
        <v>4.0333333333333297</v>
      </c>
      <c r="BB40" s="36" t="str">
        <f t="shared" si="0"/>
        <v>Oklahoma</v>
      </c>
      <c r="BC40" s="27">
        <v>4.0999999999999996</v>
      </c>
      <c r="BD40" s="27">
        <v>4.3333333333333304</v>
      </c>
      <c r="BE40" s="27">
        <v>4.3333333333333304</v>
      </c>
      <c r="BF40" s="27">
        <v>4.3666666666666698</v>
      </c>
      <c r="BG40" s="27">
        <v>4.5333333333333297</v>
      </c>
      <c r="BH40" s="27">
        <v>4.7</v>
      </c>
      <c r="BI40" s="27">
        <v>4.7666666666666702</v>
      </c>
      <c r="BJ40" s="27">
        <v>4.5999999999999996</v>
      </c>
      <c r="BK40" s="27">
        <v>4.3</v>
      </c>
      <c r="BL40" s="27">
        <v>4.0333333333333297</v>
      </c>
      <c r="BM40" s="27">
        <v>3.9666666666666699</v>
      </c>
      <c r="BN40" s="27">
        <v>3.8333333333333299</v>
      </c>
      <c r="BO40" s="27">
        <v>3.6</v>
      </c>
      <c r="BP40" s="27">
        <v>3.3</v>
      </c>
      <c r="BQ40" s="27">
        <v>3.1</v>
      </c>
      <c r="BR40" s="27">
        <v>3.1666666666666701</v>
      </c>
      <c r="BS40" s="27">
        <v>3.1666666666666701</v>
      </c>
      <c r="BT40" s="27">
        <v>3.0333333333333301</v>
      </c>
      <c r="BU40" s="27">
        <v>3.1333333333333302</v>
      </c>
      <c r="BV40" s="27">
        <v>3.1333333333333302</v>
      </c>
      <c r="BW40" s="36" t="str">
        <f>Table13[[#This Row],[State]]</f>
        <v>Oklahoma</v>
      </c>
      <c r="BX40" s="27">
        <v>3.1666666666666701</v>
      </c>
      <c r="BY40" s="27">
        <v>10.1666666666667</v>
      </c>
      <c r="BZ40" s="27">
        <v>6.5333333333333297</v>
      </c>
      <c r="CA40" s="27">
        <v>5.3333333333333304</v>
      </c>
      <c r="CB40" s="27">
        <v>4.9000000000000004</v>
      </c>
      <c r="CC40" s="27">
        <v>4.5</v>
      </c>
      <c r="CD40" s="27">
        <v>3.7</v>
      </c>
      <c r="CE40" s="27">
        <v>3</v>
      </c>
      <c r="CF40" s="27">
        <v>2.9</v>
      </c>
      <c r="CG40" s="27">
        <v>2.9666666666666699</v>
      </c>
      <c r="CH40" s="27">
        <v>3.1333333333333302</v>
      </c>
      <c r="CI40" s="27">
        <v>3.1</v>
      </c>
      <c r="CJ40" s="27">
        <v>3</v>
      </c>
      <c r="CK40" s="27">
        <v>3.0333333333333301</v>
      </c>
      <c r="CL40" s="27">
        <v>3.3</v>
      </c>
      <c r="CM40" s="27">
        <v>3.4666666666666699</v>
      </c>
      <c r="CN40" s="27">
        <v>3.3666666666666698</v>
      </c>
      <c r="CO40" s="27">
        <v>3.3</v>
      </c>
      <c r="CP40" s="27">
        <v>3.3</v>
      </c>
      <c r="CQ40" s="27">
        <v>3.3</v>
      </c>
      <c r="CR40" s="79" t="str">
        <f>Table13[[#This Row],[ State]]</f>
        <v>Oklahoma</v>
      </c>
      <c r="CS40" s="27">
        <v>3.3</v>
      </c>
      <c r="CT40" s="27">
        <v>3.1333333333333302</v>
      </c>
      <c r="CU40" s="27">
        <v>3.1333333333333302</v>
      </c>
      <c r="CV40" s="111"/>
      <c r="CW40" s="41" t="s">
        <v>220</v>
      </c>
      <c r="CX40" s="47">
        <v>5.9</v>
      </c>
      <c r="CY40" s="48">
        <v>5.7</v>
      </c>
      <c r="CZ40" s="48">
        <v>5.6</v>
      </c>
      <c r="DA40" s="48">
        <v>5.5</v>
      </c>
      <c r="DB40" s="48">
        <v>5.5</v>
      </c>
      <c r="DC40" s="48">
        <v>5.5</v>
      </c>
      <c r="DD40" s="48">
        <v>5.5</v>
      </c>
      <c r="DE40" s="48">
        <v>5.6</v>
      </c>
      <c r="DF40" s="48">
        <v>5.6</v>
      </c>
      <c r="DG40" s="48">
        <v>5.5</v>
      </c>
      <c r="DH40" s="48">
        <v>5.5</v>
      </c>
      <c r="DI40" s="48">
        <v>5.4</v>
      </c>
      <c r="DJ40" s="48">
        <v>5.2</v>
      </c>
      <c r="DK40" s="48">
        <v>5.0999999999999996</v>
      </c>
      <c r="DL40" s="48">
        <v>5.0999999999999996</v>
      </c>
      <c r="DM40" s="48">
        <v>5</v>
      </c>
      <c r="DN40" s="48">
        <v>5</v>
      </c>
      <c r="DO40" s="48">
        <v>5.0999999999999996</v>
      </c>
      <c r="DP40" s="48">
        <v>5.0999999999999996</v>
      </c>
      <c r="DQ40" s="48">
        <v>5</v>
      </c>
      <c r="DR40" s="48">
        <v>5</v>
      </c>
      <c r="DS40" s="48">
        <v>5.0999999999999996</v>
      </c>
      <c r="DT40" s="48">
        <v>5.0999999999999996</v>
      </c>
      <c r="DU40" s="62">
        <v>5.0999999999999996</v>
      </c>
      <c r="DV40" s="49" t="s">
        <v>220</v>
      </c>
      <c r="DW40" s="48">
        <v>5.2</v>
      </c>
      <c r="DX40" s="48">
        <v>5.2</v>
      </c>
      <c r="DY40" s="48">
        <v>5.2</v>
      </c>
      <c r="DZ40" s="48">
        <v>5.2</v>
      </c>
      <c r="EA40" s="48">
        <v>5.0999999999999996</v>
      </c>
      <c r="EB40" s="48">
        <v>5.0999999999999996</v>
      </c>
      <c r="EC40" s="48">
        <v>5.0999999999999996</v>
      </c>
      <c r="ED40" s="48">
        <v>5.0999999999999996</v>
      </c>
      <c r="EE40" s="48">
        <v>5.0999999999999996</v>
      </c>
      <c r="EF40" s="48">
        <v>5.0999999999999996</v>
      </c>
      <c r="EG40" s="50">
        <v>5</v>
      </c>
      <c r="EH40" s="50">
        <v>5</v>
      </c>
      <c r="EI40" s="50">
        <v>4.9000000000000004</v>
      </c>
      <c r="EJ40" s="50">
        <v>4.7</v>
      </c>
      <c r="EK40" s="48">
        <v>4.5999999999999996</v>
      </c>
      <c r="EL40" s="50">
        <v>4.5</v>
      </c>
      <c r="EM40" s="50">
        <v>4.4000000000000004</v>
      </c>
      <c r="EN40" s="50">
        <v>4.3</v>
      </c>
      <c r="EO40" s="50">
        <v>4.3</v>
      </c>
      <c r="EP40" s="50">
        <v>4.2</v>
      </c>
      <c r="EQ40" s="50">
        <v>4.0999999999999996</v>
      </c>
      <c r="ER40" s="48">
        <v>4.0999999999999996</v>
      </c>
      <c r="ES40" s="50">
        <v>4</v>
      </c>
      <c r="ET40" s="51">
        <v>4</v>
      </c>
      <c r="EU40" s="49" t="s">
        <v>220</v>
      </c>
      <c r="EV40" s="48">
        <v>4</v>
      </c>
      <c r="EW40" s="50">
        <v>4.0999999999999996</v>
      </c>
      <c r="EX40" s="50">
        <v>4.2</v>
      </c>
      <c r="EY40" s="50">
        <v>4.3</v>
      </c>
      <c r="EZ40" s="50">
        <v>4.3</v>
      </c>
      <c r="FA40" s="50">
        <v>4.4000000000000004</v>
      </c>
      <c r="FB40" s="50">
        <v>4.4000000000000004</v>
      </c>
      <c r="FC40" s="50">
        <v>4.3</v>
      </c>
      <c r="FD40" s="50">
        <v>4.3</v>
      </c>
      <c r="FE40" s="50">
        <v>4.3</v>
      </c>
      <c r="FF40" s="50">
        <v>4.4000000000000004</v>
      </c>
      <c r="FG40" s="50">
        <v>4.4000000000000004</v>
      </c>
      <c r="FH40" s="50">
        <v>4.5</v>
      </c>
      <c r="FI40" s="50">
        <v>4.5</v>
      </c>
      <c r="FJ40" s="50">
        <v>4.5999999999999996</v>
      </c>
      <c r="FK40" s="50">
        <v>4.5999999999999996</v>
      </c>
      <c r="FL40" s="50">
        <v>4.7</v>
      </c>
      <c r="FM40" s="50">
        <v>4.8</v>
      </c>
      <c r="FN40" s="50">
        <v>4.8</v>
      </c>
      <c r="FO40" s="50">
        <v>4.8</v>
      </c>
      <c r="FP40" s="50">
        <v>4.7</v>
      </c>
      <c r="FQ40" s="50">
        <v>4.7</v>
      </c>
      <c r="FR40" s="50">
        <v>4.5999999999999996</v>
      </c>
      <c r="FS40" s="51">
        <v>4.5</v>
      </c>
      <c r="FT40" s="49" t="s">
        <v>220</v>
      </c>
      <c r="FU40" s="48">
        <v>4.4000000000000004</v>
      </c>
      <c r="FV40" s="50">
        <v>4.3</v>
      </c>
      <c r="FW40" s="50">
        <v>4.2</v>
      </c>
      <c r="FX40" s="50">
        <v>4.0999999999999996</v>
      </c>
      <c r="FY40" s="50">
        <v>4</v>
      </c>
      <c r="FZ40" s="50">
        <v>4</v>
      </c>
      <c r="GA40" s="50">
        <v>4</v>
      </c>
      <c r="GB40" s="50">
        <v>4</v>
      </c>
      <c r="GC40" s="50">
        <v>3.9</v>
      </c>
      <c r="GD40" s="50">
        <v>3.9</v>
      </c>
      <c r="GE40" s="50">
        <v>3.8</v>
      </c>
      <c r="GF40" s="50">
        <v>3.8</v>
      </c>
      <c r="GG40" s="50">
        <v>3.7</v>
      </c>
      <c r="GH40" s="50">
        <v>3.6</v>
      </c>
      <c r="GI40" s="50">
        <v>3.5</v>
      </c>
      <c r="GJ40" s="50">
        <v>3.4</v>
      </c>
      <c r="GK40" s="50">
        <v>3.3</v>
      </c>
      <c r="GL40" s="50">
        <v>3.2</v>
      </c>
      <c r="GM40" s="50">
        <v>3.1</v>
      </c>
      <c r="GN40" s="50">
        <v>3.1</v>
      </c>
      <c r="GO40" s="50">
        <v>3.1</v>
      </c>
      <c r="GP40" s="50">
        <v>3.1</v>
      </c>
      <c r="GQ40" s="50">
        <v>3.2</v>
      </c>
      <c r="GR40" s="50">
        <v>3.2</v>
      </c>
      <c r="GS40" s="49" t="s">
        <v>220</v>
      </c>
      <c r="GT40" s="50">
        <v>3.2</v>
      </c>
      <c r="GU40" s="50">
        <v>3.2</v>
      </c>
      <c r="GV40" s="50">
        <v>3.1</v>
      </c>
      <c r="GW40" s="50">
        <v>3.1</v>
      </c>
      <c r="GX40" s="50">
        <v>3</v>
      </c>
      <c r="GY40" s="50">
        <v>3</v>
      </c>
      <c r="GZ40" s="50">
        <v>3.1</v>
      </c>
      <c r="HA40" s="50">
        <v>3.1</v>
      </c>
      <c r="HB40" s="50">
        <v>3.2</v>
      </c>
      <c r="HC40" s="50">
        <v>3.2</v>
      </c>
      <c r="HD40" s="50">
        <v>3.1</v>
      </c>
      <c r="HE40" s="50">
        <v>3.1</v>
      </c>
      <c r="HF40" s="50">
        <v>3.1</v>
      </c>
      <c r="HG40" s="50">
        <v>3.2</v>
      </c>
      <c r="HH40" s="50">
        <v>3.2</v>
      </c>
      <c r="HI40" s="50">
        <v>12.5</v>
      </c>
      <c r="HJ40" s="50">
        <v>9.8000000000000007</v>
      </c>
      <c r="HK40" s="50">
        <v>8.1999999999999993</v>
      </c>
      <c r="HL40" s="50">
        <v>7.4</v>
      </c>
      <c r="HM40" s="50">
        <v>6.3</v>
      </c>
      <c r="HN40" s="50">
        <v>5.9</v>
      </c>
      <c r="HO40" s="50">
        <v>5.5</v>
      </c>
      <c r="HP40" s="50">
        <v>5.3</v>
      </c>
      <c r="HQ40" s="51">
        <v>5.2</v>
      </c>
      <c r="HR40" s="49" t="s">
        <v>220</v>
      </c>
      <c r="HS40" s="50">
        <v>5</v>
      </c>
      <c r="HT40" s="50">
        <v>4.9000000000000004</v>
      </c>
      <c r="HU40" s="50">
        <v>4.8</v>
      </c>
      <c r="HV40" s="50">
        <v>4.7</v>
      </c>
      <c r="HW40" s="50">
        <v>4.5</v>
      </c>
      <c r="HX40" s="50">
        <v>4.3</v>
      </c>
      <c r="HY40" s="50">
        <v>4</v>
      </c>
      <c r="HZ40" s="50">
        <v>3.7</v>
      </c>
      <c r="IA40" s="50">
        <v>3.4</v>
      </c>
      <c r="IB40" s="50">
        <v>3.1</v>
      </c>
      <c r="IC40" s="50">
        <v>3</v>
      </c>
      <c r="ID40" s="50">
        <v>2.9</v>
      </c>
      <c r="IE40" s="50">
        <v>2.9</v>
      </c>
      <c r="IF40" s="50">
        <v>2.9</v>
      </c>
      <c r="IG40" s="50">
        <v>2.9</v>
      </c>
      <c r="IH40" s="50">
        <v>2.9</v>
      </c>
      <c r="II40" s="50">
        <v>3</v>
      </c>
      <c r="IJ40" s="50">
        <v>3</v>
      </c>
      <c r="IK40" s="50">
        <v>3.1</v>
      </c>
      <c r="IL40" s="50">
        <v>3.1</v>
      </c>
      <c r="IM40" s="50">
        <v>3.2</v>
      </c>
      <c r="IN40" s="50">
        <v>3.1</v>
      </c>
      <c r="IO40" s="50">
        <v>3.1</v>
      </c>
      <c r="IP40" s="51">
        <v>3.1</v>
      </c>
      <c r="IQ40" s="49" t="s">
        <v>220</v>
      </c>
      <c r="IR40" s="50">
        <v>3</v>
      </c>
      <c r="IS40" s="50">
        <v>3</v>
      </c>
      <c r="IT40" s="50">
        <v>3</v>
      </c>
      <c r="IU40" s="50">
        <v>3</v>
      </c>
      <c r="IV40" s="50">
        <v>3</v>
      </c>
      <c r="IW40" s="50">
        <v>3.1</v>
      </c>
      <c r="IX40" s="50">
        <v>3.2</v>
      </c>
      <c r="IY40" s="50">
        <v>3.3</v>
      </c>
      <c r="IZ40" s="50">
        <v>3.4</v>
      </c>
      <c r="JA40" s="50">
        <v>3.4</v>
      </c>
      <c r="JB40" s="50">
        <v>3.5</v>
      </c>
      <c r="JC40" s="50">
        <v>3.5</v>
      </c>
      <c r="JD40" s="50">
        <v>3.4</v>
      </c>
      <c r="JE40" s="50">
        <v>3.4</v>
      </c>
      <c r="JF40" s="50">
        <v>3.3</v>
      </c>
      <c r="JG40" s="50">
        <v>3.3</v>
      </c>
      <c r="JH40" s="50">
        <v>3.3</v>
      </c>
      <c r="JI40" s="50">
        <v>3.3</v>
      </c>
      <c r="JJ40" s="50">
        <v>3.3</v>
      </c>
      <c r="JK40" s="50">
        <v>3.3</v>
      </c>
      <c r="JL40" s="50">
        <v>3.3</v>
      </c>
      <c r="JM40" s="50">
        <v>3.3</v>
      </c>
      <c r="JN40" s="50">
        <v>3.3</v>
      </c>
      <c r="JO40" s="51">
        <v>3.3</v>
      </c>
      <c r="JP40" s="49" t="s">
        <v>220</v>
      </c>
      <c r="JQ40" s="80">
        <v>3.3</v>
      </c>
      <c r="JR40" s="80">
        <v>3.3</v>
      </c>
      <c r="JS40" s="80">
        <v>3.3</v>
      </c>
      <c r="JT40" s="80">
        <v>3.2</v>
      </c>
      <c r="JU40" s="80">
        <v>3.1</v>
      </c>
      <c r="JV40" s="80">
        <v>3.1</v>
      </c>
      <c r="JW40" s="80">
        <v>3.1</v>
      </c>
      <c r="JX40" s="80">
        <v>3.1</v>
      </c>
      <c r="JY40" s="80">
        <v>3.2</v>
      </c>
      <c r="JZ40" s="80" t="s">
        <v>402</v>
      </c>
      <c r="KA40" s="81">
        <v>3.5</v>
      </c>
    </row>
    <row r="41" spans="2:287" x14ac:dyDescent="0.3">
      <c r="B41" s="39" t="s">
        <v>221</v>
      </c>
      <c r="C41" s="17">
        <v>5.1833333333333327</v>
      </c>
      <c r="D41" s="17">
        <v>6.3583333333333325</v>
      </c>
      <c r="E41" s="17">
        <v>7.4500000000000011</v>
      </c>
      <c r="F41" s="17">
        <v>8.0166666666666675</v>
      </c>
      <c r="G41" s="17">
        <v>7.3166666666666673</v>
      </c>
      <c r="H41" s="17">
        <v>6.166666666666667</v>
      </c>
      <c r="I41" s="17">
        <v>5.3916666666666675</v>
      </c>
      <c r="J41" s="17">
        <v>5.158333333333335</v>
      </c>
      <c r="K41" s="17">
        <v>6.3083333333333327</v>
      </c>
      <c r="L41" s="17">
        <v>10.633333333333326</v>
      </c>
      <c r="M41" s="17">
        <v>10.558333333333325</v>
      </c>
      <c r="N41" s="17">
        <v>9.4583333333333321</v>
      </c>
      <c r="O41" s="19">
        <v>8.7083333333333339</v>
      </c>
      <c r="P41" s="19">
        <v>7.7499999999999973</v>
      </c>
      <c r="Q41" s="19">
        <v>6.6416666666666675</v>
      </c>
      <c r="R41" s="19">
        <v>5.4583333333333357</v>
      </c>
      <c r="S41" s="19">
        <v>4.75</v>
      </c>
      <c r="T41" s="19">
        <v>4.0666666666666673</v>
      </c>
      <c r="U41" s="19">
        <v>4.033333333333335</v>
      </c>
      <c r="V41" s="19">
        <v>3.7250000000000001</v>
      </c>
      <c r="W41" s="19">
        <v>7.5750000000000002</v>
      </c>
      <c r="X41" s="19">
        <v>5.15</v>
      </c>
      <c r="Y41" s="19">
        <v>3.9249999999999998</v>
      </c>
      <c r="Z41" s="19">
        <v>3.7583333333333351</v>
      </c>
      <c r="AA41" s="19">
        <v>4.1749999999999998</v>
      </c>
      <c r="AB41" s="96"/>
      <c r="AC41" s="35" t="str">
        <f>Table11[[#This Row],[State]]</f>
        <v>Oregon</v>
      </c>
      <c r="AD41" s="17">
        <v>10.1666666666667</v>
      </c>
      <c r="AE41" s="17">
        <v>11.033333333333299</v>
      </c>
      <c r="AF41" s="17">
        <v>10.733333333333301</v>
      </c>
      <c r="AG41" s="17">
        <v>10.6</v>
      </c>
      <c r="AH41" s="17">
        <v>10.7</v>
      </c>
      <c r="AI41" s="17">
        <v>10.633333333333301</v>
      </c>
      <c r="AJ41" s="17">
        <v>10.533333333333299</v>
      </c>
      <c r="AK41" s="17">
        <v>10.366666666666699</v>
      </c>
      <c r="AL41" s="17">
        <v>9.7333333333333307</v>
      </c>
      <c r="AM41" s="17">
        <v>9.5</v>
      </c>
      <c r="AN41" s="19">
        <v>9.4666666666666703</v>
      </c>
      <c r="AO41" s="19">
        <v>9.1333333333333293</v>
      </c>
      <c r="AP41" s="19">
        <v>8.8333333333333304</v>
      </c>
      <c r="AQ41" s="19">
        <v>8.8000000000000007</v>
      </c>
      <c r="AR41" s="19">
        <v>8.6666666666666696</v>
      </c>
      <c r="AS41" s="19">
        <v>8.5333333333333297</v>
      </c>
      <c r="AT41" s="19">
        <v>8.3000000000000007</v>
      </c>
      <c r="AU41" s="19">
        <v>7.93333333333333</v>
      </c>
      <c r="AV41" s="17">
        <v>7.5333333333333297</v>
      </c>
      <c r="AW41" s="17">
        <v>7.2333333333333298</v>
      </c>
      <c r="AX41" s="17">
        <v>7.1</v>
      </c>
      <c r="AY41" s="17">
        <v>6.8</v>
      </c>
      <c r="AZ41" s="17">
        <v>6.5</v>
      </c>
      <c r="BA41" s="17">
        <v>6.1666666666666696</v>
      </c>
      <c r="BB41" s="35" t="str">
        <f t="shared" si="0"/>
        <v>Oregon</v>
      </c>
      <c r="BC41" s="19">
        <v>5.7666666666666702</v>
      </c>
      <c r="BD41" s="19">
        <v>5.56666666666667</v>
      </c>
      <c r="BE41" s="19">
        <v>5.4</v>
      </c>
      <c r="BF41" s="19">
        <v>5.0999999999999996</v>
      </c>
      <c r="BG41" s="17">
        <v>4.93333333333333</v>
      </c>
      <c r="BH41" s="17">
        <v>4.9000000000000004</v>
      </c>
      <c r="BI41" s="17">
        <v>4.8</v>
      </c>
      <c r="BJ41" s="17">
        <v>4.3666666666666698</v>
      </c>
      <c r="BK41" s="17">
        <v>4.0333333333333297</v>
      </c>
      <c r="BL41" s="17">
        <v>3.9666666666666699</v>
      </c>
      <c r="BM41" s="17">
        <v>4.0999999999999996</v>
      </c>
      <c r="BN41" s="17">
        <v>4.1666666666666696</v>
      </c>
      <c r="BO41" s="17">
        <v>4.06666666666667</v>
      </c>
      <c r="BP41" s="17">
        <v>3.8666666666666698</v>
      </c>
      <c r="BQ41" s="17">
        <v>3.9666666666666699</v>
      </c>
      <c r="BR41" s="17">
        <v>4.2333333333333298</v>
      </c>
      <c r="BS41" s="17">
        <v>4.0999999999999996</v>
      </c>
      <c r="BT41" s="17">
        <v>3.8</v>
      </c>
      <c r="BU41" s="17">
        <v>3.6</v>
      </c>
      <c r="BV41" s="17">
        <v>3.4</v>
      </c>
      <c r="BW41" s="35" t="str">
        <f>Table13[[#This Row],[State]]</f>
        <v>Oregon</v>
      </c>
      <c r="BX41" s="17">
        <v>3.56666666666667</v>
      </c>
      <c r="BY41" s="17">
        <v>11.9</v>
      </c>
      <c r="BZ41" s="17">
        <v>8.1999999999999993</v>
      </c>
      <c r="CA41" s="17">
        <v>6.6333333333333302</v>
      </c>
      <c r="CB41" s="17">
        <v>6.2</v>
      </c>
      <c r="CC41" s="17">
        <v>5.6666666666666696</v>
      </c>
      <c r="CD41" s="17">
        <v>4.7</v>
      </c>
      <c r="CE41" s="17">
        <v>4.0333333333333297</v>
      </c>
      <c r="CF41" s="17">
        <v>3.8</v>
      </c>
      <c r="CG41" s="17">
        <v>3.8</v>
      </c>
      <c r="CH41" s="17">
        <v>4</v>
      </c>
      <c r="CI41" s="17">
        <v>4.0999999999999996</v>
      </c>
      <c r="CJ41" s="17">
        <v>3.7</v>
      </c>
      <c r="CK41" s="17">
        <v>3.6</v>
      </c>
      <c r="CL41" s="17">
        <v>3.7666666666666702</v>
      </c>
      <c r="CM41" s="17">
        <v>3.9666666666666699</v>
      </c>
      <c r="CN41" s="17">
        <v>4.0999999999999996</v>
      </c>
      <c r="CO41" s="17">
        <v>4.0999999999999996</v>
      </c>
      <c r="CP41" s="17">
        <v>4.2</v>
      </c>
      <c r="CQ41" s="17">
        <v>4.3</v>
      </c>
      <c r="CR41" s="42" t="str">
        <f>Table13[[#This Row],[ State]]</f>
        <v>Oregon</v>
      </c>
      <c r="CS41" s="17">
        <v>4.5</v>
      </c>
      <c r="CT41" s="17">
        <v>4.8</v>
      </c>
      <c r="CU41" s="17">
        <v>5.0333333333333297</v>
      </c>
      <c r="CV41" s="111"/>
      <c r="CW41" s="42" t="s">
        <v>221</v>
      </c>
      <c r="CX41" s="52">
        <v>9.9</v>
      </c>
      <c r="CY41" s="53">
        <v>9.6999999999999993</v>
      </c>
      <c r="CZ41" s="53">
        <v>9.6</v>
      </c>
      <c r="DA41" s="53">
        <v>9.5</v>
      </c>
      <c r="DB41" s="53">
        <v>9.5</v>
      </c>
      <c r="DC41" s="53">
        <v>9.5</v>
      </c>
      <c r="DD41" s="53">
        <v>9.5</v>
      </c>
      <c r="DE41" s="53">
        <v>9.5</v>
      </c>
      <c r="DF41" s="53">
        <v>9.4</v>
      </c>
      <c r="DG41" s="53">
        <v>9.3000000000000007</v>
      </c>
      <c r="DH41" s="53">
        <v>9.1</v>
      </c>
      <c r="DI41" s="53">
        <v>9</v>
      </c>
      <c r="DJ41" s="53">
        <v>8.9</v>
      </c>
      <c r="DK41" s="53">
        <v>8.8000000000000007</v>
      </c>
      <c r="DL41" s="53">
        <v>8.8000000000000007</v>
      </c>
      <c r="DM41" s="53">
        <v>8.8000000000000007</v>
      </c>
      <c r="DN41" s="53">
        <v>8.8000000000000007</v>
      </c>
      <c r="DO41" s="53">
        <v>8.8000000000000007</v>
      </c>
      <c r="DP41" s="53">
        <v>8.6999999999999993</v>
      </c>
      <c r="DQ41" s="53">
        <v>8.6999999999999993</v>
      </c>
      <c r="DR41" s="53">
        <v>8.6</v>
      </c>
      <c r="DS41" s="53">
        <v>8.6</v>
      </c>
      <c r="DT41" s="53">
        <v>8.5</v>
      </c>
      <c r="DU41" s="63">
        <v>8.5</v>
      </c>
      <c r="DV41" s="54" t="s">
        <v>221</v>
      </c>
      <c r="DW41" s="53">
        <v>8.4</v>
      </c>
      <c r="DX41" s="53">
        <v>8.3000000000000007</v>
      </c>
      <c r="DY41" s="53">
        <v>8.1999999999999993</v>
      </c>
      <c r="DZ41" s="53">
        <v>8.1</v>
      </c>
      <c r="EA41" s="53">
        <v>7.9</v>
      </c>
      <c r="EB41" s="53">
        <v>7.8</v>
      </c>
      <c r="EC41" s="53">
        <v>7.7</v>
      </c>
      <c r="ED41" s="53">
        <v>7.5</v>
      </c>
      <c r="EE41" s="53">
        <v>7.4</v>
      </c>
      <c r="EF41" s="53">
        <v>7.3</v>
      </c>
      <c r="EG41" s="55">
        <v>7.2</v>
      </c>
      <c r="EH41" s="55">
        <v>7.2</v>
      </c>
      <c r="EI41" s="55">
        <v>7.2</v>
      </c>
      <c r="EJ41" s="55">
        <v>7.1</v>
      </c>
      <c r="EK41" s="53">
        <v>7</v>
      </c>
      <c r="EL41" s="55">
        <v>6.9</v>
      </c>
      <c r="EM41" s="55">
        <v>6.8</v>
      </c>
      <c r="EN41" s="55">
        <v>6.7</v>
      </c>
      <c r="EO41" s="55">
        <v>6.6</v>
      </c>
      <c r="EP41" s="55">
        <v>6.5</v>
      </c>
      <c r="EQ41" s="55">
        <v>6.4</v>
      </c>
      <c r="ER41" s="53">
        <v>6.3</v>
      </c>
      <c r="ES41" s="55">
        <v>6.2</v>
      </c>
      <c r="ET41" s="56">
        <v>6</v>
      </c>
      <c r="EU41" s="54" t="s">
        <v>221</v>
      </c>
      <c r="EV41" s="53">
        <v>5.8</v>
      </c>
      <c r="EW41" s="55">
        <v>5.8</v>
      </c>
      <c r="EX41" s="55">
        <v>5.7</v>
      </c>
      <c r="EY41" s="55">
        <v>5.6</v>
      </c>
      <c r="EZ41" s="55">
        <v>5.6</v>
      </c>
      <c r="FA41" s="55">
        <v>5.5</v>
      </c>
      <c r="FB41" s="55">
        <v>5.5</v>
      </c>
      <c r="FC41" s="55">
        <v>5.4</v>
      </c>
      <c r="FD41" s="55">
        <v>5.3</v>
      </c>
      <c r="FE41" s="55">
        <v>5.2</v>
      </c>
      <c r="FF41" s="55">
        <v>5.0999999999999996</v>
      </c>
      <c r="FG41" s="55">
        <v>5</v>
      </c>
      <c r="FH41" s="55">
        <v>5</v>
      </c>
      <c r="FI41" s="55">
        <v>4.9000000000000004</v>
      </c>
      <c r="FJ41" s="55">
        <v>4.9000000000000004</v>
      </c>
      <c r="FK41" s="55">
        <v>4.9000000000000004</v>
      </c>
      <c r="FL41" s="55">
        <v>4.9000000000000004</v>
      </c>
      <c r="FM41" s="55">
        <v>4.9000000000000004</v>
      </c>
      <c r="FN41" s="55">
        <v>4.9000000000000004</v>
      </c>
      <c r="FO41" s="55">
        <v>4.8</v>
      </c>
      <c r="FP41" s="55">
        <v>4.7</v>
      </c>
      <c r="FQ41" s="55">
        <v>4.5</v>
      </c>
      <c r="FR41" s="55">
        <v>4.4000000000000004</v>
      </c>
      <c r="FS41" s="56">
        <v>4.2</v>
      </c>
      <c r="FT41" s="54" t="s">
        <v>221</v>
      </c>
      <c r="FU41" s="53">
        <v>4.0999999999999996</v>
      </c>
      <c r="FV41" s="55">
        <v>4</v>
      </c>
      <c r="FW41" s="55">
        <v>4</v>
      </c>
      <c r="FX41" s="55">
        <v>3.9</v>
      </c>
      <c r="FY41" s="55">
        <v>4</v>
      </c>
      <c r="FZ41" s="55">
        <v>4</v>
      </c>
      <c r="GA41" s="55">
        <v>4.0999999999999996</v>
      </c>
      <c r="GB41" s="55">
        <v>4.0999999999999996</v>
      </c>
      <c r="GC41" s="55">
        <v>4.0999999999999996</v>
      </c>
      <c r="GD41" s="55">
        <v>4.2</v>
      </c>
      <c r="GE41" s="55">
        <v>4.2</v>
      </c>
      <c r="GF41" s="55">
        <v>4.0999999999999996</v>
      </c>
      <c r="GG41" s="55">
        <v>4.0999999999999996</v>
      </c>
      <c r="GH41" s="55">
        <v>4.0999999999999996</v>
      </c>
      <c r="GI41" s="55">
        <v>4</v>
      </c>
      <c r="GJ41" s="55">
        <v>3.9</v>
      </c>
      <c r="GK41" s="55">
        <v>3.9</v>
      </c>
      <c r="GL41" s="55">
        <v>3.8</v>
      </c>
      <c r="GM41" s="55">
        <v>3.9</v>
      </c>
      <c r="GN41" s="55">
        <v>3.9</v>
      </c>
      <c r="GO41" s="55">
        <v>4.0999999999999996</v>
      </c>
      <c r="GP41" s="55">
        <v>4.2</v>
      </c>
      <c r="GQ41" s="55">
        <v>4.2</v>
      </c>
      <c r="GR41" s="55">
        <v>4.3</v>
      </c>
      <c r="GS41" s="54" t="s">
        <v>221</v>
      </c>
      <c r="GT41" s="55">
        <v>4.2</v>
      </c>
      <c r="GU41" s="55">
        <v>4.0999999999999996</v>
      </c>
      <c r="GV41" s="55">
        <v>4</v>
      </c>
      <c r="GW41" s="55">
        <v>3.9</v>
      </c>
      <c r="GX41" s="55">
        <v>3.8</v>
      </c>
      <c r="GY41" s="55">
        <v>3.7</v>
      </c>
      <c r="GZ41" s="55">
        <v>3.7</v>
      </c>
      <c r="HA41" s="55">
        <v>3.6</v>
      </c>
      <c r="HB41" s="55">
        <v>3.5</v>
      </c>
      <c r="HC41" s="55">
        <v>3.4</v>
      </c>
      <c r="HD41" s="55">
        <v>3.4</v>
      </c>
      <c r="HE41" s="55">
        <v>3.4</v>
      </c>
      <c r="HF41" s="55">
        <v>3.4</v>
      </c>
      <c r="HG41" s="55">
        <v>3.6</v>
      </c>
      <c r="HH41" s="55">
        <v>3.7</v>
      </c>
      <c r="HI41" s="55">
        <v>13.7</v>
      </c>
      <c r="HJ41" s="55">
        <v>11.8</v>
      </c>
      <c r="HK41" s="55">
        <v>10.199999999999999</v>
      </c>
      <c r="HL41" s="55">
        <v>9.1999999999999993</v>
      </c>
      <c r="HM41" s="55">
        <v>7.9</v>
      </c>
      <c r="HN41" s="55">
        <v>7.5</v>
      </c>
      <c r="HO41" s="55">
        <v>6.8</v>
      </c>
      <c r="HP41" s="55">
        <v>6.6</v>
      </c>
      <c r="HQ41" s="56">
        <v>6.5</v>
      </c>
      <c r="HR41" s="54" t="s">
        <v>221</v>
      </c>
      <c r="HS41" s="55">
        <v>6.3</v>
      </c>
      <c r="HT41" s="55">
        <v>6.2</v>
      </c>
      <c r="HU41" s="55">
        <v>6.1</v>
      </c>
      <c r="HV41" s="55">
        <v>6</v>
      </c>
      <c r="HW41" s="55">
        <v>5.6</v>
      </c>
      <c r="HX41" s="55">
        <v>5.4</v>
      </c>
      <c r="HY41" s="55">
        <v>5</v>
      </c>
      <c r="HZ41" s="55">
        <v>4.7</v>
      </c>
      <c r="IA41" s="55">
        <v>4.4000000000000004</v>
      </c>
      <c r="IB41" s="55">
        <v>4.2</v>
      </c>
      <c r="IC41" s="55">
        <v>4</v>
      </c>
      <c r="ID41" s="55">
        <v>3.9</v>
      </c>
      <c r="IE41" s="55">
        <v>3.9</v>
      </c>
      <c r="IF41" s="55">
        <v>3.8</v>
      </c>
      <c r="IG41" s="55">
        <v>3.7</v>
      </c>
      <c r="IH41" s="55">
        <v>3.7</v>
      </c>
      <c r="II41" s="55">
        <v>3.8</v>
      </c>
      <c r="IJ41" s="55">
        <v>3.9</v>
      </c>
      <c r="IK41" s="55">
        <v>3.9</v>
      </c>
      <c r="IL41" s="55">
        <v>4</v>
      </c>
      <c r="IM41" s="55">
        <v>4.0999999999999996</v>
      </c>
      <c r="IN41" s="55">
        <v>4.2</v>
      </c>
      <c r="IO41" s="55">
        <v>4.0999999999999996</v>
      </c>
      <c r="IP41" s="56">
        <v>4</v>
      </c>
      <c r="IQ41" s="54" t="s">
        <v>221</v>
      </c>
      <c r="IR41" s="55">
        <v>3.8</v>
      </c>
      <c r="IS41" s="55">
        <v>3.7</v>
      </c>
      <c r="IT41" s="55">
        <v>3.6</v>
      </c>
      <c r="IU41" s="55">
        <v>3.6</v>
      </c>
      <c r="IV41" s="55">
        <v>3.6</v>
      </c>
      <c r="IW41" s="55">
        <v>3.6</v>
      </c>
      <c r="IX41" s="55">
        <v>3.7</v>
      </c>
      <c r="IY41" s="55">
        <v>3.8</v>
      </c>
      <c r="IZ41" s="55">
        <v>3.8</v>
      </c>
      <c r="JA41" s="55">
        <v>3.9</v>
      </c>
      <c r="JB41" s="55">
        <v>4</v>
      </c>
      <c r="JC41" s="55">
        <v>4</v>
      </c>
      <c r="JD41" s="55">
        <v>4.0999999999999996</v>
      </c>
      <c r="JE41" s="55">
        <v>4.0999999999999996</v>
      </c>
      <c r="JF41" s="55">
        <v>4.0999999999999996</v>
      </c>
      <c r="JG41" s="55">
        <v>4.0999999999999996</v>
      </c>
      <c r="JH41" s="55">
        <v>4.0999999999999996</v>
      </c>
      <c r="JI41" s="55">
        <v>4.0999999999999996</v>
      </c>
      <c r="JJ41" s="55">
        <v>4.2</v>
      </c>
      <c r="JK41" s="55">
        <v>4.2</v>
      </c>
      <c r="JL41" s="55">
        <v>4.2</v>
      </c>
      <c r="JM41" s="55">
        <v>4.3</v>
      </c>
      <c r="JN41" s="55">
        <v>4.3</v>
      </c>
      <c r="JO41" s="56">
        <v>4.3</v>
      </c>
      <c r="JP41" s="54" t="s">
        <v>221</v>
      </c>
      <c r="JQ41" s="82">
        <v>4.4000000000000004</v>
      </c>
      <c r="JR41" s="82">
        <v>4.5</v>
      </c>
      <c r="JS41" s="82">
        <v>4.5999999999999996</v>
      </c>
      <c r="JT41" s="82">
        <v>4.7</v>
      </c>
      <c r="JU41" s="82">
        <v>4.8</v>
      </c>
      <c r="JV41" s="82">
        <v>4.9000000000000004</v>
      </c>
      <c r="JW41" s="82">
        <v>4.9000000000000004</v>
      </c>
      <c r="JX41" s="82">
        <v>5</v>
      </c>
      <c r="JY41" s="82">
        <v>5.2</v>
      </c>
      <c r="JZ41" s="82" t="s">
        <v>402</v>
      </c>
      <c r="KA41" s="83">
        <v>5.2</v>
      </c>
    </row>
    <row r="42" spans="2:287" x14ac:dyDescent="0.3">
      <c r="B42" s="39" t="s">
        <v>222</v>
      </c>
      <c r="C42" s="17">
        <v>4.2250000000000005</v>
      </c>
      <c r="D42" s="17">
        <v>4.8250000000000002</v>
      </c>
      <c r="E42" s="17">
        <v>5.5416666666666643</v>
      </c>
      <c r="F42" s="17">
        <v>5.6999999999999993</v>
      </c>
      <c r="G42" s="17">
        <v>5.3416666666666659</v>
      </c>
      <c r="H42" s="17">
        <v>4.9916666666666671</v>
      </c>
      <c r="I42" s="17">
        <v>4.7249999999999996</v>
      </c>
      <c r="J42" s="17">
        <v>4.5916666666666677</v>
      </c>
      <c r="K42" s="17">
        <v>5.3833333333333329</v>
      </c>
      <c r="L42" s="17">
        <v>8.0166666666666657</v>
      </c>
      <c r="M42" s="17">
        <v>8.1166666666666671</v>
      </c>
      <c r="N42" s="17">
        <v>7.7</v>
      </c>
      <c r="O42" s="19">
        <v>7.5833333333333357</v>
      </c>
      <c r="P42" s="19">
        <v>7.05</v>
      </c>
      <c r="Q42" s="19">
        <v>5.9666666666666677</v>
      </c>
      <c r="R42" s="19">
        <v>5.4166666666666679</v>
      </c>
      <c r="S42" s="19">
        <v>5.3333333333333348</v>
      </c>
      <c r="T42" s="19">
        <v>4.9750000000000005</v>
      </c>
      <c r="U42" s="19">
        <v>4.4083333333333332</v>
      </c>
      <c r="V42" s="19">
        <v>4.2666666666666657</v>
      </c>
      <c r="W42" s="19">
        <v>8.833333333333325</v>
      </c>
      <c r="X42" s="19">
        <v>5.9000000000000021</v>
      </c>
      <c r="Y42" s="19">
        <v>4.125</v>
      </c>
      <c r="Z42" s="19">
        <v>3.658333333333335</v>
      </c>
      <c r="AA42" s="19">
        <v>3.6416666666666648</v>
      </c>
      <c r="AB42" s="96"/>
      <c r="AC42" s="36" t="str">
        <f>Table11[[#This Row],[State]]</f>
        <v>Pennsylvania</v>
      </c>
      <c r="AD42" s="27">
        <v>7.4666666666666703</v>
      </c>
      <c r="AE42" s="27">
        <v>8.1333333333333293</v>
      </c>
      <c r="AF42" s="27">
        <v>8.2333333333333307</v>
      </c>
      <c r="AG42" s="27">
        <v>8.2333333333333307</v>
      </c>
      <c r="AH42" s="27">
        <v>8.4</v>
      </c>
      <c r="AI42" s="27">
        <v>8.1999999999999993</v>
      </c>
      <c r="AJ42" s="27">
        <v>8</v>
      </c>
      <c r="AK42" s="27">
        <v>7.8666666666666698</v>
      </c>
      <c r="AL42" s="27">
        <v>7.6333333333333302</v>
      </c>
      <c r="AM42" s="27">
        <v>7.6666666666666696</v>
      </c>
      <c r="AN42" s="27">
        <v>7.8</v>
      </c>
      <c r="AO42" s="27">
        <v>7.7</v>
      </c>
      <c r="AP42" s="27">
        <v>7.4666666666666703</v>
      </c>
      <c r="AQ42" s="27">
        <v>7.6</v>
      </c>
      <c r="AR42" s="27">
        <v>7.6666666666666696</v>
      </c>
      <c r="AS42" s="27">
        <v>7.6</v>
      </c>
      <c r="AT42" s="27">
        <v>7.4</v>
      </c>
      <c r="AU42" s="27">
        <v>7.1333333333333302</v>
      </c>
      <c r="AV42" s="27">
        <v>6.9666666666666703</v>
      </c>
      <c r="AW42" s="27">
        <v>6.7</v>
      </c>
      <c r="AX42" s="27">
        <v>6.4</v>
      </c>
      <c r="AY42" s="27">
        <v>6.1</v>
      </c>
      <c r="AZ42" s="27">
        <v>5.8</v>
      </c>
      <c r="BA42" s="27">
        <v>5.56666666666667</v>
      </c>
      <c r="BB42" s="36" t="str">
        <f t="shared" si="0"/>
        <v>Pennsylvania</v>
      </c>
      <c r="BC42" s="27">
        <v>5.56666666666667</v>
      </c>
      <c r="BD42" s="27">
        <v>5.4666666666666703</v>
      </c>
      <c r="BE42" s="27">
        <v>5.3333333333333304</v>
      </c>
      <c r="BF42" s="27">
        <v>5.3</v>
      </c>
      <c r="BG42" s="27">
        <v>5.3</v>
      </c>
      <c r="BH42" s="27">
        <v>5.4</v>
      </c>
      <c r="BI42" s="27">
        <v>5.3666666666666698</v>
      </c>
      <c r="BJ42" s="27">
        <v>5.2666666666666702</v>
      </c>
      <c r="BK42" s="27">
        <v>5.1333333333333302</v>
      </c>
      <c r="BL42" s="27">
        <v>4.9666666666666703</v>
      </c>
      <c r="BM42" s="27">
        <v>4.9000000000000004</v>
      </c>
      <c r="BN42" s="27">
        <v>4.9000000000000004</v>
      </c>
      <c r="BO42" s="27">
        <v>4.7</v>
      </c>
      <c r="BP42" s="27">
        <v>4.4000000000000004</v>
      </c>
      <c r="BQ42" s="27">
        <v>4.2333333333333298</v>
      </c>
      <c r="BR42" s="27">
        <v>4.3</v>
      </c>
      <c r="BS42" s="27">
        <v>4.3</v>
      </c>
      <c r="BT42" s="27">
        <v>4.2</v>
      </c>
      <c r="BU42" s="27">
        <v>4.2333333333333298</v>
      </c>
      <c r="BV42" s="27">
        <v>4.3333333333333304</v>
      </c>
      <c r="BW42" s="36" t="str">
        <f>Table13[[#This Row],[State]]</f>
        <v>Pennsylvania</v>
      </c>
      <c r="BX42" s="27">
        <v>4.5999999999999996</v>
      </c>
      <c r="BY42" s="27">
        <v>13.4333333333333</v>
      </c>
      <c r="BZ42" s="27">
        <v>9.4666666666666703</v>
      </c>
      <c r="CA42" s="27">
        <v>7.8333333333333304</v>
      </c>
      <c r="CB42" s="27">
        <v>7.06666666666667</v>
      </c>
      <c r="CC42" s="27">
        <v>6.3</v>
      </c>
      <c r="CD42" s="27">
        <v>5.56666666666667</v>
      </c>
      <c r="CE42" s="27">
        <v>4.6666666666666696</v>
      </c>
      <c r="CF42" s="27">
        <v>4.2333333333333298</v>
      </c>
      <c r="CG42" s="27">
        <v>4.2</v>
      </c>
      <c r="CH42" s="27">
        <v>4.0999999999999996</v>
      </c>
      <c r="CI42" s="27">
        <v>3.9666666666666699</v>
      </c>
      <c r="CJ42" s="27">
        <v>3.8</v>
      </c>
      <c r="CK42" s="27">
        <v>3.56666666666667</v>
      </c>
      <c r="CL42" s="27">
        <v>3.56666666666667</v>
      </c>
      <c r="CM42" s="27">
        <v>3.7</v>
      </c>
      <c r="CN42" s="27">
        <v>3.6333333333333302</v>
      </c>
      <c r="CO42" s="27">
        <v>3.6</v>
      </c>
      <c r="CP42" s="27">
        <v>3.6333333333333302</v>
      </c>
      <c r="CQ42" s="27">
        <v>3.7</v>
      </c>
      <c r="CR42" s="79" t="str">
        <f>Table13[[#This Row],[ State]]</f>
        <v>Pennsylvania</v>
      </c>
      <c r="CS42" s="27">
        <v>3.8</v>
      </c>
      <c r="CT42" s="27">
        <v>3.93333333333333</v>
      </c>
      <c r="CU42" s="27">
        <v>4.0333333333333297</v>
      </c>
      <c r="CV42" s="111"/>
      <c r="CW42" s="41" t="s">
        <v>222</v>
      </c>
      <c r="CX42" s="47">
        <v>7.7</v>
      </c>
      <c r="CY42" s="48">
        <v>7.6</v>
      </c>
      <c r="CZ42" s="48">
        <v>7.6</v>
      </c>
      <c r="DA42" s="48">
        <v>7.6</v>
      </c>
      <c r="DB42" s="48">
        <v>7.7</v>
      </c>
      <c r="DC42" s="48">
        <v>7.7</v>
      </c>
      <c r="DD42" s="48">
        <v>7.8</v>
      </c>
      <c r="DE42" s="48">
        <v>7.8</v>
      </c>
      <c r="DF42" s="48">
        <v>7.8</v>
      </c>
      <c r="DG42" s="48">
        <v>7.8</v>
      </c>
      <c r="DH42" s="48">
        <v>7.7</v>
      </c>
      <c r="DI42" s="48">
        <v>7.6</v>
      </c>
      <c r="DJ42" s="48">
        <v>7.5</v>
      </c>
      <c r="DK42" s="48">
        <v>7.4</v>
      </c>
      <c r="DL42" s="48">
        <v>7.5</v>
      </c>
      <c r="DM42" s="48">
        <v>7.5</v>
      </c>
      <c r="DN42" s="48">
        <v>7.6</v>
      </c>
      <c r="DO42" s="48">
        <v>7.7</v>
      </c>
      <c r="DP42" s="48">
        <v>7.7</v>
      </c>
      <c r="DQ42" s="48">
        <v>7.7</v>
      </c>
      <c r="DR42" s="48">
        <v>7.6</v>
      </c>
      <c r="DS42" s="48">
        <v>7.6</v>
      </c>
      <c r="DT42" s="48">
        <v>7.6</v>
      </c>
      <c r="DU42" s="62">
        <v>7.6</v>
      </c>
      <c r="DV42" s="49" t="s">
        <v>222</v>
      </c>
      <c r="DW42" s="48">
        <v>7.5</v>
      </c>
      <c r="DX42" s="48">
        <v>7.4</v>
      </c>
      <c r="DY42" s="48">
        <v>7.3</v>
      </c>
      <c r="DZ42" s="48">
        <v>7.2</v>
      </c>
      <c r="EA42" s="48">
        <v>7.1</v>
      </c>
      <c r="EB42" s="48">
        <v>7.1</v>
      </c>
      <c r="EC42" s="48">
        <v>7</v>
      </c>
      <c r="ED42" s="48">
        <v>7</v>
      </c>
      <c r="EE42" s="48">
        <v>6.9</v>
      </c>
      <c r="EF42" s="48">
        <v>6.8</v>
      </c>
      <c r="EG42" s="50">
        <v>6.7</v>
      </c>
      <c r="EH42" s="50">
        <v>6.6</v>
      </c>
      <c r="EI42" s="50">
        <v>6.5</v>
      </c>
      <c r="EJ42" s="50">
        <v>6.4</v>
      </c>
      <c r="EK42" s="48">
        <v>6.3</v>
      </c>
      <c r="EL42" s="50">
        <v>6.2</v>
      </c>
      <c r="EM42" s="50">
        <v>6.1</v>
      </c>
      <c r="EN42" s="50">
        <v>6</v>
      </c>
      <c r="EO42" s="50">
        <v>5.9</v>
      </c>
      <c r="EP42" s="50">
        <v>5.8</v>
      </c>
      <c r="EQ42" s="50">
        <v>5.7</v>
      </c>
      <c r="ER42" s="48">
        <v>5.6</v>
      </c>
      <c r="ES42" s="50">
        <v>5.6</v>
      </c>
      <c r="ET42" s="51">
        <v>5.5</v>
      </c>
      <c r="EU42" s="49" t="s">
        <v>222</v>
      </c>
      <c r="EV42" s="48">
        <v>5.5</v>
      </c>
      <c r="EW42" s="50">
        <v>5.6</v>
      </c>
      <c r="EX42" s="50">
        <v>5.6</v>
      </c>
      <c r="EY42" s="50">
        <v>5.5</v>
      </c>
      <c r="EZ42" s="50">
        <v>5.5</v>
      </c>
      <c r="FA42" s="50">
        <v>5.4</v>
      </c>
      <c r="FB42" s="50">
        <v>5.4</v>
      </c>
      <c r="FC42" s="50">
        <v>5.3</v>
      </c>
      <c r="FD42" s="50">
        <v>5.3</v>
      </c>
      <c r="FE42" s="50">
        <v>5.3</v>
      </c>
      <c r="FF42" s="50">
        <v>5.3</v>
      </c>
      <c r="FG42" s="50">
        <v>5.3</v>
      </c>
      <c r="FH42" s="50">
        <v>5.3</v>
      </c>
      <c r="FI42" s="50">
        <v>5.3</v>
      </c>
      <c r="FJ42" s="50">
        <v>5.3</v>
      </c>
      <c r="FK42" s="50">
        <v>5.4</v>
      </c>
      <c r="FL42" s="50">
        <v>5.4</v>
      </c>
      <c r="FM42" s="50">
        <v>5.4</v>
      </c>
      <c r="FN42" s="50">
        <v>5.4</v>
      </c>
      <c r="FO42" s="50">
        <v>5.4</v>
      </c>
      <c r="FP42" s="50">
        <v>5.3</v>
      </c>
      <c r="FQ42" s="50">
        <v>5.3</v>
      </c>
      <c r="FR42" s="50">
        <v>5.3</v>
      </c>
      <c r="FS42" s="51">
        <v>5.2</v>
      </c>
      <c r="FT42" s="49" t="s">
        <v>222</v>
      </c>
      <c r="FU42" s="48">
        <v>5.2</v>
      </c>
      <c r="FV42" s="50">
        <v>5.0999999999999996</v>
      </c>
      <c r="FW42" s="50">
        <v>5.0999999999999996</v>
      </c>
      <c r="FX42" s="50">
        <v>5</v>
      </c>
      <c r="FY42" s="50">
        <v>5</v>
      </c>
      <c r="FZ42" s="50">
        <v>4.9000000000000004</v>
      </c>
      <c r="GA42" s="50">
        <v>4.9000000000000004</v>
      </c>
      <c r="GB42" s="50">
        <v>4.9000000000000004</v>
      </c>
      <c r="GC42" s="50">
        <v>4.9000000000000004</v>
      </c>
      <c r="GD42" s="50">
        <v>4.9000000000000004</v>
      </c>
      <c r="GE42" s="50">
        <v>4.9000000000000004</v>
      </c>
      <c r="GF42" s="50">
        <v>4.9000000000000004</v>
      </c>
      <c r="GG42" s="50">
        <v>4.8</v>
      </c>
      <c r="GH42" s="50">
        <v>4.7</v>
      </c>
      <c r="GI42" s="50">
        <v>4.5999999999999996</v>
      </c>
      <c r="GJ42" s="50">
        <v>4.5</v>
      </c>
      <c r="GK42" s="50">
        <v>4.4000000000000004</v>
      </c>
      <c r="GL42" s="50">
        <v>4.3</v>
      </c>
      <c r="GM42" s="50">
        <v>4.3</v>
      </c>
      <c r="GN42" s="50">
        <v>4.2</v>
      </c>
      <c r="GO42" s="50">
        <v>4.2</v>
      </c>
      <c r="GP42" s="50">
        <v>4.3</v>
      </c>
      <c r="GQ42" s="50">
        <v>4.3</v>
      </c>
      <c r="GR42" s="50">
        <v>4.3</v>
      </c>
      <c r="GS42" s="49" t="s">
        <v>222</v>
      </c>
      <c r="GT42" s="50">
        <v>4.3</v>
      </c>
      <c r="GU42" s="50">
        <v>4.3</v>
      </c>
      <c r="GV42" s="50">
        <v>4.3</v>
      </c>
      <c r="GW42" s="50">
        <v>4.2</v>
      </c>
      <c r="GX42" s="50">
        <v>4.2</v>
      </c>
      <c r="GY42" s="50">
        <v>4.2</v>
      </c>
      <c r="GZ42" s="50">
        <v>4.2</v>
      </c>
      <c r="HA42" s="50">
        <v>4.2</v>
      </c>
      <c r="HB42" s="50">
        <v>4.3</v>
      </c>
      <c r="HC42" s="50">
        <v>4.3</v>
      </c>
      <c r="HD42" s="50">
        <v>4.3</v>
      </c>
      <c r="HE42" s="50">
        <v>4.4000000000000004</v>
      </c>
      <c r="HF42" s="50">
        <v>4.4000000000000004</v>
      </c>
      <c r="HG42" s="50">
        <v>4.5999999999999996</v>
      </c>
      <c r="HH42" s="50">
        <v>4.8</v>
      </c>
      <c r="HI42" s="50">
        <v>16.100000000000001</v>
      </c>
      <c r="HJ42" s="50">
        <v>12.9</v>
      </c>
      <c r="HK42" s="50">
        <v>11.3</v>
      </c>
      <c r="HL42" s="50">
        <v>10.4</v>
      </c>
      <c r="HM42" s="50">
        <v>9.3000000000000007</v>
      </c>
      <c r="HN42" s="50">
        <v>8.6999999999999993</v>
      </c>
      <c r="HO42" s="50">
        <v>8.1</v>
      </c>
      <c r="HP42" s="50">
        <v>7.8</v>
      </c>
      <c r="HQ42" s="51">
        <v>7.6</v>
      </c>
      <c r="HR42" s="49" t="s">
        <v>222</v>
      </c>
      <c r="HS42" s="50">
        <v>7.3</v>
      </c>
      <c r="HT42" s="50">
        <v>7.1</v>
      </c>
      <c r="HU42" s="50">
        <v>6.8</v>
      </c>
      <c r="HV42" s="50">
        <v>6.5</v>
      </c>
      <c r="HW42" s="50">
        <v>6.3</v>
      </c>
      <c r="HX42" s="50">
        <v>6.1</v>
      </c>
      <c r="HY42" s="50">
        <v>5.9</v>
      </c>
      <c r="HZ42" s="50">
        <v>5.6</v>
      </c>
      <c r="IA42" s="50">
        <v>5.2</v>
      </c>
      <c r="IB42" s="50">
        <v>4.9000000000000004</v>
      </c>
      <c r="IC42" s="50">
        <v>4.7</v>
      </c>
      <c r="ID42" s="50">
        <v>4.4000000000000004</v>
      </c>
      <c r="IE42" s="50">
        <v>4.3</v>
      </c>
      <c r="IF42" s="50">
        <v>4.2</v>
      </c>
      <c r="IG42" s="50">
        <v>4.2</v>
      </c>
      <c r="IH42" s="50">
        <v>4.2</v>
      </c>
      <c r="II42" s="50">
        <v>4.2</v>
      </c>
      <c r="IJ42" s="50">
        <v>4.2</v>
      </c>
      <c r="IK42" s="50">
        <v>4.0999999999999996</v>
      </c>
      <c r="IL42" s="50">
        <v>4.0999999999999996</v>
      </c>
      <c r="IM42" s="50">
        <v>4.0999999999999996</v>
      </c>
      <c r="IN42" s="50">
        <v>4</v>
      </c>
      <c r="IO42" s="50">
        <v>4</v>
      </c>
      <c r="IP42" s="51">
        <v>3.9</v>
      </c>
      <c r="IQ42" s="49" t="s">
        <v>222</v>
      </c>
      <c r="IR42" s="50">
        <v>3.9</v>
      </c>
      <c r="IS42" s="50">
        <v>3.8</v>
      </c>
      <c r="IT42" s="50">
        <v>3.7</v>
      </c>
      <c r="IU42" s="50">
        <v>3.6</v>
      </c>
      <c r="IV42" s="50">
        <v>3.6</v>
      </c>
      <c r="IW42" s="50">
        <v>3.5</v>
      </c>
      <c r="IX42" s="50">
        <v>3.5</v>
      </c>
      <c r="IY42" s="50">
        <v>3.6</v>
      </c>
      <c r="IZ42" s="50">
        <v>3.6</v>
      </c>
      <c r="JA42" s="50">
        <v>3.7</v>
      </c>
      <c r="JB42" s="50">
        <v>3.7</v>
      </c>
      <c r="JC42" s="50">
        <v>3.7</v>
      </c>
      <c r="JD42" s="50">
        <v>3.7</v>
      </c>
      <c r="JE42" s="50">
        <v>3.6</v>
      </c>
      <c r="JF42" s="50">
        <v>3.6</v>
      </c>
      <c r="JG42" s="50">
        <v>3.6</v>
      </c>
      <c r="JH42" s="50">
        <v>3.6</v>
      </c>
      <c r="JI42" s="50">
        <v>3.6</v>
      </c>
      <c r="JJ42" s="50">
        <v>3.6</v>
      </c>
      <c r="JK42" s="50">
        <v>3.6</v>
      </c>
      <c r="JL42" s="50">
        <v>3.7</v>
      </c>
      <c r="JM42" s="50">
        <v>3.7</v>
      </c>
      <c r="JN42" s="50">
        <v>3.7</v>
      </c>
      <c r="JO42" s="51">
        <v>3.7</v>
      </c>
      <c r="JP42" s="49" t="s">
        <v>222</v>
      </c>
      <c r="JQ42" s="80">
        <v>3.8</v>
      </c>
      <c r="JR42" s="80">
        <v>3.8</v>
      </c>
      <c r="JS42" s="80">
        <v>3.8</v>
      </c>
      <c r="JT42" s="80">
        <v>3.9</v>
      </c>
      <c r="JU42" s="80">
        <v>3.9</v>
      </c>
      <c r="JV42" s="80">
        <v>4</v>
      </c>
      <c r="JW42" s="80">
        <v>4</v>
      </c>
      <c r="JX42" s="80">
        <v>4</v>
      </c>
      <c r="JY42" s="80">
        <v>4.0999999999999996</v>
      </c>
      <c r="JZ42" s="80" t="s">
        <v>402</v>
      </c>
      <c r="KA42" s="81">
        <v>4.2</v>
      </c>
    </row>
    <row r="43" spans="2:287" x14ac:dyDescent="0.3">
      <c r="B43" s="39" t="s">
        <v>223</v>
      </c>
      <c r="C43" s="17">
        <v>10.149999999999983</v>
      </c>
      <c r="D43" s="17">
        <v>11.341666666666674</v>
      </c>
      <c r="E43" s="17">
        <v>12.23333333333335</v>
      </c>
      <c r="F43" s="17">
        <v>11.966666666666651</v>
      </c>
      <c r="G43" s="17">
        <v>10.58333333333335</v>
      </c>
      <c r="H43" s="17">
        <v>11.266666666666675</v>
      </c>
      <c r="I43" s="17">
        <v>10.591666666666674</v>
      </c>
      <c r="J43" s="17">
        <v>11.158333333333324</v>
      </c>
      <c r="K43" s="17">
        <v>11.791666666666652</v>
      </c>
      <c r="L43" s="17">
        <v>15.375</v>
      </c>
      <c r="M43" s="17">
        <v>16.350000000000001</v>
      </c>
      <c r="N43" s="17">
        <v>15.966666666666676</v>
      </c>
      <c r="O43" s="19">
        <v>14.466666666666674</v>
      </c>
      <c r="P43" s="19">
        <v>14.233333333333325</v>
      </c>
      <c r="Q43" s="19">
        <v>13.83333333333335</v>
      </c>
      <c r="R43" s="19">
        <v>12.058333333333351</v>
      </c>
      <c r="S43" s="19">
        <v>11.75</v>
      </c>
      <c r="T43" s="19">
        <v>10.908333333333324</v>
      </c>
      <c r="U43" s="19">
        <v>9.1750000000000078</v>
      </c>
      <c r="V43" s="19">
        <v>8.2916666666666679</v>
      </c>
      <c r="W43" s="19">
        <v>8.783333333333335</v>
      </c>
      <c r="X43" s="19">
        <v>8.0000000000000036</v>
      </c>
      <c r="Y43" s="19">
        <v>6.0083333333333329</v>
      </c>
      <c r="Z43" s="19">
        <v>5.8999999999999977</v>
      </c>
      <c r="AA43" s="19">
        <v>5.6416666666666675</v>
      </c>
      <c r="AB43" s="96"/>
      <c r="AC43" s="35" t="str">
        <f>Table11[[#This Row],[State]]</f>
        <v>Puerto Rico</v>
      </c>
      <c r="AD43" s="17">
        <v>14.366666666666699</v>
      </c>
      <c r="AE43" s="17">
        <v>15.3</v>
      </c>
      <c r="AF43" s="17">
        <v>15.9</v>
      </c>
      <c r="AG43" s="17">
        <v>15.9333333333333</v>
      </c>
      <c r="AH43" s="17">
        <v>16.3</v>
      </c>
      <c r="AI43" s="17">
        <v>16.933333333333302</v>
      </c>
      <c r="AJ43" s="17">
        <v>16.3</v>
      </c>
      <c r="AK43" s="17">
        <v>15.866666666666699</v>
      </c>
      <c r="AL43" s="17">
        <v>16.366666666666699</v>
      </c>
      <c r="AM43" s="17">
        <v>16.3</v>
      </c>
      <c r="AN43" s="19">
        <v>15.733333333333301</v>
      </c>
      <c r="AO43" s="19">
        <v>15.466666666666701</v>
      </c>
      <c r="AP43" s="19">
        <v>15.1</v>
      </c>
      <c r="AQ43" s="19">
        <v>14.466666666666701</v>
      </c>
      <c r="AR43" s="19">
        <v>14.033333333333299</v>
      </c>
      <c r="AS43" s="19">
        <v>14.266666666666699</v>
      </c>
      <c r="AT43" s="19">
        <v>14.033333333333299</v>
      </c>
      <c r="AU43" s="19">
        <v>13.733333333333301</v>
      </c>
      <c r="AV43" s="17">
        <v>14.266666666666699</v>
      </c>
      <c r="AW43" s="17">
        <v>14.9</v>
      </c>
      <c r="AX43" s="17">
        <v>14.5666666666667</v>
      </c>
      <c r="AY43" s="17">
        <v>13.6666666666667</v>
      </c>
      <c r="AZ43" s="17">
        <v>13.9333333333333</v>
      </c>
      <c r="BA43" s="17">
        <v>13.1666666666667</v>
      </c>
      <c r="BB43" s="35" t="str">
        <f t="shared" si="0"/>
        <v>Puerto Rico</v>
      </c>
      <c r="BC43" s="19">
        <v>12.1</v>
      </c>
      <c r="BD43" s="19">
        <v>12.1</v>
      </c>
      <c r="BE43" s="19">
        <v>12.0666666666667</v>
      </c>
      <c r="BF43" s="19">
        <v>11.966666666666701</v>
      </c>
      <c r="BG43" s="17">
        <v>11.6</v>
      </c>
      <c r="BH43" s="17">
        <v>11.5666666666667</v>
      </c>
      <c r="BI43" s="17">
        <v>11.8333333333333</v>
      </c>
      <c r="BJ43" s="17">
        <v>12</v>
      </c>
      <c r="BK43" s="17">
        <v>11.5</v>
      </c>
      <c r="BL43" s="17">
        <v>10.633333333333301</v>
      </c>
      <c r="BM43" s="17">
        <v>10.533333333333299</v>
      </c>
      <c r="BN43" s="17">
        <v>10.966666666666701</v>
      </c>
      <c r="BO43" s="17">
        <v>10.1666666666667</v>
      </c>
      <c r="BP43" s="17">
        <v>9.4666666666666703</v>
      </c>
      <c r="BQ43" s="17">
        <v>8.7333333333333307</v>
      </c>
      <c r="BR43" s="17">
        <v>8.3333333333333304</v>
      </c>
      <c r="BS43" s="17">
        <v>8.6333333333333293</v>
      </c>
      <c r="BT43" s="17">
        <v>8.06666666666667</v>
      </c>
      <c r="BU43" s="17">
        <v>7.7666666666666702</v>
      </c>
      <c r="BV43" s="17">
        <v>8.6999999999999993</v>
      </c>
      <c r="BW43" s="35" t="str">
        <f>Table13[[#This Row],[State]]</f>
        <v>Puerto Rico</v>
      </c>
      <c r="BX43" s="17" t="s">
        <v>402</v>
      </c>
      <c r="BY43" s="17" t="s">
        <v>402</v>
      </c>
      <c r="BZ43" s="17">
        <v>8.3666666666666707</v>
      </c>
      <c r="CA43" s="17">
        <v>9.1999999999999993</v>
      </c>
      <c r="CB43" s="17">
        <v>8.56666666666667</v>
      </c>
      <c r="CC43" s="17">
        <v>8.1666666666666696</v>
      </c>
      <c r="CD43" s="17">
        <v>8.1999999999999993</v>
      </c>
      <c r="CE43" s="17">
        <v>7.06666666666667</v>
      </c>
      <c r="CF43" s="17">
        <v>6.3</v>
      </c>
      <c r="CG43" s="17">
        <v>5.9</v>
      </c>
      <c r="CH43" s="17">
        <v>5.8333333333333304</v>
      </c>
      <c r="CI43" s="17">
        <v>6</v>
      </c>
      <c r="CJ43" s="17">
        <v>6</v>
      </c>
      <c r="CK43" s="17">
        <v>6.1333333333333302</v>
      </c>
      <c r="CL43" s="17">
        <v>5.8333333333333304</v>
      </c>
      <c r="CM43" s="17">
        <v>5.6333333333333302</v>
      </c>
      <c r="CN43" s="17">
        <v>5.8666666666666698</v>
      </c>
      <c r="CO43" s="17">
        <v>5.8</v>
      </c>
      <c r="CP43" s="17">
        <v>5.5</v>
      </c>
      <c r="CQ43" s="17">
        <v>5.4</v>
      </c>
      <c r="CR43" s="42" t="str">
        <f>Table13[[#This Row],[ State]]</f>
        <v>Puerto Rico</v>
      </c>
      <c r="CS43" s="17">
        <v>5.43333333333333</v>
      </c>
      <c r="CT43" s="17">
        <v>5.5</v>
      </c>
      <c r="CU43" s="17">
        <v>5.6</v>
      </c>
      <c r="CV43" s="111"/>
      <c r="CW43" s="42" t="s">
        <v>223</v>
      </c>
      <c r="CX43" s="52">
        <v>16.2</v>
      </c>
      <c r="CY43" s="53">
        <v>16.399999999999999</v>
      </c>
      <c r="CZ43" s="53">
        <v>16.5</v>
      </c>
      <c r="DA43" s="53">
        <v>16.5</v>
      </c>
      <c r="DB43" s="53">
        <v>16.3</v>
      </c>
      <c r="DC43" s="53">
        <v>16.100000000000001</v>
      </c>
      <c r="DD43" s="53">
        <v>15.9</v>
      </c>
      <c r="DE43" s="53">
        <v>15.7</v>
      </c>
      <c r="DF43" s="53">
        <v>15.6</v>
      </c>
      <c r="DG43" s="53">
        <v>15.5</v>
      </c>
      <c r="DH43" s="53">
        <v>15.5</v>
      </c>
      <c r="DI43" s="53">
        <v>15.4</v>
      </c>
      <c r="DJ43" s="53">
        <v>15.3</v>
      </c>
      <c r="DK43" s="53">
        <v>15.1</v>
      </c>
      <c r="DL43" s="53">
        <v>14.9</v>
      </c>
      <c r="DM43" s="53">
        <v>14.7</v>
      </c>
      <c r="DN43" s="53">
        <v>14.5</v>
      </c>
      <c r="DO43" s="53">
        <v>14.2</v>
      </c>
      <c r="DP43" s="53">
        <v>14.1</v>
      </c>
      <c r="DQ43" s="53">
        <v>14</v>
      </c>
      <c r="DR43" s="53">
        <v>14</v>
      </c>
      <c r="DS43" s="53">
        <v>14.2</v>
      </c>
      <c r="DT43" s="53">
        <v>14.3</v>
      </c>
      <c r="DU43" s="63">
        <v>14.3</v>
      </c>
      <c r="DV43" s="54" t="s">
        <v>223</v>
      </c>
      <c r="DW43" s="53">
        <v>14.2</v>
      </c>
      <c r="DX43" s="53">
        <v>14.1</v>
      </c>
      <c r="DY43" s="53">
        <v>13.8</v>
      </c>
      <c r="DZ43" s="53">
        <v>13.7</v>
      </c>
      <c r="EA43" s="53">
        <v>13.7</v>
      </c>
      <c r="EB43" s="53">
        <v>13.8</v>
      </c>
      <c r="EC43" s="53">
        <v>14</v>
      </c>
      <c r="ED43" s="53">
        <v>14.3</v>
      </c>
      <c r="EE43" s="53">
        <v>14.5</v>
      </c>
      <c r="EF43" s="53">
        <v>14.8</v>
      </c>
      <c r="EG43" s="55">
        <v>14.9</v>
      </c>
      <c r="EH43" s="55">
        <v>15</v>
      </c>
      <c r="EI43" s="55">
        <v>14.9</v>
      </c>
      <c r="EJ43" s="55">
        <v>14.6</v>
      </c>
      <c r="EK43" s="53">
        <v>14.2</v>
      </c>
      <c r="EL43" s="55">
        <v>13.8</v>
      </c>
      <c r="EM43" s="55">
        <v>13.6</v>
      </c>
      <c r="EN43" s="55">
        <v>13.6</v>
      </c>
      <c r="EO43" s="55">
        <v>13.8</v>
      </c>
      <c r="EP43" s="55">
        <v>14</v>
      </c>
      <c r="EQ43" s="55">
        <v>14</v>
      </c>
      <c r="ER43" s="53">
        <v>13.7</v>
      </c>
      <c r="ES43" s="55">
        <v>13.2</v>
      </c>
      <c r="ET43" s="56">
        <v>12.6</v>
      </c>
      <c r="EU43" s="54" t="s">
        <v>223</v>
      </c>
      <c r="EV43" s="53">
        <v>12.2</v>
      </c>
      <c r="EW43" s="55">
        <v>12</v>
      </c>
      <c r="EX43" s="55">
        <v>12.1</v>
      </c>
      <c r="EY43" s="55">
        <v>12.1</v>
      </c>
      <c r="EZ43" s="55">
        <v>12.1</v>
      </c>
      <c r="FA43" s="55">
        <v>12.1</v>
      </c>
      <c r="FB43" s="55">
        <v>12.1</v>
      </c>
      <c r="FC43" s="55">
        <v>12.1</v>
      </c>
      <c r="FD43" s="55">
        <v>12</v>
      </c>
      <c r="FE43" s="55">
        <v>12</v>
      </c>
      <c r="FF43" s="55">
        <v>12</v>
      </c>
      <c r="FG43" s="55">
        <v>11.9</v>
      </c>
      <c r="FH43" s="55">
        <v>11.7</v>
      </c>
      <c r="FI43" s="55">
        <v>11.6</v>
      </c>
      <c r="FJ43" s="55">
        <v>11.5</v>
      </c>
      <c r="FK43" s="55">
        <v>11.5</v>
      </c>
      <c r="FL43" s="55">
        <v>11.6</v>
      </c>
      <c r="FM43" s="55">
        <v>11.6</v>
      </c>
      <c r="FN43" s="55">
        <v>11.7</v>
      </c>
      <c r="FO43" s="55">
        <v>11.8</v>
      </c>
      <c r="FP43" s="55">
        <v>12</v>
      </c>
      <c r="FQ43" s="55">
        <v>12.1</v>
      </c>
      <c r="FR43" s="55">
        <v>12</v>
      </c>
      <c r="FS43" s="56">
        <v>11.9</v>
      </c>
      <c r="FT43" s="54" t="s">
        <v>223</v>
      </c>
      <c r="FU43" s="53">
        <v>11.8</v>
      </c>
      <c r="FV43" s="55">
        <v>11.5</v>
      </c>
      <c r="FW43" s="55">
        <v>11.2</v>
      </c>
      <c r="FX43" s="55">
        <v>10.9</v>
      </c>
      <c r="FY43" s="55">
        <v>10.6</v>
      </c>
      <c r="FZ43" s="55">
        <v>10.4</v>
      </c>
      <c r="GA43" s="55">
        <v>10.4</v>
      </c>
      <c r="GB43" s="55">
        <v>10.5</v>
      </c>
      <c r="GC43" s="55">
        <v>10.7</v>
      </c>
      <c r="GD43" s="55">
        <v>11.3</v>
      </c>
      <c r="GE43" s="55">
        <v>10.9</v>
      </c>
      <c r="GF43" s="55">
        <v>10.7</v>
      </c>
      <c r="GG43" s="55">
        <v>10.4</v>
      </c>
      <c r="GH43" s="55">
        <v>10.199999999999999</v>
      </c>
      <c r="GI43" s="55">
        <v>9.9</v>
      </c>
      <c r="GJ43" s="55">
        <v>9.6999999999999993</v>
      </c>
      <c r="GK43" s="55">
        <v>9.5</v>
      </c>
      <c r="GL43" s="55">
        <v>9.1999999999999993</v>
      </c>
      <c r="GM43" s="55">
        <v>9</v>
      </c>
      <c r="GN43" s="55">
        <v>8.6999999999999993</v>
      </c>
      <c r="GO43" s="55">
        <v>8.5</v>
      </c>
      <c r="GP43" s="55">
        <v>8.3000000000000007</v>
      </c>
      <c r="GQ43" s="55">
        <v>8.3000000000000007</v>
      </c>
      <c r="GR43" s="55">
        <v>8.4</v>
      </c>
      <c r="GS43" s="54" t="s">
        <v>223</v>
      </c>
      <c r="GT43" s="55">
        <v>8.6</v>
      </c>
      <c r="GU43" s="55">
        <v>8.6999999999999993</v>
      </c>
      <c r="GV43" s="55">
        <v>8.6</v>
      </c>
      <c r="GW43" s="55">
        <v>8.4</v>
      </c>
      <c r="GX43" s="55">
        <v>8.1</v>
      </c>
      <c r="GY43" s="55">
        <v>7.7</v>
      </c>
      <c r="GZ43" s="55">
        <v>7.6</v>
      </c>
      <c r="HA43" s="55">
        <v>7.7</v>
      </c>
      <c r="HB43" s="55">
        <v>8</v>
      </c>
      <c r="HC43" s="55">
        <v>8.4</v>
      </c>
      <c r="HD43" s="55">
        <v>8.6999999999999993</v>
      </c>
      <c r="HE43" s="55">
        <v>9</v>
      </c>
      <c r="HF43" s="55">
        <v>9.1</v>
      </c>
      <c r="HG43" s="55">
        <v>9.1</v>
      </c>
      <c r="HH43" s="55" t="s">
        <v>402</v>
      </c>
      <c r="HI43" s="55" t="s">
        <v>402</v>
      </c>
      <c r="HJ43" s="55">
        <v>8.9</v>
      </c>
      <c r="HK43" s="55">
        <v>8.3000000000000007</v>
      </c>
      <c r="HL43" s="55">
        <v>8.1999999999999993</v>
      </c>
      <c r="HM43" s="55">
        <v>8.3000000000000007</v>
      </c>
      <c r="HN43" s="55">
        <v>8.6</v>
      </c>
      <c r="HO43" s="55">
        <v>9</v>
      </c>
      <c r="HP43" s="55">
        <v>9.3000000000000007</v>
      </c>
      <c r="HQ43" s="56">
        <v>9.3000000000000007</v>
      </c>
      <c r="HR43" s="54" t="s">
        <v>223</v>
      </c>
      <c r="HS43" s="55">
        <v>9</v>
      </c>
      <c r="HT43" s="55">
        <v>8.5</v>
      </c>
      <c r="HU43" s="55">
        <v>8.1999999999999993</v>
      </c>
      <c r="HV43" s="55">
        <v>8.1</v>
      </c>
      <c r="HW43" s="55">
        <v>8.1</v>
      </c>
      <c r="HX43" s="55">
        <v>8.3000000000000007</v>
      </c>
      <c r="HY43" s="55">
        <v>8.4</v>
      </c>
      <c r="HZ43" s="55">
        <v>8.3000000000000007</v>
      </c>
      <c r="IA43" s="55">
        <v>7.9</v>
      </c>
      <c r="IB43" s="55">
        <v>7.5</v>
      </c>
      <c r="IC43" s="55">
        <v>7</v>
      </c>
      <c r="ID43" s="55">
        <v>6.7</v>
      </c>
      <c r="IE43" s="55">
        <v>6.5</v>
      </c>
      <c r="IF43" s="55">
        <v>6.3</v>
      </c>
      <c r="IG43" s="55">
        <v>6.1</v>
      </c>
      <c r="IH43" s="55">
        <v>6</v>
      </c>
      <c r="II43" s="55">
        <v>5.9</v>
      </c>
      <c r="IJ43" s="55">
        <v>5.8</v>
      </c>
      <c r="IK43" s="55">
        <v>5.8</v>
      </c>
      <c r="IL43" s="55">
        <v>5.8</v>
      </c>
      <c r="IM43" s="55">
        <v>5.9</v>
      </c>
      <c r="IN43" s="55">
        <v>6</v>
      </c>
      <c r="IO43" s="55">
        <v>6</v>
      </c>
      <c r="IP43" s="56">
        <v>6</v>
      </c>
      <c r="IQ43" s="54" t="s">
        <v>223</v>
      </c>
      <c r="IR43" s="55">
        <v>6</v>
      </c>
      <c r="IS43" s="55">
        <v>6</v>
      </c>
      <c r="IT43" s="55">
        <v>6</v>
      </c>
      <c r="IU43" s="55">
        <v>6.1</v>
      </c>
      <c r="IV43" s="55">
        <v>6.2</v>
      </c>
      <c r="IW43" s="55">
        <v>6.1</v>
      </c>
      <c r="IX43" s="55">
        <v>6</v>
      </c>
      <c r="IY43" s="55">
        <v>5.8</v>
      </c>
      <c r="IZ43" s="55">
        <v>5.7</v>
      </c>
      <c r="JA43" s="55">
        <v>5.6</v>
      </c>
      <c r="JB43" s="55">
        <v>5.6</v>
      </c>
      <c r="JC43" s="55">
        <v>5.7</v>
      </c>
      <c r="JD43" s="55">
        <v>5.8</v>
      </c>
      <c r="JE43" s="55">
        <v>5.9</v>
      </c>
      <c r="JF43" s="55">
        <v>5.9</v>
      </c>
      <c r="JG43" s="55">
        <v>5.9</v>
      </c>
      <c r="JH43" s="55">
        <v>5.8</v>
      </c>
      <c r="JI43" s="55">
        <v>5.7</v>
      </c>
      <c r="JJ43" s="55">
        <v>5.6</v>
      </c>
      <c r="JK43" s="55">
        <v>5.5</v>
      </c>
      <c r="JL43" s="55">
        <v>5.4</v>
      </c>
      <c r="JM43" s="55">
        <v>5.4</v>
      </c>
      <c r="JN43" s="55">
        <v>5.4</v>
      </c>
      <c r="JO43" s="56">
        <v>5.4</v>
      </c>
      <c r="JP43" s="54" t="s">
        <v>223</v>
      </c>
      <c r="JQ43" s="82">
        <v>5.4</v>
      </c>
      <c r="JR43" s="82">
        <v>5.4</v>
      </c>
      <c r="JS43" s="82">
        <v>5.5</v>
      </c>
      <c r="JT43" s="82">
        <v>5.5</v>
      </c>
      <c r="JU43" s="82">
        <v>5.5</v>
      </c>
      <c r="JV43" s="82">
        <v>5.5</v>
      </c>
      <c r="JW43" s="82">
        <v>5.5</v>
      </c>
      <c r="JX43" s="82">
        <v>5.6</v>
      </c>
      <c r="JY43" s="82">
        <v>5.7</v>
      </c>
      <c r="JZ43" s="82">
        <v>5.7</v>
      </c>
      <c r="KA43" s="83">
        <v>5.7</v>
      </c>
    </row>
    <row r="44" spans="2:287" x14ac:dyDescent="0.3">
      <c r="B44" s="39" t="s">
        <v>224</v>
      </c>
      <c r="C44" s="17">
        <v>4.0500000000000007</v>
      </c>
      <c r="D44" s="17">
        <v>4.4916666666666671</v>
      </c>
      <c r="E44" s="17">
        <v>5.05</v>
      </c>
      <c r="F44" s="17">
        <v>5.5250000000000004</v>
      </c>
      <c r="G44" s="17">
        <v>5.2833333333333323</v>
      </c>
      <c r="H44" s="17">
        <v>5.1416666666666675</v>
      </c>
      <c r="I44" s="17">
        <v>5.2583333333333346</v>
      </c>
      <c r="J44" s="17">
        <v>5.1166666666666645</v>
      </c>
      <c r="K44" s="17">
        <v>7.625</v>
      </c>
      <c r="L44" s="17">
        <v>11.16666666666665</v>
      </c>
      <c r="M44" s="17">
        <v>11.616666666666674</v>
      </c>
      <c r="N44" s="17">
        <v>11.1</v>
      </c>
      <c r="O44" s="19">
        <v>10.300000000000008</v>
      </c>
      <c r="P44" s="19">
        <v>9.4833333333333343</v>
      </c>
      <c r="Q44" s="19">
        <v>7.7666666666666675</v>
      </c>
      <c r="R44" s="19">
        <v>6.0166666666666675</v>
      </c>
      <c r="S44" s="19">
        <v>5.2416666666666671</v>
      </c>
      <c r="T44" s="19">
        <v>4.4749999999999996</v>
      </c>
      <c r="U44" s="19">
        <v>4.05</v>
      </c>
      <c r="V44" s="19">
        <v>3.5249999999999999</v>
      </c>
      <c r="W44" s="19">
        <v>9.2583333333333506</v>
      </c>
      <c r="X44" s="19">
        <v>5.599999999999997</v>
      </c>
      <c r="Y44" s="19">
        <v>3.2333333333333325</v>
      </c>
      <c r="Z44" s="19">
        <v>2.9833333333333352</v>
      </c>
      <c r="AA44" s="19">
        <v>4.3166666666666682</v>
      </c>
      <c r="AB44" s="96"/>
      <c r="AC44" s="36" t="str">
        <f>Table11[[#This Row],[State]]</f>
        <v>Rhode Island</v>
      </c>
      <c r="AD44" s="27">
        <v>10.4</v>
      </c>
      <c r="AE44" s="27">
        <v>11.2</v>
      </c>
      <c r="AF44" s="27">
        <v>11.4333333333333</v>
      </c>
      <c r="AG44" s="27">
        <v>11.633333333333301</v>
      </c>
      <c r="AH44" s="27">
        <v>11.8</v>
      </c>
      <c r="AI44" s="27">
        <v>11.7</v>
      </c>
      <c r="AJ44" s="27">
        <v>11.5</v>
      </c>
      <c r="AK44" s="27">
        <v>11.466666666666701</v>
      </c>
      <c r="AL44" s="27">
        <v>11.2</v>
      </c>
      <c r="AM44" s="27">
        <v>11.033333333333299</v>
      </c>
      <c r="AN44" s="27">
        <v>11.1</v>
      </c>
      <c r="AO44" s="27">
        <v>11.0666666666667</v>
      </c>
      <c r="AP44" s="27">
        <v>10.8</v>
      </c>
      <c r="AQ44" s="27">
        <v>10.5</v>
      </c>
      <c r="AR44" s="27">
        <v>10.1666666666667</v>
      </c>
      <c r="AS44" s="27">
        <v>9.7333333333333307</v>
      </c>
      <c r="AT44" s="27">
        <v>9.5333333333333297</v>
      </c>
      <c r="AU44" s="27">
        <v>9.56666666666667</v>
      </c>
      <c r="AV44" s="27">
        <v>9.56666666666667</v>
      </c>
      <c r="AW44" s="27">
        <v>9.2666666666666693</v>
      </c>
      <c r="AX44" s="27">
        <v>8.6999999999999993</v>
      </c>
      <c r="AY44" s="27">
        <v>8</v>
      </c>
      <c r="AZ44" s="27">
        <v>7.4666666666666703</v>
      </c>
      <c r="BA44" s="27">
        <v>6.9</v>
      </c>
      <c r="BB44" s="36" t="str">
        <f t="shared" si="0"/>
        <v>Rhode Island</v>
      </c>
      <c r="BC44" s="27">
        <v>6.43333333333333</v>
      </c>
      <c r="BD44" s="27">
        <v>6.1666666666666696</v>
      </c>
      <c r="BE44" s="27">
        <v>5.8</v>
      </c>
      <c r="BF44" s="27">
        <v>5.6666666666666696</v>
      </c>
      <c r="BG44" s="27">
        <v>5.5333333333333297</v>
      </c>
      <c r="BH44" s="27">
        <v>5.3666666666666698</v>
      </c>
      <c r="BI44" s="27">
        <v>5.2</v>
      </c>
      <c r="BJ44" s="27">
        <v>4.8666666666666698</v>
      </c>
      <c r="BK44" s="27">
        <v>4.5333333333333297</v>
      </c>
      <c r="BL44" s="27">
        <v>4.4000000000000004</v>
      </c>
      <c r="BM44" s="27">
        <v>4.4666666666666703</v>
      </c>
      <c r="BN44" s="27">
        <v>4.5</v>
      </c>
      <c r="BO44" s="27">
        <v>4.4000000000000004</v>
      </c>
      <c r="BP44" s="27">
        <v>4.0333333333333297</v>
      </c>
      <c r="BQ44" s="27">
        <v>3.9</v>
      </c>
      <c r="BR44" s="27">
        <v>3.8666666666666698</v>
      </c>
      <c r="BS44" s="27">
        <v>3.7</v>
      </c>
      <c r="BT44" s="27">
        <v>3.5</v>
      </c>
      <c r="BU44" s="27">
        <v>3.5</v>
      </c>
      <c r="BV44" s="27">
        <v>3.4</v>
      </c>
      <c r="BW44" s="36" t="str">
        <f>Table13[[#This Row],[State]]</f>
        <v>Rhode Island</v>
      </c>
      <c r="BX44" s="27">
        <v>3.6</v>
      </c>
      <c r="BY44" s="27">
        <v>15.5666666666667</v>
      </c>
      <c r="BZ44" s="27">
        <v>10.866666666666699</v>
      </c>
      <c r="CA44" s="27">
        <v>7</v>
      </c>
      <c r="CB44" s="27">
        <v>6.43333333333333</v>
      </c>
      <c r="CC44" s="27">
        <v>6.2</v>
      </c>
      <c r="CD44" s="27">
        <v>5.5333333333333297</v>
      </c>
      <c r="CE44" s="27">
        <v>4.2333333333333298</v>
      </c>
      <c r="CF44" s="27">
        <v>3.3333333333333299</v>
      </c>
      <c r="CG44" s="27">
        <v>3.1666666666666701</v>
      </c>
      <c r="CH44" s="27">
        <v>3.3333333333333299</v>
      </c>
      <c r="CI44" s="27">
        <v>3.1</v>
      </c>
      <c r="CJ44" s="27">
        <v>2.8333333333333299</v>
      </c>
      <c r="CK44" s="27">
        <v>2.6666666666666701</v>
      </c>
      <c r="CL44" s="27">
        <v>2.8666666666666698</v>
      </c>
      <c r="CM44" s="27">
        <v>3.56666666666667</v>
      </c>
      <c r="CN44" s="27">
        <v>4</v>
      </c>
      <c r="CO44" s="27">
        <v>4.3</v>
      </c>
      <c r="CP44" s="27">
        <v>4.4666666666666703</v>
      </c>
      <c r="CQ44" s="27">
        <v>4.5</v>
      </c>
      <c r="CR44" s="79" t="str">
        <f>Table13[[#This Row],[ State]]</f>
        <v>Rhode Island</v>
      </c>
      <c r="CS44" s="27">
        <v>4.7</v>
      </c>
      <c r="CT44" s="27">
        <v>4.8666666666666698</v>
      </c>
      <c r="CU44" s="27">
        <v>4.6333333333333302</v>
      </c>
      <c r="CV44" s="111"/>
      <c r="CW44" s="41" t="s">
        <v>224</v>
      </c>
      <c r="CX44" s="47">
        <v>11.3</v>
      </c>
      <c r="CY44" s="48">
        <v>11.2</v>
      </c>
      <c r="CZ44" s="48">
        <v>11.1</v>
      </c>
      <c r="DA44" s="48">
        <v>11</v>
      </c>
      <c r="DB44" s="48">
        <v>11</v>
      </c>
      <c r="DC44" s="48">
        <v>11.1</v>
      </c>
      <c r="DD44" s="48">
        <v>11.1</v>
      </c>
      <c r="DE44" s="48">
        <v>11.1</v>
      </c>
      <c r="DF44" s="48">
        <v>11.1</v>
      </c>
      <c r="DG44" s="48">
        <v>11.1</v>
      </c>
      <c r="DH44" s="48">
        <v>11.1</v>
      </c>
      <c r="DI44" s="48">
        <v>11</v>
      </c>
      <c r="DJ44" s="48">
        <v>10.9</v>
      </c>
      <c r="DK44" s="48">
        <v>10.8</v>
      </c>
      <c r="DL44" s="48">
        <v>10.7</v>
      </c>
      <c r="DM44" s="48">
        <v>10.6</v>
      </c>
      <c r="DN44" s="48">
        <v>10.5</v>
      </c>
      <c r="DO44" s="48">
        <v>10.4</v>
      </c>
      <c r="DP44" s="48">
        <v>10.3</v>
      </c>
      <c r="DQ44" s="48">
        <v>10.199999999999999</v>
      </c>
      <c r="DR44" s="48">
        <v>10</v>
      </c>
      <c r="DS44" s="48">
        <v>9.9</v>
      </c>
      <c r="DT44" s="48">
        <v>9.6999999999999993</v>
      </c>
      <c r="DU44" s="62">
        <v>9.6</v>
      </c>
      <c r="DV44" s="49" t="s">
        <v>224</v>
      </c>
      <c r="DW44" s="48">
        <v>9.6</v>
      </c>
      <c r="DX44" s="48">
        <v>9.5</v>
      </c>
      <c r="DY44" s="48">
        <v>9.5</v>
      </c>
      <c r="DZ44" s="48">
        <v>9.5</v>
      </c>
      <c r="EA44" s="48">
        <v>9.6</v>
      </c>
      <c r="EB44" s="48">
        <v>9.6</v>
      </c>
      <c r="EC44" s="48">
        <v>9.6</v>
      </c>
      <c r="ED44" s="48">
        <v>9.6</v>
      </c>
      <c r="EE44" s="48">
        <v>9.5</v>
      </c>
      <c r="EF44" s="48">
        <v>9.4</v>
      </c>
      <c r="EG44" s="50">
        <v>9.3000000000000007</v>
      </c>
      <c r="EH44" s="50">
        <v>9.1</v>
      </c>
      <c r="EI44" s="50">
        <v>8.9</v>
      </c>
      <c r="EJ44" s="50">
        <v>8.6999999999999993</v>
      </c>
      <c r="EK44" s="48">
        <v>8.5</v>
      </c>
      <c r="EL44" s="50">
        <v>8.1999999999999993</v>
      </c>
      <c r="EM44" s="50">
        <v>8</v>
      </c>
      <c r="EN44" s="50">
        <v>7.8</v>
      </c>
      <c r="EO44" s="50">
        <v>7.6</v>
      </c>
      <c r="EP44" s="50">
        <v>7.5</v>
      </c>
      <c r="EQ44" s="50">
        <v>7.3</v>
      </c>
      <c r="ER44" s="48">
        <v>7.1</v>
      </c>
      <c r="ES44" s="50">
        <v>6.9</v>
      </c>
      <c r="ET44" s="51">
        <v>6.7</v>
      </c>
      <c r="EU44" s="49" t="s">
        <v>224</v>
      </c>
      <c r="EV44" s="48">
        <v>6.5</v>
      </c>
      <c r="EW44" s="50">
        <v>6.4</v>
      </c>
      <c r="EX44" s="50">
        <v>6.4</v>
      </c>
      <c r="EY44" s="50">
        <v>6.3</v>
      </c>
      <c r="EZ44" s="50">
        <v>6.2</v>
      </c>
      <c r="FA44" s="50">
        <v>6</v>
      </c>
      <c r="FB44" s="50">
        <v>5.9</v>
      </c>
      <c r="FC44" s="50">
        <v>5.8</v>
      </c>
      <c r="FD44" s="50">
        <v>5.7</v>
      </c>
      <c r="FE44" s="50">
        <v>5.7</v>
      </c>
      <c r="FF44" s="50">
        <v>5.7</v>
      </c>
      <c r="FG44" s="50">
        <v>5.6</v>
      </c>
      <c r="FH44" s="50">
        <v>5.6</v>
      </c>
      <c r="FI44" s="50">
        <v>5.5</v>
      </c>
      <c r="FJ44" s="50">
        <v>5.5</v>
      </c>
      <c r="FK44" s="50">
        <v>5.4</v>
      </c>
      <c r="FL44" s="50">
        <v>5.4</v>
      </c>
      <c r="FM44" s="50">
        <v>5.3</v>
      </c>
      <c r="FN44" s="50">
        <v>5.3</v>
      </c>
      <c r="FO44" s="50">
        <v>5.2</v>
      </c>
      <c r="FP44" s="50">
        <v>5.0999999999999996</v>
      </c>
      <c r="FQ44" s="50">
        <v>5</v>
      </c>
      <c r="FR44" s="50">
        <v>4.9000000000000004</v>
      </c>
      <c r="FS44" s="51">
        <v>4.7</v>
      </c>
      <c r="FT44" s="49" t="s">
        <v>224</v>
      </c>
      <c r="FU44" s="48">
        <v>4.5999999999999996</v>
      </c>
      <c r="FV44" s="50">
        <v>4.5</v>
      </c>
      <c r="FW44" s="50">
        <v>4.5</v>
      </c>
      <c r="FX44" s="50">
        <v>4.4000000000000004</v>
      </c>
      <c r="FY44" s="50">
        <v>4.4000000000000004</v>
      </c>
      <c r="FZ44" s="50">
        <v>4.4000000000000004</v>
      </c>
      <c r="GA44" s="50">
        <v>4.4000000000000004</v>
      </c>
      <c r="GB44" s="50">
        <v>4.5</v>
      </c>
      <c r="GC44" s="50">
        <v>4.5</v>
      </c>
      <c r="GD44" s="50">
        <v>4.5</v>
      </c>
      <c r="GE44" s="50">
        <v>4.5</v>
      </c>
      <c r="GF44" s="50">
        <v>4.5</v>
      </c>
      <c r="GG44" s="50">
        <v>4.5</v>
      </c>
      <c r="GH44" s="50">
        <v>4.4000000000000004</v>
      </c>
      <c r="GI44" s="50">
        <v>4.3</v>
      </c>
      <c r="GJ44" s="50">
        <v>4.0999999999999996</v>
      </c>
      <c r="GK44" s="50">
        <v>4</v>
      </c>
      <c r="GL44" s="50">
        <v>4</v>
      </c>
      <c r="GM44" s="50">
        <v>3.9</v>
      </c>
      <c r="GN44" s="50">
        <v>3.9</v>
      </c>
      <c r="GO44" s="50">
        <v>3.9</v>
      </c>
      <c r="GP44" s="50">
        <v>3.9</v>
      </c>
      <c r="GQ44" s="50">
        <v>3.9</v>
      </c>
      <c r="GR44" s="50">
        <v>3.8</v>
      </c>
      <c r="GS44" s="49" t="s">
        <v>224</v>
      </c>
      <c r="GT44" s="50">
        <v>3.8</v>
      </c>
      <c r="GU44" s="50">
        <v>3.7</v>
      </c>
      <c r="GV44" s="50">
        <v>3.6</v>
      </c>
      <c r="GW44" s="50">
        <v>3.5</v>
      </c>
      <c r="GX44" s="50">
        <v>3.5</v>
      </c>
      <c r="GY44" s="50">
        <v>3.5</v>
      </c>
      <c r="GZ44" s="50">
        <v>3.5</v>
      </c>
      <c r="HA44" s="50">
        <v>3.5</v>
      </c>
      <c r="HB44" s="50">
        <v>3.5</v>
      </c>
      <c r="HC44" s="50">
        <v>3.4</v>
      </c>
      <c r="HD44" s="50">
        <v>3.4</v>
      </c>
      <c r="HE44" s="50">
        <v>3.4</v>
      </c>
      <c r="HF44" s="50">
        <v>3.5</v>
      </c>
      <c r="HG44" s="50">
        <v>3.6</v>
      </c>
      <c r="HH44" s="50">
        <v>3.7</v>
      </c>
      <c r="HI44" s="50">
        <v>17.899999999999999</v>
      </c>
      <c r="HJ44" s="50">
        <v>15.4</v>
      </c>
      <c r="HK44" s="50">
        <v>13.4</v>
      </c>
      <c r="HL44" s="50">
        <v>12.2</v>
      </c>
      <c r="HM44" s="50">
        <v>10.4</v>
      </c>
      <c r="HN44" s="50">
        <v>10</v>
      </c>
      <c r="HO44" s="50">
        <v>7</v>
      </c>
      <c r="HP44" s="50">
        <v>7</v>
      </c>
      <c r="HQ44" s="51">
        <v>7</v>
      </c>
      <c r="HR44" s="49" t="s">
        <v>224</v>
      </c>
      <c r="HS44" s="50">
        <v>6.6</v>
      </c>
      <c r="HT44" s="50">
        <v>6.4</v>
      </c>
      <c r="HU44" s="50">
        <v>6.3</v>
      </c>
      <c r="HV44" s="50">
        <v>6.3</v>
      </c>
      <c r="HW44" s="50">
        <v>6.1</v>
      </c>
      <c r="HX44" s="50">
        <v>6.2</v>
      </c>
      <c r="HY44" s="50">
        <v>5.9</v>
      </c>
      <c r="HZ44" s="50">
        <v>5.6</v>
      </c>
      <c r="IA44" s="50">
        <v>5.0999999999999996</v>
      </c>
      <c r="IB44" s="50">
        <v>4.7</v>
      </c>
      <c r="IC44" s="50">
        <v>4.2</v>
      </c>
      <c r="ID44" s="50">
        <v>3.8</v>
      </c>
      <c r="IE44" s="50">
        <v>3.5</v>
      </c>
      <c r="IF44" s="50">
        <v>3.3</v>
      </c>
      <c r="IG44" s="50">
        <v>3.2</v>
      </c>
      <c r="IH44" s="50">
        <v>3.1</v>
      </c>
      <c r="II44" s="50">
        <v>3.2</v>
      </c>
      <c r="IJ44" s="50">
        <v>3.2</v>
      </c>
      <c r="IK44" s="50">
        <v>3.3</v>
      </c>
      <c r="IL44" s="50">
        <v>3.4</v>
      </c>
      <c r="IM44" s="50">
        <v>3.3</v>
      </c>
      <c r="IN44" s="50">
        <v>3.2</v>
      </c>
      <c r="IO44" s="50">
        <v>3.1</v>
      </c>
      <c r="IP44" s="51">
        <v>3</v>
      </c>
      <c r="IQ44" s="49" t="s">
        <v>224</v>
      </c>
      <c r="IR44" s="50">
        <v>2.9</v>
      </c>
      <c r="IS44" s="50">
        <v>2.8</v>
      </c>
      <c r="IT44" s="50">
        <v>2.8</v>
      </c>
      <c r="IU44" s="50">
        <v>2.7</v>
      </c>
      <c r="IV44" s="50">
        <v>2.7</v>
      </c>
      <c r="IW44" s="50">
        <v>2.6</v>
      </c>
      <c r="IX44" s="50">
        <v>2.7</v>
      </c>
      <c r="IY44" s="50">
        <v>2.8</v>
      </c>
      <c r="IZ44" s="50">
        <v>3.1</v>
      </c>
      <c r="JA44" s="50">
        <v>3.3</v>
      </c>
      <c r="JB44" s="50">
        <v>3.6</v>
      </c>
      <c r="JC44" s="50">
        <v>3.8</v>
      </c>
      <c r="JD44" s="50">
        <v>3.9</v>
      </c>
      <c r="JE44" s="50">
        <v>4</v>
      </c>
      <c r="JF44" s="50">
        <v>4.0999999999999996</v>
      </c>
      <c r="JG44" s="50">
        <v>4.2</v>
      </c>
      <c r="JH44" s="50">
        <v>4.3</v>
      </c>
      <c r="JI44" s="50">
        <v>4.4000000000000004</v>
      </c>
      <c r="JJ44" s="50">
        <v>4.4000000000000004</v>
      </c>
      <c r="JK44" s="50">
        <v>4.5</v>
      </c>
      <c r="JL44" s="50">
        <v>4.5</v>
      </c>
      <c r="JM44" s="50">
        <v>4.5</v>
      </c>
      <c r="JN44" s="50">
        <v>4.5</v>
      </c>
      <c r="JO44" s="51">
        <v>4.5</v>
      </c>
      <c r="JP44" s="49" t="s">
        <v>224</v>
      </c>
      <c r="JQ44" s="80">
        <v>4.5999999999999996</v>
      </c>
      <c r="JR44" s="80">
        <v>4.7</v>
      </c>
      <c r="JS44" s="80">
        <v>4.8</v>
      </c>
      <c r="JT44" s="80">
        <v>4.9000000000000004</v>
      </c>
      <c r="JU44" s="80">
        <v>4.9000000000000004</v>
      </c>
      <c r="JV44" s="80">
        <v>4.8</v>
      </c>
      <c r="JW44" s="80">
        <v>4.8</v>
      </c>
      <c r="JX44" s="80">
        <v>4.5999999999999996</v>
      </c>
      <c r="JY44" s="80">
        <v>4.5</v>
      </c>
      <c r="JZ44" s="80" t="s">
        <v>402</v>
      </c>
      <c r="KA44" s="81">
        <v>4.3</v>
      </c>
    </row>
    <row r="45" spans="2:287" x14ac:dyDescent="0.3">
      <c r="B45" s="39" t="s">
        <v>225</v>
      </c>
      <c r="C45" s="17">
        <v>3.7</v>
      </c>
      <c r="D45" s="17">
        <v>5.1666666666666679</v>
      </c>
      <c r="E45" s="17">
        <v>6.0750000000000002</v>
      </c>
      <c r="F45" s="17">
        <v>6.7499999999999991</v>
      </c>
      <c r="G45" s="17">
        <v>6.9249999999999972</v>
      </c>
      <c r="H45" s="17">
        <v>6.7833333333333306</v>
      </c>
      <c r="I45" s="17">
        <v>6.35</v>
      </c>
      <c r="J45" s="17">
        <v>5.6166666666666654</v>
      </c>
      <c r="K45" s="17">
        <v>6.9166666666666679</v>
      </c>
      <c r="L45" s="17">
        <v>10.966666666666669</v>
      </c>
      <c r="M45" s="17">
        <v>11.083333333333352</v>
      </c>
      <c r="N45" s="17">
        <v>10.358333333333341</v>
      </c>
      <c r="O45" s="19">
        <v>9.0333333333333332</v>
      </c>
      <c r="P45" s="19">
        <v>7.4249999999999972</v>
      </c>
      <c r="Q45" s="19">
        <v>6.3000000000000007</v>
      </c>
      <c r="R45" s="19">
        <v>5.8999999999999995</v>
      </c>
      <c r="S45" s="19">
        <v>4.9000000000000021</v>
      </c>
      <c r="T45" s="19">
        <v>4.1916666666666647</v>
      </c>
      <c r="U45" s="19">
        <v>3.3666666666666654</v>
      </c>
      <c r="V45" s="19">
        <v>2.7666666666666675</v>
      </c>
      <c r="W45" s="19">
        <v>6</v>
      </c>
      <c r="X45" s="19">
        <v>3.9250000000000003</v>
      </c>
      <c r="Y45" s="19">
        <v>3.1999999999999997</v>
      </c>
      <c r="Z45" s="19">
        <v>2.9916666666666654</v>
      </c>
      <c r="AA45" s="19">
        <v>4.1666666666666643</v>
      </c>
      <c r="AB45" s="96"/>
      <c r="AC45" s="35" t="str">
        <f>Table11[[#This Row],[State]]</f>
        <v>South Carolina</v>
      </c>
      <c r="AD45" s="17">
        <v>9.9666666666666703</v>
      </c>
      <c r="AE45" s="17">
        <v>10.9</v>
      </c>
      <c r="AF45" s="17">
        <v>11.3333333333333</v>
      </c>
      <c r="AG45" s="17">
        <v>11.6666666666667</v>
      </c>
      <c r="AH45" s="17">
        <v>11.5666666666667</v>
      </c>
      <c r="AI45" s="17">
        <v>11.133333333333301</v>
      </c>
      <c r="AJ45" s="17">
        <v>10.866666666666699</v>
      </c>
      <c r="AK45" s="17">
        <v>10.766666666666699</v>
      </c>
      <c r="AL45" s="17">
        <v>10.6</v>
      </c>
      <c r="AM45" s="17">
        <v>10.6</v>
      </c>
      <c r="AN45" s="19">
        <v>10.366666666666699</v>
      </c>
      <c r="AO45" s="19">
        <v>9.8666666666666707</v>
      </c>
      <c r="AP45" s="19">
        <v>9.5</v>
      </c>
      <c r="AQ45" s="19">
        <v>9.3000000000000007</v>
      </c>
      <c r="AR45" s="19">
        <v>8.8333333333333304</v>
      </c>
      <c r="AS45" s="19">
        <v>8.5</v>
      </c>
      <c r="AT45" s="19">
        <v>8.2333333333333307</v>
      </c>
      <c r="AU45" s="19">
        <v>7.7333333333333298</v>
      </c>
      <c r="AV45" s="17">
        <v>7.2</v>
      </c>
      <c r="AW45" s="17">
        <v>6.5333333333333297</v>
      </c>
      <c r="AX45" s="17">
        <v>6.06666666666667</v>
      </c>
      <c r="AY45" s="17">
        <v>6.1</v>
      </c>
      <c r="AZ45" s="17">
        <v>6.5</v>
      </c>
      <c r="BA45" s="17">
        <v>6.5333333333333297</v>
      </c>
      <c r="BB45" s="35" t="str">
        <f t="shared" si="0"/>
        <v>South Carolina</v>
      </c>
      <c r="BC45" s="19">
        <v>6.3666666666666698</v>
      </c>
      <c r="BD45" s="19">
        <v>6.1</v>
      </c>
      <c r="BE45" s="19">
        <v>5.7</v>
      </c>
      <c r="BF45" s="19">
        <v>5.43333333333333</v>
      </c>
      <c r="BG45" s="17">
        <v>5.2666666666666702</v>
      </c>
      <c r="BH45" s="17">
        <v>5.06666666666667</v>
      </c>
      <c r="BI45" s="17">
        <v>4.7666666666666702</v>
      </c>
      <c r="BJ45" s="17">
        <v>4.5</v>
      </c>
      <c r="BK45" s="17">
        <v>4.3</v>
      </c>
      <c r="BL45" s="17">
        <v>4.1333333333333302</v>
      </c>
      <c r="BM45" s="17">
        <v>4.2</v>
      </c>
      <c r="BN45" s="17">
        <v>4.1333333333333302</v>
      </c>
      <c r="BO45" s="17">
        <v>3.7</v>
      </c>
      <c r="BP45" s="17">
        <v>3.2333333333333298</v>
      </c>
      <c r="BQ45" s="17">
        <v>3.3</v>
      </c>
      <c r="BR45" s="17">
        <v>3.2333333333333298</v>
      </c>
      <c r="BS45" s="17">
        <v>3.1666666666666701</v>
      </c>
      <c r="BT45" s="17">
        <v>2.9</v>
      </c>
      <c r="BU45" s="17">
        <v>2.5</v>
      </c>
      <c r="BV45" s="17">
        <v>2.5</v>
      </c>
      <c r="BW45" s="35" t="str">
        <f>Table13[[#This Row],[State]]</f>
        <v>South Carolina</v>
      </c>
      <c r="BX45" s="17">
        <v>2.93333333333333</v>
      </c>
      <c r="BY45" s="17">
        <v>9.6</v>
      </c>
      <c r="BZ45" s="17">
        <v>6.3666666666666698</v>
      </c>
      <c r="CA45" s="17">
        <v>5.0999999999999996</v>
      </c>
      <c r="CB45" s="17">
        <v>4.43333333333333</v>
      </c>
      <c r="CC45" s="17">
        <v>4.0999999999999996</v>
      </c>
      <c r="CD45" s="17">
        <v>3.7666666666666702</v>
      </c>
      <c r="CE45" s="17">
        <v>3.4</v>
      </c>
      <c r="CF45" s="17">
        <v>3.2333333333333298</v>
      </c>
      <c r="CG45" s="17">
        <v>3.2</v>
      </c>
      <c r="CH45" s="17">
        <v>3.2</v>
      </c>
      <c r="CI45" s="17">
        <v>3.1666666666666701</v>
      </c>
      <c r="CJ45" s="17">
        <v>3.0333333333333301</v>
      </c>
      <c r="CK45" s="17">
        <v>2.8333333333333299</v>
      </c>
      <c r="CL45" s="17">
        <v>2.9</v>
      </c>
      <c r="CM45" s="17">
        <v>3.2</v>
      </c>
      <c r="CN45" s="17">
        <v>3.5333333333333301</v>
      </c>
      <c r="CO45" s="17">
        <v>4.1666666666666696</v>
      </c>
      <c r="CP45" s="17">
        <v>4.5333333333333297</v>
      </c>
      <c r="CQ45" s="17">
        <v>4.43333333333333</v>
      </c>
      <c r="CR45" s="42" t="str">
        <f>Table13[[#This Row],[ State]]</f>
        <v>South Carolina</v>
      </c>
      <c r="CS45" s="17">
        <v>4.2</v>
      </c>
      <c r="CT45" s="17">
        <v>4.1333333333333302</v>
      </c>
      <c r="CU45" s="17">
        <v>4.3</v>
      </c>
      <c r="CV45" s="111"/>
      <c r="CW45" s="42" t="s">
        <v>225</v>
      </c>
      <c r="CX45" s="52">
        <v>10.6</v>
      </c>
      <c r="CY45" s="53">
        <v>10.6</v>
      </c>
      <c r="CZ45" s="53">
        <v>10.6</v>
      </c>
      <c r="DA45" s="53">
        <v>10.6</v>
      </c>
      <c r="DB45" s="53">
        <v>10.6</v>
      </c>
      <c r="DC45" s="53">
        <v>10.6</v>
      </c>
      <c r="DD45" s="53">
        <v>10.5</v>
      </c>
      <c r="DE45" s="53">
        <v>10.4</v>
      </c>
      <c r="DF45" s="53">
        <v>10.199999999999999</v>
      </c>
      <c r="DG45" s="53">
        <v>10</v>
      </c>
      <c r="DH45" s="53">
        <v>9.9</v>
      </c>
      <c r="DI45" s="53">
        <v>9.6999999999999993</v>
      </c>
      <c r="DJ45" s="53">
        <v>9.6</v>
      </c>
      <c r="DK45" s="53">
        <v>9.5</v>
      </c>
      <c r="DL45" s="53">
        <v>9.4</v>
      </c>
      <c r="DM45" s="53">
        <v>9.4</v>
      </c>
      <c r="DN45" s="53">
        <v>9.3000000000000007</v>
      </c>
      <c r="DO45" s="53">
        <v>9.1999999999999993</v>
      </c>
      <c r="DP45" s="53">
        <v>9</v>
      </c>
      <c r="DQ45" s="53">
        <v>8.8000000000000007</v>
      </c>
      <c r="DR45" s="53">
        <v>8.6999999999999993</v>
      </c>
      <c r="DS45" s="53">
        <v>8.6</v>
      </c>
      <c r="DT45" s="53">
        <v>8.5</v>
      </c>
      <c r="DU45" s="63">
        <v>8.4</v>
      </c>
      <c r="DV45" s="54" t="s">
        <v>225</v>
      </c>
      <c r="DW45" s="53">
        <v>8.4</v>
      </c>
      <c r="DX45" s="53">
        <v>8.1999999999999993</v>
      </c>
      <c r="DY45" s="53">
        <v>8.1</v>
      </c>
      <c r="DZ45" s="53">
        <v>7.9</v>
      </c>
      <c r="EA45" s="53">
        <v>7.7</v>
      </c>
      <c r="EB45" s="53">
        <v>7.6</v>
      </c>
      <c r="EC45" s="53">
        <v>7.4</v>
      </c>
      <c r="ED45" s="53">
        <v>7.2</v>
      </c>
      <c r="EE45" s="53">
        <v>7</v>
      </c>
      <c r="EF45" s="53">
        <v>6.8</v>
      </c>
      <c r="EG45" s="55">
        <v>6.5</v>
      </c>
      <c r="EH45" s="55">
        <v>6.3</v>
      </c>
      <c r="EI45" s="55">
        <v>6.2</v>
      </c>
      <c r="EJ45" s="55">
        <v>6</v>
      </c>
      <c r="EK45" s="53">
        <v>6</v>
      </c>
      <c r="EL45" s="55">
        <v>6</v>
      </c>
      <c r="EM45" s="55">
        <v>6.1</v>
      </c>
      <c r="EN45" s="55">
        <v>6.2</v>
      </c>
      <c r="EO45" s="55">
        <v>6.4</v>
      </c>
      <c r="EP45" s="55">
        <v>6.5</v>
      </c>
      <c r="EQ45" s="55">
        <v>6.6</v>
      </c>
      <c r="ER45" s="53">
        <v>6.6</v>
      </c>
      <c r="ES45" s="55">
        <v>6.5</v>
      </c>
      <c r="ET45" s="56">
        <v>6.5</v>
      </c>
      <c r="EU45" s="54" t="s">
        <v>225</v>
      </c>
      <c r="EV45" s="53">
        <v>6.4</v>
      </c>
      <c r="EW45" s="55">
        <v>6.4</v>
      </c>
      <c r="EX45" s="55">
        <v>6.3</v>
      </c>
      <c r="EY45" s="55">
        <v>6.2</v>
      </c>
      <c r="EZ45" s="55">
        <v>6.1</v>
      </c>
      <c r="FA45" s="55">
        <v>6</v>
      </c>
      <c r="FB45" s="55">
        <v>5.8</v>
      </c>
      <c r="FC45" s="55">
        <v>5.7</v>
      </c>
      <c r="FD45" s="55">
        <v>5.6</v>
      </c>
      <c r="FE45" s="55">
        <v>5.5</v>
      </c>
      <c r="FF45" s="55">
        <v>5.4</v>
      </c>
      <c r="FG45" s="55">
        <v>5.4</v>
      </c>
      <c r="FH45" s="55">
        <v>5.3</v>
      </c>
      <c r="FI45" s="55">
        <v>5.3</v>
      </c>
      <c r="FJ45" s="55">
        <v>5.2</v>
      </c>
      <c r="FK45" s="55">
        <v>5.0999999999999996</v>
      </c>
      <c r="FL45" s="55">
        <v>5.0999999999999996</v>
      </c>
      <c r="FM45" s="55">
        <v>5</v>
      </c>
      <c r="FN45" s="55">
        <v>4.9000000000000004</v>
      </c>
      <c r="FO45" s="55">
        <v>4.7</v>
      </c>
      <c r="FP45" s="55">
        <v>4.7</v>
      </c>
      <c r="FQ45" s="55">
        <v>4.5999999999999996</v>
      </c>
      <c r="FR45" s="55">
        <v>4.5</v>
      </c>
      <c r="FS45" s="56">
        <v>4.4000000000000004</v>
      </c>
      <c r="FT45" s="54" t="s">
        <v>225</v>
      </c>
      <c r="FU45" s="53">
        <v>4.4000000000000004</v>
      </c>
      <c r="FV45" s="55">
        <v>4.3</v>
      </c>
      <c r="FW45" s="55">
        <v>4.2</v>
      </c>
      <c r="FX45" s="55">
        <v>4.2</v>
      </c>
      <c r="FY45" s="55">
        <v>4.0999999999999996</v>
      </c>
      <c r="FZ45" s="55">
        <v>4.0999999999999996</v>
      </c>
      <c r="GA45" s="55">
        <v>4.2</v>
      </c>
      <c r="GB45" s="55">
        <v>4.2</v>
      </c>
      <c r="GC45" s="55">
        <v>4.2</v>
      </c>
      <c r="GD45" s="55">
        <v>4.2</v>
      </c>
      <c r="GE45" s="55">
        <v>4.2</v>
      </c>
      <c r="GF45" s="55">
        <v>4</v>
      </c>
      <c r="GG45" s="55">
        <v>3.9</v>
      </c>
      <c r="GH45" s="55">
        <v>3.7</v>
      </c>
      <c r="GI45" s="55">
        <v>3.5</v>
      </c>
      <c r="GJ45" s="55">
        <v>3.3</v>
      </c>
      <c r="GK45" s="55">
        <v>3.2</v>
      </c>
      <c r="GL45" s="55">
        <v>3.2</v>
      </c>
      <c r="GM45" s="55">
        <v>3.3</v>
      </c>
      <c r="GN45" s="55">
        <v>3.3</v>
      </c>
      <c r="GO45" s="55">
        <v>3.3</v>
      </c>
      <c r="GP45" s="55">
        <v>3.3</v>
      </c>
      <c r="GQ45" s="55">
        <v>3.2</v>
      </c>
      <c r="GR45" s="55">
        <v>3.2</v>
      </c>
      <c r="GS45" s="54" t="s">
        <v>225</v>
      </c>
      <c r="GT45" s="55">
        <v>3.2</v>
      </c>
      <c r="GU45" s="55">
        <v>3.2</v>
      </c>
      <c r="GV45" s="55">
        <v>3.1</v>
      </c>
      <c r="GW45" s="55">
        <v>3.1</v>
      </c>
      <c r="GX45" s="55">
        <v>2.9</v>
      </c>
      <c r="GY45" s="55">
        <v>2.7</v>
      </c>
      <c r="GZ45" s="55">
        <v>2.6</v>
      </c>
      <c r="HA45" s="55">
        <v>2.5</v>
      </c>
      <c r="HB45" s="55">
        <v>2.4</v>
      </c>
      <c r="HC45" s="55">
        <v>2.4</v>
      </c>
      <c r="HD45" s="55">
        <v>2.5</v>
      </c>
      <c r="HE45" s="55">
        <v>2.6</v>
      </c>
      <c r="HF45" s="55">
        <v>2.8</v>
      </c>
      <c r="HG45" s="55">
        <v>2.9</v>
      </c>
      <c r="HH45" s="55">
        <v>3.1</v>
      </c>
      <c r="HI45" s="55">
        <v>11.7</v>
      </c>
      <c r="HJ45" s="55">
        <v>9.3000000000000007</v>
      </c>
      <c r="HK45" s="55">
        <v>7.8</v>
      </c>
      <c r="HL45" s="55">
        <v>7.1</v>
      </c>
      <c r="HM45" s="55">
        <v>6.2</v>
      </c>
      <c r="HN45" s="55">
        <v>5.8</v>
      </c>
      <c r="HO45" s="55">
        <v>5.3</v>
      </c>
      <c r="HP45" s="55">
        <v>5.0999999999999996</v>
      </c>
      <c r="HQ45" s="56">
        <v>4.9000000000000004</v>
      </c>
      <c r="HR45" s="54" t="s">
        <v>225</v>
      </c>
      <c r="HS45" s="55">
        <v>4.5999999999999996</v>
      </c>
      <c r="HT45" s="55">
        <v>4.4000000000000004</v>
      </c>
      <c r="HU45" s="55">
        <v>4.3</v>
      </c>
      <c r="HV45" s="55">
        <v>4.2</v>
      </c>
      <c r="HW45" s="55">
        <v>4.0999999999999996</v>
      </c>
      <c r="HX45" s="55">
        <v>4</v>
      </c>
      <c r="HY45" s="55">
        <v>3.9</v>
      </c>
      <c r="HZ45" s="55">
        <v>3.8</v>
      </c>
      <c r="IA45" s="55">
        <v>3.6</v>
      </c>
      <c r="IB45" s="55">
        <v>3.5</v>
      </c>
      <c r="IC45" s="55">
        <v>3.4</v>
      </c>
      <c r="ID45" s="55">
        <v>3.3</v>
      </c>
      <c r="IE45" s="55">
        <v>3.3</v>
      </c>
      <c r="IF45" s="55">
        <v>3.2</v>
      </c>
      <c r="IG45" s="55">
        <v>3.2</v>
      </c>
      <c r="IH45" s="55">
        <v>3.2</v>
      </c>
      <c r="II45" s="55">
        <v>3.2</v>
      </c>
      <c r="IJ45" s="55">
        <v>3.2</v>
      </c>
      <c r="IK45" s="55">
        <v>3.2</v>
      </c>
      <c r="IL45" s="55">
        <v>3.2</v>
      </c>
      <c r="IM45" s="55">
        <v>3.2</v>
      </c>
      <c r="IN45" s="55">
        <v>3.2</v>
      </c>
      <c r="IO45" s="55">
        <v>3.2</v>
      </c>
      <c r="IP45" s="56">
        <v>3.1</v>
      </c>
      <c r="IQ45" s="54" t="s">
        <v>225</v>
      </c>
      <c r="IR45" s="55">
        <v>3.1</v>
      </c>
      <c r="IS45" s="55">
        <v>3</v>
      </c>
      <c r="IT45" s="55">
        <v>3</v>
      </c>
      <c r="IU45" s="55">
        <v>2.9</v>
      </c>
      <c r="IV45" s="55">
        <v>2.8</v>
      </c>
      <c r="IW45" s="55">
        <v>2.8</v>
      </c>
      <c r="IX45" s="55">
        <v>2.8</v>
      </c>
      <c r="IY45" s="55">
        <v>2.9</v>
      </c>
      <c r="IZ45" s="55">
        <v>3</v>
      </c>
      <c r="JA45" s="55">
        <v>3.1</v>
      </c>
      <c r="JB45" s="55">
        <v>3.2</v>
      </c>
      <c r="JC45" s="55">
        <v>3.3</v>
      </c>
      <c r="JD45" s="55">
        <v>3.4</v>
      </c>
      <c r="JE45" s="55">
        <v>3.5</v>
      </c>
      <c r="JF45" s="55">
        <v>3.7</v>
      </c>
      <c r="JG45" s="55">
        <v>3.9</v>
      </c>
      <c r="JH45" s="55">
        <v>4.2</v>
      </c>
      <c r="JI45" s="55">
        <v>4.4000000000000004</v>
      </c>
      <c r="JJ45" s="55">
        <v>4.5</v>
      </c>
      <c r="JK45" s="55">
        <v>4.5999999999999996</v>
      </c>
      <c r="JL45" s="55">
        <v>4.5</v>
      </c>
      <c r="JM45" s="55">
        <v>4.5</v>
      </c>
      <c r="JN45" s="55">
        <v>4.4000000000000004</v>
      </c>
      <c r="JO45" s="56">
        <v>4.4000000000000004</v>
      </c>
      <c r="JP45" s="54" t="s">
        <v>225</v>
      </c>
      <c r="JQ45" s="82">
        <v>4.3</v>
      </c>
      <c r="JR45" s="82">
        <v>4.2</v>
      </c>
      <c r="JS45" s="82">
        <v>4.0999999999999996</v>
      </c>
      <c r="JT45" s="82">
        <v>4.2</v>
      </c>
      <c r="JU45" s="82">
        <v>4.0999999999999996</v>
      </c>
      <c r="JV45" s="82">
        <v>4.0999999999999996</v>
      </c>
      <c r="JW45" s="82">
        <v>4.2</v>
      </c>
      <c r="JX45" s="82">
        <v>4.3</v>
      </c>
      <c r="JY45" s="82">
        <v>4.4000000000000004</v>
      </c>
      <c r="JZ45" s="82" t="s">
        <v>402</v>
      </c>
      <c r="KA45" s="83">
        <v>4.5999999999999996</v>
      </c>
    </row>
    <row r="46" spans="2:287" x14ac:dyDescent="0.3">
      <c r="B46" s="39" t="s">
        <v>226</v>
      </c>
      <c r="C46" s="17">
        <v>2.5166666666666675</v>
      </c>
      <c r="D46" s="17">
        <v>3</v>
      </c>
      <c r="E46" s="17">
        <v>3.2583333333333346</v>
      </c>
      <c r="F46" s="17">
        <v>3.4750000000000001</v>
      </c>
      <c r="G46" s="17">
        <v>3.5666666666666647</v>
      </c>
      <c r="H46" s="17">
        <v>3.5166666666666653</v>
      </c>
      <c r="I46" s="17">
        <v>3.0083333333333324</v>
      </c>
      <c r="J46" s="17">
        <v>2.8499999999999996</v>
      </c>
      <c r="K46" s="17">
        <v>3.0750000000000002</v>
      </c>
      <c r="L46" s="17">
        <v>4.599999999999997</v>
      </c>
      <c r="M46" s="17">
        <v>4.8583333333333325</v>
      </c>
      <c r="N46" s="17">
        <v>4.5583333333333345</v>
      </c>
      <c r="O46" s="19">
        <v>4.0166666666666648</v>
      </c>
      <c r="P46" s="19">
        <v>3.6999999999999997</v>
      </c>
      <c r="Q46" s="19">
        <v>3.3416666666666677</v>
      </c>
      <c r="R46" s="19">
        <v>3.0250000000000021</v>
      </c>
      <c r="S46" s="19">
        <v>3</v>
      </c>
      <c r="T46" s="19">
        <v>3.0166666666666675</v>
      </c>
      <c r="U46" s="19">
        <v>2.7666666666666675</v>
      </c>
      <c r="V46" s="19">
        <v>2.7416666666666645</v>
      </c>
      <c r="W46" s="19">
        <v>4.1416666666666675</v>
      </c>
      <c r="X46" s="19">
        <v>2.5416666666666647</v>
      </c>
      <c r="Y46" s="19">
        <v>1.8916666666666675</v>
      </c>
      <c r="Z46" s="19">
        <v>1.8</v>
      </c>
      <c r="AA46" s="19">
        <v>1.7999999999999998</v>
      </c>
      <c r="AB46" s="96"/>
      <c r="AC46" s="36" t="str">
        <f>Table11[[#This Row],[State]]</f>
        <v>South Dakota</v>
      </c>
      <c r="AD46" s="27">
        <v>4.4000000000000004</v>
      </c>
      <c r="AE46" s="27">
        <v>4.7333333333333298</v>
      </c>
      <c r="AF46" s="27">
        <v>4.6333333333333302</v>
      </c>
      <c r="AG46" s="27">
        <v>4.6333333333333302</v>
      </c>
      <c r="AH46" s="27">
        <v>4.8333333333333304</v>
      </c>
      <c r="AI46" s="27">
        <v>4.9000000000000004</v>
      </c>
      <c r="AJ46" s="27">
        <v>4.8</v>
      </c>
      <c r="AK46" s="27">
        <v>4.9000000000000004</v>
      </c>
      <c r="AL46" s="27">
        <v>4.8666666666666698</v>
      </c>
      <c r="AM46" s="27">
        <v>4.5999999999999996</v>
      </c>
      <c r="AN46" s="27">
        <v>4.4666666666666703</v>
      </c>
      <c r="AO46" s="27">
        <v>4.3</v>
      </c>
      <c r="AP46" s="27">
        <v>4.06666666666667</v>
      </c>
      <c r="AQ46" s="27">
        <v>4.0333333333333297</v>
      </c>
      <c r="AR46" s="27">
        <v>4.0333333333333297</v>
      </c>
      <c r="AS46" s="27">
        <v>3.93333333333333</v>
      </c>
      <c r="AT46" s="27">
        <v>3.8333333333333299</v>
      </c>
      <c r="AU46" s="27">
        <v>3.7666666666666702</v>
      </c>
      <c r="AV46" s="27">
        <v>3.6666666666666701</v>
      </c>
      <c r="AW46" s="27">
        <v>3.5333333333333301</v>
      </c>
      <c r="AX46" s="27">
        <v>3.4666666666666699</v>
      </c>
      <c r="AY46" s="27">
        <v>3.3666666666666698</v>
      </c>
      <c r="AZ46" s="27">
        <v>3.3</v>
      </c>
      <c r="BA46" s="27">
        <v>3.2333333333333298</v>
      </c>
      <c r="BB46" s="36" t="str">
        <f t="shared" si="0"/>
        <v>South Dakota</v>
      </c>
      <c r="BC46" s="27">
        <v>3.1666666666666701</v>
      </c>
      <c r="BD46" s="27">
        <v>3.1</v>
      </c>
      <c r="BE46" s="27">
        <v>2.9666666666666699</v>
      </c>
      <c r="BF46" s="27">
        <v>2.8666666666666698</v>
      </c>
      <c r="BG46" s="27">
        <v>2.8</v>
      </c>
      <c r="BH46" s="27">
        <v>2.93333333333333</v>
      </c>
      <c r="BI46" s="27">
        <v>3.1</v>
      </c>
      <c r="BJ46" s="27">
        <v>3.1666666666666701</v>
      </c>
      <c r="BK46" s="27">
        <v>3.06666666666667</v>
      </c>
      <c r="BL46" s="27">
        <v>3</v>
      </c>
      <c r="BM46" s="27">
        <v>3</v>
      </c>
      <c r="BN46" s="27">
        <v>3</v>
      </c>
      <c r="BO46" s="27">
        <v>2.9</v>
      </c>
      <c r="BP46" s="27">
        <v>2.7666666666666702</v>
      </c>
      <c r="BQ46" s="27">
        <v>2.7</v>
      </c>
      <c r="BR46" s="27">
        <v>2.7</v>
      </c>
      <c r="BS46" s="27">
        <v>2.8</v>
      </c>
      <c r="BT46" s="27">
        <v>2.8</v>
      </c>
      <c r="BU46" s="27">
        <v>2.7333333333333298</v>
      </c>
      <c r="BV46" s="27">
        <v>2.6333333333333302</v>
      </c>
      <c r="BW46" s="36" t="str">
        <f>Table13[[#This Row],[State]]</f>
        <v>South Dakota</v>
      </c>
      <c r="BX46" s="27">
        <v>2.4666666666666699</v>
      </c>
      <c r="BY46" s="27">
        <v>6.9</v>
      </c>
      <c r="BZ46" s="27">
        <v>4.06666666666667</v>
      </c>
      <c r="CA46" s="27">
        <v>3.1333333333333302</v>
      </c>
      <c r="CB46" s="27">
        <v>2.8333333333333299</v>
      </c>
      <c r="CC46" s="27">
        <v>2.7333333333333298</v>
      </c>
      <c r="CD46" s="27">
        <v>2.5</v>
      </c>
      <c r="CE46" s="27">
        <v>2.1</v>
      </c>
      <c r="CF46" s="27">
        <v>1.86666666666667</v>
      </c>
      <c r="CG46" s="27">
        <v>1.86666666666667</v>
      </c>
      <c r="CH46" s="27">
        <v>1.93333333333333</v>
      </c>
      <c r="CI46" s="27">
        <v>1.9</v>
      </c>
      <c r="CJ46" s="27">
        <v>1.8</v>
      </c>
      <c r="CK46" s="27">
        <v>1.8</v>
      </c>
      <c r="CL46" s="27">
        <v>1.8</v>
      </c>
      <c r="CM46" s="27">
        <v>1.8</v>
      </c>
      <c r="CN46" s="27">
        <v>1.7</v>
      </c>
      <c r="CO46" s="27">
        <v>1.8</v>
      </c>
      <c r="CP46" s="27">
        <v>1.8</v>
      </c>
      <c r="CQ46" s="27">
        <v>1.9</v>
      </c>
      <c r="CR46" s="79" t="str">
        <f>Table13[[#This Row],[ State]]</f>
        <v>South Dakota</v>
      </c>
      <c r="CS46" s="27">
        <v>1.86666666666667</v>
      </c>
      <c r="CT46" s="27">
        <v>1.8</v>
      </c>
      <c r="CU46" s="27">
        <v>1.93333333333333</v>
      </c>
      <c r="CV46" s="111"/>
      <c r="CW46" s="41" t="s">
        <v>226</v>
      </c>
      <c r="CX46" s="47">
        <v>4.9000000000000004</v>
      </c>
      <c r="CY46" s="48">
        <v>4.9000000000000004</v>
      </c>
      <c r="CZ46" s="48">
        <v>4.8</v>
      </c>
      <c r="DA46" s="48">
        <v>4.7</v>
      </c>
      <c r="DB46" s="48">
        <v>4.5999999999999996</v>
      </c>
      <c r="DC46" s="48">
        <v>4.5</v>
      </c>
      <c r="DD46" s="48">
        <v>4.5</v>
      </c>
      <c r="DE46" s="48">
        <v>4.5</v>
      </c>
      <c r="DF46" s="48">
        <v>4.4000000000000004</v>
      </c>
      <c r="DG46" s="48">
        <v>4.4000000000000004</v>
      </c>
      <c r="DH46" s="48">
        <v>4.3</v>
      </c>
      <c r="DI46" s="48">
        <v>4.2</v>
      </c>
      <c r="DJ46" s="48">
        <v>4.0999999999999996</v>
      </c>
      <c r="DK46" s="48">
        <v>4.0999999999999996</v>
      </c>
      <c r="DL46" s="48">
        <v>4</v>
      </c>
      <c r="DM46" s="48">
        <v>4</v>
      </c>
      <c r="DN46" s="48">
        <v>4</v>
      </c>
      <c r="DO46" s="48">
        <v>4.0999999999999996</v>
      </c>
      <c r="DP46" s="48">
        <v>4.0999999999999996</v>
      </c>
      <c r="DQ46" s="48">
        <v>4</v>
      </c>
      <c r="DR46" s="48">
        <v>4</v>
      </c>
      <c r="DS46" s="48">
        <v>4</v>
      </c>
      <c r="DT46" s="48">
        <v>3.9</v>
      </c>
      <c r="DU46" s="62">
        <v>3.9</v>
      </c>
      <c r="DV46" s="49" t="s">
        <v>226</v>
      </c>
      <c r="DW46" s="48">
        <v>3.9</v>
      </c>
      <c r="DX46" s="48">
        <v>3.8</v>
      </c>
      <c r="DY46" s="48">
        <v>3.8</v>
      </c>
      <c r="DZ46" s="48">
        <v>3.8</v>
      </c>
      <c r="EA46" s="48">
        <v>3.8</v>
      </c>
      <c r="EB46" s="48">
        <v>3.7</v>
      </c>
      <c r="EC46" s="48">
        <v>3.7</v>
      </c>
      <c r="ED46" s="48">
        <v>3.7</v>
      </c>
      <c r="EE46" s="48">
        <v>3.6</v>
      </c>
      <c r="EF46" s="48">
        <v>3.6</v>
      </c>
      <c r="EG46" s="50">
        <v>3.5</v>
      </c>
      <c r="EH46" s="50">
        <v>3.5</v>
      </c>
      <c r="EI46" s="50">
        <v>3.5</v>
      </c>
      <c r="EJ46" s="50">
        <v>3.5</v>
      </c>
      <c r="EK46" s="48">
        <v>3.4</v>
      </c>
      <c r="EL46" s="50">
        <v>3.4</v>
      </c>
      <c r="EM46" s="50">
        <v>3.4</v>
      </c>
      <c r="EN46" s="50">
        <v>3.3</v>
      </c>
      <c r="EO46" s="50">
        <v>3.3</v>
      </c>
      <c r="EP46" s="50">
        <v>3.3</v>
      </c>
      <c r="EQ46" s="50">
        <v>3.3</v>
      </c>
      <c r="ER46" s="48">
        <v>3.3</v>
      </c>
      <c r="ES46" s="50">
        <v>3.2</v>
      </c>
      <c r="ET46" s="51">
        <v>3.2</v>
      </c>
      <c r="EU46" s="49" t="s">
        <v>226</v>
      </c>
      <c r="EV46" s="48">
        <v>3.2</v>
      </c>
      <c r="EW46" s="50">
        <v>3.2</v>
      </c>
      <c r="EX46" s="50">
        <v>3.1</v>
      </c>
      <c r="EY46" s="50">
        <v>3.1</v>
      </c>
      <c r="EZ46" s="50">
        <v>3.1</v>
      </c>
      <c r="FA46" s="50">
        <v>3.1</v>
      </c>
      <c r="FB46" s="50">
        <v>3</v>
      </c>
      <c r="FC46" s="50">
        <v>3</v>
      </c>
      <c r="FD46" s="50">
        <v>2.9</v>
      </c>
      <c r="FE46" s="50">
        <v>2.9</v>
      </c>
      <c r="FF46" s="50">
        <v>2.9</v>
      </c>
      <c r="FG46" s="50">
        <v>2.8</v>
      </c>
      <c r="FH46" s="50">
        <v>2.8</v>
      </c>
      <c r="FI46" s="50">
        <v>2.8</v>
      </c>
      <c r="FJ46" s="50">
        <v>2.8</v>
      </c>
      <c r="FK46" s="50">
        <v>2.9</v>
      </c>
      <c r="FL46" s="50">
        <v>2.9</v>
      </c>
      <c r="FM46" s="50">
        <v>3</v>
      </c>
      <c r="FN46" s="50">
        <v>3.1</v>
      </c>
      <c r="FO46" s="50">
        <v>3.1</v>
      </c>
      <c r="FP46" s="50">
        <v>3.1</v>
      </c>
      <c r="FQ46" s="50">
        <v>3.2</v>
      </c>
      <c r="FR46" s="50">
        <v>3.2</v>
      </c>
      <c r="FS46" s="51">
        <v>3.1</v>
      </c>
      <c r="FT46" s="49" t="s">
        <v>226</v>
      </c>
      <c r="FU46" s="48">
        <v>3.1</v>
      </c>
      <c r="FV46" s="50">
        <v>3.1</v>
      </c>
      <c r="FW46" s="50">
        <v>3</v>
      </c>
      <c r="FX46" s="50">
        <v>3</v>
      </c>
      <c r="FY46" s="50">
        <v>3</v>
      </c>
      <c r="FZ46" s="50">
        <v>3</v>
      </c>
      <c r="GA46" s="50">
        <v>3</v>
      </c>
      <c r="GB46" s="50">
        <v>3</v>
      </c>
      <c r="GC46" s="50">
        <v>3</v>
      </c>
      <c r="GD46" s="50">
        <v>3</v>
      </c>
      <c r="GE46" s="50">
        <v>3</v>
      </c>
      <c r="GF46" s="50">
        <v>3</v>
      </c>
      <c r="GG46" s="50">
        <v>2.9</v>
      </c>
      <c r="GH46" s="50">
        <v>2.9</v>
      </c>
      <c r="GI46" s="50">
        <v>2.9</v>
      </c>
      <c r="GJ46" s="50">
        <v>2.8</v>
      </c>
      <c r="GK46" s="50">
        <v>2.8</v>
      </c>
      <c r="GL46" s="50">
        <v>2.7</v>
      </c>
      <c r="GM46" s="50">
        <v>2.7</v>
      </c>
      <c r="GN46" s="50">
        <v>2.7</v>
      </c>
      <c r="GO46" s="50">
        <v>2.7</v>
      </c>
      <c r="GP46" s="50">
        <v>2.7</v>
      </c>
      <c r="GQ46" s="50">
        <v>2.7</v>
      </c>
      <c r="GR46" s="50">
        <v>2.7</v>
      </c>
      <c r="GS46" s="49" t="s">
        <v>226</v>
      </c>
      <c r="GT46" s="50">
        <v>2.8</v>
      </c>
      <c r="GU46" s="50">
        <v>2.8</v>
      </c>
      <c r="GV46" s="50">
        <v>2.8</v>
      </c>
      <c r="GW46" s="50">
        <v>2.8</v>
      </c>
      <c r="GX46" s="50">
        <v>2.8</v>
      </c>
      <c r="GY46" s="50">
        <v>2.8</v>
      </c>
      <c r="GZ46" s="50">
        <v>2.8</v>
      </c>
      <c r="HA46" s="50">
        <v>2.7</v>
      </c>
      <c r="HB46" s="50">
        <v>2.7</v>
      </c>
      <c r="HC46" s="50">
        <v>2.7</v>
      </c>
      <c r="HD46" s="50">
        <v>2.6</v>
      </c>
      <c r="HE46" s="50">
        <v>2.6</v>
      </c>
      <c r="HF46" s="50">
        <v>2.5</v>
      </c>
      <c r="HG46" s="50">
        <v>2.5</v>
      </c>
      <c r="HH46" s="50">
        <v>2.4</v>
      </c>
      <c r="HI46" s="50">
        <v>8.8000000000000007</v>
      </c>
      <c r="HJ46" s="50">
        <v>6.6</v>
      </c>
      <c r="HK46" s="50">
        <v>5.3</v>
      </c>
      <c r="HL46" s="50">
        <v>4.7</v>
      </c>
      <c r="HM46" s="50">
        <v>3.9</v>
      </c>
      <c r="HN46" s="50">
        <v>3.6</v>
      </c>
      <c r="HO46" s="50">
        <v>3.3</v>
      </c>
      <c r="HP46" s="50">
        <v>3.1</v>
      </c>
      <c r="HQ46" s="51">
        <v>3</v>
      </c>
      <c r="HR46" s="49" t="s">
        <v>226</v>
      </c>
      <c r="HS46" s="50">
        <v>2.9</v>
      </c>
      <c r="HT46" s="50">
        <v>2.8</v>
      </c>
      <c r="HU46" s="50">
        <v>2.8</v>
      </c>
      <c r="HV46" s="50">
        <v>2.8</v>
      </c>
      <c r="HW46" s="50">
        <v>2.7</v>
      </c>
      <c r="HX46" s="50">
        <v>2.7</v>
      </c>
      <c r="HY46" s="50">
        <v>2.6</v>
      </c>
      <c r="HZ46" s="50">
        <v>2.5</v>
      </c>
      <c r="IA46" s="50">
        <v>2.4</v>
      </c>
      <c r="IB46" s="50">
        <v>2.2000000000000002</v>
      </c>
      <c r="IC46" s="50">
        <v>2.1</v>
      </c>
      <c r="ID46" s="50">
        <v>2</v>
      </c>
      <c r="IE46" s="50">
        <v>1.9</v>
      </c>
      <c r="IF46" s="50">
        <v>1.9</v>
      </c>
      <c r="IG46" s="50">
        <v>1.8</v>
      </c>
      <c r="IH46" s="50">
        <v>1.8</v>
      </c>
      <c r="II46" s="50">
        <v>1.9</v>
      </c>
      <c r="IJ46" s="50">
        <v>1.9</v>
      </c>
      <c r="IK46" s="50">
        <v>1.9</v>
      </c>
      <c r="IL46" s="50">
        <v>1.9</v>
      </c>
      <c r="IM46" s="50">
        <v>2</v>
      </c>
      <c r="IN46" s="50">
        <v>1.9</v>
      </c>
      <c r="IO46" s="50">
        <v>1.9</v>
      </c>
      <c r="IP46" s="51">
        <v>1.9</v>
      </c>
      <c r="IQ46" s="49" t="s">
        <v>226</v>
      </c>
      <c r="IR46" s="50">
        <v>1.8</v>
      </c>
      <c r="IS46" s="50">
        <v>1.8</v>
      </c>
      <c r="IT46" s="50">
        <v>1.8</v>
      </c>
      <c r="IU46" s="50">
        <v>1.8</v>
      </c>
      <c r="IV46" s="50">
        <v>1.8</v>
      </c>
      <c r="IW46" s="50">
        <v>1.8</v>
      </c>
      <c r="IX46" s="50">
        <v>1.8</v>
      </c>
      <c r="IY46" s="50">
        <v>1.8</v>
      </c>
      <c r="IZ46" s="50">
        <v>1.8</v>
      </c>
      <c r="JA46" s="50">
        <v>1.8</v>
      </c>
      <c r="JB46" s="50">
        <v>1.8</v>
      </c>
      <c r="JC46" s="50">
        <v>1.8</v>
      </c>
      <c r="JD46" s="50">
        <v>1.7</v>
      </c>
      <c r="JE46" s="50">
        <v>1.7</v>
      </c>
      <c r="JF46" s="50">
        <v>1.7</v>
      </c>
      <c r="JG46" s="50">
        <v>1.8</v>
      </c>
      <c r="JH46" s="50">
        <v>1.8</v>
      </c>
      <c r="JI46" s="50">
        <v>1.8</v>
      </c>
      <c r="JJ46" s="50">
        <v>1.8</v>
      </c>
      <c r="JK46" s="50">
        <v>1.8</v>
      </c>
      <c r="JL46" s="50">
        <v>1.8</v>
      </c>
      <c r="JM46" s="50">
        <v>1.9</v>
      </c>
      <c r="JN46" s="50">
        <v>1.9</v>
      </c>
      <c r="JO46" s="51">
        <v>1.9</v>
      </c>
      <c r="JP46" s="49" t="s">
        <v>226</v>
      </c>
      <c r="JQ46" s="80">
        <v>1.9</v>
      </c>
      <c r="JR46" s="80">
        <v>1.9</v>
      </c>
      <c r="JS46" s="80">
        <v>1.8</v>
      </c>
      <c r="JT46" s="80">
        <v>1.8</v>
      </c>
      <c r="JU46" s="80">
        <v>1.8</v>
      </c>
      <c r="JV46" s="80">
        <v>1.8</v>
      </c>
      <c r="JW46" s="80">
        <v>1.9</v>
      </c>
      <c r="JX46" s="80">
        <v>1.9</v>
      </c>
      <c r="JY46" s="80">
        <v>2</v>
      </c>
      <c r="JZ46" s="80" t="s">
        <v>402</v>
      </c>
      <c r="KA46" s="81">
        <v>2.1</v>
      </c>
    </row>
    <row r="47" spans="2:287" x14ac:dyDescent="0.3">
      <c r="B47" s="39" t="s">
        <v>227</v>
      </c>
      <c r="C47" s="17">
        <v>3.8333333333333326</v>
      </c>
      <c r="D47" s="17">
        <v>4.591666666666665</v>
      </c>
      <c r="E47" s="17">
        <v>5.1749999999999998</v>
      </c>
      <c r="F47" s="17">
        <v>5.533333333333335</v>
      </c>
      <c r="G47" s="17">
        <v>5.35</v>
      </c>
      <c r="H47" s="17">
        <v>5.5</v>
      </c>
      <c r="I47" s="17">
        <v>5.216666666666665</v>
      </c>
      <c r="J47" s="17">
        <v>4.6500000000000004</v>
      </c>
      <c r="K47" s="17">
        <v>6.5083333333333329</v>
      </c>
      <c r="L47" s="17">
        <v>10.383333333333342</v>
      </c>
      <c r="M47" s="17">
        <v>9.7999999999999918</v>
      </c>
      <c r="N47" s="17">
        <v>9.0416666666666679</v>
      </c>
      <c r="O47" s="19">
        <v>7.9249999999999998</v>
      </c>
      <c r="P47" s="19">
        <v>7.625</v>
      </c>
      <c r="Q47" s="19">
        <v>6.5750000000000002</v>
      </c>
      <c r="R47" s="19">
        <v>5.5250000000000004</v>
      </c>
      <c r="S47" s="19">
        <v>4.7416666666666671</v>
      </c>
      <c r="T47" s="19">
        <v>3.7333333333333325</v>
      </c>
      <c r="U47" s="19">
        <v>3.5</v>
      </c>
      <c r="V47" s="19">
        <v>3.3333333333333321</v>
      </c>
      <c r="W47" s="19">
        <v>7.4916666666666742</v>
      </c>
      <c r="X47" s="19">
        <v>4.4666666666666677</v>
      </c>
      <c r="Y47" s="19">
        <v>3.35</v>
      </c>
      <c r="Z47" s="19">
        <v>3.2249999999999996</v>
      </c>
      <c r="AA47" s="19">
        <v>3.4083333333333323</v>
      </c>
      <c r="AB47" s="96"/>
      <c r="AC47" s="35" t="str">
        <f>Table11[[#This Row],[State]]</f>
        <v>Tennessee</v>
      </c>
      <c r="AD47" s="17">
        <v>9.56666666666667</v>
      </c>
      <c r="AE47" s="17">
        <v>10.633333333333301</v>
      </c>
      <c r="AF47" s="17">
        <v>10.766666666666699</v>
      </c>
      <c r="AG47" s="17">
        <v>10.5666666666667</v>
      </c>
      <c r="AH47" s="17">
        <v>10.3333333333333</v>
      </c>
      <c r="AI47" s="17">
        <v>9.7666666666666693</v>
      </c>
      <c r="AJ47" s="17">
        <v>9.5</v>
      </c>
      <c r="AK47" s="17">
        <v>9.6</v>
      </c>
      <c r="AL47" s="17">
        <v>9.4</v>
      </c>
      <c r="AM47" s="17">
        <v>9.1666666666666696</v>
      </c>
      <c r="AN47" s="19">
        <v>9</v>
      </c>
      <c r="AO47" s="19">
        <v>8.6</v>
      </c>
      <c r="AP47" s="19">
        <v>8.1</v>
      </c>
      <c r="AQ47" s="19">
        <v>8</v>
      </c>
      <c r="AR47" s="19">
        <v>7.8333333333333304</v>
      </c>
      <c r="AS47" s="19">
        <v>7.7666666666666702</v>
      </c>
      <c r="AT47" s="19">
        <v>7.9</v>
      </c>
      <c r="AU47" s="19">
        <v>7.8333333333333304</v>
      </c>
      <c r="AV47" s="17">
        <v>7.6</v>
      </c>
      <c r="AW47" s="17">
        <v>7.1666666666666696</v>
      </c>
      <c r="AX47" s="17">
        <v>6.8</v>
      </c>
      <c r="AY47" s="17">
        <v>6.6666666666666696</v>
      </c>
      <c r="AZ47" s="17">
        <v>6.5333333333333297</v>
      </c>
      <c r="BA47" s="17">
        <v>6.3</v>
      </c>
      <c r="BB47" s="35" t="str">
        <f t="shared" si="0"/>
        <v>Tennessee</v>
      </c>
      <c r="BC47" s="19">
        <v>6</v>
      </c>
      <c r="BD47" s="19">
        <v>5.7</v>
      </c>
      <c r="BE47" s="19">
        <v>5.4</v>
      </c>
      <c r="BF47" s="19">
        <v>5</v>
      </c>
      <c r="BG47" s="17">
        <v>4.7333333333333298</v>
      </c>
      <c r="BH47" s="17">
        <v>4.7</v>
      </c>
      <c r="BI47" s="17">
        <v>4.7666666666666702</v>
      </c>
      <c r="BJ47" s="17">
        <v>4.7666666666666702</v>
      </c>
      <c r="BK47" s="17">
        <v>4.3</v>
      </c>
      <c r="BL47" s="17">
        <v>3.7333333333333298</v>
      </c>
      <c r="BM47" s="17">
        <v>3.43333333333333</v>
      </c>
      <c r="BN47" s="17">
        <v>3.4666666666666699</v>
      </c>
      <c r="BO47" s="17">
        <v>3.5</v>
      </c>
      <c r="BP47" s="17">
        <v>3.5</v>
      </c>
      <c r="BQ47" s="17">
        <v>3.5</v>
      </c>
      <c r="BR47" s="17">
        <v>3.5</v>
      </c>
      <c r="BS47" s="17">
        <v>3.43333333333333</v>
      </c>
      <c r="BT47" s="17">
        <v>3.3</v>
      </c>
      <c r="BU47" s="17">
        <v>3.2333333333333298</v>
      </c>
      <c r="BV47" s="17">
        <v>3.3666666666666698</v>
      </c>
      <c r="BW47" s="35" t="str">
        <f>Table13[[#This Row],[State]]</f>
        <v>Tennessee</v>
      </c>
      <c r="BX47" s="17">
        <v>3.4666666666666699</v>
      </c>
      <c r="BY47" s="17">
        <v>12.6666666666667</v>
      </c>
      <c r="BZ47" s="17">
        <v>7.9</v>
      </c>
      <c r="CA47" s="17">
        <v>5.93333333333333</v>
      </c>
      <c r="CB47" s="17">
        <v>5.2333333333333298</v>
      </c>
      <c r="CC47" s="17">
        <v>4.8666666666666698</v>
      </c>
      <c r="CD47" s="17">
        <v>4.1666666666666696</v>
      </c>
      <c r="CE47" s="17">
        <v>3.6</v>
      </c>
      <c r="CF47" s="17">
        <v>3.3666666666666698</v>
      </c>
      <c r="CG47" s="17">
        <v>3.3</v>
      </c>
      <c r="CH47" s="17">
        <v>3.3333333333333299</v>
      </c>
      <c r="CI47" s="17">
        <v>3.4</v>
      </c>
      <c r="CJ47" s="17">
        <v>3.3</v>
      </c>
      <c r="CK47" s="17">
        <v>3.1333333333333302</v>
      </c>
      <c r="CL47" s="17">
        <v>3.2</v>
      </c>
      <c r="CM47" s="17">
        <v>3.2666666666666702</v>
      </c>
      <c r="CN47" s="17">
        <v>3.1333333333333302</v>
      </c>
      <c r="CO47" s="17">
        <v>3.2333333333333298</v>
      </c>
      <c r="CP47" s="17">
        <v>3.56666666666667</v>
      </c>
      <c r="CQ47" s="17">
        <v>3.7</v>
      </c>
      <c r="CR47" s="42" t="str">
        <f>Table13[[#This Row],[ State]]</f>
        <v>Tennessee</v>
      </c>
      <c r="CS47" s="17">
        <v>3.6666666666666701</v>
      </c>
      <c r="CT47" s="17">
        <v>3.5</v>
      </c>
      <c r="CU47" s="17">
        <v>3.6</v>
      </c>
      <c r="CV47" s="111"/>
      <c r="CW47" s="42" t="s">
        <v>227</v>
      </c>
      <c r="CX47" s="52">
        <v>9.5</v>
      </c>
      <c r="CY47" s="53">
        <v>9.4</v>
      </c>
      <c r="CZ47" s="53">
        <v>9.3000000000000007</v>
      </c>
      <c r="DA47" s="53">
        <v>9.1999999999999993</v>
      </c>
      <c r="DB47" s="53">
        <v>9.1999999999999993</v>
      </c>
      <c r="DC47" s="53">
        <v>9.1</v>
      </c>
      <c r="DD47" s="53">
        <v>9.1</v>
      </c>
      <c r="DE47" s="53">
        <v>9</v>
      </c>
      <c r="DF47" s="53">
        <v>8.9</v>
      </c>
      <c r="DG47" s="53">
        <v>8.8000000000000007</v>
      </c>
      <c r="DH47" s="53">
        <v>8.6</v>
      </c>
      <c r="DI47" s="53">
        <v>8.4</v>
      </c>
      <c r="DJ47" s="53">
        <v>8.1999999999999993</v>
      </c>
      <c r="DK47" s="53">
        <v>8.1</v>
      </c>
      <c r="DL47" s="53">
        <v>8</v>
      </c>
      <c r="DM47" s="53">
        <v>8</v>
      </c>
      <c r="DN47" s="53">
        <v>8</v>
      </c>
      <c r="DO47" s="53">
        <v>8</v>
      </c>
      <c r="DP47" s="53">
        <v>7.9</v>
      </c>
      <c r="DQ47" s="53">
        <v>7.8</v>
      </c>
      <c r="DR47" s="53">
        <v>7.8</v>
      </c>
      <c r="DS47" s="53">
        <v>7.7</v>
      </c>
      <c r="DT47" s="53">
        <v>7.8</v>
      </c>
      <c r="DU47" s="63">
        <v>7.8</v>
      </c>
      <c r="DV47" s="54" t="s">
        <v>227</v>
      </c>
      <c r="DW47" s="53">
        <v>7.9</v>
      </c>
      <c r="DX47" s="53">
        <v>7.9</v>
      </c>
      <c r="DY47" s="53">
        <v>7.9</v>
      </c>
      <c r="DZ47" s="53">
        <v>7.9</v>
      </c>
      <c r="EA47" s="53">
        <v>7.8</v>
      </c>
      <c r="EB47" s="53">
        <v>7.8</v>
      </c>
      <c r="EC47" s="53">
        <v>7.7</v>
      </c>
      <c r="ED47" s="53">
        <v>7.6</v>
      </c>
      <c r="EE47" s="53">
        <v>7.5</v>
      </c>
      <c r="EF47" s="53">
        <v>7.3</v>
      </c>
      <c r="EG47" s="55">
        <v>7.2</v>
      </c>
      <c r="EH47" s="55">
        <v>7</v>
      </c>
      <c r="EI47" s="55">
        <v>6.9</v>
      </c>
      <c r="EJ47" s="55">
        <v>6.8</v>
      </c>
      <c r="EK47" s="53">
        <v>6.7</v>
      </c>
      <c r="EL47" s="55">
        <v>6.7</v>
      </c>
      <c r="EM47" s="55">
        <v>6.7</v>
      </c>
      <c r="EN47" s="55">
        <v>6.6</v>
      </c>
      <c r="EO47" s="55">
        <v>6.6</v>
      </c>
      <c r="EP47" s="55">
        <v>6.5</v>
      </c>
      <c r="EQ47" s="55">
        <v>6.5</v>
      </c>
      <c r="ER47" s="53">
        <v>6.4</v>
      </c>
      <c r="ES47" s="55">
        <v>6.3</v>
      </c>
      <c r="ET47" s="56">
        <v>6.2</v>
      </c>
      <c r="EU47" s="54" t="s">
        <v>227</v>
      </c>
      <c r="EV47" s="53">
        <v>6.1</v>
      </c>
      <c r="EW47" s="55">
        <v>6</v>
      </c>
      <c r="EX47" s="55">
        <v>5.9</v>
      </c>
      <c r="EY47" s="55">
        <v>5.8</v>
      </c>
      <c r="EZ47" s="55">
        <v>5.7</v>
      </c>
      <c r="FA47" s="55">
        <v>5.6</v>
      </c>
      <c r="FB47" s="55">
        <v>5.5</v>
      </c>
      <c r="FC47" s="55">
        <v>5.4</v>
      </c>
      <c r="FD47" s="55">
        <v>5.3</v>
      </c>
      <c r="FE47" s="55">
        <v>5.0999999999999996</v>
      </c>
      <c r="FF47" s="55">
        <v>5</v>
      </c>
      <c r="FG47" s="55">
        <v>4.9000000000000004</v>
      </c>
      <c r="FH47" s="55">
        <v>4.8</v>
      </c>
      <c r="FI47" s="55">
        <v>4.7</v>
      </c>
      <c r="FJ47" s="55">
        <v>4.7</v>
      </c>
      <c r="FK47" s="55">
        <v>4.7</v>
      </c>
      <c r="FL47" s="55">
        <v>4.7</v>
      </c>
      <c r="FM47" s="55">
        <v>4.7</v>
      </c>
      <c r="FN47" s="55">
        <v>4.7</v>
      </c>
      <c r="FO47" s="55">
        <v>4.8</v>
      </c>
      <c r="FP47" s="55">
        <v>4.8</v>
      </c>
      <c r="FQ47" s="55">
        <v>4.8</v>
      </c>
      <c r="FR47" s="55">
        <v>4.8</v>
      </c>
      <c r="FS47" s="56">
        <v>4.7</v>
      </c>
      <c r="FT47" s="54" t="s">
        <v>227</v>
      </c>
      <c r="FU47" s="53">
        <v>4.5</v>
      </c>
      <c r="FV47" s="55">
        <v>4.3</v>
      </c>
      <c r="FW47" s="55">
        <v>4.0999999999999996</v>
      </c>
      <c r="FX47" s="55">
        <v>3.9</v>
      </c>
      <c r="FY47" s="55">
        <v>3.7</v>
      </c>
      <c r="FZ47" s="55">
        <v>3.6</v>
      </c>
      <c r="GA47" s="55">
        <v>3.5</v>
      </c>
      <c r="GB47" s="55">
        <v>3.4</v>
      </c>
      <c r="GC47" s="55">
        <v>3.4</v>
      </c>
      <c r="GD47" s="55">
        <v>3.4</v>
      </c>
      <c r="GE47" s="55">
        <v>3.5</v>
      </c>
      <c r="GF47" s="55">
        <v>3.5</v>
      </c>
      <c r="GG47" s="55">
        <v>3.5</v>
      </c>
      <c r="GH47" s="55">
        <v>3.5</v>
      </c>
      <c r="GI47" s="55">
        <v>3.5</v>
      </c>
      <c r="GJ47" s="55">
        <v>3.5</v>
      </c>
      <c r="GK47" s="55">
        <v>3.5</v>
      </c>
      <c r="GL47" s="55">
        <v>3.5</v>
      </c>
      <c r="GM47" s="55">
        <v>3.5</v>
      </c>
      <c r="GN47" s="55">
        <v>3.5</v>
      </c>
      <c r="GO47" s="55">
        <v>3.5</v>
      </c>
      <c r="GP47" s="55">
        <v>3.5</v>
      </c>
      <c r="GQ47" s="55">
        <v>3.5</v>
      </c>
      <c r="GR47" s="55">
        <v>3.5</v>
      </c>
      <c r="GS47" s="54" t="s">
        <v>227</v>
      </c>
      <c r="GT47" s="55">
        <v>3.5</v>
      </c>
      <c r="GU47" s="55">
        <v>3.4</v>
      </c>
      <c r="GV47" s="55">
        <v>3.4</v>
      </c>
      <c r="GW47" s="55">
        <v>3.4</v>
      </c>
      <c r="GX47" s="55">
        <v>3.3</v>
      </c>
      <c r="GY47" s="55">
        <v>3.2</v>
      </c>
      <c r="GZ47" s="55">
        <v>3.2</v>
      </c>
      <c r="HA47" s="55">
        <v>3.2</v>
      </c>
      <c r="HB47" s="55">
        <v>3.3</v>
      </c>
      <c r="HC47" s="55">
        <v>3.3</v>
      </c>
      <c r="HD47" s="55">
        <v>3.4</v>
      </c>
      <c r="HE47" s="55">
        <v>3.4</v>
      </c>
      <c r="HF47" s="55">
        <v>3.4</v>
      </c>
      <c r="HG47" s="55">
        <v>3.5</v>
      </c>
      <c r="HH47" s="55">
        <v>3.5</v>
      </c>
      <c r="HI47" s="55">
        <v>15.7</v>
      </c>
      <c r="HJ47" s="55">
        <v>12.1</v>
      </c>
      <c r="HK47" s="55">
        <v>10.199999999999999</v>
      </c>
      <c r="HL47" s="55">
        <v>9</v>
      </c>
      <c r="HM47" s="55">
        <v>7.6</v>
      </c>
      <c r="HN47" s="55">
        <v>7.1</v>
      </c>
      <c r="HO47" s="55">
        <v>6.3</v>
      </c>
      <c r="HP47" s="55">
        <v>5.9</v>
      </c>
      <c r="HQ47" s="56">
        <v>5.6</v>
      </c>
      <c r="HR47" s="54" t="s">
        <v>227</v>
      </c>
      <c r="HS47" s="55">
        <v>5.4</v>
      </c>
      <c r="HT47" s="55">
        <v>5.2</v>
      </c>
      <c r="HU47" s="55">
        <v>5.0999999999999996</v>
      </c>
      <c r="HV47" s="55">
        <v>5</v>
      </c>
      <c r="HW47" s="55">
        <v>4.9000000000000004</v>
      </c>
      <c r="HX47" s="55">
        <v>4.7</v>
      </c>
      <c r="HY47" s="55">
        <v>4.4000000000000004</v>
      </c>
      <c r="HZ47" s="55">
        <v>4.2</v>
      </c>
      <c r="IA47" s="55">
        <v>3.9</v>
      </c>
      <c r="IB47" s="55">
        <v>3.7</v>
      </c>
      <c r="IC47" s="55">
        <v>3.6</v>
      </c>
      <c r="ID47" s="55">
        <v>3.5</v>
      </c>
      <c r="IE47" s="55">
        <v>3.4</v>
      </c>
      <c r="IF47" s="55">
        <v>3.4</v>
      </c>
      <c r="IG47" s="55">
        <v>3.3</v>
      </c>
      <c r="IH47" s="55">
        <v>3.3</v>
      </c>
      <c r="II47" s="55">
        <v>3.3</v>
      </c>
      <c r="IJ47" s="55">
        <v>3.3</v>
      </c>
      <c r="IK47" s="55">
        <v>3.3</v>
      </c>
      <c r="IL47" s="55">
        <v>3.3</v>
      </c>
      <c r="IM47" s="55">
        <v>3.4</v>
      </c>
      <c r="IN47" s="55">
        <v>3.4</v>
      </c>
      <c r="IO47" s="55">
        <v>3.4</v>
      </c>
      <c r="IP47" s="56">
        <v>3.4</v>
      </c>
      <c r="IQ47" s="54" t="s">
        <v>227</v>
      </c>
      <c r="IR47" s="55">
        <v>3.4</v>
      </c>
      <c r="IS47" s="55">
        <v>3.3</v>
      </c>
      <c r="IT47" s="55">
        <v>3.2</v>
      </c>
      <c r="IU47" s="55">
        <v>3.2</v>
      </c>
      <c r="IV47" s="55">
        <v>3.1</v>
      </c>
      <c r="IW47" s="55">
        <v>3.1</v>
      </c>
      <c r="IX47" s="55">
        <v>3.2</v>
      </c>
      <c r="IY47" s="55">
        <v>3.2</v>
      </c>
      <c r="IZ47" s="55">
        <v>3.2</v>
      </c>
      <c r="JA47" s="55">
        <v>3.3</v>
      </c>
      <c r="JB47" s="55">
        <v>3.3</v>
      </c>
      <c r="JC47" s="55">
        <v>3.2</v>
      </c>
      <c r="JD47" s="55">
        <v>3.2</v>
      </c>
      <c r="JE47" s="55">
        <v>3.1</v>
      </c>
      <c r="JF47" s="55">
        <v>3.1</v>
      </c>
      <c r="JG47" s="55">
        <v>3.2</v>
      </c>
      <c r="JH47" s="55">
        <v>3.2</v>
      </c>
      <c r="JI47" s="55">
        <v>3.3</v>
      </c>
      <c r="JJ47" s="55">
        <v>3.4</v>
      </c>
      <c r="JK47" s="55">
        <v>3.6</v>
      </c>
      <c r="JL47" s="55">
        <v>3.7</v>
      </c>
      <c r="JM47" s="55">
        <v>3.7</v>
      </c>
      <c r="JN47" s="55">
        <v>3.7</v>
      </c>
      <c r="JO47" s="56">
        <v>3.7</v>
      </c>
      <c r="JP47" s="54" t="s">
        <v>227</v>
      </c>
      <c r="JQ47" s="82">
        <v>3.7</v>
      </c>
      <c r="JR47" s="82">
        <v>3.7</v>
      </c>
      <c r="JS47" s="82">
        <v>3.6</v>
      </c>
      <c r="JT47" s="82">
        <v>3.5</v>
      </c>
      <c r="JU47" s="82">
        <v>3.5</v>
      </c>
      <c r="JV47" s="82">
        <v>3.5</v>
      </c>
      <c r="JW47" s="82">
        <v>3.6</v>
      </c>
      <c r="JX47" s="82">
        <v>3.6</v>
      </c>
      <c r="JY47" s="82">
        <v>3.6</v>
      </c>
      <c r="JZ47" s="82" t="s">
        <v>402</v>
      </c>
      <c r="KA47" s="83">
        <v>3.6</v>
      </c>
    </row>
    <row r="48" spans="2:287" x14ac:dyDescent="0.3">
      <c r="B48" s="39" t="s">
        <v>228</v>
      </c>
      <c r="C48" s="17">
        <v>4.3666666666666671</v>
      </c>
      <c r="D48" s="17">
        <v>4.958333333333333</v>
      </c>
      <c r="E48" s="17">
        <v>6.3666666666666671</v>
      </c>
      <c r="F48" s="17">
        <v>6.7583333333333329</v>
      </c>
      <c r="G48" s="17">
        <v>6.0249999999999995</v>
      </c>
      <c r="H48" s="17">
        <v>5.4750000000000005</v>
      </c>
      <c r="I48" s="17">
        <v>4.9749999999999996</v>
      </c>
      <c r="J48" s="17">
        <v>4.3416666666666677</v>
      </c>
      <c r="K48" s="17">
        <v>4.8666666666666645</v>
      </c>
      <c r="L48" s="17">
        <v>7.5916666666666677</v>
      </c>
      <c r="M48" s="17">
        <v>8.25</v>
      </c>
      <c r="N48" s="17">
        <v>8.0333333333333314</v>
      </c>
      <c r="O48" s="19">
        <v>6.7083333333333321</v>
      </c>
      <c r="P48" s="19">
        <v>6.31666666666667</v>
      </c>
      <c r="Q48" s="19">
        <v>5.1833333333333318</v>
      </c>
      <c r="R48" s="19">
        <v>4.4666666666666677</v>
      </c>
      <c r="S48" s="19">
        <v>4.6666666666666679</v>
      </c>
      <c r="T48" s="19">
        <v>4.3583333333333325</v>
      </c>
      <c r="U48" s="19">
        <v>3.9166666666666679</v>
      </c>
      <c r="V48" s="19">
        <v>3.5249999999999999</v>
      </c>
      <c r="W48" s="19">
        <v>7.7249999999999899</v>
      </c>
      <c r="X48" s="19">
        <v>5.625</v>
      </c>
      <c r="Y48" s="19">
        <v>3.9166666666666674</v>
      </c>
      <c r="Z48" s="19">
        <v>4.0166666666666675</v>
      </c>
      <c r="AA48" s="19">
        <v>4.0916666666666677</v>
      </c>
      <c r="AB48" s="96"/>
      <c r="AC48" s="36" t="str">
        <f>Table11[[#This Row],[State]]</f>
        <v>Texas</v>
      </c>
      <c r="AD48" s="27">
        <v>6.2666666666666702</v>
      </c>
      <c r="AE48" s="27">
        <v>7.4</v>
      </c>
      <c r="AF48" s="27">
        <v>8.3333333333333304</v>
      </c>
      <c r="AG48" s="27">
        <v>8.3666666666666707</v>
      </c>
      <c r="AH48" s="27">
        <v>8.4</v>
      </c>
      <c r="AI48" s="27">
        <v>8.1999999999999993</v>
      </c>
      <c r="AJ48" s="27">
        <v>8.1333333333333293</v>
      </c>
      <c r="AK48" s="27">
        <v>8.2666666666666693</v>
      </c>
      <c r="AL48" s="27">
        <v>8.1666666666666696</v>
      </c>
      <c r="AM48" s="27">
        <v>8.1999999999999993</v>
      </c>
      <c r="AN48" s="27">
        <v>8.2333333333333307</v>
      </c>
      <c r="AO48" s="27">
        <v>7.5333333333333297</v>
      </c>
      <c r="AP48" s="27">
        <v>6.93333333333333</v>
      </c>
      <c r="AQ48" s="27">
        <v>6.8</v>
      </c>
      <c r="AR48" s="27">
        <v>6.6</v>
      </c>
      <c r="AS48" s="27">
        <v>6.5</v>
      </c>
      <c r="AT48" s="27">
        <v>6.56666666666667</v>
      </c>
      <c r="AU48" s="27">
        <v>6.4666666666666703</v>
      </c>
      <c r="AV48" s="27">
        <v>6.2666666666666702</v>
      </c>
      <c r="AW48" s="27">
        <v>5.9666666666666703</v>
      </c>
      <c r="AX48" s="27">
        <v>5.6</v>
      </c>
      <c r="AY48" s="27">
        <v>5.3</v>
      </c>
      <c r="AZ48" s="27">
        <v>5.0999999999999996</v>
      </c>
      <c r="BA48" s="27">
        <v>4.7333333333333298</v>
      </c>
      <c r="BB48" s="36" t="str">
        <f t="shared" si="0"/>
        <v>Texas</v>
      </c>
      <c r="BC48" s="27">
        <v>4.5</v>
      </c>
      <c r="BD48" s="27">
        <v>4.4000000000000004</v>
      </c>
      <c r="BE48" s="27">
        <v>4.4666666666666703</v>
      </c>
      <c r="BF48" s="27">
        <v>4.5</v>
      </c>
      <c r="BG48" s="27">
        <v>4.5</v>
      </c>
      <c r="BH48" s="27">
        <v>4.5999999999999996</v>
      </c>
      <c r="BI48" s="27">
        <v>4.7666666666666702</v>
      </c>
      <c r="BJ48" s="27">
        <v>4.8</v>
      </c>
      <c r="BK48" s="27">
        <v>4.7333333333333298</v>
      </c>
      <c r="BL48" s="27">
        <v>4.43333333333333</v>
      </c>
      <c r="BM48" s="27">
        <v>4.1666666666666696</v>
      </c>
      <c r="BN48" s="27">
        <v>4.0999999999999996</v>
      </c>
      <c r="BO48" s="27">
        <v>4.06666666666667</v>
      </c>
      <c r="BP48" s="27">
        <v>3.9666666666666699</v>
      </c>
      <c r="BQ48" s="27">
        <v>3.8333333333333299</v>
      </c>
      <c r="BR48" s="27">
        <v>3.8</v>
      </c>
      <c r="BS48" s="27">
        <v>3.6666666666666701</v>
      </c>
      <c r="BT48" s="27">
        <v>3.43333333333333</v>
      </c>
      <c r="BU48" s="27">
        <v>3.5</v>
      </c>
      <c r="BV48" s="27">
        <v>3.5</v>
      </c>
      <c r="BW48" s="36" t="str">
        <f>Table13[[#This Row],[State]]</f>
        <v>Texas</v>
      </c>
      <c r="BX48" s="27">
        <v>4.0333333333333297</v>
      </c>
      <c r="BY48" s="27">
        <v>11.533333333333299</v>
      </c>
      <c r="BZ48" s="27">
        <v>8.3333333333333304</v>
      </c>
      <c r="CA48" s="27">
        <v>7</v>
      </c>
      <c r="CB48" s="27">
        <v>6.56666666666667</v>
      </c>
      <c r="CC48" s="27">
        <v>6.0333333333333297</v>
      </c>
      <c r="CD48" s="27">
        <v>5.3</v>
      </c>
      <c r="CE48" s="27">
        <v>4.5999999999999996</v>
      </c>
      <c r="CF48" s="27">
        <v>4.0999999999999996</v>
      </c>
      <c r="CG48" s="27">
        <v>3.8333333333333299</v>
      </c>
      <c r="CH48" s="27">
        <v>3.7666666666666702</v>
      </c>
      <c r="CI48" s="27">
        <v>3.9666666666666699</v>
      </c>
      <c r="CJ48" s="27">
        <v>4.0999999999999996</v>
      </c>
      <c r="CK48" s="27">
        <v>4</v>
      </c>
      <c r="CL48" s="27">
        <v>4</v>
      </c>
      <c r="CM48" s="27">
        <v>3.9666666666666699</v>
      </c>
      <c r="CN48" s="27">
        <v>3.93333333333333</v>
      </c>
      <c r="CO48" s="27">
        <v>4.06666666666667</v>
      </c>
      <c r="CP48" s="27">
        <v>4.1666666666666696</v>
      </c>
      <c r="CQ48" s="27">
        <v>4.2</v>
      </c>
      <c r="CR48" s="79" t="str">
        <f>Table13[[#This Row],[ State]]</f>
        <v>Texas</v>
      </c>
      <c r="CS48" s="27">
        <v>4.0999999999999996</v>
      </c>
      <c r="CT48" s="27">
        <v>4.06666666666667</v>
      </c>
      <c r="CU48" s="27">
        <v>4.06666666666667</v>
      </c>
      <c r="CV48" s="111"/>
      <c r="CW48" s="41" t="s">
        <v>228</v>
      </c>
      <c r="CX48" s="47">
        <v>8.1999999999999993</v>
      </c>
      <c r="CY48" s="48">
        <v>8.1999999999999993</v>
      </c>
      <c r="CZ48" s="48">
        <v>8.1</v>
      </c>
      <c r="DA48" s="48">
        <v>8.1</v>
      </c>
      <c r="DB48" s="48">
        <v>8.1999999999999993</v>
      </c>
      <c r="DC48" s="48">
        <v>8.3000000000000007</v>
      </c>
      <c r="DD48" s="48">
        <v>8.4</v>
      </c>
      <c r="DE48" s="48">
        <v>8.1999999999999993</v>
      </c>
      <c r="DF48" s="48">
        <v>8.1</v>
      </c>
      <c r="DG48" s="48">
        <v>7.8</v>
      </c>
      <c r="DH48" s="48">
        <v>7.5</v>
      </c>
      <c r="DI48" s="48">
        <v>7.3</v>
      </c>
      <c r="DJ48" s="48">
        <v>7.1</v>
      </c>
      <c r="DK48" s="48">
        <v>7</v>
      </c>
      <c r="DL48" s="48">
        <v>6.7</v>
      </c>
      <c r="DM48" s="48">
        <v>6.8</v>
      </c>
      <c r="DN48" s="48">
        <v>6.8</v>
      </c>
      <c r="DO48" s="48">
        <v>6.8</v>
      </c>
      <c r="DP48" s="48">
        <v>6.7</v>
      </c>
      <c r="DQ48" s="48">
        <v>6.6</v>
      </c>
      <c r="DR48" s="48">
        <v>6.5</v>
      </c>
      <c r="DS48" s="48">
        <v>6.5</v>
      </c>
      <c r="DT48" s="48">
        <v>6.5</v>
      </c>
      <c r="DU48" s="62">
        <v>6.5</v>
      </c>
      <c r="DV48" s="49" t="s">
        <v>228</v>
      </c>
      <c r="DW48" s="48">
        <v>6.5</v>
      </c>
      <c r="DX48" s="48">
        <v>6.6</v>
      </c>
      <c r="DY48" s="48">
        <v>6.6</v>
      </c>
      <c r="DZ48" s="48">
        <v>6.5</v>
      </c>
      <c r="EA48" s="48">
        <v>6.5</v>
      </c>
      <c r="EB48" s="48">
        <v>6.4</v>
      </c>
      <c r="EC48" s="48">
        <v>6.3</v>
      </c>
      <c r="ED48" s="48">
        <v>6.3</v>
      </c>
      <c r="EE48" s="48">
        <v>6.2</v>
      </c>
      <c r="EF48" s="48">
        <v>6.1</v>
      </c>
      <c r="EG48" s="50">
        <v>6</v>
      </c>
      <c r="EH48" s="50">
        <v>5.8</v>
      </c>
      <c r="EI48" s="50">
        <v>5.7</v>
      </c>
      <c r="EJ48" s="50">
        <v>5.6</v>
      </c>
      <c r="EK48" s="48">
        <v>5.5</v>
      </c>
      <c r="EL48" s="50">
        <v>5.4</v>
      </c>
      <c r="EM48" s="50">
        <v>5.3</v>
      </c>
      <c r="EN48" s="50">
        <v>5.2</v>
      </c>
      <c r="EO48" s="50">
        <v>5.2</v>
      </c>
      <c r="EP48" s="50">
        <v>5.0999999999999996</v>
      </c>
      <c r="EQ48" s="50">
        <v>5</v>
      </c>
      <c r="ER48" s="48">
        <v>4.9000000000000004</v>
      </c>
      <c r="ES48" s="50">
        <v>4.7</v>
      </c>
      <c r="ET48" s="51">
        <v>4.5999999999999996</v>
      </c>
      <c r="EU48" s="49" t="s">
        <v>228</v>
      </c>
      <c r="EV48" s="48">
        <v>4.5</v>
      </c>
      <c r="EW48" s="50">
        <v>4.5</v>
      </c>
      <c r="EX48" s="50">
        <v>4.5</v>
      </c>
      <c r="EY48" s="50">
        <v>4.4000000000000004</v>
      </c>
      <c r="EZ48" s="50">
        <v>4.4000000000000004</v>
      </c>
      <c r="FA48" s="50">
        <v>4.4000000000000004</v>
      </c>
      <c r="FB48" s="50">
        <v>4.4000000000000004</v>
      </c>
      <c r="FC48" s="50">
        <v>4.5</v>
      </c>
      <c r="FD48" s="50">
        <v>4.5</v>
      </c>
      <c r="FE48" s="50">
        <v>4.5</v>
      </c>
      <c r="FF48" s="50">
        <v>4.5</v>
      </c>
      <c r="FG48" s="50">
        <v>4.5</v>
      </c>
      <c r="FH48" s="50">
        <v>4.5</v>
      </c>
      <c r="FI48" s="50">
        <v>4.5</v>
      </c>
      <c r="FJ48" s="50">
        <v>4.5</v>
      </c>
      <c r="FK48" s="50">
        <v>4.5</v>
      </c>
      <c r="FL48" s="50">
        <v>4.5999999999999996</v>
      </c>
      <c r="FM48" s="50">
        <v>4.7</v>
      </c>
      <c r="FN48" s="50">
        <v>4.7</v>
      </c>
      <c r="FO48" s="50">
        <v>4.8</v>
      </c>
      <c r="FP48" s="50">
        <v>4.8</v>
      </c>
      <c r="FQ48" s="50">
        <v>4.8</v>
      </c>
      <c r="FR48" s="50">
        <v>4.8</v>
      </c>
      <c r="FS48" s="51">
        <v>4.8</v>
      </c>
      <c r="FT48" s="49" t="s">
        <v>228</v>
      </c>
      <c r="FU48" s="48">
        <v>4.8</v>
      </c>
      <c r="FV48" s="50">
        <v>4.7</v>
      </c>
      <c r="FW48" s="50">
        <v>4.7</v>
      </c>
      <c r="FX48" s="50">
        <v>4.5999999999999996</v>
      </c>
      <c r="FY48" s="50">
        <v>4.4000000000000004</v>
      </c>
      <c r="FZ48" s="50">
        <v>4.3</v>
      </c>
      <c r="GA48" s="50">
        <v>4.2</v>
      </c>
      <c r="GB48" s="50">
        <v>4.2</v>
      </c>
      <c r="GC48" s="50">
        <v>4.0999999999999996</v>
      </c>
      <c r="GD48" s="50">
        <v>4.0999999999999996</v>
      </c>
      <c r="GE48" s="50">
        <v>4.0999999999999996</v>
      </c>
      <c r="GF48" s="50">
        <v>4.0999999999999996</v>
      </c>
      <c r="GG48" s="50">
        <v>4.0999999999999996</v>
      </c>
      <c r="GH48" s="50">
        <v>4.0999999999999996</v>
      </c>
      <c r="GI48" s="50">
        <v>4</v>
      </c>
      <c r="GJ48" s="50">
        <v>4</v>
      </c>
      <c r="GK48" s="50">
        <v>4</v>
      </c>
      <c r="GL48" s="50">
        <v>3.9</v>
      </c>
      <c r="GM48" s="50">
        <v>3.9</v>
      </c>
      <c r="GN48" s="50">
        <v>3.8</v>
      </c>
      <c r="GO48" s="50">
        <v>3.8</v>
      </c>
      <c r="GP48" s="50">
        <v>3.8</v>
      </c>
      <c r="GQ48" s="50">
        <v>3.8</v>
      </c>
      <c r="GR48" s="50">
        <v>3.8</v>
      </c>
      <c r="GS48" s="49" t="s">
        <v>228</v>
      </c>
      <c r="GT48" s="50">
        <v>3.7</v>
      </c>
      <c r="GU48" s="50">
        <v>3.7</v>
      </c>
      <c r="GV48" s="50">
        <v>3.6</v>
      </c>
      <c r="GW48" s="50">
        <v>3.5</v>
      </c>
      <c r="GX48" s="50">
        <v>3.4</v>
      </c>
      <c r="GY48" s="50">
        <v>3.4</v>
      </c>
      <c r="GZ48" s="50">
        <v>3.5</v>
      </c>
      <c r="HA48" s="50">
        <v>3.5</v>
      </c>
      <c r="HB48" s="50">
        <v>3.5</v>
      </c>
      <c r="HC48" s="50">
        <v>3.5</v>
      </c>
      <c r="HD48" s="50">
        <v>3.5</v>
      </c>
      <c r="HE48" s="50">
        <v>3.5</v>
      </c>
      <c r="HF48" s="50">
        <v>3.5</v>
      </c>
      <c r="HG48" s="50">
        <v>3.6</v>
      </c>
      <c r="HH48" s="50">
        <v>5</v>
      </c>
      <c r="HI48" s="50">
        <v>12.8</v>
      </c>
      <c r="HJ48" s="50">
        <v>11.7</v>
      </c>
      <c r="HK48" s="50">
        <v>10.1</v>
      </c>
      <c r="HL48" s="50">
        <v>9.3000000000000007</v>
      </c>
      <c r="HM48" s="50">
        <v>8</v>
      </c>
      <c r="HN48" s="50">
        <v>7.7</v>
      </c>
      <c r="HO48" s="50">
        <v>7.1</v>
      </c>
      <c r="HP48" s="50">
        <v>7</v>
      </c>
      <c r="HQ48" s="51">
        <v>6.9</v>
      </c>
      <c r="HR48" s="49" t="s">
        <v>228</v>
      </c>
      <c r="HS48" s="50">
        <v>6.7</v>
      </c>
      <c r="HT48" s="50">
        <v>6.6</v>
      </c>
      <c r="HU48" s="50">
        <v>6.4</v>
      </c>
      <c r="HV48" s="50">
        <v>6.2</v>
      </c>
      <c r="HW48" s="50">
        <v>6</v>
      </c>
      <c r="HX48" s="50">
        <v>5.9</v>
      </c>
      <c r="HY48" s="50">
        <v>5.6</v>
      </c>
      <c r="HZ48" s="50">
        <v>5.3</v>
      </c>
      <c r="IA48" s="50">
        <v>5</v>
      </c>
      <c r="IB48" s="50">
        <v>4.8</v>
      </c>
      <c r="IC48" s="50">
        <v>4.5999999999999996</v>
      </c>
      <c r="ID48" s="50">
        <v>4.4000000000000004</v>
      </c>
      <c r="IE48" s="50">
        <v>4.3</v>
      </c>
      <c r="IF48" s="50">
        <v>4.0999999999999996</v>
      </c>
      <c r="IG48" s="50">
        <v>3.9</v>
      </c>
      <c r="IH48" s="50">
        <v>3.9</v>
      </c>
      <c r="II48" s="50">
        <v>3.8</v>
      </c>
      <c r="IJ48" s="50">
        <v>3.8</v>
      </c>
      <c r="IK48" s="50">
        <v>3.8</v>
      </c>
      <c r="IL48" s="50">
        <v>3.7</v>
      </c>
      <c r="IM48" s="50">
        <v>3.8</v>
      </c>
      <c r="IN48" s="50">
        <v>3.9</v>
      </c>
      <c r="IO48" s="50">
        <v>4</v>
      </c>
      <c r="IP48" s="51">
        <v>4</v>
      </c>
      <c r="IQ48" s="49" t="s">
        <v>228</v>
      </c>
      <c r="IR48" s="50">
        <v>4.0999999999999996</v>
      </c>
      <c r="IS48" s="50">
        <v>4.0999999999999996</v>
      </c>
      <c r="IT48" s="50">
        <v>4.0999999999999996</v>
      </c>
      <c r="IU48" s="50">
        <v>4</v>
      </c>
      <c r="IV48" s="50">
        <v>4</v>
      </c>
      <c r="IW48" s="50">
        <v>4</v>
      </c>
      <c r="IX48" s="50">
        <v>4</v>
      </c>
      <c r="IY48" s="50">
        <v>4</v>
      </c>
      <c r="IZ48" s="50">
        <v>4</v>
      </c>
      <c r="JA48" s="50">
        <v>4</v>
      </c>
      <c r="JB48" s="50">
        <v>4</v>
      </c>
      <c r="JC48" s="50">
        <v>3.9</v>
      </c>
      <c r="JD48" s="50">
        <v>3.9</v>
      </c>
      <c r="JE48" s="50">
        <v>3.9</v>
      </c>
      <c r="JF48" s="50">
        <v>4</v>
      </c>
      <c r="JG48" s="50">
        <v>4</v>
      </c>
      <c r="JH48" s="50">
        <v>4.0999999999999996</v>
      </c>
      <c r="JI48" s="50">
        <v>4.0999999999999996</v>
      </c>
      <c r="JJ48" s="50">
        <v>4.0999999999999996</v>
      </c>
      <c r="JK48" s="50">
        <v>4.2</v>
      </c>
      <c r="JL48" s="50">
        <v>4.2</v>
      </c>
      <c r="JM48" s="50">
        <v>4.2</v>
      </c>
      <c r="JN48" s="50">
        <v>4.2</v>
      </c>
      <c r="JO48" s="51">
        <v>4.2</v>
      </c>
      <c r="JP48" s="49" t="s">
        <v>228</v>
      </c>
      <c r="JQ48" s="80">
        <v>4.0999999999999996</v>
      </c>
      <c r="JR48" s="80">
        <v>4.0999999999999996</v>
      </c>
      <c r="JS48" s="80">
        <v>4.0999999999999996</v>
      </c>
      <c r="JT48" s="80">
        <v>4.0999999999999996</v>
      </c>
      <c r="JU48" s="80">
        <v>4.0999999999999996</v>
      </c>
      <c r="JV48" s="80">
        <v>4</v>
      </c>
      <c r="JW48" s="80">
        <v>4</v>
      </c>
      <c r="JX48" s="80">
        <v>4.0999999999999996</v>
      </c>
      <c r="JY48" s="80">
        <v>4.0999999999999996</v>
      </c>
      <c r="JZ48" s="80" t="s">
        <v>402</v>
      </c>
      <c r="KA48" s="81">
        <v>4.2</v>
      </c>
    </row>
    <row r="49" spans="2:287" x14ac:dyDescent="0.3">
      <c r="B49" s="39" t="s">
        <v>229</v>
      </c>
      <c r="C49" s="17">
        <v>3.3333333333333326</v>
      </c>
      <c r="D49" s="17">
        <v>4.3833333333333329</v>
      </c>
      <c r="E49" s="17">
        <v>5.6666666666666679</v>
      </c>
      <c r="F49" s="17">
        <v>5.5750000000000002</v>
      </c>
      <c r="G49" s="17">
        <v>5</v>
      </c>
      <c r="H49" s="17">
        <v>4.0416666666666679</v>
      </c>
      <c r="I49" s="17">
        <v>2.8666666666666676</v>
      </c>
      <c r="J49" s="17">
        <v>2.5583333333333353</v>
      </c>
      <c r="K49" s="17">
        <v>3.3416666666666672</v>
      </c>
      <c r="L49" s="17">
        <v>7.6250000000000009</v>
      </c>
      <c r="M49" s="17">
        <v>8.2583333333333329</v>
      </c>
      <c r="N49" s="17">
        <v>7.2166666666666677</v>
      </c>
      <c r="O49" s="19">
        <v>4.7583333333333329</v>
      </c>
      <c r="P49" s="19">
        <v>4.1916666666666647</v>
      </c>
      <c r="Q49" s="19">
        <v>3.625</v>
      </c>
      <c r="R49" s="19">
        <v>3.5</v>
      </c>
      <c r="S49" s="19">
        <v>3.3333333333333348</v>
      </c>
      <c r="T49" s="19">
        <v>3.1583333333333328</v>
      </c>
      <c r="U49" s="19">
        <v>2.9166666666666679</v>
      </c>
      <c r="V49" s="19">
        <v>2.5416666666666674</v>
      </c>
      <c r="W49" s="19">
        <v>4.8333333333333321</v>
      </c>
      <c r="X49" s="19">
        <v>2.7666666666666675</v>
      </c>
      <c r="Y49" s="19">
        <v>2.3666666666666649</v>
      </c>
      <c r="Z49" s="19">
        <v>2.6666666666666674</v>
      </c>
      <c r="AA49" s="19">
        <v>3.1916666666666673</v>
      </c>
      <c r="AB49" s="96"/>
      <c r="AC49" s="35" t="str">
        <f>Table11[[#This Row],[State]]</f>
        <v>Utah</v>
      </c>
      <c r="AD49" s="17">
        <v>6.8</v>
      </c>
      <c r="AE49" s="17">
        <v>7.5</v>
      </c>
      <c r="AF49" s="17">
        <v>7.9666666666666703</v>
      </c>
      <c r="AG49" s="17">
        <v>8.2333333333333307</v>
      </c>
      <c r="AH49" s="17">
        <v>8.4</v>
      </c>
      <c r="AI49" s="17">
        <v>8.3000000000000007</v>
      </c>
      <c r="AJ49" s="17">
        <v>8.1999999999999993</v>
      </c>
      <c r="AK49" s="17">
        <v>8.1333333333333293</v>
      </c>
      <c r="AL49" s="17">
        <v>7.93333333333333</v>
      </c>
      <c r="AM49" s="17">
        <v>7.9</v>
      </c>
      <c r="AN49" s="19">
        <v>7.1666666666666696</v>
      </c>
      <c r="AO49" s="19">
        <v>5.8666666666666698</v>
      </c>
      <c r="AP49" s="19">
        <v>4.93333333333333</v>
      </c>
      <c r="AQ49" s="19">
        <v>4.8</v>
      </c>
      <c r="AR49" s="19">
        <v>4.7333333333333298</v>
      </c>
      <c r="AS49" s="19">
        <v>4.56666666666667</v>
      </c>
      <c r="AT49" s="19">
        <v>4.43333333333333</v>
      </c>
      <c r="AU49" s="19">
        <v>4.2666666666666702</v>
      </c>
      <c r="AV49" s="17">
        <v>4.1333333333333302</v>
      </c>
      <c r="AW49" s="17">
        <v>3.93333333333333</v>
      </c>
      <c r="AX49" s="17">
        <v>3.7333333333333298</v>
      </c>
      <c r="AY49" s="17">
        <v>3.6</v>
      </c>
      <c r="AZ49" s="17">
        <v>3.6</v>
      </c>
      <c r="BA49" s="17">
        <v>3.56666666666667</v>
      </c>
      <c r="BB49" s="35" t="str">
        <f t="shared" si="0"/>
        <v>Utah</v>
      </c>
      <c r="BC49" s="19">
        <v>3.5</v>
      </c>
      <c r="BD49" s="19">
        <v>3.5</v>
      </c>
      <c r="BE49" s="19">
        <v>3.5</v>
      </c>
      <c r="BF49" s="19">
        <v>3.5</v>
      </c>
      <c r="BG49" s="17">
        <v>3.5</v>
      </c>
      <c r="BH49" s="17">
        <v>3.3666666666666698</v>
      </c>
      <c r="BI49" s="17">
        <v>3.2666666666666702</v>
      </c>
      <c r="BJ49" s="17">
        <v>3.2</v>
      </c>
      <c r="BK49" s="17">
        <v>3.2</v>
      </c>
      <c r="BL49" s="17">
        <v>3.2</v>
      </c>
      <c r="BM49" s="17">
        <v>3.1333333333333302</v>
      </c>
      <c r="BN49" s="17">
        <v>3.1</v>
      </c>
      <c r="BO49" s="17">
        <v>3</v>
      </c>
      <c r="BP49" s="17">
        <v>2.9</v>
      </c>
      <c r="BQ49" s="17">
        <v>2.9</v>
      </c>
      <c r="BR49" s="17">
        <v>2.8666666666666698</v>
      </c>
      <c r="BS49" s="17">
        <v>2.7333333333333298</v>
      </c>
      <c r="BT49" s="17">
        <v>2.56666666666667</v>
      </c>
      <c r="BU49" s="17">
        <v>2.4666666666666699</v>
      </c>
      <c r="BV49" s="17">
        <v>2.4</v>
      </c>
      <c r="BW49" s="35" t="str">
        <f>Table13[[#This Row],[State]]</f>
        <v>Utah</v>
      </c>
      <c r="BX49" s="17">
        <v>2.5</v>
      </c>
      <c r="BY49" s="17">
        <v>8.0333333333333297</v>
      </c>
      <c r="BZ49" s="17">
        <v>5</v>
      </c>
      <c r="CA49" s="17">
        <v>3.8</v>
      </c>
      <c r="CB49" s="17">
        <v>3.2666666666666702</v>
      </c>
      <c r="CC49" s="17">
        <v>2.9</v>
      </c>
      <c r="CD49" s="17">
        <v>2.6</v>
      </c>
      <c r="CE49" s="17">
        <v>2.2999999999999998</v>
      </c>
      <c r="CF49" s="17">
        <v>2.2333333333333298</v>
      </c>
      <c r="CG49" s="17">
        <v>2.2999999999999998</v>
      </c>
      <c r="CH49" s="17">
        <v>2.43333333333333</v>
      </c>
      <c r="CI49" s="17">
        <v>2.5</v>
      </c>
      <c r="CJ49" s="17">
        <v>2.5</v>
      </c>
      <c r="CK49" s="17">
        <v>2.56666666666667</v>
      </c>
      <c r="CL49" s="17">
        <v>2.7333333333333298</v>
      </c>
      <c r="CM49" s="17">
        <v>2.8666666666666698</v>
      </c>
      <c r="CN49" s="17">
        <v>2.9666666666666699</v>
      </c>
      <c r="CO49" s="17">
        <v>3.2</v>
      </c>
      <c r="CP49" s="17">
        <v>3.3</v>
      </c>
      <c r="CQ49" s="17">
        <v>3.3</v>
      </c>
      <c r="CR49" s="42" t="str">
        <f>Table13[[#This Row],[ State]]</f>
        <v>Utah</v>
      </c>
      <c r="CS49" s="17">
        <v>3.1666666666666701</v>
      </c>
      <c r="CT49" s="17">
        <v>3.1666666666666701</v>
      </c>
      <c r="CU49" s="17">
        <v>3.3333333333333299</v>
      </c>
      <c r="CV49" s="111"/>
      <c r="CW49" s="42" t="s">
        <v>229</v>
      </c>
      <c r="CX49" s="52">
        <v>8</v>
      </c>
      <c r="CY49" s="53">
        <v>7.9</v>
      </c>
      <c r="CZ49" s="53">
        <v>7.9</v>
      </c>
      <c r="DA49" s="53">
        <v>7.9</v>
      </c>
      <c r="DB49" s="53">
        <v>7.9</v>
      </c>
      <c r="DC49" s="53">
        <v>7.9</v>
      </c>
      <c r="DD49" s="53">
        <v>7.6</v>
      </c>
      <c r="DE49" s="53">
        <v>7.2</v>
      </c>
      <c r="DF49" s="53">
        <v>6.7</v>
      </c>
      <c r="DG49" s="53">
        <v>6.3</v>
      </c>
      <c r="DH49" s="53">
        <v>5.8</v>
      </c>
      <c r="DI49" s="53">
        <v>5.5</v>
      </c>
      <c r="DJ49" s="53">
        <v>5.3</v>
      </c>
      <c r="DK49" s="53">
        <v>4.7</v>
      </c>
      <c r="DL49" s="53">
        <v>4.8</v>
      </c>
      <c r="DM49" s="53">
        <v>4.8</v>
      </c>
      <c r="DN49" s="53">
        <v>4.8</v>
      </c>
      <c r="DO49" s="53">
        <v>4.8</v>
      </c>
      <c r="DP49" s="53">
        <v>4.8</v>
      </c>
      <c r="DQ49" s="53">
        <v>4.7</v>
      </c>
      <c r="DR49" s="53">
        <v>4.7</v>
      </c>
      <c r="DS49" s="53">
        <v>4.5999999999999996</v>
      </c>
      <c r="DT49" s="53">
        <v>4.5999999999999996</v>
      </c>
      <c r="DU49" s="63">
        <v>4.5</v>
      </c>
      <c r="DV49" s="54" t="s">
        <v>229</v>
      </c>
      <c r="DW49" s="53">
        <v>4.5</v>
      </c>
      <c r="DX49" s="53">
        <v>4.4000000000000004</v>
      </c>
      <c r="DY49" s="53">
        <v>4.4000000000000004</v>
      </c>
      <c r="DZ49" s="53">
        <v>4.3</v>
      </c>
      <c r="EA49" s="53">
        <v>4.3</v>
      </c>
      <c r="EB49" s="53">
        <v>4.2</v>
      </c>
      <c r="EC49" s="53">
        <v>4.2</v>
      </c>
      <c r="ED49" s="53">
        <v>4.0999999999999996</v>
      </c>
      <c r="EE49" s="53">
        <v>4.0999999999999996</v>
      </c>
      <c r="EF49" s="53">
        <v>4</v>
      </c>
      <c r="EG49" s="55">
        <v>3.9</v>
      </c>
      <c r="EH49" s="55">
        <v>3.9</v>
      </c>
      <c r="EI49" s="55">
        <v>3.8</v>
      </c>
      <c r="EJ49" s="55">
        <v>3.7</v>
      </c>
      <c r="EK49" s="53">
        <v>3.7</v>
      </c>
      <c r="EL49" s="55">
        <v>3.6</v>
      </c>
      <c r="EM49" s="55">
        <v>3.6</v>
      </c>
      <c r="EN49" s="55">
        <v>3.6</v>
      </c>
      <c r="EO49" s="55">
        <v>3.6</v>
      </c>
      <c r="EP49" s="55">
        <v>3.6</v>
      </c>
      <c r="EQ49" s="55">
        <v>3.6</v>
      </c>
      <c r="ER49" s="53">
        <v>3.6</v>
      </c>
      <c r="ES49" s="55">
        <v>3.6</v>
      </c>
      <c r="ET49" s="56">
        <v>3.5</v>
      </c>
      <c r="EU49" s="54" t="s">
        <v>229</v>
      </c>
      <c r="EV49" s="53">
        <v>3.5</v>
      </c>
      <c r="EW49" s="55">
        <v>3.5</v>
      </c>
      <c r="EX49" s="55">
        <v>3.5</v>
      </c>
      <c r="EY49" s="55">
        <v>3.5</v>
      </c>
      <c r="EZ49" s="55">
        <v>3.5</v>
      </c>
      <c r="FA49" s="55">
        <v>3.5</v>
      </c>
      <c r="FB49" s="55">
        <v>3.5</v>
      </c>
      <c r="FC49" s="55">
        <v>3.5</v>
      </c>
      <c r="FD49" s="55">
        <v>3.5</v>
      </c>
      <c r="FE49" s="55">
        <v>3.5</v>
      </c>
      <c r="FF49" s="55">
        <v>3.5</v>
      </c>
      <c r="FG49" s="55">
        <v>3.5</v>
      </c>
      <c r="FH49" s="55">
        <v>3.5</v>
      </c>
      <c r="FI49" s="55">
        <v>3.5</v>
      </c>
      <c r="FJ49" s="55">
        <v>3.5</v>
      </c>
      <c r="FK49" s="55">
        <v>3.4</v>
      </c>
      <c r="FL49" s="55">
        <v>3.4</v>
      </c>
      <c r="FM49" s="55">
        <v>3.3</v>
      </c>
      <c r="FN49" s="55">
        <v>3.3</v>
      </c>
      <c r="FO49" s="55">
        <v>3.3</v>
      </c>
      <c r="FP49" s="55">
        <v>3.2</v>
      </c>
      <c r="FQ49" s="55">
        <v>3.2</v>
      </c>
      <c r="FR49" s="55">
        <v>3.2</v>
      </c>
      <c r="FS49" s="56">
        <v>3.2</v>
      </c>
      <c r="FT49" s="54" t="s">
        <v>229</v>
      </c>
      <c r="FU49" s="53">
        <v>3.2</v>
      </c>
      <c r="FV49" s="55">
        <v>3.2</v>
      </c>
      <c r="FW49" s="55">
        <v>3.2</v>
      </c>
      <c r="FX49" s="55">
        <v>3.2</v>
      </c>
      <c r="FY49" s="55">
        <v>3.2</v>
      </c>
      <c r="FZ49" s="55">
        <v>3.2</v>
      </c>
      <c r="GA49" s="55">
        <v>3.2</v>
      </c>
      <c r="GB49" s="55">
        <v>3.1</v>
      </c>
      <c r="GC49" s="55">
        <v>3.1</v>
      </c>
      <c r="GD49" s="55">
        <v>3.1</v>
      </c>
      <c r="GE49" s="55">
        <v>3.1</v>
      </c>
      <c r="GF49" s="55">
        <v>3.1</v>
      </c>
      <c r="GG49" s="55">
        <v>3</v>
      </c>
      <c r="GH49" s="55">
        <v>3</v>
      </c>
      <c r="GI49" s="55">
        <v>3</v>
      </c>
      <c r="GJ49" s="55">
        <v>2.9</v>
      </c>
      <c r="GK49" s="55">
        <v>2.9</v>
      </c>
      <c r="GL49" s="55">
        <v>2.9</v>
      </c>
      <c r="GM49" s="55">
        <v>2.9</v>
      </c>
      <c r="GN49" s="55">
        <v>2.9</v>
      </c>
      <c r="GO49" s="55">
        <v>2.9</v>
      </c>
      <c r="GP49" s="55">
        <v>2.9</v>
      </c>
      <c r="GQ49" s="55">
        <v>2.9</v>
      </c>
      <c r="GR49" s="55">
        <v>2.8</v>
      </c>
      <c r="GS49" s="54" t="s">
        <v>229</v>
      </c>
      <c r="GT49" s="55">
        <v>2.8</v>
      </c>
      <c r="GU49" s="55">
        <v>2.7</v>
      </c>
      <c r="GV49" s="55">
        <v>2.7</v>
      </c>
      <c r="GW49" s="55">
        <v>2.6</v>
      </c>
      <c r="GX49" s="55">
        <v>2.6</v>
      </c>
      <c r="GY49" s="55">
        <v>2.5</v>
      </c>
      <c r="GZ49" s="55">
        <v>2.5</v>
      </c>
      <c r="HA49" s="55">
        <v>2.5</v>
      </c>
      <c r="HB49" s="55">
        <v>2.4</v>
      </c>
      <c r="HC49" s="55">
        <v>2.4</v>
      </c>
      <c r="HD49" s="55">
        <v>2.4</v>
      </c>
      <c r="HE49" s="55">
        <v>2.4</v>
      </c>
      <c r="HF49" s="55">
        <v>2.5</v>
      </c>
      <c r="HG49" s="55">
        <v>2.5</v>
      </c>
      <c r="HH49" s="55">
        <v>2.5</v>
      </c>
      <c r="HI49" s="55">
        <v>10</v>
      </c>
      <c r="HJ49" s="55">
        <v>7.7</v>
      </c>
      <c r="HK49" s="55">
        <v>6.4</v>
      </c>
      <c r="HL49" s="55">
        <v>5.7</v>
      </c>
      <c r="HM49" s="55">
        <v>4.8</v>
      </c>
      <c r="HN49" s="55">
        <v>4.5</v>
      </c>
      <c r="HO49" s="55">
        <v>4</v>
      </c>
      <c r="HP49" s="55">
        <v>3.8</v>
      </c>
      <c r="HQ49" s="56">
        <v>3.6</v>
      </c>
      <c r="HR49" s="54" t="s">
        <v>229</v>
      </c>
      <c r="HS49" s="55">
        <v>3.4</v>
      </c>
      <c r="HT49" s="55">
        <v>3.3</v>
      </c>
      <c r="HU49" s="55">
        <v>3.1</v>
      </c>
      <c r="HV49" s="55">
        <v>3</v>
      </c>
      <c r="HW49" s="55">
        <v>2.9</v>
      </c>
      <c r="HX49" s="55">
        <v>2.8</v>
      </c>
      <c r="HY49" s="55">
        <v>2.7</v>
      </c>
      <c r="HZ49" s="55">
        <v>2.6</v>
      </c>
      <c r="IA49" s="55">
        <v>2.5</v>
      </c>
      <c r="IB49" s="55">
        <v>2.4</v>
      </c>
      <c r="IC49" s="55">
        <v>2.2999999999999998</v>
      </c>
      <c r="ID49" s="55">
        <v>2.2000000000000002</v>
      </c>
      <c r="IE49" s="55">
        <v>2.2000000000000002</v>
      </c>
      <c r="IF49" s="55">
        <v>2.2000000000000002</v>
      </c>
      <c r="IG49" s="55">
        <v>2.2999999999999998</v>
      </c>
      <c r="IH49" s="55">
        <v>2.2999999999999998</v>
      </c>
      <c r="II49" s="55">
        <v>2.2999999999999998</v>
      </c>
      <c r="IJ49" s="55">
        <v>2.2999999999999998</v>
      </c>
      <c r="IK49" s="55">
        <v>2.4</v>
      </c>
      <c r="IL49" s="55">
        <v>2.4</v>
      </c>
      <c r="IM49" s="55">
        <v>2.5</v>
      </c>
      <c r="IN49" s="55">
        <v>2.5</v>
      </c>
      <c r="IO49" s="55">
        <v>2.5</v>
      </c>
      <c r="IP49" s="56">
        <v>2.5</v>
      </c>
      <c r="IQ49" s="54" t="s">
        <v>229</v>
      </c>
      <c r="IR49" s="55">
        <v>2.5</v>
      </c>
      <c r="IS49" s="55">
        <v>2.5</v>
      </c>
      <c r="IT49" s="55">
        <v>2.5</v>
      </c>
      <c r="IU49" s="55">
        <v>2.5</v>
      </c>
      <c r="IV49" s="55">
        <v>2.6</v>
      </c>
      <c r="IW49" s="55">
        <v>2.6</v>
      </c>
      <c r="IX49" s="55">
        <v>2.7</v>
      </c>
      <c r="IY49" s="55">
        <v>2.7</v>
      </c>
      <c r="IZ49" s="55">
        <v>2.8</v>
      </c>
      <c r="JA49" s="55">
        <v>2.8</v>
      </c>
      <c r="JB49" s="55">
        <v>2.9</v>
      </c>
      <c r="JC49" s="55">
        <v>2.9</v>
      </c>
      <c r="JD49" s="55">
        <v>2.9</v>
      </c>
      <c r="JE49" s="55">
        <v>3</v>
      </c>
      <c r="JF49" s="55">
        <v>3</v>
      </c>
      <c r="JG49" s="55">
        <v>3.1</v>
      </c>
      <c r="JH49" s="55">
        <v>3.2</v>
      </c>
      <c r="JI49" s="55">
        <v>3.3</v>
      </c>
      <c r="JJ49" s="55">
        <v>3.3</v>
      </c>
      <c r="JK49" s="55">
        <v>3.3</v>
      </c>
      <c r="JL49" s="55">
        <v>3.3</v>
      </c>
      <c r="JM49" s="55">
        <v>3.3</v>
      </c>
      <c r="JN49" s="55">
        <v>3.3</v>
      </c>
      <c r="JO49" s="56">
        <v>3.3</v>
      </c>
      <c r="JP49" s="54" t="s">
        <v>229</v>
      </c>
      <c r="JQ49" s="82">
        <v>3.2</v>
      </c>
      <c r="JR49" s="82">
        <v>3.2</v>
      </c>
      <c r="JS49" s="82">
        <v>3.1</v>
      </c>
      <c r="JT49" s="82">
        <v>3.1</v>
      </c>
      <c r="JU49" s="82">
        <v>3.2</v>
      </c>
      <c r="JV49" s="82">
        <v>3.2</v>
      </c>
      <c r="JW49" s="82">
        <v>3.3</v>
      </c>
      <c r="JX49" s="82">
        <v>3.3</v>
      </c>
      <c r="JY49" s="82">
        <v>3.4</v>
      </c>
      <c r="JZ49" s="82" t="s">
        <v>402</v>
      </c>
      <c r="KA49" s="83">
        <v>3.6</v>
      </c>
    </row>
    <row r="50" spans="2:287" x14ac:dyDescent="0.3">
      <c r="B50" s="39" t="s">
        <v>230</v>
      </c>
      <c r="C50" s="17">
        <v>2.7749999999999972</v>
      </c>
      <c r="D50" s="17">
        <v>3.2166666666666672</v>
      </c>
      <c r="E50" s="17">
        <v>3.9416666666666673</v>
      </c>
      <c r="F50" s="17">
        <v>4.3416666666666677</v>
      </c>
      <c r="G50" s="17">
        <v>3.6416666666666648</v>
      </c>
      <c r="H50" s="17">
        <v>3.4750000000000001</v>
      </c>
      <c r="I50" s="17">
        <v>3.6833333333333353</v>
      </c>
      <c r="J50" s="17">
        <v>3.8833333333333324</v>
      </c>
      <c r="K50" s="17">
        <v>4.4833333333333325</v>
      </c>
      <c r="L50" s="17">
        <v>6.5166666666666657</v>
      </c>
      <c r="M50" s="17">
        <v>6.2083333333333321</v>
      </c>
      <c r="N50" s="17">
        <v>5.4</v>
      </c>
      <c r="O50" s="19">
        <v>4.7833333333333306</v>
      </c>
      <c r="P50" s="19">
        <v>4.4166666666666652</v>
      </c>
      <c r="Q50" s="19">
        <v>3.9083333333333323</v>
      </c>
      <c r="R50" s="19">
        <v>3.4749999999999974</v>
      </c>
      <c r="S50" s="19">
        <v>3.125</v>
      </c>
      <c r="T50" s="19">
        <v>2.95</v>
      </c>
      <c r="U50" s="19">
        <v>2.5</v>
      </c>
      <c r="V50" s="19">
        <v>2.1</v>
      </c>
      <c r="W50" s="19">
        <v>5.6500000000000075</v>
      </c>
      <c r="X50" s="19">
        <v>3.6166666666666654</v>
      </c>
      <c r="Y50" s="19">
        <v>2.3499999999999996</v>
      </c>
      <c r="Z50" s="19">
        <v>1.908333333333335</v>
      </c>
      <c r="AA50" s="19">
        <v>2.3000000000000003</v>
      </c>
      <c r="AB50" s="96"/>
      <c r="AC50" s="36" t="str">
        <f>Table11[[#This Row],[State]]</f>
        <v>Vermont</v>
      </c>
      <c r="AD50" s="27">
        <v>6.2</v>
      </c>
      <c r="AE50" s="27">
        <v>6.7</v>
      </c>
      <c r="AF50" s="27">
        <v>6.6333333333333302</v>
      </c>
      <c r="AG50" s="27">
        <v>6.5333333333333297</v>
      </c>
      <c r="AH50" s="27">
        <v>6.5333333333333297</v>
      </c>
      <c r="AI50" s="27">
        <v>6.3</v>
      </c>
      <c r="AJ50" s="27">
        <v>6.0333333333333297</v>
      </c>
      <c r="AK50" s="27">
        <v>5.9666666666666703</v>
      </c>
      <c r="AL50" s="27">
        <v>5.7</v>
      </c>
      <c r="AM50" s="27">
        <v>5.4666666666666703</v>
      </c>
      <c r="AN50" s="27">
        <v>5.3333333333333304</v>
      </c>
      <c r="AO50" s="27">
        <v>5.0999999999999996</v>
      </c>
      <c r="AP50" s="27">
        <v>4.8333333333333304</v>
      </c>
      <c r="AQ50" s="27">
        <v>4.8333333333333304</v>
      </c>
      <c r="AR50" s="27">
        <v>4.8333333333333304</v>
      </c>
      <c r="AS50" s="27">
        <v>4.6333333333333302</v>
      </c>
      <c r="AT50" s="27">
        <v>4.5333333333333297</v>
      </c>
      <c r="AU50" s="27">
        <v>4.5</v>
      </c>
      <c r="AV50" s="27">
        <v>4.43333333333333</v>
      </c>
      <c r="AW50" s="27">
        <v>4.2</v>
      </c>
      <c r="AX50" s="27">
        <v>4.0333333333333297</v>
      </c>
      <c r="AY50" s="27">
        <v>3.9</v>
      </c>
      <c r="AZ50" s="27">
        <v>3.9</v>
      </c>
      <c r="BA50" s="27">
        <v>3.8</v>
      </c>
      <c r="BB50" s="36" t="str">
        <f t="shared" si="0"/>
        <v>Vermont</v>
      </c>
      <c r="BC50" s="27">
        <v>3.6333333333333302</v>
      </c>
      <c r="BD50" s="27">
        <v>3.5</v>
      </c>
      <c r="BE50" s="27">
        <v>3.43333333333333</v>
      </c>
      <c r="BF50" s="27">
        <v>3.3333333333333299</v>
      </c>
      <c r="BG50" s="27">
        <v>3.2</v>
      </c>
      <c r="BH50" s="27">
        <v>3.1</v>
      </c>
      <c r="BI50" s="27">
        <v>3.1</v>
      </c>
      <c r="BJ50" s="27">
        <v>3.1</v>
      </c>
      <c r="BK50" s="27">
        <v>3.1</v>
      </c>
      <c r="BL50" s="27">
        <v>2.93333333333333</v>
      </c>
      <c r="BM50" s="27">
        <v>2.9</v>
      </c>
      <c r="BN50" s="27">
        <v>2.8666666666666698</v>
      </c>
      <c r="BO50" s="27">
        <v>2.7666666666666702</v>
      </c>
      <c r="BP50" s="27">
        <v>2.5333333333333301</v>
      </c>
      <c r="BQ50" s="27">
        <v>2.4</v>
      </c>
      <c r="BR50" s="27">
        <v>2.2999999999999998</v>
      </c>
      <c r="BS50" s="27">
        <v>2.2000000000000002</v>
      </c>
      <c r="BT50" s="27">
        <v>2</v>
      </c>
      <c r="BU50" s="27">
        <v>2.06666666666667</v>
      </c>
      <c r="BV50" s="27">
        <v>2.1333333333333302</v>
      </c>
      <c r="BW50" s="36" t="str">
        <f>Table13[[#This Row],[State]]</f>
        <v>Vermont</v>
      </c>
      <c r="BX50" s="27">
        <v>2.2333333333333298</v>
      </c>
      <c r="BY50" s="27">
        <v>10.466666666666701</v>
      </c>
      <c r="BZ50" s="27">
        <v>5.6333333333333302</v>
      </c>
      <c r="CA50" s="27">
        <v>4.2666666666666702</v>
      </c>
      <c r="CB50" s="27">
        <v>4.43333333333333</v>
      </c>
      <c r="CC50" s="27">
        <v>4</v>
      </c>
      <c r="CD50" s="27">
        <v>3.3</v>
      </c>
      <c r="CE50" s="27">
        <v>2.7333333333333298</v>
      </c>
      <c r="CF50" s="27">
        <v>2.4</v>
      </c>
      <c r="CG50" s="27">
        <v>2.2999999999999998</v>
      </c>
      <c r="CH50" s="27">
        <v>2.3666666666666698</v>
      </c>
      <c r="CI50" s="27">
        <v>2.3333333333333299</v>
      </c>
      <c r="CJ50" s="27">
        <v>1.9666666666666699</v>
      </c>
      <c r="CK50" s="27">
        <v>1.7666666666666699</v>
      </c>
      <c r="CL50" s="27">
        <v>1.9</v>
      </c>
      <c r="CM50" s="27">
        <v>2</v>
      </c>
      <c r="CN50" s="27">
        <v>2.0333333333333301</v>
      </c>
      <c r="CO50" s="27">
        <v>2.2000000000000002</v>
      </c>
      <c r="CP50" s="27">
        <v>2.4666666666666699</v>
      </c>
      <c r="CQ50" s="27">
        <v>2.5</v>
      </c>
      <c r="CR50" s="79" t="str">
        <f>Table13[[#This Row],[ State]]</f>
        <v>Vermont</v>
      </c>
      <c r="CS50" s="27">
        <v>2.6</v>
      </c>
      <c r="CT50" s="27">
        <v>2.6</v>
      </c>
      <c r="CU50" s="27">
        <v>2.5333333333333301</v>
      </c>
      <c r="CV50" s="111"/>
      <c r="CW50" s="41" t="s">
        <v>230</v>
      </c>
      <c r="CX50" s="47">
        <v>5.8</v>
      </c>
      <c r="CY50" s="48">
        <v>5.7</v>
      </c>
      <c r="CZ50" s="48">
        <v>5.6</v>
      </c>
      <c r="DA50" s="48">
        <v>5.5</v>
      </c>
      <c r="DB50" s="48">
        <v>5.5</v>
      </c>
      <c r="DC50" s="48">
        <v>5.4</v>
      </c>
      <c r="DD50" s="48">
        <v>5.4</v>
      </c>
      <c r="DE50" s="48">
        <v>5.3</v>
      </c>
      <c r="DF50" s="48">
        <v>5.3</v>
      </c>
      <c r="DG50" s="48">
        <v>5.2</v>
      </c>
      <c r="DH50" s="48">
        <v>5.0999999999999996</v>
      </c>
      <c r="DI50" s="48">
        <v>5</v>
      </c>
      <c r="DJ50" s="48">
        <v>4.9000000000000004</v>
      </c>
      <c r="DK50" s="48">
        <v>4.8</v>
      </c>
      <c r="DL50" s="48">
        <v>4.8</v>
      </c>
      <c r="DM50" s="48">
        <v>4.8</v>
      </c>
      <c r="DN50" s="48">
        <v>4.8</v>
      </c>
      <c r="DO50" s="48">
        <v>4.9000000000000004</v>
      </c>
      <c r="DP50" s="48">
        <v>4.9000000000000004</v>
      </c>
      <c r="DQ50" s="48">
        <v>4.8</v>
      </c>
      <c r="DR50" s="48">
        <v>4.8</v>
      </c>
      <c r="DS50" s="48">
        <v>4.7</v>
      </c>
      <c r="DT50" s="48">
        <v>4.5999999999999996</v>
      </c>
      <c r="DU50" s="62">
        <v>4.5999999999999996</v>
      </c>
      <c r="DV50" s="49" t="s">
        <v>230</v>
      </c>
      <c r="DW50" s="48">
        <v>4.5999999999999996</v>
      </c>
      <c r="DX50" s="48">
        <v>4.5</v>
      </c>
      <c r="DY50" s="48">
        <v>4.5</v>
      </c>
      <c r="DZ50" s="48">
        <v>4.5</v>
      </c>
      <c r="EA50" s="48">
        <v>4.5</v>
      </c>
      <c r="EB50" s="48">
        <v>4.5</v>
      </c>
      <c r="EC50" s="48">
        <v>4.5</v>
      </c>
      <c r="ED50" s="48">
        <v>4.4000000000000004</v>
      </c>
      <c r="EE50" s="48">
        <v>4.4000000000000004</v>
      </c>
      <c r="EF50" s="48">
        <v>4.3</v>
      </c>
      <c r="EG50" s="50">
        <v>4.2</v>
      </c>
      <c r="EH50" s="50">
        <v>4.0999999999999996</v>
      </c>
      <c r="EI50" s="50">
        <v>4.0999999999999996</v>
      </c>
      <c r="EJ50" s="50">
        <v>4</v>
      </c>
      <c r="EK50" s="48">
        <v>4</v>
      </c>
      <c r="EL50" s="50">
        <v>3.9</v>
      </c>
      <c r="EM50" s="50">
        <v>3.9</v>
      </c>
      <c r="EN50" s="50">
        <v>3.9</v>
      </c>
      <c r="EO50" s="50">
        <v>3.9</v>
      </c>
      <c r="EP50" s="50">
        <v>3.9</v>
      </c>
      <c r="EQ50" s="50">
        <v>3.9</v>
      </c>
      <c r="ER50" s="48">
        <v>3.9</v>
      </c>
      <c r="ES50" s="50">
        <v>3.8</v>
      </c>
      <c r="ET50" s="51">
        <v>3.7</v>
      </c>
      <c r="EU50" s="49" t="s">
        <v>230</v>
      </c>
      <c r="EV50" s="48">
        <v>3.7</v>
      </c>
      <c r="EW50" s="50">
        <v>3.6</v>
      </c>
      <c r="EX50" s="50">
        <v>3.6</v>
      </c>
      <c r="EY50" s="50">
        <v>3.5</v>
      </c>
      <c r="EZ50" s="50">
        <v>3.5</v>
      </c>
      <c r="FA50" s="50">
        <v>3.5</v>
      </c>
      <c r="FB50" s="50">
        <v>3.5</v>
      </c>
      <c r="FC50" s="50">
        <v>3.4</v>
      </c>
      <c r="FD50" s="50">
        <v>3.4</v>
      </c>
      <c r="FE50" s="50">
        <v>3.4</v>
      </c>
      <c r="FF50" s="50">
        <v>3.3</v>
      </c>
      <c r="FG50" s="50">
        <v>3.3</v>
      </c>
      <c r="FH50" s="50">
        <v>3.2</v>
      </c>
      <c r="FI50" s="50">
        <v>3.2</v>
      </c>
      <c r="FJ50" s="50">
        <v>3.2</v>
      </c>
      <c r="FK50" s="50">
        <v>3.1</v>
      </c>
      <c r="FL50" s="50">
        <v>3.1</v>
      </c>
      <c r="FM50" s="50">
        <v>3.1</v>
      </c>
      <c r="FN50" s="50">
        <v>3.1</v>
      </c>
      <c r="FO50" s="50">
        <v>3.1</v>
      </c>
      <c r="FP50" s="50">
        <v>3.1</v>
      </c>
      <c r="FQ50" s="50">
        <v>3.1</v>
      </c>
      <c r="FR50" s="50">
        <v>3.1</v>
      </c>
      <c r="FS50" s="51">
        <v>3.1</v>
      </c>
      <c r="FT50" s="49" t="s">
        <v>230</v>
      </c>
      <c r="FU50" s="48">
        <v>3.1</v>
      </c>
      <c r="FV50" s="50">
        <v>3.1</v>
      </c>
      <c r="FW50" s="50">
        <v>3.1</v>
      </c>
      <c r="FX50" s="50">
        <v>3</v>
      </c>
      <c r="FY50" s="50">
        <v>2.9</v>
      </c>
      <c r="FZ50" s="50">
        <v>2.9</v>
      </c>
      <c r="GA50" s="50">
        <v>2.9</v>
      </c>
      <c r="GB50" s="50">
        <v>2.9</v>
      </c>
      <c r="GC50" s="50">
        <v>2.9</v>
      </c>
      <c r="GD50" s="50">
        <v>2.9</v>
      </c>
      <c r="GE50" s="50">
        <v>2.9</v>
      </c>
      <c r="GF50" s="50">
        <v>2.8</v>
      </c>
      <c r="GG50" s="50">
        <v>2.8</v>
      </c>
      <c r="GH50" s="50">
        <v>2.8</v>
      </c>
      <c r="GI50" s="50">
        <v>2.7</v>
      </c>
      <c r="GJ50" s="50">
        <v>2.6</v>
      </c>
      <c r="GK50" s="50">
        <v>2.5</v>
      </c>
      <c r="GL50" s="50">
        <v>2.5</v>
      </c>
      <c r="GM50" s="50">
        <v>2.4</v>
      </c>
      <c r="GN50" s="50">
        <v>2.4</v>
      </c>
      <c r="GO50" s="50">
        <v>2.4</v>
      </c>
      <c r="GP50" s="50">
        <v>2.2999999999999998</v>
      </c>
      <c r="GQ50" s="50">
        <v>2.2999999999999998</v>
      </c>
      <c r="GR50" s="50">
        <v>2.2999999999999998</v>
      </c>
      <c r="GS50" s="49" t="s">
        <v>230</v>
      </c>
      <c r="GT50" s="50">
        <v>2.2999999999999998</v>
      </c>
      <c r="GU50" s="50">
        <v>2.2000000000000002</v>
      </c>
      <c r="GV50" s="50">
        <v>2.1</v>
      </c>
      <c r="GW50" s="50">
        <v>2</v>
      </c>
      <c r="GX50" s="50">
        <v>2</v>
      </c>
      <c r="GY50" s="50">
        <v>2</v>
      </c>
      <c r="GZ50" s="50">
        <v>2</v>
      </c>
      <c r="HA50" s="50">
        <v>2.1</v>
      </c>
      <c r="HB50" s="50">
        <v>2.1</v>
      </c>
      <c r="HC50" s="50">
        <v>2.2000000000000002</v>
      </c>
      <c r="HD50" s="50">
        <v>2.1</v>
      </c>
      <c r="HE50" s="50">
        <v>2.1</v>
      </c>
      <c r="HF50" s="50">
        <v>2.1</v>
      </c>
      <c r="HG50" s="50">
        <v>2.2000000000000002</v>
      </c>
      <c r="HH50" s="50">
        <v>2.4</v>
      </c>
      <c r="HI50" s="50">
        <v>14.1</v>
      </c>
      <c r="HJ50" s="50">
        <v>9.6</v>
      </c>
      <c r="HK50" s="50">
        <v>7.7</v>
      </c>
      <c r="HL50" s="50">
        <v>6.6</v>
      </c>
      <c r="HM50" s="50">
        <v>5.4</v>
      </c>
      <c r="HN50" s="50">
        <v>4.9000000000000004</v>
      </c>
      <c r="HO50" s="50">
        <v>4.3</v>
      </c>
      <c r="HP50" s="50">
        <v>4.2</v>
      </c>
      <c r="HQ50" s="51">
        <v>4.3</v>
      </c>
      <c r="HR50" s="49" t="s">
        <v>230</v>
      </c>
      <c r="HS50" s="50">
        <v>4.4000000000000004</v>
      </c>
      <c r="HT50" s="50">
        <v>4.5</v>
      </c>
      <c r="HU50" s="50">
        <v>4.4000000000000004</v>
      </c>
      <c r="HV50" s="50">
        <v>4.3</v>
      </c>
      <c r="HW50" s="50">
        <v>4</v>
      </c>
      <c r="HX50" s="50">
        <v>3.7</v>
      </c>
      <c r="HY50" s="50">
        <v>3.5</v>
      </c>
      <c r="HZ50" s="50">
        <v>3.3</v>
      </c>
      <c r="IA50" s="50">
        <v>3.1</v>
      </c>
      <c r="IB50" s="50">
        <v>2.9</v>
      </c>
      <c r="IC50" s="50">
        <v>2.7</v>
      </c>
      <c r="ID50" s="50">
        <v>2.6</v>
      </c>
      <c r="IE50" s="50">
        <v>2.5</v>
      </c>
      <c r="IF50" s="50">
        <v>2.4</v>
      </c>
      <c r="IG50" s="50">
        <v>2.2999999999999998</v>
      </c>
      <c r="IH50" s="50">
        <v>2.2999999999999998</v>
      </c>
      <c r="II50" s="50">
        <v>2.2999999999999998</v>
      </c>
      <c r="IJ50" s="50">
        <v>2.2999999999999998</v>
      </c>
      <c r="IK50" s="50">
        <v>2.2999999999999998</v>
      </c>
      <c r="IL50" s="50">
        <v>2.4</v>
      </c>
      <c r="IM50" s="50">
        <v>2.4</v>
      </c>
      <c r="IN50" s="50">
        <v>2.4</v>
      </c>
      <c r="IO50" s="50">
        <v>2.4</v>
      </c>
      <c r="IP50" s="51">
        <v>2.2000000000000002</v>
      </c>
      <c r="IQ50" s="49" t="s">
        <v>230</v>
      </c>
      <c r="IR50" s="50">
        <v>2.1</v>
      </c>
      <c r="IS50" s="50">
        <v>2</v>
      </c>
      <c r="IT50" s="50">
        <v>1.8</v>
      </c>
      <c r="IU50" s="50">
        <v>1.8</v>
      </c>
      <c r="IV50" s="50">
        <v>1.7</v>
      </c>
      <c r="IW50" s="50">
        <v>1.8</v>
      </c>
      <c r="IX50" s="50">
        <v>1.8</v>
      </c>
      <c r="IY50" s="50">
        <v>1.9</v>
      </c>
      <c r="IZ50" s="50">
        <v>2</v>
      </c>
      <c r="JA50" s="50">
        <v>2</v>
      </c>
      <c r="JB50" s="50">
        <v>2</v>
      </c>
      <c r="JC50" s="50">
        <v>2</v>
      </c>
      <c r="JD50" s="50">
        <v>2</v>
      </c>
      <c r="JE50" s="50">
        <v>2</v>
      </c>
      <c r="JF50" s="50">
        <v>2.1</v>
      </c>
      <c r="JG50" s="50">
        <v>2.1</v>
      </c>
      <c r="JH50" s="50">
        <v>2.2000000000000002</v>
      </c>
      <c r="JI50" s="50">
        <v>2.2999999999999998</v>
      </c>
      <c r="JJ50" s="50">
        <v>2.4</v>
      </c>
      <c r="JK50" s="50">
        <v>2.5</v>
      </c>
      <c r="JL50" s="50">
        <v>2.5</v>
      </c>
      <c r="JM50" s="50">
        <v>2.5</v>
      </c>
      <c r="JN50" s="50">
        <v>2.5</v>
      </c>
      <c r="JO50" s="51">
        <v>2.5</v>
      </c>
      <c r="JP50" s="49" t="s">
        <v>230</v>
      </c>
      <c r="JQ50" s="80">
        <v>2.6</v>
      </c>
      <c r="JR50" s="80">
        <v>2.6</v>
      </c>
      <c r="JS50" s="80">
        <v>2.6</v>
      </c>
      <c r="JT50" s="80">
        <v>2.6</v>
      </c>
      <c r="JU50" s="80">
        <v>2.6</v>
      </c>
      <c r="JV50" s="80">
        <v>2.6</v>
      </c>
      <c r="JW50" s="80">
        <v>2.6</v>
      </c>
      <c r="JX50" s="80">
        <v>2.5</v>
      </c>
      <c r="JY50" s="80">
        <v>2.5</v>
      </c>
      <c r="JZ50" s="80" t="s">
        <v>402</v>
      </c>
      <c r="KA50" s="81">
        <v>2.6</v>
      </c>
    </row>
    <row r="51" spans="2:287" x14ac:dyDescent="0.3">
      <c r="B51" s="39" t="s">
        <v>231</v>
      </c>
      <c r="C51" s="17">
        <v>2.2916666666666652</v>
      </c>
      <c r="D51" s="17">
        <v>3.1666666666666674</v>
      </c>
      <c r="E51" s="17">
        <v>4.1916666666666682</v>
      </c>
      <c r="F51" s="17">
        <v>4.1083333333333325</v>
      </c>
      <c r="G51" s="17">
        <v>3.7166666666666672</v>
      </c>
      <c r="H51" s="17">
        <v>3.4916666666666649</v>
      </c>
      <c r="I51" s="17">
        <v>3.0750000000000002</v>
      </c>
      <c r="J51" s="17">
        <v>3.0749999999999975</v>
      </c>
      <c r="K51" s="17">
        <v>4.0749999999999975</v>
      </c>
      <c r="L51" s="17">
        <v>6.7666666666666675</v>
      </c>
      <c r="M51" s="17">
        <v>6.8083333333333353</v>
      </c>
      <c r="N51" s="17">
        <v>6.2833333333333323</v>
      </c>
      <c r="O51" s="19">
        <v>5.8166666666666673</v>
      </c>
      <c r="P51" s="19">
        <v>5.5249999999999995</v>
      </c>
      <c r="Q51" s="19">
        <v>5.0666666666666682</v>
      </c>
      <c r="R51" s="19">
        <v>4.375</v>
      </c>
      <c r="S51" s="19">
        <v>4</v>
      </c>
      <c r="T51" s="19">
        <v>3.625</v>
      </c>
      <c r="U51" s="19">
        <v>3</v>
      </c>
      <c r="V51" s="19">
        <v>2.7249999999999996</v>
      </c>
      <c r="W51" s="19">
        <v>6.5166666666666746</v>
      </c>
      <c r="X51" s="19">
        <v>3.8333333333333326</v>
      </c>
      <c r="Y51" s="19">
        <v>2.6916666666666651</v>
      </c>
      <c r="Z51" s="19">
        <v>2.6916666666666651</v>
      </c>
      <c r="AA51" s="19">
        <v>2.8416666666666672</v>
      </c>
      <c r="AB51" s="96"/>
      <c r="AC51" s="35" t="str">
        <f>Table11[[#This Row],[State]]</f>
        <v>Virginia</v>
      </c>
      <c r="AD51" s="17">
        <v>6.1666666666666696</v>
      </c>
      <c r="AE51" s="17">
        <v>6.8333333333333304</v>
      </c>
      <c r="AF51" s="17">
        <v>7</v>
      </c>
      <c r="AG51" s="17">
        <v>7.06666666666667</v>
      </c>
      <c r="AH51" s="17">
        <v>7.06666666666667</v>
      </c>
      <c r="AI51" s="17">
        <v>6.9</v>
      </c>
      <c r="AJ51" s="17">
        <v>6.7</v>
      </c>
      <c r="AK51" s="17">
        <v>6.56666666666667</v>
      </c>
      <c r="AL51" s="17">
        <v>6.3333333333333304</v>
      </c>
      <c r="AM51" s="17">
        <v>6.2666666666666702</v>
      </c>
      <c r="AN51" s="19">
        <v>6.3333333333333304</v>
      </c>
      <c r="AO51" s="19">
        <v>6.2</v>
      </c>
      <c r="AP51" s="19">
        <v>5.9666666666666703</v>
      </c>
      <c r="AQ51" s="19">
        <v>5.9</v>
      </c>
      <c r="AR51" s="19">
        <v>5.7666666666666702</v>
      </c>
      <c r="AS51" s="19">
        <v>5.6333333333333302</v>
      </c>
      <c r="AT51" s="19">
        <v>5.6</v>
      </c>
      <c r="AU51" s="19">
        <v>5.6</v>
      </c>
      <c r="AV51" s="17">
        <v>5.5333333333333297</v>
      </c>
      <c r="AW51" s="17">
        <v>5.3666666666666698</v>
      </c>
      <c r="AX51" s="17">
        <v>5.2666666666666702</v>
      </c>
      <c r="AY51" s="17">
        <v>5.1666666666666696</v>
      </c>
      <c r="AZ51" s="17">
        <v>5</v>
      </c>
      <c r="BA51" s="17">
        <v>4.8333333333333304</v>
      </c>
      <c r="BB51" s="35" t="str">
        <f t="shared" si="0"/>
        <v>Virginia</v>
      </c>
      <c r="BC51" s="19">
        <v>4.6666666666666696</v>
      </c>
      <c r="BD51" s="19">
        <v>4.5</v>
      </c>
      <c r="BE51" s="19">
        <v>4.2333333333333298</v>
      </c>
      <c r="BF51" s="19">
        <v>4.0999999999999996</v>
      </c>
      <c r="BG51" s="17">
        <v>4</v>
      </c>
      <c r="BH51" s="17">
        <v>4</v>
      </c>
      <c r="BI51" s="17">
        <v>4</v>
      </c>
      <c r="BJ51" s="17">
        <v>4</v>
      </c>
      <c r="BK51" s="17">
        <v>3.9</v>
      </c>
      <c r="BL51" s="17">
        <v>3.6666666666666701</v>
      </c>
      <c r="BM51" s="17">
        <v>3.5</v>
      </c>
      <c r="BN51" s="17">
        <v>3.43333333333333</v>
      </c>
      <c r="BO51" s="17">
        <v>3.3</v>
      </c>
      <c r="BP51" s="17">
        <v>2.93333333333333</v>
      </c>
      <c r="BQ51" s="17">
        <v>2.8</v>
      </c>
      <c r="BR51" s="17">
        <v>2.9666666666666699</v>
      </c>
      <c r="BS51" s="17">
        <v>3</v>
      </c>
      <c r="BT51" s="17">
        <v>2.6666666666666701</v>
      </c>
      <c r="BU51" s="17">
        <v>2.5333333333333301</v>
      </c>
      <c r="BV51" s="17">
        <v>2.7</v>
      </c>
      <c r="BW51" s="35" t="str">
        <f>Table13[[#This Row],[State]]</f>
        <v>Virginia</v>
      </c>
      <c r="BX51" s="17">
        <v>2.9666666666666699</v>
      </c>
      <c r="BY51" s="17">
        <v>10.266666666666699</v>
      </c>
      <c r="BZ51" s="17">
        <v>7.43333333333333</v>
      </c>
      <c r="CA51" s="17">
        <v>5.4</v>
      </c>
      <c r="CB51" s="17">
        <v>4.6666666666666696</v>
      </c>
      <c r="CC51" s="17">
        <v>4.2</v>
      </c>
      <c r="CD51" s="17">
        <v>3.5333333333333301</v>
      </c>
      <c r="CE51" s="17">
        <v>2.93333333333333</v>
      </c>
      <c r="CF51" s="17">
        <v>2.6333333333333302</v>
      </c>
      <c r="CG51" s="17">
        <v>2.5333333333333301</v>
      </c>
      <c r="CH51" s="17">
        <v>2.7</v>
      </c>
      <c r="CI51" s="17">
        <v>2.9</v>
      </c>
      <c r="CJ51" s="17">
        <v>2.8</v>
      </c>
      <c r="CK51" s="17">
        <v>2.5333333333333301</v>
      </c>
      <c r="CL51" s="17">
        <v>2.6</v>
      </c>
      <c r="CM51" s="17">
        <v>2.8333333333333299</v>
      </c>
      <c r="CN51" s="17">
        <v>2.8</v>
      </c>
      <c r="CO51" s="17">
        <v>2.8</v>
      </c>
      <c r="CP51" s="17">
        <v>2.8666666666666698</v>
      </c>
      <c r="CQ51" s="17">
        <v>2.9</v>
      </c>
      <c r="CR51" s="42" t="str">
        <f>Table13[[#This Row],[ State]]</f>
        <v>Virginia</v>
      </c>
      <c r="CS51" s="17">
        <v>3.1</v>
      </c>
      <c r="CT51" s="17">
        <v>3.4</v>
      </c>
      <c r="CU51" s="17">
        <v>3.56666666666667</v>
      </c>
      <c r="CV51" s="111"/>
      <c r="CW51" s="42" t="s">
        <v>231</v>
      </c>
      <c r="CX51" s="52">
        <v>6.4</v>
      </c>
      <c r="CY51" s="53">
        <v>6.3</v>
      </c>
      <c r="CZ51" s="53">
        <v>6.3</v>
      </c>
      <c r="DA51" s="53">
        <v>6.2</v>
      </c>
      <c r="DB51" s="53">
        <v>6.3</v>
      </c>
      <c r="DC51" s="53">
        <v>6.3</v>
      </c>
      <c r="DD51" s="53">
        <v>6.3</v>
      </c>
      <c r="DE51" s="53">
        <v>6.4</v>
      </c>
      <c r="DF51" s="53">
        <v>6.3</v>
      </c>
      <c r="DG51" s="53">
        <v>6.3</v>
      </c>
      <c r="DH51" s="53">
        <v>6.2</v>
      </c>
      <c r="DI51" s="53">
        <v>6.1</v>
      </c>
      <c r="DJ51" s="53">
        <v>6</v>
      </c>
      <c r="DK51" s="53">
        <v>6</v>
      </c>
      <c r="DL51" s="53">
        <v>5.9</v>
      </c>
      <c r="DM51" s="53">
        <v>5.9</v>
      </c>
      <c r="DN51" s="53">
        <v>5.9</v>
      </c>
      <c r="DO51" s="53">
        <v>5.9</v>
      </c>
      <c r="DP51" s="53">
        <v>5.8</v>
      </c>
      <c r="DQ51" s="53">
        <v>5.8</v>
      </c>
      <c r="DR51" s="53">
        <v>5.7</v>
      </c>
      <c r="DS51" s="53">
        <v>5.7</v>
      </c>
      <c r="DT51" s="53">
        <v>5.6</v>
      </c>
      <c r="DU51" s="63">
        <v>5.6</v>
      </c>
      <c r="DV51" s="54" t="s">
        <v>231</v>
      </c>
      <c r="DW51" s="53">
        <v>5.6</v>
      </c>
      <c r="DX51" s="53">
        <v>5.6</v>
      </c>
      <c r="DY51" s="53">
        <v>5.6</v>
      </c>
      <c r="DZ51" s="53">
        <v>5.6</v>
      </c>
      <c r="EA51" s="53">
        <v>5.6</v>
      </c>
      <c r="EB51" s="53">
        <v>5.6</v>
      </c>
      <c r="EC51" s="53">
        <v>5.6</v>
      </c>
      <c r="ED51" s="53">
        <v>5.5</v>
      </c>
      <c r="EE51" s="53">
        <v>5.5</v>
      </c>
      <c r="EF51" s="53">
        <v>5.4</v>
      </c>
      <c r="EG51" s="55">
        <v>5.4</v>
      </c>
      <c r="EH51" s="55">
        <v>5.3</v>
      </c>
      <c r="EI51" s="55">
        <v>5.3</v>
      </c>
      <c r="EJ51" s="55">
        <v>5.3</v>
      </c>
      <c r="EK51" s="53">
        <v>5.2</v>
      </c>
      <c r="EL51" s="55">
        <v>5.2</v>
      </c>
      <c r="EM51" s="55">
        <v>5.2</v>
      </c>
      <c r="EN51" s="55">
        <v>5.0999999999999996</v>
      </c>
      <c r="EO51" s="55">
        <v>5.0999999999999996</v>
      </c>
      <c r="EP51" s="55">
        <v>5</v>
      </c>
      <c r="EQ51" s="55">
        <v>4.9000000000000004</v>
      </c>
      <c r="ER51" s="53">
        <v>4.9000000000000004</v>
      </c>
      <c r="ES51" s="55">
        <v>4.8</v>
      </c>
      <c r="ET51" s="56">
        <v>4.8</v>
      </c>
      <c r="EU51" s="54" t="s">
        <v>231</v>
      </c>
      <c r="EV51" s="53">
        <v>4.7</v>
      </c>
      <c r="EW51" s="55">
        <v>4.7</v>
      </c>
      <c r="EX51" s="55">
        <v>4.5999999999999996</v>
      </c>
      <c r="EY51" s="55">
        <v>4.5999999999999996</v>
      </c>
      <c r="EZ51" s="55">
        <v>4.5</v>
      </c>
      <c r="FA51" s="55">
        <v>4.4000000000000004</v>
      </c>
      <c r="FB51" s="55">
        <v>4.3</v>
      </c>
      <c r="FC51" s="55">
        <v>4.2</v>
      </c>
      <c r="FD51" s="55">
        <v>4.2</v>
      </c>
      <c r="FE51" s="55">
        <v>4.0999999999999996</v>
      </c>
      <c r="FF51" s="55">
        <v>4.0999999999999996</v>
      </c>
      <c r="FG51" s="55">
        <v>4.0999999999999996</v>
      </c>
      <c r="FH51" s="55">
        <v>4</v>
      </c>
      <c r="FI51" s="55">
        <v>4</v>
      </c>
      <c r="FJ51" s="55">
        <v>4</v>
      </c>
      <c r="FK51" s="55">
        <v>4</v>
      </c>
      <c r="FL51" s="55">
        <v>4</v>
      </c>
      <c r="FM51" s="55">
        <v>4</v>
      </c>
      <c r="FN51" s="55">
        <v>4</v>
      </c>
      <c r="FO51" s="55">
        <v>4</v>
      </c>
      <c r="FP51" s="55">
        <v>4</v>
      </c>
      <c r="FQ51" s="55">
        <v>4</v>
      </c>
      <c r="FR51" s="55">
        <v>4</v>
      </c>
      <c r="FS51" s="56">
        <v>4</v>
      </c>
      <c r="FT51" s="54" t="s">
        <v>231</v>
      </c>
      <c r="FU51" s="53">
        <v>4</v>
      </c>
      <c r="FV51" s="55">
        <v>3.9</v>
      </c>
      <c r="FW51" s="55">
        <v>3.8</v>
      </c>
      <c r="FX51" s="55">
        <v>3.7</v>
      </c>
      <c r="FY51" s="55">
        <v>3.7</v>
      </c>
      <c r="FZ51" s="55">
        <v>3.6</v>
      </c>
      <c r="GA51" s="55">
        <v>3.5</v>
      </c>
      <c r="GB51" s="55">
        <v>3.5</v>
      </c>
      <c r="GC51" s="55">
        <v>3.5</v>
      </c>
      <c r="GD51" s="55">
        <v>3.5</v>
      </c>
      <c r="GE51" s="55">
        <v>3.4</v>
      </c>
      <c r="GF51" s="55">
        <v>3.4</v>
      </c>
      <c r="GG51" s="55">
        <v>3.4</v>
      </c>
      <c r="GH51" s="55">
        <v>3.3</v>
      </c>
      <c r="GI51" s="55">
        <v>3.2</v>
      </c>
      <c r="GJ51" s="55">
        <v>3.1</v>
      </c>
      <c r="GK51" s="55">
        <v>2.9</v>
      </c>
      <c r="GL51" s="55">
        <v>2.8</v>
      </c>
      <c r="GM51" s="55">
        <v>2.8</v>
      </c>
      <c r="GN51" s="55">
        <v>2.8</v>
      </c>
      <c r="GO51" s="55">
        <v>2.8</v>
      </c>
      <c r="GP51" s="55">
        <v>2.9</v>
      </c>
      <c r="GQ51" s="55">
        <v>3</v>
      </c>
      <c r="GR51" s="55">
        <v>3</v>
      </c>
      <c r="GS51" s="54" t="s">
        <v>231</v>
      </c>
      <c r="GT51" s="55">
        <v>3.1</v>
      </c>
      <c r="GU51" s="55">
        <v>3</v>
      </c>
      <c r="GV51" s="55">
        <v>2.9</v>
      </c>
      <c r="GW51" s="55">
        <v>2.8</v>
      </c>
      <c r="GX51" s="55">
        <v>2.7</v>
      </c>
      <c r="GY51" s="55">
        <v>2.5</v>
      </c>
      <c r="GZ51" s="55">
        <v>2.5</v>
      </c>
      <c r="HA51" s="55">
        <v>2.5</v>
      </c>
      <c r="HB51" s="55">
        <v>2.6</v>
      </c>
      <c r="HC51" s="55">
        <v>2.7</v>
      </c>
      <c r="HD51" s="55">
        <v>2.7</v>
      </c>
      <c r="HE51" s="55">
        <v>2.7</v>
      </c>
      <c r="HF51" s="55">
        <v>2.8</v>
      </c>
      <c r="HG51" s="55">
        <v>2.9</v>
      </c>
      <c r="HH51" s="55">
        <v>3.2</v>
      </c>
      <c r="HI51" s="55">
        <v>11.9</v>
      </c>
      <c r="HJ51" s="55">
        <v>10</v>
      </c>
      <c r="HK51" s="55">
        <v>8.9</v>
      </c>
      <c r="HL51" s="55">
        <v>8.3000000000000007</v>
      </c>
      <c r="HM51" s="55">
        <v>7.3</v>
      </c>
      <c r="HN51" s="55">
        <v>6.7</v>
      </c>
      <c r="HO51" s="55">
        <v>5.9</v>
      </c>
      <c r="HP51" s="55">
        <v>5.3</v>
      </c>
      <c r="HQ51" s="56">
        <v>5</v>
      </c>
      <c r="HR51" s="54" t="s">
        <v>231</v>
      </c>
      <c r="HS51" s="55">
        <v>4.8</v>
      </c>
      <c r="HT51" s="55">
        <v>4.7</v>
      </c>
      <c r="HU51" s="55">
        <v>4.5</v>
      </c>
      <c r="HV51" s="55">
        <v>4.4000000000000004</v>
      </c>
      <c r="HW51" s="55">
        <v>4.2</v>
      </c>
      <c r="HX51" s="55">
        <v>4</v>
      </c>
      <c r="HY51" s="55">
        <v>3.8</v>
      </c>
      <c r="HZ51" s="55">
        <v>3.5</v>
      </c>
      <c r="IA51" s="55">
        <v>3.3</v>
      </c>
      <c r="IB51" s="55">
        <v>3.1</v>
      </c>
      <c r="IC51" s="55">
        <v>2.9</v>
      </c>
      <c r="ID51" s="55">
        <v>2.8</v>
      </c>
      <c r="IE51" s="55">
        <v>2.7</v>
      </c>
      <c r="IF51" s="55">
        <v>2.6</v>
      </c>
      <c r="IG51" s="55">
        <v>2.6</v>
      </c>
      <c r="IH51" s="55">
        <v>2.6</v>
      </c>
      <c r="II51" s="55">
        <v>2.5</v>
      </c>
      <c r="IJ51" s="55">
        <v>2.5</v>
      </c>
      <c r="IK51" s="55">
        <v>2.6</v>
      </c>
      <c r="IL51" s="55">
        <v>2.7</v>
      </c>
      <c r="IM51" s="55">
        <v>2.8</v>
      </c>
      <c r="IN51" s="55">
        <v>2.9</v>
      </c>
      <c r="IO51" s="55">
        <v>2.9</v>
      </c>
      <c r="IP51" s="56">
        <v>2.9</v>
      </c>
      <c r="IQ51" s="54" t="s">
        <v>231</v>
      </c>
      <c r="IR51" s="55">
        <v>2.9</v>
      </c>
      <c r="IS51" s="55">
        <v>2.8</v>
      </c>
      <c r="IT51" s="55">
        <v>2.7</v>
      </c>
      <c r="IU51" s="55">
        <v>2.6</v>
      </c>
      <c r="IV51" s="55">
        <v>2.5</v>
      </c>
      <c r="IW51" s="55">
        <v>2.5</v>
      </c>
      <c r="IX51" s="55">
        <v>2.5</v>
      </c>
      <c r="IY51" s="55">
        <v>2.6</v>
      </c>
      <c r="IZ51" s="55">
        <v>2.7</v>
      </c>
      <c r="JA51" s="55">
        <v>2.8</v>
      </c>
      <c r="JB51" s="55">
        <v>2.8</v>
      </c>
      <c r="JC51" s="55">
        <v>2.9</v>
      </c>
      <c r="JD51" s="55">
        <v>2.8</v>
      </c>
      <c r="JE51" s="55">
        <v>2.8</v>
      </c>
      <c r="JF51" s="55">
        <v>2.8</v>
      </c>
      <c r="JG51" s="55">
        <v>2.8</v>
      </c>
      <c r="JH51" s="55">
        <v>2.8</v>
      </c>
      <c r="JI51" s="55">
        <v>2.8</v>
      </c>
      <c r="JJ51" s="55">
        <v>2.8</v>
      </c>
      <c r="JK51" s="55">
        <v>2.9</v>
      </c>
      <c r="JL51" s="55">
        <v>2.9</v>
      </c>
      <c r="JM51" s="55">
        <v>2.9</v>
      </c>
      <c r="JN51" s="55">
        <v>2.9</v>
      </c>
      <c r="JO51" s="56">
        <v>2.9</v>
      </c>
      <c r="JP51" s="54" t="s">
        <v>231</v>
      </c>
      <c r="JQ51" s="82">
        <v>3</v>
      </c>
      <c r="JR51" s="82">
        <v>3.1</v>
      </c>
      <c r="JS51" s="82">
        <v>3.2</v>
      </c>
      <c r="JT51" s="82">
        <v>3.3</v>
      </c>
      <c r="JU51" s="82">
        <v>3.4</v>
      </c>
      <c r="JV51" s="82">
        <v>3.5</v>
      </c>
      <c r="JW51" s="82">
        <v>3.6</v>
      </c>
      <c r="JX51" s="82">
        <v>3.6</v>
      </c>
      <c r="JY51" s="82">
        <v>3.5</v>
      </c>
      <c r="JZ51" s="82" t="s">
        <v>402</v>
      </c>
      <c r="KA51" s="83">
        <v>3.5</v>
      </c>
    </row>
    <row r="52" spans="2:287" x14ac:dyDescent="0.3">
      <c r="B52" s="39" t="s">
        <v>232</v>
      </c>
      <c r="C52" s="17">
        <v>5.0583333333333327</v>
      </c>
      <c r="D52" s="17">
        <v>6.0499999999999989</v>
      </c>
      <c r="E52" s="17">
        <v>7.15</v>
      </c>
      <c r="F52" s="17">
        <v>7.2666666666666657</v>
      </c>
      <c r="G52" s="17">
        <v>6.25</v>
      </c>
      <c r="H52" s="17">
        <v>5.5749999999999993</v>
      </c>
      <c r="I52" s="17">
        <v>4.9916666666666671</v>
      </c>
      <c r="J52" s="17">
        <v>4.6083333333333343</v>
      </c>
      <c r="K52" s="17">
        <v>5.2</v>
      </c>
      <c r="L52" s="17">
        <v>9.0416666666666572</v>
      </c>
      <c r="M52" s="17">
        <v>9.9916666666666671</v>
      </c>
      <c r="N52" s="17">
        <v>9.4333333333333353</v>
      </c>
      <c r="O52" s="19">
        <v>8.4416666666666647</v>
      </c>
      <c r="P52" s="19">
        <v>6.625</v>
      </c>
      <c r="Q52" s="19">
        <v>5.9333333333333353</v>
      </c>
      <c r="R52" s="19">
        <v>5.4416666666666647</v>
      </c>
      <c r="S52" s="19">
        <v>5.1916666666666673</v>
      </c>
      <c r="T52" s="19">
        <v>4.6499999999999968</v>
      </c>
      <c r="U52" s="19">
        <v>4.3999999999999977</v>
      </c>
      <c r="V52" s="19">
        <v>4.1833333333333327</v>
      </c>
      <c r="W52" s="19">
        <v>8.699999999999994</v>
      </c>
      <c r="X52" s="19">
        <v>5.1916666666666673</v>
      </c>
      <c r="Y52" s="19">
        <v>4.0583333333333327</v>
      </c>
      <c r="Z52" s="19">
        <v>4.1999999999999993</v>
      </c>
      <c r="AA52" s="19">
        <v>4.5083333333333346</v>
      </c>
      <c r="AB52" s="96"/>
      <c r="AC52" s="36" t="str">
        <f>Table11[[#This Row],[State]]</f>
        <v>Washington</v>
      </c>
      <c r="AD52" s="27">
        <v>7.3666666666666698</v>
      </c>
      <c r="AE52" s="27">
        <v>8.7333333333333307</v>
      </c>
      <c r="AF52" s="27">
        <v>9.8333333333333304</v>
      </c>
      <c r="AG52" s="27">
        <v>10.233333333333301</v>
      </c>
      <c r="AH52" s="27">
        <v>10.3</v>
      </c>
      <c r="AI52" s="27">
        <v>9.93333333333333</v>
      </c>
      <c r="AJ52" s="27">
        <v>9.8666666666666707</v>
      </c>
      <c r="AK52" s="27">
        <v>9.8666666666666707</v>
      </c>
      <c r="AL52" s="27">
        <v>9.6</v>
      </c>
      <c r="AM52" s="27">
        <v>9.5</v>
      </c>
      <c r="AN52" s="27">
        <v>9.4666666666666703</v>
      </c>
      <c r="AO52" s="27">
        <v>9.1666666666666696</v>
      </c>
      <c r="AP52" s="27">
        <v>8.93333333333333</v>
      </c>
      <c r="AQ52" s="27">
        <v>9</v>
      </c>
      <c r="AR52" s="27">
        <v>8.4</v>
      </c>
      <c r="AS52" s="27">
        <v>7.43333333333333</v>
      </c>
      <c r="AT52" s="27">
        <v>6.7333333333333298</v>
      </c>
      <c r="AU52" s="27">
        <v>6.7</v>
      </c>
      <c r="AV52" s="27">
        <v>6.6666666666666696</v>
      </c>
      <c r="AW52" s="27">
        <v>6.4</v>
      </c>
      <c r="AX52" s="27">
        <v>6.2</v>
      </c>
      <c r="AY52" s="27">
        <v>5.9666666666666703</v>
      </c>
      <c r="AZ52" s="27">
        <v>5.8666666666666698</v>
      </c>
      <c r="BA52" s="27">
        <v>5.7</v>
      </c>
      <c r="BB52" s="36" t="str">
        <f t="shared" si="0"/>
        <v>Washington</v>
      </c>
      <c r="BC52" s="27">
        <v>5.5333333333333297</v>
      </c>
      <c r="BD52" s="27">
        <v>5.43333333333333</v>
      </c>
      <c r="BE52" s="27">
        <v>5.4</v>
      </c>
      <c r="BF52" s="27">
        <v>5.4</v>
      </c>
      <c r="BG52" s="27">
        <v>5.3666666666666698</v>
      </c>
      <c r="BH52" s="27">
        <v>5.3</v>
      </c>
      <c r="BI52" s="27">
        <v>5.1666666666666696</v>
      </c>
      <c r="BJ52" s="27">
        <v>4.93333333333333</v>
      </c>
      <c r="BK52" s="27">
        <v>4.7333333333333298</v>
      </c>
      <c r="BL52" s="27">
        <v>4.5999999999999996</v>
      </c>
      <c r="BM52" s="27">
        <v>4.6333333333333302</v>
      </c>
      <c r="BN52" s="27">
        <v>4.6333333333333302</v>
      </c>
      <c r="BO52" s="27">
        <v>4.5333333333333297</v>
      </c>
      <c r="BP52" s="27">
        <v>4.3333333333333304</v>
      </c>
      <c r="BQ52" s="27">
        <v>4.2333333333333298</v>
      </c>
      <c r="BR52" s="27">
        <v>4.5</v>
      </c>
      <c r="BS52" s="27">
        <v>4.6333333333333302</v>
      </c>
      <c r="BT52" s="27">
        <v>4.3</v>
      </c>
      <c r="BU52" s="27">
        <v>4</v>
      </c>
      <c r="BV52" s="27">
        <v>3.8</v>
      </c>
      <c r="BW52" s="36" t="str">
        <f>Table13[[#This Row],[State]]</f>
        <v>Washington</v>
      </c>
      <c r="BX52" s="27">
        <v>4.4666666666666703</v>
      </c>
      <c r="BY52" s="27">
        <v>14.133333333333301</v>
      </c>
      <c r="BZ52" s="27">
        <v>9.2333333333333307</v>
      </c>
      <c r="CA52" s="27">
        <v>6.9666666666666703</v>
      </c>
      <c r="CB52" s="27">
        <v>6.1666666666666696</v>
      </c>
      <c r="CC52" s="27">
        <v>5.5</v>
      </c>
      <c r="CD52" s="27">
        <v>4.9000000000000004</v>
      </c>
      <c r="CE52" s="27">
        <v>4.2</v>
      </c>
      <c r="CF52" s="27">
        <v>3.93333333333333</v>
      </c>
      <c r="CG52" s="27">
        <v>4</v>
      </c>
      <c r="CH52" s="27">
        <v>4.0999999999999996</v>
      </c>
      <c r="CI52" s="27">
        <v>4.2</v>
      </c>
      <c r="CJ52" s="27">
        <v>4.06666666666667</v>
      </c>
      <c r="CK52" s="27">
        <v>4</v>
      </c>
      <c r="CL52" s="27">
        <v>4.2</v>
      </c>
      <c r="CM52" s="27">
        <v>4.5333333333333297</v>
      </c>
      <c r="CN52" s="27">
        <v>4.5999999999999996</v>
      </c>
      <c r="CO52" s="27">
        <v>4.56666666666667</v>
      </c>
      <c r="CP52" s="27">
        <v>4.4666666666666703</v>
      </c>
      <c r="CQ52" s="27">
        <v>4.4000000000000004</v>
      </c>
      <c r="CR52" s="79" t="str">
        <f>Table13[[#This Row],[ State]]</f>
        <v>Washington</v>
      </c>
      <c r="CS52" s="27">
        <v>4.3666666666666698</v>
      </c>
      <c r="CT52" s="27">
        <v>4.4666666666666703</v>
      </c>
      <c r="CU52" s="27">
        <v>4.5</v>
      </c>
      <c r="CV52" s="111"/>
      <c r="CW52" s="41" t="s">
        <v>232</v>
      </c>
      <c r="CX52" s="47">
        <v>9.6999999999999993</v>
      </c>
      <c r="CY52" s="48">
        <v>9.6</v>
      </c>
      <c r="CZ52" s="48">
        <v>9.5</v>
      </c>
      <c r="DA52" s="48">
        <v>9.5</v>
      </c>
      <c r="DB52" s="48">
        <v>9.5</v>
      </c>
      <c r="DC52" s="48">
        <v>9.5</v>
      </c>
      <c r="DD52" s="48">
        <v>9.5</v>
      </c>
      <c r="DE52" s="48">
        <v>9.5</v>
      </c>
      <c r="DF52" s="48">
        <v>9.4</v>
      </c>
      <c r="DG52" s="48">
        <v>9.3000000000000007</v>
      </c>
      <c r="DH52" s="48">
        <v>9.1</v>
      </c>
      <c r="DI52" s="48">
        <v>9.1</v>
      </c>
      <c r="DJ52" s="48">
        <v>9</v>
      </c>
      <c r="DK52" s="48">
        <v>8.9</v>
      </c>
      <c r="DL52" s="48">
        <v>8.9</v>
      </c>
      <c r="DM52" s="48">
        <v>8.9</v>
      </c>
      <c r="DN52" s="48">
        <v>9</v>
      </c>
      <c r="DO52" s="48">
        <v>9.1</v>
      </c>
      <c r="DP52" s="48">
        <v>8.8000000000000007</v>
      </c>
      <c r="DQ52" s="48">
        <v>8.4</v>
      </c>
      <c r="DR52" s="48">
        <v>8</v>
      </c>
      <c r="DS52" s="48">
        <v>7.7</v>
      </c>
      <c r="DT52" s="48">
        <v>7.4</v>
      </c>
      <c r="DU52" s="62">
        <v>7.2</v>
      </c>
      <c r="DV52" s="49" t="s">
        <v>232</v>
      </c>
      <c r="DW52" s="48">
        <v>7</v>
      </c>
      <c r="DX52" s="48">
        <v>6.6</v>
      </c>
      <c r="DY52" s="48">
        <v>6.6</v>
      </c>
      <c r="DZ52" s="48">
        <v>6.7</v>
      </c>
      <c r="EA52" s="48">
        <v>6.7</v>
      </c>
      <c r="EB52" s="48">
        <v>6.7</v>
      </c>
      <c r="EC52" s="48">
        <v>6.7</v>
      </c>
      <c r="ED52" s="48">
        <v>6.7</v>
      </c>
      <c r="EE52" s="48">
        <v>6.6</v>
      </c>
      <c r="EF52" s="48">
        <v>6.5</v>
      </c>
      <c r="EG52" s="50">
        <v>6.4</v>
      </c>
      <c r="EH52" s="50">
        <v>6.3</v>
      </c>
      <c r="EI52" s="50">
        <v>6.3</v>
      </c>
      <c r="EJ52" s="50">
        <v>6.2</v>
      </c>
      <c r="EK52" s="48">
        <v>6.1</v>
      </c>
      <c r="EL52" s="50">
        <v>6</v>
      </c>
      <c r="EM52" s="50">
        <v>6</v>
      </c>
      <c r="EN52" s="50">
        <v>5.9</v>
      </c>
      <c r="EO52" s="50">
        <v>5.9</v>
      </c>
      <c r="EP52" s="50">
        <v>5.9</v>
      </c>
      <c r="EQ52" s="50">
        <v>5.8</v>
      </c>
      <c r="ER52" s="48">
        <v>5.8</v>
      </c>
      <c r="ES52" s="50">
        <v>5.7</v>
      </c>
      <c r="ET52" s="51">
        <v>5.6</v>
      </c>
      <c r="EU52" s="49" t="s">
        <v>232</v>
      </c>
      <c r="EV52" s="48">
        <v>5.6</v>
      </c>
      <c r="EW52" s="50">
        <v>5.5</v>
      </c>
      <c r="EX52" s="50">
        <v>5.5</v>
      </c>
      <c r="EY52" s="50">
        <v>5.5</v>
      </c>
      <c r="EZ52" s="50">
        <v>5.4</v>
      </c>
      <c r="FA52" s="50">
        <v>5.4</v>
      </c>
      <c r="FB52" s="50">
        <v>5.4</v>
      </c>
      <c r="FC52" s="50">
        <v>5.4</v>
      </c>
      <c r="FD52" s="50">
        <v>5.4</v>
      </c>
      <c r="FE52" s="50">
        <v>5.4</v>
      </c>
      <c r="FF52" s="50">
        <v>5.4</v>
      </c>
      <c r="FG52" s="50">
        <v>5.4</v>
      </c>
      <c r="FH52" s="50">
        <v>5.4</v>
      </c>
      <c r="FI52" s="50">
        <v>5.4</v>
      </c>
      <c r="FJ52" s="50">
        <v>5.3</v>
      </c>
      <c r="FK52" s="50">
        <v>5.3</v>
      </c>
      <c r="FL52" s="50">
        <v>5.3</v>
      </c>
      <c r="FM52" s="50">
        <v>5.3</v>
      </c>
      <c r="FN52" s="50">
        <v>5.2</v>
      </c>
      <c r="FO52" s="50">
        <v>5.2</v>
      </c>
      <c r="FP52" s="50">
        <v>5.0999999999999996</v>
      </c>
      <c r="FQ52" s="50">
        <v>5</v>
      </c>
      <c r="FR52" s="50">
        <v>4.9000000000000004</v>
      </c>
      <c r="FS52" s="51">
        <v>4.9000000000000004</v>
      </c>
      <c r="FT52" s="49" t="s">
        <v>232</v>
      </c>
      <c r="FU52" s="48">
        <v>4.8</v>
      </c>
      <c r="FV52" s="50">
        <v>4.7</v>
      </c>
      <c r="FW52" s="50">
        <v>4.7</v>
      </c>
      <c r="FX52" s="50">
        <v>4.5999999999999996</v>
      </c>
      <c r="FY52" s="50">
        <v>4.5999999999999996</v>
      </c>
      <c r="FZ52" s="50">
        <v>4.5999999999999996</v>
      </c>
      <c r="GA52" s="50">
        <v>4.5999999999999996</v>
      </c>
      <c r="GB52" s="50">
        <v>4.5999999999999996</v>
      </c>
      <c r="GC52" s="50">
        <v>4.7</v>
      </c>
      <c r="GD52" s="50">
        <v>4.7</v>
      </c>
      <c r="GE52" s="50">
        <v>4.5999999999999996</v>
      </c>
      <c r="GF52" s="50">
        <v>4.5999999999999996</v>
      </c>
      <c r="GG52" s="50">
        <v>4.5999999999999996</v>
      </c>
      <c r="GH52" s="50">
        <v>4.5</v>
      </c>
      <c r="GI52" s="50">
        <v>4.5</v>
      </c>
      <c r="GJ52" s="50">
        <v>4.4000000000000004</v>
      </c>
      <c r="GK52" s="50">
        <v>4.3</v>
      </c>
      <c r="GL52" s="50">
        <v>4.3</v>
      </c>
      <c r="GM52" s="50">
        <v>4.2</v>
      </c>
      <c r="GN52" s="50">
        <v>4.2</v>
      </c>
      <c r="GO52" s="50">
        <v>4.3</v>
      </c>
      <c r="GP52" s="50">
        <v>4.4000000000000004</v>
      </c>
      <c r="GQ52" s="50">
        <v>4.5</v>
      </c>
      <c r="GR52" s="50">
        <v>4.5999999999999996</v>
      </c>
      <c r="GS52" s="49" t="s">
        <v>232</v>
      </c>
      <c r="GT52" s="50">
        <v>4.7</v>
      </c>
      <c r="GU52" s="50">
        <v>4.5999999999999996</v>
      </c>
      <c r="GV52" s="50">
        <v>4.5999999999999996</v>
      </c>
      <c r="GW52" s="50">
        <v>4.4000000000000004</v>
      </c>
      <c r="GX52" s="50">
        <v>4.3</v>
      </c>
      <c r="GY52" s="50">
        <v>4.2</v>
      </c>
      <c r="GZ52" s="50">
        <v>4.0999999999999996</v>
      </c>
      <c r="HA52" s="50">
        <v>4</v>
      </c>
      <c r="HB52" s="50">
        <v>3.9</v>
      </c>
      <c r="HC52" s="50">
        <v>3.9</v>
      </c>
      <c r="HD52" s="50">
        <v>3.8</v>
      </c>
      <c r="HE52" s="50">
        <v>3.7</v>
      </c>
      <c r="HF52" s="50">
        <v>3.6</v>
      </c>
      <c r="HG52" s="50">
        <v>3.8</v>
      </c>
      <c r="HH52" s="50">
        <v>6</v>
      </c>
      <c r="HI52" s="50">
        <v>17.100000000000001</v>
      </c>
      <c r="HJ52" s="50">
        <v>13.6</v>
      </c>
      <c r="HK52" s="50">
        <v>11.7</v>
      </c>
      <c r="HL52" s="50">
        <v>10.5</v>
      </c>
      <c r="HM52" s="50">
        <v>9</v>
      </c>
      <c r="HN52" s="50">
        <v>8.1999999999999993</v>
      </c>
      <c r="HO52" s="50">
        <v>7.3</v>
      </c>
      <c r="HP52" s="50">
        <v>6.9</v>
      </c>
      <c r="HQ52" s="51">
        <v>6.7</v>
      </c>
      <c r="HR52" s="49" t="s">
        <v>232</v>
      </c>
      <c r="HS52" s="50">
        <v>6.4</v>
      </c>
      <c r="HT52" s="50">
        <v>6.2</v>
      </c>
      <c r="HU52" s="50">
        <v>5.9</v>
      </c>
      <c r="HV52" s="50">
        <v>5.7</v>
      </c>
      <c r="HW52" s="50">
        <v>5.5</v>
      </c>
      <c r="HX52" s="50">
        <v>5.3</v>
      </c>
      <c r="HY52" s="50">
        <v>5.0999999999999996</v>
      </c>
      <c r="HZ52" s="50">
        <v>4.9000000000000004</v>
      </c>
      <c r="IA52" s="50">
        <v>4.7</v>
      </c>
      <c r="IB52" s="50">
        <v>4.4000000000000004</v>
      </c>
      <c r="IC52" s="50">
        <v>4.2</v>
      </c>
      <c r="ID52" s="50">
        <v>4</v>
      </c>
      <c r="IE52" s="50">
        <v>4</v>
      </c>
      <c r="IF52" s="50">
        <v>3.9</v>
      </c>
      <c r="IG52" s="50">
        <v>3.9</v>
      </c>
      <c r="IH52" s="50">
        <v>4</v>
      </c>
      <c r="II52" s="50">
        <v>4</v>
      </c>
      <c r="IJ52" s="50">
        <v>4</v>
      </c>
      <c r="IK52" s="50">
        <v>4</v>
      </c>
      <c r="IL52" s="50">
        <v>4.0999999999999996</v>
      </c>
      <c r="IM52" s="50">
        <v>4.2</v>
      </c>
      <c r="IN52" s="50">
        <v>4.2</v>
      </c>
      <c r="IO52" s="50">
        <v>4.2</v>
      </c>
      <c r="IP52" s="51">
        <v>4.2</v>
      </c>
      <c r="IQ52" s="49" t="s">
        <v>232</v>
      </c>
      <c r="IR52" s="50">
        <v>4.0999999999999996</v>
      </c>
      <c r="IS52" s="50">
        <v>4.0999999999999996</v>
      </c>
      <c r="IT52" s="50">
        <v>4</v>
      </c>
      <c r="IU52" s="50">
        <v>4</v>
      </c>
      <c r="IV52" s="50">
        <v>4</v>
      </c>
      <c r="IW52" s="50">
        <v>4</v>
      </c>
      <c r="IX52" s="50">
        <v>4.0999999999999996</v>
      </c>
      <c r="IY52" s="50">
        <v>4.2</v>
      </c>
      <c r="IZ52" s="50">
        <v>4.3</v>
      </c>
      <c r="JA52" s="50">
        <v>4.5</v>
      </c>
      <c r="JB52" s="50">
        <v>4.5</v>
      </c>
      <c r="JC52" s="50">
        <v>4.5999999999999996</v>
      </c>
      <c r="JD52" s="50">
        <v>4.5999999999999996</v>
      </c>
      <c r="JE52" s="50">
        <v>4.5999999999999996</v>
      </c>
      <c r="JF52" s="50">
        <v>4.5999999999999996</v>
      </c>
      <c r="JG52" s="50">
        <v>4.5999999999999996</v>
      </c>
      <c r="JH52" s="50">
        <v>4.5999999999999996</v>
      </c>
      <c r="JI52" s="50">
        <v>4.5</v>
      </c>
      <c r="JJ52" s="50">
        <v>4.5</v>
      </c>
      <c r="JK52" s="50">
        <v>4.5</v>
      </c>
      <c r="JL52" s="50">
        <v>4.4000000000000004</v>
      </c>
      <c r="JM52" s="50">
        <v>4.4000000000000004</v>
      </c>
      <c r="JN52" s="50">
        <v>4.4000000000000004</v>
      </c>
      <c r="JO52" s="51">
        <v>4.4000000000000004</v>
      </c>
      <c r="JP52" s="49" t="s">
        <v>232</v>
      </c>
      <c r="JQ52" s="80">
        <v>4.3</v>
      </c>
      <c r="JR52" s="80">
        <v>4.4000000000000004</v>
      </c>
      <c r="JS52" s="80">
        <v>4.4000000000000004</v>
      </c>
      <c r="JT52" s="80">
        <v>4.4000000000000004</v>
      </c>
      <c r="JU52" s="80">
        <v>4.5</v>
      </c>
      <c r="JV52" s="80">
        <v>4.5</v>
      </c>
      <c r="JW52" s="80">
        <v>4.5</v>
      </c>
      <c r="JX52" s="80">
        <v>4.5</v>
      </c>
      <c r="JY52" s="80">
        <v>4.5</v>
      </c>
      <c r="JZ52" s="80" t="s">
        <v>402</v>
      </c>
      <c r="KA52" s="81">
        <v>4.5999999999999996</v>
      </c>
    </row>
    <row r="53" spans="2:287" x14ac:dyDescent="0.3">
      <c r="B53" s="39" t="s">
        <v>233</v>
      </c>
      <c r="C53" s="17">
        <v>5.5583333333333353</v>
      </c>
      <c r="D53" s="17">
        <v>5.2833333333333323</v>
      </c>
      <c r="E53" s="17">
        <v>6.0750000000000011</v>
      </c>
      <c r="F53" s="17">
        <v>6.125</v>
      </c>
      <c r="G53" s="17">
        <v>5.3749999999999973</v>
      </c>
      <c r="H53" s="17">
        <v>5.0416666666666679</v>
      </c>
      <c r="I53" s="17">
        <v>4.7750000000000004</v>
      </c>
      <c r="J53" s="17">
        <v>4.4749999999999996</v>
      </c>
      <c r="K53" s="17">
        <v>4.5250000000000004</v>
      </c>
      <c r="L53" s="17">
        <v>7.9750000000000032</v>
      </c>
      <c r="M53" s="17">
        <v>8.4</v>
      </c>
      <c r="N53" s="17">
        <v>7.7083333333333321</v>
      </c>
      <c r="O53" s="19">
        <v>7.2</v>
      </c>
      <c r="P53" s="19">
        <v>6.708333333333333</v>
      </c>
      <c r="Q53" s="19">
        <v>6.4916666666666654</v>
      </c>
      <c r="R53" s="19">
        <v>6.5416666666666643</v>
      </c>
      <c r="S53" s="19">
        <v>6.075000000000002</v>
      </c>
      <c r="T53" s="19">
        <v>5.2</v>
      </c>
      <c r="U53" s="19">
        <v>5.1416666666666675</v>
      </c>
      <c r="V53" s="19">
        <v>4.9250000000000007</v>
      </c>
      <c r="W53" s="19">
        <v>8.3333333333333428</v>
      </c>
      <c r="X53" s="19">
        <v>5.1416666666666648</v>
      </c>
      <c r="Y53" s="19">
        <v>3.8583333333333352</v>
      </c>
      <c r="Z53" s="19">
        <v>3.8583333333333325</v>
      </c>
      <c r="AA53" s="19">
        <v>4.0916666666666668</v>
      </c>
      <c r="AB53" s="96"/>
      <c r="AC53" s="35" t="str">
        <f>Table11[[#This Row],[State]]</f>
        <v>West Virginia</v>
      </c>
      <c r="AD53" s="17">
        <v>6.7666666666666702</v>
      </c>
      <c r="AE53" s="17">
        <v>8.06666666666667</v>
      </c>
      <c r="AF53" s="17">
        <v>8.4666666666666703</v>
      </c>
      <c r="AG53" s="17">
        <v>8.6</v>
      </c>
      <c r="AH53" s="17">
        <v>8.6666666666666696</v>
      </c>
      <c r="AI53" s="17">
        <v>8.3333333333333304</v>
      </c>
      <c r="AJ53" s="17">
        <v>8.2333333333333307</v>
      </c>
      <c r="AK53" s="17">
        <v>8.3666666666666707</v>
      </c>
      <c r="AL53" s="17">
        <v>8.1</v>
      </c>
      <c r="AM53" s="17">
        <v>7.7333333333333298</v>
      </c>
      <c r="AN53" s="19">
        <v>7.6666666666666696</v>
      </c>
      <c r="AO53" s="19">
        <v>7.3333333333333304</v>
      </c>
      <c r="AP53" s="19">
        <v>7.0333333333333297</v>
      </c>
      <c r="AQ53" s="19">
        <v>7.2</v>
      </c>
      <c r="AR53" s="19">
        <v>7.3666666666666698</v>
      </c>
      <c r="AS53" s="19">
        <v>7.2</v>
      </c>
      <c r="AT53" s="19">
        <v>6.9</v>
      </c>
      <c r="AU53" s="19">
        <v>6.6333333333333302</v>
      </c>
      <c r="AV53" s="17">
        <v>6.6</v>
      </c>
      <c r="AW53" s="17">
        <v>6.7</v>
      </c>
      <c r="AX53" s="17">
        <v>6.7</v>
      </c>
      <c r="AY53" s="17">
        <v>6.5333333333333297</v>
      </c>
      <c r="AZ53" s="17">
        <v>6.4</v>
      </c>
      <c r="BA53" s="17">
        <v>6.3333333333333304</v>
      </c>
      <c r="BB53" s="35" t="str">
        <f t="shared" si="0"/>
        <v>West Virginia</v>
      </c>
      <c r="BC53" s="19">
        <v>6.5</v>
      </c>
      <c r="BD53" s="19">
        <v>6.7333333333333298</v>
      </c>
      <c r="BE53" s="19">
        <v>6.6</v>
      </c>
      <c r="BF53" s="19">
        <v>6.3333333333333304</v>
      </c>
      <c r="BG53" s="17">
        <v>6.3</v>
      </c>
      <c r="BH53" s="17">
        <v>6.1666666666666696</v>
      </c>
      <c r="BI53" s="17">
        <v>6.06666666666667</v>
      </c>
      <c r="BJ53" s="17">
        <v>5.7666666666666702</v>
      </c>
      <c r="BK53" s="17">
        <v>5.2333333333333298</v>
      </c>
      <c r="BL53" s="17">
        <v>5.06666666666667</v>
      </c>
      <c r="BM53" s="17">
        <v>5.1666666666666696</v>
      </c>
      <c r="BN53" s="17">
        <v>5.3333333333333304</v>
      </c>
      <c r="BO53" s="17">
        <v>5.3666666666666698</v>
      </c>
      <c r="BP53" s="17">
        <v>5.2</v>
      </c>
      <c r="BQ53" s="17">
        <v>5</v>
      </c>
      <c r="BR53" s="17">
        <v>5</v>
      </c>
      <c r="BS53" s="17">
        <v>4.93333333333333</v>
      </c>
      <c r="BT53" s="17">
        <v>4.8</v>
      </c>
      <c r="BU53" s="17">
        <v>4.9000000000000004</v>
      </c>
      <c r="BV53" s="17">
        <v>5.06666666666667</v>
      </c>
      <c r="BW53" s="35" t="str">
        <f>Table13[[#This Row],[State]]</f>
        <v>West Virginia</v>
      </c>
      <c r="BX53" s="17">
        <v>5.2666666666666702</v>
      </c>
      <c r="BY53" s="17">
        <v>12.966666666666701</v>
      </c>
      <c r="BZ53" s="17">
        <v>8.43333333333333</v>
      </c>
      <c r="CA53" s="17">
        <v>6.6666666666666696</v>
      </c>
      <c r="CB53" s="17">
        <v>6.0333333333333297</v>
      </c>
      <c r="CC53" s="17">
        <v>5.6</v>
      </c>
      <c r="CD53" s="17">
        <v>4.8</v>
      </c>
      <c r="CE53" s="17">
        <v>4.1333333333333302</v>
      </c>
      <c r="CF53" s="17">
        <v>3.8666666666666698</v>
      </c>
      <c r="CG53" s="17">
        <v>3.8666666666666698</v>
      </c>
      <c r="CH53" s="17">
        <v>3.93333333333333</v>
      </c>
      <c r="CI53" s="17">
        <v>3.7666666666666702</v>
      </c>
      <c r="CJ53" s="17">
        <v>3.5333333333333301</v>
      </c>
      <c r="CK53" s="17">
        <v>3.7</v>
      </c>
      <c r="CL53" s="17">
        <v>4</v>
      </c>
      <c r="CM53" s="17">
        <v>4.2</v>
      </c>
      <c r="CN53" s="17">
        <v>4.0999999999999996</v>
      </c>
      <c r="CO53" s="17">
        <v>4.06666666666667</v>
      </c>
      <c r="CP53" s="17">
        <v>4.0999999999999996</v>
      </c>
      <c r="CQ53" s="17">
        <v>4.0999999999999996</v>
      </c>
      <c r="CR53" s="42" t="str">
        <f>Table13[[#This Row],[ State]]</f>
        <v>West Virginia</v>
      </c>
      <c r="CS53" s="17">
        <v>3.9</v>
      </c>
      <c r="CT53" s="17">
        <v>3.7333333333333298</v>
      </c>
      <c r="CU53" s="17">
        <v>3.8333333333333299</v>
      </c>
      <c r="CV53" s="111"/>
      <c r="CW53" s="42" t="s">
        <v>233</v>
      </c>
      <c r="CX53" s="52">
        <v>8.1999999999999993</v>
      </c>
      <c r="CY53" s="53">
        <v>8.1</v>
      </c>
      <c r="CZ53" s="53">
        <v>8</v>
      </c>
      <c r="DA53" s="53">
        <v>7.8</v>
      </c>
      <c r="DB53" s="53">
        <v>7.7</v>
      </c>
      <c r="DC53" s="53">
        <v>7.7</v>
      </c>
      <c r="DD53" s="53">
        <v>7.7</v>
      </c>
      <c r="DE53" s="53">
        <v>7.7</v>
      </c>
      <c r="DF53" s="53">
        <v>7.6</v>
      </c>
      <c r="DG53" s="53">
        <v>7.5</v>
      </c>
      <c r="DH53" s="53">
        <v>7.3</v>
      </c>
      <c r="DI53" s="53">
        <v>7.2</v>
      </c>
      <c r="DJ53" s="53">
        <v>7.1</v>
      </c>
      <c r="DK53" s="53">
        <v>7</v>
      </c>
      <c r="DL53" s="53">
        <v>7</v>
      </c>
      <c r="DM53" s="53">
        <v>7.1</v>
      </c>
      <c r="DN53" s="53">
        <v>7.2</v>
      </c>
      <c r="DO53" s="53">
        <v>7.3</v>
      </c>
      <c r="DP53" s="53">
        <v>7.4</v>
      </c>
      <c r="DQ53" s="53">
        <v>7.4</v>
      </c>
      <c r="DR53" s="53">
        <v>7.3</v>
      </c>
      <c r="DS53" s="53">
        <v>7.3</v>
      </c>
      <c r="DT53" s="53">
        <v>7.2</v>
      </c>
      <c r="DU53" s="63">
        <v>7.1</v>
      </c>
      <c r="DV53" s="54" t="s">
        <v>233</v>
      </c>
      <c r="DW53" s="53">
        <v>7</v>
      </c>
      <c r="DX53" s="53">
        <v>6.9</v>
      </c>
      <c r="DY53" s="53">
        <v>6.8</v>
      </c>
      <c r="DZ53" s="53">
        <v>6.7</v>
      </c>
      <c r="EA53" s="53">
        <v>6.6</v>
      </c>
      <c r="EB53" s="53">
        <v>6.6</v>
      </c>
      <c r="EC53" s="53">
        <v>6.6</v>
      </c>
      <c r="ED53" s="53">
        <v>6.6</v>
      </c>
      <c r="EE53" s="53">
        <v>6.6</v>
      </c>
      <c r="EF53" s="53">
        <v>6.7</v>
      </c>
      <c r="EG53" s="55">
        <v>6.7</v>
      </c>
      <c r="EH53" s="55">
        <v>6.7</v>
      </c>
      <c r="EI53" s="55">
        <v>6.7</v>
      </c>
      <c r="EJ53" s="55">
        <v>6.7</v>
      </c>
      <c r="EK53" s="53">
        <v>6.7</v>
      </c>
      <c r="EL53" s="55">
        <v>6.6</v>
      </c>
      <c r="EM53" s="55">
        <v>6.5</v>
      </c>
      <c r="EN53" s="55">
        <v>6.5</v>
      </c>
      <c r="EO53" s="55">
        <v>6.4</v>
      </c>
      <c r="EP53" s="55">
        <v>6.4</v>
      </c>
      <c r="EQ53" s="55">
        <v>6.4</v>
      </c>
      <c r="ER53" s="53">
        <v>6.4</v>
      </c>
      <c r="ES53" s="55">
        <v>6.3</v>
      </c>
      <c r="ET53" s="56">
        <v>6.3</v>
      </c>
      <c r="EU53" s="54" t="s">
        <v>233</v>
      </c>
      <c r="EV53" s="53">
        <v>6.4</v>
      </c>
      <c r="EW53" s="55">
        <v>6.5</v>
      </c>
      <c r="EX53" s="55">
        <v>6.6</v>
      </c>
      <c r="EY53" s="55">
        <v>6.7</v>
      </c>
      <c r="EZ53" s="55">
        <v>6.8</v>
      </c>
      <c r="FA53" s="55">
        <v>6.7</v>
      </c>
      <c r="FB53" s="55">
        <v>6.7</v>
      </c>
      <c r="FC53" s="55">
        <v>6.6</v>
      </c>
      <c r="FD53" s="55">
        <v>6.5</v>
      </c>
      <c r="FE53" s="55">
        <v>6.4</v>
      </c>
      <c r="FF53" s="55">
        <v>6.3</v>
      </c>
      <c r="FG53" s="55">
        <v>6.3</v>
      </c>
      <c r="FH53" s="55">
        <v>6.3</v>
      </c>
      <c r="FI53" s="55">
        <v>6.3</v>
      </c>
      <c r="FJ53" s="55">
        <v>6.3</v>
      </c>
      <c r="FK53" s="55">
        <v>6.2</v>
      </c>
      <c r="FL53" s="55">
        <v>6.2</v>
      </c>
      <c r="FM53" s="55">
        <v>6.1</v>
      </c>
      <c r="FN53" s="55">
        <v>6.1</v>
      </c>
      <c r="FO53" s="55">
        <v>6.1</v>
      </c>
      <c r="FP53" s="55">
        <v>6</v>
      </c>
      <c r="FQ53" s="55">
        <v>5.9</v>
      </c>
      <c r="FR53" s="55">
        <v>5.8</v>
      </c>
      <c r="FS53" s="56">
        <v>5.6</v>
      </c>
      <c r="FT53" s="54" t="s">
        <v>233</v>
      </c>
      <c r="FU53" s="53">
        <v>5.4</v>
      </c>
      <c r="FV53" s="55">
        <v>5.2</v>
      </c>
      <c r="FW53" s="55">
        <v>5.0999999999999996</v>
      </c>
      <c r="FX53" s="55">
        <v>5.0999999999999996</v>
      </c>
      <c r="FY53" s="55">
        <v>5</v>
      </c>
      <c r="FZ53" s="55">
        <v>5.0999999999999996</v>
      </c>
      <c r="GA53" s="55">
        <v>5.0999999999999996</v>
      </c>
      <c r="GB53" s="55">
        <v>5.2</v>
      </c>
      <c r="GC53" s="55">
        <v>5.2</v>
      </c>
      <c r="GD53" s="55">
        <v>5.3</v>
      </c>
      <c r="GE53" s="55">
        <v>5.3</v>
      </c>
      <c r="GF53" s="55">
        <v>5.4</v>
      </c>
      <c r="GG53" s="55">
        <v>5.4</v>
      </c>
      <c r="GH53" s="55">
        <v>5.4</v>
      </c>
      <c r="GI53" s="55">
        <v>5.3</v>
      </c>
      <c r="GJ53" s="55">
        <v>5.3</v>
      </c>
      <c r="GK53" s="55">
        <v>5.2</v>
      </c>
      <c r="GL53" s="55">
        <v>5.0999999999999996</v>
      </c>
      <c r="GM53" s="55">
        <v>5</v>
      </c>
      <c r="GN53" s="55">
        <v>5</v>
      </c>
      <c r="GO53" s="55">
        <v>5</v>
      </c>
      <c r="GP53" s="55">
        <v>5</v>
      </c>
      <c r="GQ53" s="55">
        <v>5</v>
      </c>
      <c r="GR53" s="55">
        <v>5</v>
      </c>
      <c r="GS53" s="54" t="s">
        <v>233</v>
      </c>
      <c r="GT53" s="55">
        <v>5</v>
      </c>
      <c r="GU53" s="55">
        <v>4.9000000000000004</v>
      </c>
      <c r="GV53" s="55">
        <v>4.9000000000000004</v>
      </c>
      <c r="GW53" s="55">
        <v>4.8</v>
      </c>
      <c r="GX53" s="55">
        <v>4.8</v>
      </c>
      <c r="GY53" s="55">
        <v>4.8</v>
      </c>
      <c r="GZ53" s="55">
        <v>4.8</v>
      </c>
      <c r="HA53" s="55">
        <v>4.9000000000000004</v>
      </c>
      <c r="HB53" s="55">
        <v>5</v>
      </c>
      <c r="HC53" s="55">
        <v>5</v>
      </c>
      <c r="HD53" s="55">
        <v>5.0999999999999996</v>
      </c>
      <c r="HE53" s="55">
        <v>5.0999999999999996</v>
      </c>
      <c r="HF53" s="55">
        <v>5.2</v>
      </c>
      <c r="HG53" s="55">
        <v>5.3</v>
      </c>
      <c r="HH53" s="55">
        <v>5.3</v>
      </c>
      <c r="HI53" s="55">
        <v>15.8</v>
      </c>
      <c r="HJ53" s="55">
        <v>12.5</v>
      </c>
      <c r="HK53" s="55">
        <v>10.6</v>
      </c>
      <c r="HL53" s="55">
        <v>9.5</v>
      </c>
      <c r="HM53" s="55">
        <v>8.1999999999999993</v>
      </c>
      <c r="HN53" s="55">
        <v>7.6</v>
      </c>
      <c r="HO53" s="55">
        <v>7</v>
      </c>
      <c r="HP53" s="55">
        <v>6.6</v>
      </c>
      <c r="HQ53" s="56">
        <v>6.4</v>
      </c>
      <c r="HR53" s="54" t="s">
        <v>233</v>
      </c>
      <c r="HS53" s="55">
        <v>6.2</v>
      </c>
      <c r="HT53" s="55">
        <v>6</v>
      </c>
      <c r="HU53" s="55">
        <v>5.9</v>
      </c>
      <c r="HV53" s="55">
        <v>5.8</v>
      </c>
      <c r="HW53" s="55">
        <v>5.6</v>
      </c>
      <c r="HX53" s="55">
        <v>5.4</v>
      </c>
      <c r="HY53" s="55">
        <v>5.0999999999999996</v>
      </c>
      <c r="HZ53" s="55">
        <v>4.8</v>
      </c>
      <c r="IA53" s="55">
        <v>4.5</v>
      </c>
      <c r="IB53" s="55">
        <v>4.3</v>
      </c>
      <c r="IC53" s="55">
        <v>4.0999999999999996</v>
      </c>
      <c r="ID53" s="55">
        <v>4</v>
      </c>
      <c r="IE53" s="55">
        <v>3.9</v>
      </c>
      <c r="IF53" s="55">
        <v>3.9</v>
      </c>
      <c r="IG53" s="55">
        <v>3.8</v>
      </c>
      <c r="IH53" s="55">
        <v>3.8</v>
      </c>
      <c r="II53" s="55">
        <v>3.9</v>
      </c>
      <c r="IJ53" s="55">
        <v>3.9</v>
      </c>
      <c r="IK53" s="55">
        <v>3.9</v>
      </c>
      <c r="IL53" s="55">
        <v>4</v>
      </c>
      <c r="IM53" s="55">
        <v>3.9</v>
      </c>
      <c r="IN53" s="55">
        <v>3.9</v>
      </c>
      <c r="IO53" s="55">
        <v>3.8</v>
      </c>
      <c r="IP53" s="56">
        <v>3.6</v>
      </c>
      <c r="IQ53" s="54" t="s">
        <v>233</v>
      </c>
      <c r="IR53" s="55">
        <v>3.6</v>
      </c>
      <c r="IS53" s="55">
        <v>3.5</v>
      </c>
      <c r="IT53" s="55">
        <v>3.5</v>
      </c>
      <c r="IU53" s="55">
        <v>3.6</v>
      </c>
      <c r="IV53" s="55">
        <v>3.7</v>
      </c>
      <c r="IW53" s="55">
        <v>3.8</v>
      </c>
      <c r="IX53" s="55">
        <v>3.9</v>
      </c>
      <c r="IY53" s="55">
        <v>4</v>
      </c>
      <c r="IZ53" s="55">
        <v>4.0999999999999996</v>
      </c>
      <c r="JA53" s="55">
        <v>4.2</v>
      </c>
      <c r="JB53" s="55">
        <v>4.2</v>
      </c>
      <c r="JC53" s="55">
        <v>4.2</v>
      </c>
      <c r="JD53" s="55">
        <v>4.0999999999999996</v>
      </c>
      <c r="JE53" s="55">
        <v>4.0999999999999996</v>
      </c>
      <c r="JF53" s="55">
        <v>4.0999999999999996</v>
      </c>
      <c r="JG53" s="55">
        <v>4</v>
      </c>
      <c r="JH53" s="55">
        <v>4.0999999999999996</v>
      </c>
      <c r="JI53" s="55">
        <v>4.0999999999999996</v>
      </c>
      <c r="JJ53" s="55">
        <v>4.0999999999999996</v>
      </c>
      <c r="JK53" s="55">
        <v>4.0999999999999996</v>
      </c>
      <c r="JL53" s="55">
        <v>4.0999999999999996</v>
      </c>
      <c r="JM53" s="55">
        <v>4.0999999999999996</v>
      </c>
      <c r="JN53" s="55">
        <v>4.0999999999999996</v>
      </c>
      <c r="JO53" s="56">
        <v>4.0999999999999996</v>
      </c>
      <c r="JP53" s="54" t="s">
        <v>233</v>
      </c>
      <c r="JQ53" s="82">
        <v>4</v>
      </c>
      <c r="JR53" s="82">
        <v>3.9</v>
      </c>
      <c r="JS53" s="82">
        <v>3.8</v>
      </c>
      <c r="JT53" s="82">
        <v>3.8</v>
      </c>
      <c r="JU53" s="82">
        <v>3.7</v>
      </c>
      <c r="JV53" s="82">
        <v>3.7</v>
      </c>
      <c r="JW53" s="82">
        <v>3.7</v>
      </c>
      <c r="JX53" s="82">
        <v>3.8</v>
      </c>
      <c r="JY53" s="82">
        <v>4</v>
      </c>
      <c r="JZ53" s="82" t="s">
        <v>402</v>
      </c>
      <c r="KA53" s="83">
        <v>4.4000000000000004</v>
      </c>
    </row>
    <row r="54" spans="2:287" x14ac:dyDescent="0.3">
      <c r="B54" s="39" t="s">
        <v>234</v>
      </c>
      <c r="C54" s="17">
        <v>3.3916666666666675</v>
      </c>
      <c r="D54" s="17">
        <v>4.4249999999999998</v>
      </c>
      <c r="E54" s="17">
        <v>5.3166666666666647</v>
      </c>
      <c r="F54" s="17">
        <v>5.6083333333333343</v>
      </c>
      <c r="G54" s="17">
        <v>4.9666666666666677</v>
      </c>
      <c r="H54" s="17">
        <v>4.7083333333333321</v>
      </c>
      <c r="I54" s="17">
        <v>4.6916666666666655</v>
      </c>
      <c r="J54" s="17">
        <v>4.8250000000000002</v>
      </c>
      <c r="K54" s="17">
        <v>4.9416666666666647</v>
      </c>
      <c r="L54" s="17">
        <v>8.8333333333333357</v>
      </c>
      <c r="M54" s="17">
        <v>8.4166666666666643</v>
      </c>
      <c r="N54" s="17">
        <v>7.55</v>
      </c>
      <c r="O54" s="19">
        <v>6.9166666666666643</v>
      </c>
      <c r="P54" s="19">
        <v>6.666666666666667</v>
      </c>
      <c r="Q54" s="19">
        <v>5.3666666666666671</v>
      </c>
      <c r="R54" s="19">
        <v>4.416666666666667</v>
      </c>
      <c r="S54" s="19">
        <v>3.9333333333333345</v>
      </c>
      <c r="T54" s="19">
        <v>3.283333333333335</v>
      </c>
      <c r="U54" s="19">
        <v>3</v>
      </c>
      <c r="V54" s="19">
        <v>3.208333333333333</v>
      </c>
      <c r="W54" s="19">
        <v>6.4333333333333353</v>
      </c>
      <c r="X54" s="19">
        <v>3.7916666666666674</v>
      </c>
      <c r="Y54" s="19">
        <v>2.8083333333333327</v>
      </c>
      <c r="Z54" s="19">
        <v>2.8000000000000003</v>
      </c>
      <c r="AA54" s="19">
        <v>2.9666666666666672</v>
      </c>
      <c r="AB54" s="96"/>
      <c r="AC54" s="36" t="str">
        <f>Table11[[#This Row],[State]]</f>
        <v>Wisconsin</v>
      </c>
      <c r="AD54" s="27">
        <v>7.8666666666666698</v>
      </c>
      <c r="AE54" s="27">
        <v>8.9666666666666703</v>
      </c>
      <c r="AF54" s="27">
        <v>9.1999999999999993</v>
      </c>
      <c r="AG54" s="27">
        <v>9.3000000000000007</v>
      </c>
      <c r="AH54" s="27">
        <v>9.0666666666666593</v>
      </c>
      <c r="AI54" s="27">
        <v>8.5</v>
      </c>
      <c r="AJ54" s="27">
        <v>8.1333333333333293</v>
      </c>
      <c r="AK54" s="27">
        <v>7.9666666666666703</v>
      </c>
      <c r="AL54" s="27">
        <v>7.7</v>
      </c>
      <c r="AM54" s="27">
        <v>7.6333333333333302</v>
      </c>
      <c r="AN54" s="27">
        <v>7.6</v>
      </c>
      <c r="AO54" s="27">
        <v>7.2666666666666702</v>
      </c>
      <c r="AP54" s="27">
        <v>6.93333333333333</v>
      </c>
      <c r="AQ54" s="27">
        <v>7</v>
      </c>
      <c r="AR54" s="27">
        <v>6.9</v>
      </c>
      <c r="AS54" s="27">
        <v>6.8333333333333304</v>
      </c>
      <c r="AT54" s="27">
        <v>6.9666666666666703</v>
      </c>
      <c r="AU54" s="27">
        <v>6.8</v>
      </c>
      <c r="AV54" s="27">
        <v>6.6</v>
      </c>
      <c r="AW54" s="27">
        <v>6.3</v>
      </c>
      <c r="AX54" s="27">
        <v>5.8666666666666698</v>
      </c>
      <c r="AY54" s="27">
        <v>5.5</v>
      </c>
      <c r="AZ54" s="27">
        <v>5.2</v>
      </c>
      <c r="BA54" s="27">
        <v>4.9000000000000004</v>
      </c>
      <c r="BB54" s="36" t="str">
        <f t="shared" si="0"/>
        <v>Wisconsin</v>
      </c>
      <c r="BC54" s="27">
        <v>4.6666666666666696</v>
      </c>
      <c r="BD54" s="27">
        <v>4.5</v>
      </c>
      <c r="BE54" s="27">
        <v>4.3</v>
      </c>
      <c r="BF54" s="27">
        <v>4.2</v>
      </c>
      <c r="BG54" s="27">
        <v>4.1333333333333302</v>
      </c>
      <c r="BH54" s="27">
        <v>3.9666666666666699</v>
      </c>
      <c r="BI54" s="27">
        <v>3.8666666666666698</v>
      </c>
      <c r="BJ54" s="27">
        <v>3.7666666666666702</v>
      </c>
      <c r="BK54" s="27">
        <v>3.5</v>
      </c>
      <c r="BL54" s="27">
        <v>3.2666666666666702</v>
      </c>
      <c r="BM54" s="27">
        <v>3.2666666666666702</v>
      </c>
      <c r="BN54" s="27">
        <v>3.1</v>
      </c>
      <c r="BO54" s="27">
        <v>3</v>
      </c>
      <c r="BP54" s="27">
        <v>3</v>
      </c>
      <c r="BQ54" s="27">
        <v>3</v>
      </c>
      <c r="BR54" s="27">
        <v>3</v>
      </c>
      <c r="BS54" s="27">
        <v>3.1</v>
      </c>
      <c r="BT54" s="27">
        <v>3.2</v>
      </c>
      <c r="BU54" s="27">
        <v>3.3</v>
      </c>
      <c r="BV54" s="27">
        <v>3.2333333333333298</v>
      </c>
      <c r="BW54" s="36" t="str">
        <f>Table13[[#This Row],[State]]</f>
        <v>Wisconsin</v>
      </c>
      <c r="BX54" s="27">
        <v>3.06666666666667</v>
      </c>
      <c r="BY54" s="27">
        <v>11.1</v>
      </c>
      <c r="BZ54" s="27">
        <v>6.56666666666667</v>
      </c>
      <c r="CA54" s="27">
        <v>5</v>
      </c>
      <c r="CB54" s="27">
        <v>4.4666666666666703</v>
      </c>
      <c r="CC54" s="27">
        <v>4.06666666666667</v>
      </c>
      <c r="CD54" s="27">
        <v>3.5333333333333301</v>
      </c>
      <c r="CE54" s="27">
        <v>3.1</v>
      </c>
      <c r="CF54" s="27">
        <v>2.93333333333333</v>
      </c>
      <c r="CG54" s="27">
        <v>2.8</v>
      </c>
      <c r="CH54" s="27">
        <v>2.8</v>
      </c>
      <c r="CI54" s="27">
        <v>2.7</v>
      </c>
      <c r="CJ54" s="27">
        <v>2.6</v>
      </c>
      <c r="CK54" s="27">
        <v>2.7</v>
      </c>
      <c r="CL54" s="27">
        <v>2.9666666666666699</v>
      </c>
      <c r="CM54" s="27">
        <v>2.93333333333333</v>
      </c>
      <c r="CN54" s="27">
        <v>2.9</v>
      </c>
      <c r="CO54" s="27">
        <v>2.9</v>
      </c>
      <c r="CP54" s="27">
        <v>2.9666666666666699</v>
      </c>
      <c r="CQ54" s="27">
        <v>3.1</v>
      </c>
      <c r="CR54" s="79" t="str">
        <f>Table13[[#This Row],[ State]]</f>
        <v>Wisconsin</v>
      </c>
      <c r="CS54" s="27">
        <v>3.2</v>
      </c>
      <c r="CT54" s="27">
        <v>3.2666666666666702</v>
      </c>
      <c r="CU54" s="27">
        <v>3.1</v>
      </c>
      <c r="CV54" s="111"/>
      <c r="CW54" s="41" t="s">
        <v>234</v>
      </c>
      <c r="CX54" s="47">
        <v>7.8</v>
      </c>
      <c r="CY54" s="48">
        <v>7.7</v>
      </c>
      <c r="CZ54" s="48">
        <v>7.6</v>
      </c>
      <c r="DA54" s="48">
        <v>7.6</v>
      </c>
      <c r="DB54" s="48">
        <v>7.6</v>
      </c>
      <c r="DC54" s="48">
        <v>7.7</v>
      </c>
      <c r="DD54" s="48">
        <v>7.7</v>
      </c>
      <c r="DE54" s="48">
        <v>7.6</v>
      </c>
      <c r="DF54" s="48">
        <v>7.5</v>
      </c>
      <c r="DG54" s="48">
        <v>7.4</v>
      </c>
      <c r="DH54" s="48">
        <v>7.3</v>
      </c>
      <c r="DI54" s="48">
        <v>7.1</v>
      </c>
      <c r="DJ54" s="48">
        <v>7</v>
      </c>
      <c r="DK54" s="48">
        <v>6.9</v>
      </c>
      <c r="DL54" s="48">
        <v>6.9</v>
      </c>
      <c r="DM54" s="48">
        <v>7</v>
      </c>
      <c r="DN54" s="48">
        <v>7</v>
      </c>
      <c r="DO54" s="48">
        <v>7</v>
      </c>
      <c r="DP54" s="48">
        <v>7</v>
      </c>
      <c r="DQ54" s="48">
        <v>6.9</v>
      </c>
      <c r="DR54" s="48">
        <v>6.8</v>
      </c>
      <c r="DS54" s="48">
        <v>6.8</v>
      </c>
      <c r="DT54" s="48">
        <v>6.8</v>
      </c>
      <c r="DU54" s="62">
        <v>6.9</v>
      </c>
      <c r="DV54" s="49" t="s">
        <v>234</v>
      </c>
      <c r="DW54" s="48">
        <v>6.9</v>
      </c>
      <c r="DX54" s="48">
        <v>7</v>
      </c>
      <c r="DY54" s="48">
        <v>7</v>
      </c>
      <c r="DZ54" s="48">
        <v>6.9</v>
      </c>
      <c r="EA54" s="48">
        <v>6.8</v>
      </c>
      <c r="EB54" s="48">
        <v>6.7</v>
      </c>
      <c r="EC54" s="48">
        <v>6.7</v>
      </c>
      <c r="ED54" s="48">
        <v>6.6</v>
      </c>
      <c r="EE54" s="48">
        <v>6.5</v>
      </c>
      <c r="EF54" s="48">
        <v>6.4</v>
      </c>
      <c r="EG54" s="50">
        <v>6.3</v>
      </c>
      <c r="EH54" s="50">
        <v>6.2</v>
      </c>
      <c r="EI54" s="50">
        <v>6</v>
      </c>
      <c r="EJ54" s="50">
        <v>5.9</v>
      </c>
      <c r="EK54" s="48">
        <v>5.7</v>
      </c>
      <c r="EL54" s="50">
        <v>5.6</v>
      </c>
      <c r="EM54" s="50">
        <v>5.5</v>
      </c>
      <c r="EN54" s="50">
        <v>5.4</v>
      </c>
      <c r="EO54" s="50">
        <v>5.3</v>
      </c>
      <c r="EP54" s="50">
        <v>5.2</v>
      </c>
      <c r="EQ54" s="50">
        <v>5.0999999999999996</v>
      </c>
      <c r="ER54" s="48">
        <v>5</v>
      </c>
      <c r="ES54" s="50">
        <v>4.9000000000000004</v>
      </c>
      <c r="ET54" s="51">
        <v>4.8</v>
      </c>
      <c r="EU54" s="49" t="s">
        <v>234</v>
      </c>
      <c r="EV54" s="48">
        <v>4.7</v>
      </c>
      <c r="EW54" s="50">
        <v>4.7</v>
      </c>
      <c r="EX54" s="50">
        <v>4.5999999999999996</v>
      </c>
      <c r="EY54" s="50">
        <v>4.5999999999999996</v>
      </c>
      <c r="EZ54" s="50">
        <v>4.5</v>
      </c>
      <c r="FA54" s="50">
        <v>4.4000000000000004</v>
      </c>
      <c r="FB54" s="50">
        <v>4.3</v>
      </c>
      <c r="FC54" s="50">
        <v>4.3</v>
      </c>
      <c r="FD54" s="50">
        <v>4.3</v>
      </c>
      <c r="FE54" s="50">
        <v>4.2</v>
      </c>
      <c r="FF54" s="50">
        <v>4.2</v>
      </c>
      <c r="FG54" s="50">
        <v>4.2</v>
      </c>
      <c r="FH54" s="50">
        <v>4.2</v>
      </c>
      <c r="FI54" s="50">
        <v>4.0999999999999996</v>
      </c>
      <c r="FJ54" s="50">
        <v>4.0999999999999996</v>
      </c>
      <c r="FK54" s="50">
        <v>4</v>
      </c>
      <c r="FL54" s="50">
        <v>4</v>
      </c>
      <c r="FM54" s="50">
        <v>3.9</v>
      </c>
      <c r="FN54" s="50">
        <v>3.9</v>
      </c>
      <c r="FO54" s="50">
        <v>3.9</v>
      </c>
      <c r="FP54" s="50">
        <v>3.8</v>
      </c>
      <c r="FQ54" s="50">
        <v>3.8</v>
      </c>
      <c r="FR54" s="50">
        <v>3.8</v>
      </c>
      <c r="FS54" s="51">
        <v>3.7</v>
      </c>
      <c r="FT54" s="49" t="s">
        <v>234</v>
      </c>
      <c r="FU54" s="48">
        <v>3.6</v>
      </c>
      <c r="FV54" s="50">
        <v>3.5</v>
      </c>
      <c r="FW54" s="50">
        <v>3.4</v>
      </c>
      <c r="FX54" s="50">
        <v>3.3</v>
      </c>
      <c r="FY54" s="50">
        <v>3.3</v>
      </c>
      <c r="FZ54" s="50">
        <v>3.2</v>
      </c>
      <c r="GA54" s="50">
        <v>3.3</v>
      </c>
      <c r="GB54" s="50">
        <v>3.3</v>
      </c>
      <c r="GC54" s="50">
        <v>3.2</v>
      </c>
      <c r="GD54" s="50">
        <v>3.2</v>
      </c>
      <c r="GE54" s="50">
        <v>3.1</v>
      </c>
      <c r="GF54" s="50">
        <v>3</v>
      </c>
      <c r="GG54" s="50">
        <v>3</v>
      </c>
      <c r="GH54" s="50">
        <v>3</v>
      </c>
      <c r="GI54" s="50">
        <v>3</v>
      </c>
      <c r="GJ54" s="50">
        <v>3</v>
      </c>
      <c r="GK54" s="50">
        <v>3</v>
      </c>
      <c r="GL54" s="50">
        <v>3</v>
      </c>
      <c r="GM54" s="50">
        <v>3</v>
      </c>
      <c r="GN54" s="50">
        <v>3</v>
      </c>
      <c r="GO54" s="50">
        <v>3</v>
      </c>
      <c r="GP54" s="50">
        <v>3</v>
      </c>
      <c r="GQ54" s="50">
        <v>3</v>
      </c>
      <c r="GR54" s="50">
        <v>3</v>
      </c>
      <c r="GS54" s="49" t="s">
        <v>234</v>
      </c>
      <c r="GT54" s="50">
        <v>3.1</v>
      </c>
      <c r="GU54" s="50">
        <v>3.1</v>
      </c>
      <c r="GV54" s="50">
        <v>3.1</v>
      </c>
      <c r="GW54" s="50">
        <v>3.2</v>
      </c>
      <c r="GX54" s="50">
        <v>3.2</v>
      </c>
      <c r="GY54" s="50">
        <v>3.2</v>
      </c>
      <c r="GZ54" s="50">
        <v>3.3</v>
      </c>
      <c r="HA54" s="50">
        <v>3.3</v>
      </c>
      <c r="HB54" s="50">
        <v>3.3</v>
      </c>
      <c r="HC54" s="50">
        <v>3.3</v>
      </c>
      <c r="HD54" s="50">
        <v>3.2</v>
      </c>
      <c r="HE54" s="50">
        <v>3.2</v>
      </c>
      <c r="HF54" s="50">
        <v>3.1</v>
      </c>
      <c r="HG54" s="50">
        <v>3.1</v>
      </c>
      <c r="HH54" s="50">
        <v>3</v>
      </c>
      <c r="HI54" s="50">
        <v>14.1</v>
      </c>
      <c r="HJ54" s="50">
        <v>10.5</v>
      </c>
      <c r="HK54" s="50">
        <v>8.6999999999999993</v>
      </c>
      <c r="HL54" s="50">
        <v>7.6</v>
      </c>
      <c r="HM54" s="50">
        <v>6.3</v>
      </c>
      <c r="HN54" s="50">
        <v>5.8</v>
      </c>
      <c r="HO54" s="50">
        <v>5.2</v>
      </c>
      <c r="HP54" s="50">
        <v>5</v>
      </c>
      <c r="HQ54" s="51">
        <v>4.8</v>
      </c>
      <c r="HR54" s="49" t="s">
        <v>234</v>
      </c>
      <c r="HS54" s="50">
        <v>4.5999999999999996</v>
      </c>
      <c r="HT54" s="50">
        <v>4.5</v>
      </c>
      <c r="HU54" s="50">
        <v>4.3</v>
      </c>
      <c r="HV54" s="50">
        <v>4.2</v>
      </c>
      <c r="HW54" s="50">
        <v>4.0999999999999996</v>
      </c>
      <c r="HX54" s="50">
        <v>3.9</v>
      </c>
      <c r="HY54" s="50">
        <v>3.7</v>
      </c>
      <c r="HZ54" s="50">
        <v>3.5</v>
      </c>
      <c r="IA54" s="50">
        <v>3.4</v>
      </c>
      <c r="IB54" s="50">
        <v>3.2</v>
      </c>
      <c r="IC54" s="50">
        <v>3.1</v>
      </c>
      <c r="ID54" s="50">
        <v>3</v>
      </c>
      <c r="IE54" s="50">
        <v>3</v>
      </c>
      <c r="IF54" s="50">
        <v>2.9</v>
      </c>
      <c r="IG54" s="50">
        <v>2.9</v>
      </c>
      <c r="IH54" s="50">
        <v>2.8</v>
      </c>
      <c r="II54" s="50">
        <v>2.8</v>
      </c>
      <c r="IJ54" s="50">
        <v>2.8</v>
      </c>
      <c r="IK54" s="50">
        <v>2.8</v>
      </c>
      <c r="IL54" s="50">
        <v>2.8</v>
      </c>
      <c r="IM54" s="50">
        <v>2.8</v>
      </c>
      <c r="IN54" s="50">
        <v>2.8</v>
      </c>
      <c r="IO54" s="50">
        <v>2.7</v>
      </c>
      <c r="IP54" s="51">
        <v>2.6</v>
      </c>
      <c r="IQ54" s="49" t="s">
        <v>234</v>
      </c>
      <c r="IR54" s="50">
        <v>2.6</v>
      </c>
      <c r="IS54" s="50">
        <v>2.6</v>
      </c>
      <c r="IT54" s="50">
        <v>2.6</v>
      </c>
      <c r="IU54" s="50">
        <v>2.6</v>
      </c>
      <c r="IV54" s="50">
        <v>2.7</v>
      </c>
      <c r="IW54" s="50">
        <v>2.8</v>
      </c>
      <c r="IX54" s="50">
        <v>2.9</v>
      </c>
      <c r="IY54" s="50">
        <v>3</v>
      </c>
      <c r="IZ54" s="50">
        <v>3</v>
      </c>
      <c r="JA54" s="50">
        <v>3</v>
      </c>
      <c r="JB54" s="50">
        <v>2.9</v>
      </c>
      <c r="JC54" s="50">
        <v>2.9</v>
      </c>
      <c r="JD54" s="50">
        <v>2.9</v>
      </c>
      <c r="JE54" s="50">
        <v>2.9</v>
      </c>
      <c r="JF54" s="50">
        <v>2.9</v>
      </c>
      <c r="JG54" s="50">
        <v>2.9</v>
      </c>
      <c r="JH54" s="50">
        <v>2.9</v>
      </c>
      <c r="JI54" s="50">
        <v>2.9</v>
      </c>
      <c r="JJ54" s="50">
        <v>2.9</v>
      </c>
      <c r="JK54" s="50">
        <v>3</v>
      </c>
      <c r="JL54" s="50">
        <v>3</v>
      </c>
      <c r="JM54" s="50">
        <v>3.1</v>
      </c>
      <c r="JN54" s="50">
        <v>3.1</v>
      </c>
      <c r="JO54" s="51">
        <v>3.1</v>
      </c>
      <c r="JP54" s="49" t="s">
        <v>234</v>
      </c>
      <c r="JQ54" s="80">
        <v>3.2</v>
      </c>
      <c r="JR54" s="80">
        <v>3.2</v>
      </c>
      <c r="JS54" s="80">
        <v>3.2</v>
      </c>
      <c r="JT54" s="80">
        <v>3.3</v>
      </c>
      <c r="JU54" s="80">
        <v>3.3</v>
      </c>
      <c r="JV54" s="80">
        <v>3.2</v>
      </c>
      <c r="JW54" s="80">
        <v>3.1</v>
      </c>
      <c r="JX54" s="80">
        <v>3.1</v>
      </c>
      <c r="JY54" s="80">
        <v>3.1</v>
      </c>
      <c r="JZ54" s="80" t="s">
        <v>402</v>
      </c>
      <c r="KA54" s="81">
        <v>3.1</v>
      </c>
    </row>
    <row r="55" spans="2:287" x14ac:dyDescent="0.3">
      <c r="B55" s="39" t="s">
        <v>235</v>
      </c>
      <c r="C55" s="17">
        <v>3.791666666666667</v>
      </c>
      <c r="D55" s="17">
        <v>3.875</v>
      </c>
      <c r="E55" s="17">
        <v>4.0583333333333327</v>
      </c>
      <c r="F55" s="17">
        <v>4.3583333333333325</v>
      </c>
      <c r="G55" s="17">
        <v>3.8333333333333321</v>
      </c>
      <c r="H55" s="17">
        <v>3.5666666666666678</v>
      </c>
      <c r="I55" s="17">
        <v>3.0750000000000002</v>
      </c>
      <c r="J55" s="17">
        <v>2.7333333333333325</v>
      </c>
      <c r="K55" s="17">
        <v>3</v>
      </c>
      <c r="L55" s="17">
        <v>6.2833333333333359</v>
      </c>
      <c r="M55" s="17">
        <v>6.8749999999999982</v>
      </c>
      <c r="N55" s="17">
        <v>6.0666666666666682</v>
      </c>
      <c r="O55" s="19">
        <v>5.4416666666666655</v>
      </c>
      <c r="P55" s="19">
        <v>4.7166666666666668</v>
      </c>
      <c r="Q55" s="19">
        <v>4.3583333333333325</v>
      </c>
      <c r="R55" s="19">
        <v>4.25</v>
      </c>
      <c r="S55" s="19">
        <v>5.2750000000000004</v>
      </c>
      <c r="T55" s="19">
        <v>4.3416666666666668</v>
      </c>
      <c r="U55" s="19">
        <v>4.0666666666666673</v>
      </c>
      <c r="V55" s="19">
        <v>3.7333333333333325</v>
      </c>
      <c r="W55" s="19">
        <v>5.8583333333333325</v>
      </c>
      <c r="X55" s="19">
        <v>4.5500000000000007</v>
      </c>
      <c r="Y55" s="19">
        <v>3.4333333333333327</v>
      </c>
      <c r="Z55" s="19">
        <v>2.8833333333333329</v>
      </c>
      <c r="AA55" s="19">
        <v>3.216666666666665</v>
      </c>
      <c r="AB55" s="96"/>
      <c r="AC55" s="35" t="str">
        <f>Table11[[#This Row],[State]]</f>
        <v>Wyoming</v>
      </c>
      <c r="AD55" s="17">
        <v>4.8</v>
      </c>
      <c r="AE55" s="17">
        <v>6.06666666666667</v>
      </c>
      <c r="AF55" s="17">
        <v>6.9</v>
      </c>
      <c r="AG55" s="17">
        <v>7.3666666666666698</v>
      </c>
      <c r="AH55" s="17">
        <v>7.4</v>
      </c>
      <c r="AI55" s="17">
        <v>6.93333333333333</v>
      </c>
      <c r="AJ55" s="17">
        <v>6.6333333333333302</v>
      </c>
      <c r="AK55" s="17">
        <v>6.5333333333333297</v>
      </c>
      <c r="AL55" s="17">
        <v>6.3</v>
      </c>
      <c r="AM55" s="17">
        <v>6.06666666666667</v>
      </c>
      <c r="AN55" s="19">
        <v>6</v>
      </c>
      <c r="AO55" s="19">
        <v>5.9</v>
      </c>
      <c r="AP55" s="19">
        <v>5.6333333333333302</v>
      </c>
      <c r="AQ55" s="19">
        <v>5.6</v>
      </c>
      <c r="AR55" s="19">
        <v>5.4</v>
      </c>
      <c r="AS55" s="19">
        <v>5.1333333333333302</v>
      </c>
      <c r="AT55" s="19">
        <v>4.9666666666666703</v>
      </c>
      <c r="AU55" s="19">
        <v>4.7333333333333298</v>
      </c>
      <c r="AV55" s="17">
        <v>4.5999999999999996</v>
      </c>
      <c r="AW55" s="17">
        <v>4.56666666666667</v>
      </c>
      <c r="AX55" s="17">
        <v>4.43333333333333</v>
      </c>
      <c r="AY55" s="17">
        <v>4.4000000000000004</v>
      </c>
      <c r="AZ55" s="17">
        <v>4.4000000000000004</v>
      </c>
      <c r="BA55" s="17">
        <v>4.2</v>
      </c>
      <c r="BB55" s="35" t="str">
        <f t="shared" si="0"/>
        <v>Wyoming</v>
      </c>
      <c r="BC55" s="19">
        <v>4</v>
      </c>
      <c r="BD55" s="19">
        <v>4.06666666666667</v>
      </c>
      <c r="BE55" s="19">
        <v>4.3</v>
      </c>
      <c r="BF55" s="19">
        <v>4.6333333333333302</v>
      </c>
      <c r="BG55" s="17">
        <v>5.2</v>
      </c>
      <c r="BH55" s="17">
        <v>5.5</v>
      </c>
      <c r="BI55" s="17">
        <v>5.3</v>
      </c>
      <c r="BJ55" s="17">
        <v>5.0999999999999996</v>
      </c>
      <c r="BK55" s="17">
        <v>4.6666666666666696</v>
      </c>
      <c r="BL55" s="17">
        <v>4.2333333333333298</v>
      </c>
      <c r="BM55" s="17">
        <v>4.2</v>
      </c>
      <c r="BN55" s="17">
        <v>4.2666666666666702</v>
      </c>
      <c r="BO55" s="17">
        <v>4.1666666666666696</v>
      </c>
      <c r="BP55" s="17">
        <v>4.0999999999999996</v>
      </c>
      <c r="BQ55" s="17">
        <v>4.0333333333333297</v>
      </c>
      <c r="BR55" s="17">
        <v>3.9666666666666699</v>
      </c>
      <c r="BS55" s="17">
        <v>3.6</v>
      </c>
      <c r="BT55" s="17">
        <v>3.5333333333333301</v>
      </c>
      <c r="BU55" s="17">
        <v>3.7666666666666702</v>
      </c>
      <c r="BV55" s="17">
        <v>4.0333333333333297</v>
      </c>
      <c r="BW55" s="35" t="str">
        <f>Table13[[#This Row],[State]]</f>
        <v>Wyoming</v>
      </c>
      <c r="BX55" s="17">
        <v>4.5999999999999996</v>
      </c>
      <c r="BY55" s="17">
        <v>7.0333333333333297</v>
      </c>
      <c r="BZ55" s="17">
        <v>6.3</v>
      </c>
      <c r="CA55" s="17">
        <v>5.5</v>
      </c>
      <c r="CB55" s="17">
        <v>5.2666666666666702</v>
      </c>
      <c r="CC55" s="17">
        <v>4.9000000000000004</v>
      </c>
      <c r="CD55" s="17">
        <v>4.3</v>
      </c>
      <c r="CE55" s="17">
        <v>3.7333333333333298</v>
      </c>
      <c r="CF55" s="17">
        <v>3.43333333333333</v>
      </c>
      <c r="CG55" s="17">
        <v>3.4</v>
      </c>
      <c r="CH55" s="17">
        <v>3.4666666666666699</v>
      </c>
      <c r="CI55" s="17">
        <v>3.43333333333333</v>
      </c>
      <c r="CJ55" s="17">
        <v>3.1</v>
      </c>
      <c r="CK55" s="17">
        <v>2.8333333333333299</v>
      </c>
      <c r="CL55" s="17">
        <v>2.8</v>
      </c>
      <c r="CM55" s="17">
        <v>2.8</v>
      </c>
      <c r="CN55" s="17">
        <v>2.8333333333333299</v>
      </c>
      <c r="CO55" s="17">
        <v>3.1</v>
      </c>
      <c r="CP55" s="17">
        <v>3.4</v>
      </c>
      <c r="CQ55" s="17">
        <v>3.5333333333333301</v>
      </c>
      <c r="CR55" s="42" t="str">
        <f>Table13[[#This Row],[ State]]</f>
        <v>Wyoming</v>
      </c>
      <c r="CS55" s="17">
        <v>3.5</v>
      </c>
      <c r="CT55" s="17">
        <v>3.3</v>
      </c>
      <c r="CU55" s="17">
        <v>3.2666666666666702</v>
      </c>
      <c r="CV55" s="111"/>
      <c r="CW55" s="42" t="s">
        <v>235</v>
      </c>
      <c r="CX55" s="52">
        <v>6.4</v>
      </c>
      <c r="CY55" s="53">
        <v>6.3</v>
      </c>
      <c r="CZ55" s="53">
        <v>6.2</v>
      </c>
      <c r="DA55" s="53">
        <v>6.1</v>
      </c>
      <c r="DB55" s="53">
        <v>6.1</v>
      </c>
      <c r="DC55" s="53">
        <v>6</v>
      </c>
      <c r="DD55" s="53">
        <v>6</v>
      </c>
      <c r="DE55" s="53">
        <v>6</v>
      </c>
      <c r="DF55" s="53">
        <v>6</v>
      </c>
      <c r="DG55" s="53">
        <v>6</v>
      </c>
      <c r="DH55" s="53">
        <v>5.9</v>
      </c>
      <c r="DI55" s="53">
        <v>5.8</v>
      </c>
      <c r="DJ55" s="53">
        <v>5.7</v>
      </c>
      <c r="DK55" s="53">
        <v>5.6</v>
      </c>
      <c r="DL55" s="53">
        <v>5.6</v>
      </c>
      <c r="DM55" s="53">
        <v>5.6</v>
      </c>
      <c r="DN55" s="53">
        <v>5.6</v>
      </c>
      <c r="DO55" s="53">
        <v>5.6</v>
      </c>
      <c r="DP55" s="53">
        <v>5.5</v>
      </c>
      <c r="DQ55" s="53">
        <v>5.4</v>
      </c>
      <c r="DR55" s="53">
        <v>5.3</v>
      </c>
      <c r="DS55" s="53">
        <v>5.2</v>
      </c>
      <c r="DT55" s="53">
        <v>5.0999999999999996</v>
      </c>
      <c r="DU55" s="63">
        <v>5.0999999999999996</v>
      </c>
      <c r="DV55" s="54" t="s">
        <v>235</v>
      </c>
      <c r="DW55" s="53">
        <v>5</v>
      </c>
      <c r="DX55" s="53">
        <v>5</v>
      </c>
      <c r="DY55" s="53">
        <v>4.9000000000000004</v>
      </c>
      <c r="DZ55" s="53">
        <v>4.8</v>
      </c>
      <c r="EA55" s="53">
        <v>4.7</v>
      </c>
      <c r="EB55" s="53">
        <v>4.7</v>
      </c>
      <c r="EC55" s="53">
        <v>4.5999999999999996</v>
      </c>
      <c r="ED55" s="53">
        <v>4.5999999999999996</v>
      </c>
      <c r="EE55" s="53">
        <v>4.5999999999999996</v>
      </c>
      <c r="EF55" s="53">
        <v>4.5999999999999996</v>
      </c>
      <c r="EG55" s="55">
        <v>4.5999999999999996</v>
      </c>
      <c r="EH55" s="55">
        <v>4.5</v>
      </c>
      <c r="EI55" s="55">
        <v>4.5</v>
      </c>
      <c r="EJ55" s="55">
        <v>4.4000000000000004</v>
      </c>
      <c r="EK55" s="53">
        <v>4.4000000000000004</v>
      </c>
      <c r="EL55" s="55">
        <v>4.4000000000000004</v>
      </c>
      <c r="EM55" s="55">
        <v>4.4000000000000004</v>
      </c>
      <c r="EN55" s="55">
        <v>4.4000000000000004</v>
      </c>
      <c r="EO55" s="55">
        <v>4.4000000000000004</v>
      </c>
      <c r="EP55" s="55">
        <v>4.4000000000000004</v>
      </c>
      <c r="EQ55" s="55">
        <v>4.4000000000000004</v>
      </c>
      <c r="ER55" s="53">
        <v>4.3</v>
      </c>
      <c r="ES55" s="55">
        <v>4.2</v>
      </c>
      <c r="ET55" s="56">
        <v>4.0999999999999996</v>
      </c>
      <c r="EU55" s="54" t="s">
        <v>235</v>
      </c>
      <c r="EV55" s="53">
        <v>4</v>
      </c>
      <c r="EW55" s="55">
        <v>4</v>
      </c>
      <c r="EX55" s="55">
        <v>4</v>
      </c>
      <c r="EY55" s="55">
        <v>4</v>
      </c>
      <c r="EZ55" s="55">
        <v>4.0999999999999996</v>
      </c>
      <c r="FA55" s="55">
        <v>4.0999999999999996</v>
      </c>
      <c r="FB55" s="55">
        <v>4.2</v>
      </c>
      <c r="FC55" s="55">
        <v>4.3</v>
      </c>
      <c r="FD55" s="55">
        <v>4.4000000000000004</v>
      </c>
      <c r="FE55" s="55">
        <v>4.5</v>
      </c>
      <c r="FF55" s="55">
        <v>4.5999999999999996</v>
      </c>
      <c r="FG55" s="55">
        <v>4.8</v>
      </c>
      <c r="FH55" s="55">
        <v>5</v>
      </c>
      <c r="FI55" s="55">
        <v>5.2</v>
      </c>
      <c r="FJ55" s="55">
        <v>5.4</v>
      </c>
      <c r="FK55" s="55">
        <v>5.5</v>
      </c>
      <c r="FL55" s="55">
        <v>5.5</v>
      </c>
      <c r="FM55" s="55">
        <v>5.5</v>
      </c>
      <c r="FN55" s="55">
        <v>5.4</v>
      </c>
      <c r="FO55" s="55">
        <v>5.3</v>
      </c>
      <c r="FP55" s="55">
        <v>5.2</v>
      </c>
      <c r="FQ55" s="55">
        <v>5.2</v>
      </c>
      <c r="FR55" s="55">
        <v>5.0999999999999996</v>
      </c>
      <c r="FS55" s="56">
        <v>5</v>
      </c>
      <c r="FT55" s="54" t="s">
        <v>235</v>
      </c>
      <c r="FU55" s="53">
        <v>4.8</v>
      </c>
      <c r="FV55" s="55">
        <v>4.7</v>
      </c>
      <c r="FW55" s="55">
        <v>4.5</v>
      </c>
      <c r="FX55" s="55">
        <v>4.3</v>
      </c>
      <c r="FY55" s="55">
        <v>4.2</v>
      </c>
      <c r="FZ55" s="55">
        <v>4.2</v>
      </c>
      <c r="GA55" s="55">
        <v>4.2</v>
      </c>
      <c r="GB55" s="55">
        <v>4.2</v>
      </c>
      <c r="GC55" s="55">
        <v>4.2</v>
      </c>
      <c r="GD55" s="55">
        <v>4.3</v>
      </c>
      <c r="GE55" s="55">
        <v>4.3</v>
      </c>
      <c r="GF55" s="55">
        <v>4.2</v>
      </c>
      <c r="GG55" s="55">
        <v>4.2</v>
      </c>
      <c r="GH55" s="55">
        <v>4.2</v>
      </c>
      <c r="GI55" s="55">
        <v>4.0999999999999996</v>
      </c>
      <c r="GJ55" s="55">
        <v>4.0999999999999996</v>
      </c>
      <c r="GK55" s="55">
        <v>4.0999999999999996</v>
      </c>
      <c r="GL55" s="55">
        <v>4.0999999999999996</v>
      </c>
      <c r="GM55" s="55">
        <v>4.0999999999999996</v>
      </c>
      <c r="GN55" s="55">
        <v>4</v>
      </c>
      <c r="GO55" s="55">
        <v>4</v>
      </c>
      <c r="GP55" s="55">
        <v>4</v>
      </c>
      <c r="GQ55" s="55">
        <v>4</v>
      </c>
      <c r="GR55" s="55">
        <v>3.9</v>
      </c>
      <c r="GS55" s="54" t="s">
        <v>235</v>
      </c>
      <c r="GT55" s="55">
        <v>3.7</v>
      </c>
      <c r="GU55" s="55">
        <v>3.6</v>
      </c>
      <c r="GV55" s="55">
        <v>3.5</v>
      </c>
      <c r="GW55" s="55">
        <v>3.5</v>
      </c>
      <c r="GX55" s="55">
        <v>3.5</v>
      </c>
      <c r="GY55" s="55">
        <v>3.6</v>
      </c>
      <c r="GZ55" s="55">
        <v>3.7</v>
      </c>
      <c r="HA55" s="55">
        <v>3.8</v>
      </c>
      <c r="HB55" s="55">
        <v>3.8</v>
      </c>
      <c r="HC55" s="55">
        <v>3.9</v>
      </c>
      <c r="HD55" s="55">
        <v>4</v>
      </c>
      <c r="HE55" s="55">
        <v>4.2</v>
      </c>
      <c r="HF55" s="55">
        <v>4.4000000000000004</v>
      </c>
      <c r="HG55" s="55">
        <v>4.5999999999999996</v>
      </c>
      <c r="HH55" s="55">
        <v>4.8</v>
      </c>
      <c r="HI55" s="55">
        <v>5.0999999999999996</v>
      </c>
      <c r="HJ55" s="55">
        <v>8.6999999999999993</v>
      </c>
      <c r="HK55" s="55">
        <v>7.3</v>
      </c>
      <c r="HL55" s="55">
        <v>6.8</v>
      </c>
      <c r="HM55" s="55">
        <v>6.2</v>
      </c>
      <c r="HN55" s="55">
        <v>5.9</v>
      </c>
      <c r="HO55" s="55">
        <v>5.6</v>
      </c>
      <c r="HP55" s="55">
        <v>5.5</v>
      </c>
      <c r="HQ55" s="56">
        <v>5.4</v>
      </c>
      <c r="HR55" s="54" t="s">
        <v>235</v>
      </c>
      <c r="HS55" s="55">
        <v>5.3</v>
      </c>
      <c r="HT55" s="55">
        <v>5.3</v>
      </c>
      <c r="HU55" s="55">
        <v>5.2</v>
      </c>
      <c r="HV55" s="55">
        <v>5.0999999999999996</v>
      </c>
      <c r="HW55" s="55">
        <v>4.9000000000000004</v>
      </c>
      <c r="HX55" s="55">
        <v>4.7</v>
      </c>
      <c r="HY55" s="55">
        <v>4.5</v>
      </c>
      <c r="HZ55" s="55">
        <v>4.3</v>
      </c>
      <c r="IA55" s="55">
        <v>4.0999999999999996</v>
      </c>
      <c r="IB55" s="55">
        <v>3.9</v>
      </c>
      <c r="IC55" s="55">
        <v>3.7</v>
      </c>
      <c r="ID55" s="55">
        <v>3.6</v>
      </c>
      <c r="IE55" s="55">
        <v>3.5</v>
      </c>
      <c r="IF55" s="55">
        <v>3.4</v>
      </c>
      <c r="IG55" s="55">
        <v>3.4</v>
      </c>
      <c r="IH55" s="55">
        <v>3.4</v>
      </c>
      <c r="II55" s="55">
        <v>3.4</v>
      </c>
      <c r="IJ55" s="55">
        <v>3.4</v>
      </c>
      <c r="IK55" s="55">
        <v>3.4</v>
      </c>
      <c r="IL55" s="55">
        <v>3.5</v>
      </c>
      <c r="IM55" s="55">
        <v>3.5</v>
      </c>
      <c r="IN55" s="55">
        <v>3.5</v>
      </c>
      <c r="IO55" s="55">
        <v>3.4</v>
      </c>
      <c r="IP55" s="56">
        <v>3.4</v>
      </c>
      <c r="IQ55" s="54" t="s">
        <v>235</v>
      </c>
      <c r="IR55" s="55">
        <v>3.2</v>
      </c>
      <c r="IS55" s="55">
        <v>3.1</v>
      </c>
      <c r="IT55" s="55">
        <v>3</v>
      </c>
      <c r="IU55" s="55">
        <v>2.9</v>
      </c>
      <c r="IV55" s="55">
        <v>2.8</v>
      </c>
      <c r="IW55" s="55">
        <v>2.8</v>
      </c>
      <c r="IX55" s="55">
        <v>2.8</v>
      </c>
      <c r="IY55" s="55">
        <v>2.8</v>
      </c>
      <c r="IZ55" s="55">
        <v>2.8</v>
      </c>
      <c r="JA55" s="55">
        <v>2.8</v>
      </c>
      <c r="JB55" s="55">
        <v>2.8</v>
      </c>
      <c r="JC55" s="55">
        <v>2.8</v>
      </c>
      <c r="JD55" s="55">
        <v>2.8</v>
      </c>
      <c r="JE55" s="55">
        <v>2.8</v>
      </c>
      <c r="JF55" s="55">
        <v>2.9</v>
      </c>
      <c r="JG55" s="55">
        <v>3</v>
      </c>
      <c r="JH55" s="55">
        <v>3.1</v>
      </c>
      <c r="JI55" s="55">
        <v>3.2</v>
      </c>
      <c r="JJ55" s="55">
        <v>3.3</v>
      </c>
      <c r="JK55" s="55">
        <v>3.4</v>
      </c>
      <c r="JL55" s="55">
        <v>3.5</v>
      </c>
      <c r="JM55" s="55">
        <v>3.5</v>
      </c>
      <c r="JN55" s="55">
        <v>3.6</v>
      </c>
      <c r="JO55" s="56">
        <v>3.5</v>
      </c>
      <c r="JP55" s="54" t="s">
        <v>235</v>
      </c>
      <c r="JQ55" s="82">
        <v>3.6</v>
      </c>
      <c r="JR55" s="82">
        <v>3.5</v>
      </c>
      <c r="JS55" s="82">
        <v>3.4</v>
      </c>
      <c r="JT55" s="82">
        <v>3.3</v>
      </c>
      <c r="JU55" s="82">
        <v>3.3</v>
      </c>
      <c r="JV55" s="82">
        <v>3.3</v>
      </c>
      <c r="JW55" s="82">
        <v>3.3</v>
      </c>
      <c r="JX55" s="82">
        <v>3.2</v>
      </c>
      <c r="JY55" s="82">
        <v>3.3</v>
      </c>
      <c r="JZ55" s="82" t="s">
        <v>402</v>
      </c>
      <c r="KA55" s="83">
        <v>3.4</v>
      </c>
    </row>
    <row r="56" spans="2:287" x14ac:dyDescent="0.3">
      <c r="B56" s="39" t="s">
        <v>236</v>
      </c>
      <c r="C56" s="17">
        <v>3.966666666666665</v>
      </c>
      <c r="D56" s="17">
        <v>4.7416666666666654</v>
      </c>
      <c r="E56" s="17">
        <v>5.7833333333333332</v>
      </c>
      <c r="F56" s="17">
        <v>5.9916666666666654</v>
      </c>
      <c r="G56" s="17">
        <v>5.5416666666666652</v>
      </c>
      <c r="H56" s="17">
        <v>5.0833333333333348</v>
      </c>
      <c r="I56" s="17">
        <v>4.6083333333333298</v>
      </c>
      <c r="J56" s="17">
        <v>4.6166666666666671</v>
      </c>
      <c r="K56" s="17">
        <v>5.8</v>
      </c>
      <c r="L56" s="17">
        <v>9.2833333333333314</v>
      </c>
      <c r="M56" s="17">
        <v>9.6083333333333325</v>
      </c>
      <c r="N56" s="17">
        <v>8.9333333333333336</v>
      </c>
      <c r="O56" s="19">
        <v>8.0749999999999993</v>
      </c>
      <c r="P56" s="19">
        <v>7.3583333333333298</v>
      </c>
      <c r="Q56" s="19">
        <v>6.158333333333335</v>
      </c>
      <c r="R56" s="19">
        <v>5.2749999999999968</v>
      </c>
      <c r="S56" s="19">
        <v>4.875</v>
      </c>
      <c r="T56" s="19">
        <v>4.3583333333333352</v>
      </c>
      <c r="U56" s="19">
        <v>3.8916666666666653</v>
      </c>
      <c r="V56" s="19">
        <v>3.6749999999999998</v>
      </c>
      <c r="W56" s="19">
        <v>8.1</v>
      </c>
      <c r="X56" s="19">
        <v>5.35</v>
      </c>
      <c r="Y56" s="19">
        <v>3.65</v>
      </c>
      <c r="Z56" s="19">
        <v>3.6249999999999973</v>
      </c>
      <c r="AA56" s="19">
        <v>4.0249999999999995</v>
      </c>
      <c r="AB56" s="96"/>
      <c r="AC56" s="74" t="str">
        <f>Table11[[#This Row],[State]]</f>
        <v>United States</v>
      </c>
      <c r="AD56" s="75">
        <v>8.2666666666666693</v>
      </c>
      <c r="AE56" s="75">
        <v>9.3000000000000007</v>
      </c>
      <c r="AF56" s="75">
        <v>9.6333333333333293</v>
      </c>
      <c r="AG56" s="75">
        <v>9.93333333333333</v>
      </c>
      <c r="AH56" s="75">
        <v>9.8333333333333304</v>
      </c>
      <c r="AI56" s="75">
        <v>9.6333333333333293</v>
      </c>
      <c r="AJ56" s="75">
        <v>9.4666666666666703</v>
      </c>
      <c r="AK56" s="75">
        <v>9.5</v>
      </c>
      <c r="AL56" s="75">
        <v>9.0333333333333297</v>
      </c>
      <c r="AM56" s="75">
        <v>9.06666666666667</v>
      </c>
      <c r="AN56" s="75">
        <v>9</v>
      </c>
      <c r="AO56" s="75">
        <v>8.6333333333333293</v>
      </c>
      <c r="AP56" s="75">
        <v>8.2666666666666693</v>
      </c>
      <c r="AQ56" s="75">
        <v>8.1999999999999993</v>
      </c>
      <c r="AR56" s="75">
        <v>8.0333333333333297</v>
      </c>
      <c r="AS56" s="75">
        <v>7.8</v>
      </c>
      <c r="AT56" s="75">
        <v>7.7333333333333298</v>
      </c>
      <c r="AU56" s="75">
        <v>7.5333333333333297</v>
      </c>
      <c r="AV56" s="75">
        <v>7.2333333333333298</v>
      </c>
      <c r="AW56" s="75">
        <v>6.93333333333333</v>
      </c>
      <c r="AX56" s="75">
        <v>6.6666666666666696</v>
      </c>
      <c r="AY56" s="75">
        <v>6.2</v>
      </c>
      <c r="AZ56" s="75">
        <v>6.06666666666667</v>
      </c>
      <c r="BA56" s="75">
        <v>5.7</v>
      </c>
      <c r="BB56" s="36" t="str">
        <f t="shared" si="0"/>
        <v>United States</v>
      </c>
      <c r="BC56" s="27">
        <v>5.5333333333333297</v>
      </c>
      <c r="BD56" s="27">
        <v>5.43333333333333</v>
      </c>
      <c r="BE56" s="27">
        <v>5.0999999999999996</v>
      </c>
      <c r="BF56" s="27">
        <v>5.0333333333333297</v>
      </c>
      <c r="BG56" s="27">
        <v>4.9000000000000004</v>
      </c>
      <c r="BH56" s="27">
        <v>4.93333333333333</v>
      </c>
      <c r="BI56" s="27">
        <v>4.9000000000000004</v>
      </c>
      <c r="BJ56" s="27">
        <v>4.7666666666666702</v>
      </c>
      <c r="BK56" s="27">
        <v>4.56666666666667</v>
      </c>
      <c r="BL56" s="27">
        <v>4.3666666666666698</v>
      </c>
      <c r="BM56" s="27">
        <v>4.3333333333333304</v>
      </c>
      <c r="BN56" s="27">
        <v>4.1666666666666696</v>
      </c>
      <c r="BO56" s="27">
        <v>4.0333333333333297</v>
      </c>
      <c r="BP56" s="27">
        <v>3.93333333333333</v>
      </c>
      <c r="BQ56" s="27">
        <v>3.7666666666666702</v>
      </c>
      <c r="BR56" s="27">
        <v>3.8333333333333299</v>
      </c>
      <c r="BS56" s="27">
        <v>3.8666666666666698</v>
      </c>
      <c r="BT56" s="27">
        <v>3.6333333333333302</v>
      </c>
      <c r="BU56" s="27">
        <v>3.6</v>
      </c>
      <c r="BV56" s="27">
        <v>3.6</v>
      </c>
      <c r="BW56" s="36" t="str">
        <f>Table13[[#This Row],[State]]</f>
        <v>United States</v>
      </c>
      <c r="BX56" s="27">
        <v>3.8333333333333299</v>
      </c>
      <c r="BY56" s="27">
        <v>13</v>
      </c>
      <c r="BZ56" s="27">
        <v>8.8000000000000007</v>
      </c>
      <c r="CA56" s="27">
        <v>6.7666666666666702</v>
      </c>
      <c r="CB56" s="27">
        <v>6.2333333333333298</v>
      </c>
      <c r="CC56" s="27">
        <v>5.93333333333333</v>
      </c>
      <c r="CD56" s="27">
        <v>5.06666666666667</v>
      </c>
      <c r="CE56" s="27">
        <v>4.1666666666666696</v>
      </c>
      <c r="CF56" s="27">
        <v>3.8666666666666698</v>
      </c>
      <c r="CG56" s="27">
        <v>3.6333333333333302</v>
      </c>
      <c r="CH56" s="27">
        <v>3.5333333333333301</v>
      </c>
      <c r="CI56" s="27">
        <v>3.56666666666667</v>
      </c>
      <c r="CJ56" s="27">
        <v>3.5333333333333301</v>
      </c>
      <c r="CK56" s="27">
        <v>3.5333333333333301</v>
      </c>
      <c r="CL56" s="27">
        <v>3.6333333333333302</v>
      </c>
      <c r="CM56" s="27">
        <v>3.8</v>
      </c>
      <c r="CN56" s="27">
        <v>3.8333333333333299</v>
      </c>
      <c r="CO56" s="27">
        <v>3.9666666666666699</v>
      </c>
      <c r="CP56" s="27">
        <v>4.1666666666666696</v>
      </c>
      <c r="CQ56" s="27">
        <v>4.1333333333333302</v>
      </c>
      <c r="CR56" s="79" t="str">
        <f>Table13[[#This Row],[ State]]</f>
        <v>United States</v>
      </c>
      <c r="CS56" s="27">
        <v>4.1333333333333302</v>
      </c>
      <c r="CT56" s="27">
        <v>4.2</v>
      </c>
      <c r="CU56" s="27">
        <v>4.3333333333333304</v>
      </c>
      <c r="CV56" s="111"/>
      <c r="CW56" s="41" t="s">
        <v>236</v>
      </c>
      <c r="CX56" s="57">
        <v>9.1</v>
      </c>
      <c r="CY56" s="58">
        <v>9</v>
      </c>
      <c r="CZ56" s="58">
        <v>9</v>
      </c>
      <c r="DA56" s="58">
        <v>9.1</v>
      </c>
      <c r="DB56" s="58">
        <v>9</v>
      </c>
      <c r="DC56" s="58">
        <v>9.1</v>
      </c>
      <c r="DD56" s="58">
        <v>9</v>
      </c>
      <c r="DE56" s="58">
        <v>9</v>
      </c>
      <c r="DF56" s="58">
        <v>9</v>
      </c>
      <c r="DG56" s="58">
        <v>8.8000000000000007</v>
      </c>
      <c r="DH56" s="58">
        <v>8.6</v>
      </c>
      <c r="DI56" s="58">
        <v>8.5</v>
      </c>
      <c r="DJ56" s="58">
        <v>8.3000000000000007</v>
      </c>
      <c r="DK56" s="58">
        <v>8.3000000000000007</v>
      </c>
      <c r="DL56" s="58">
        <v>8.1999999999999993</v>
      </c>
      <c r="DM56" s="58">
        <v>8.1999999999999993</v>
      </c>
      <c r="DN56" s="58">
        <v>8.1999999999999993</v>
      </c>
      <c r="DO56" s="58">
        <v>8.1999999999999993</v>
      </c>
      <c r="DP56" s="58">
        <v>8.1999999999999993</v>
      </c>
      <c r="DQ56" s="58">
        <v>8.1</v>
      </c>
      <c r="DR56" s="58">
        <v>7.8</v>
      </c>
      <c r="DS56" s="58">
        <v>7.8</v>
      </c>
      <c r="DT56" s="58">
        <v>7.7</v>
      </c>
      <c r="DU56" s="33">
        <v>7.9</v>
      </c>
      <c r="DV56" s="59" t="s">
        <v>236</v>
      </c>
      <c r="DW56" s="58">
        <v>8</v>
      </c>
      <c r="DX56" s="58">
        <v>7.7</v>
      </c>
      <c r="DY56" s="58">
        <v>7.5</v>
      </c>
      <c r="DZ56" s="58">
        <v>7.6</v>
      </c>
      <c r="EA56" s="58">
        <v>7.5</v>
      </c>
      <c r="EB56" s="58">
        <v>7.5</v>
      </c>
      <c r="EC56" s="58">
        <v>7.3</v>
      </c>
      <c r="ED56" s="58">
        <v>7.2</v>
      </c>
      <c r="EE56" s="58">
        <v>7.2</v>
      </c>
      <c r="EF56" s="58">
        <v>7.2</v>
      </c>
      <c r="EG56" s="60">
        <v>6.9</v>
      </c>
      <c r="EH56" s="60">
        <v>6.7</v>
      </c>
      <c r="EI56" s="60">
        <v>6.6</v>
      </c>
      <c r="EJ56" s="60">
        <v>6.7</v>
      </c>
      <c r="EK56" s="58">
        <v>6.7</v>
      </c>
      <c r="EL56" s="60">
        <v>6.2</v>
      </c>
      <c r="EM56" s="60">
        <v>6.3</v>
      </c>
      <c r="EN56" s="60">
        <v>6.1</v>
      </c>
      <c r="EO56" s="60">
        <v>6.2</v>
      </c>
      <c r="EP56" s="60">
        <v>6.1</v>
      </c>
      <c r="EQ56" s="60">
        <v>5.9</v>
      </c>
      <c r="ER56" s="58">
        <v>5.7</v>
      </c>
      <c r="ES56" s="60">
        <v>5.8</v>
      </c>
      <c r="ET56" s="61">
        <v>5.6</v>
      </c>
      <c r="EU56" s="59" t="s">
        <v>236</v>
      </c>
      <c r="EV56" s="58">
        <v>5.7</v>
      </c>
      <c r="EW56" s="60">
        <v>5.5</v>
      </c>
      <c r="EX56" s="60">
        <v>5.4</v>
      </c>
      <c r="EY56" s="60">
        <v>5.4</v>
      </c>
      <c r="EZ56" s="60">
        <v>5.6</v>
      </c>
      <c r="FA56" s="60">
        <v>5.3</v>
      </c>
      <c r="FB56" s="60">
        <v>5.2</v>
      </c>
      <c r="FC56" s="60">
        <v>5.0999999999999996</v>
      </c>
      <c r="FD56" s="60">
        <v>5</v>
      </c>
      <c r="FE56" s="60">
        <v>5</v>
      </c>
      <c r="FF56" s="60">
        <v>5.0999999999999996</v>
      </c>
      <c r="FG56" s="60">
        <v>5</v>
      </c>
      <c r="FH56" s="60">
        <v>4.8</v>
      </c>
      <c r="FI56" s="60">
        <v>4.9000000000000004</v>
      </c>
      <c r="FJ56" s="60">
        <v>5</v>
      </c>
      <c r="FK56" s="60">
        <v>5.0999999999999996</v>
      </c>
      <c r="FL56" s="60">
        <v>4.8</v>
      </c>
      <c r="FM56" s="60">
        <v>4.9000000000000004</v>
      </c>
      <c r="FN56" s="60">
        <v>4.8</v>
      </c>
      <c r="FO56" s="60">
        <v>4.9000000000000004</v>
      </c>
      <c r="FP56" s="60">
        <v>5</v>
      </c>
      <c r="FQ56" s="60">
        <v>4.9000000000000004</v>
      </c>
      <c r="FR56" s="60">
        <v>4.7</v>
      </c>
      <c r="FS56" s="61">
        <v>4.7</v>
      </c>
      <c r="FT56" s="59" t="s">
        <v>236</v>
      </c>
      <c r="FU56" s="58">
        <v>4.7</v>
      </c>
      <c r="FV56" s="60">
        <v>4.5999999999999996</v>
      </c>
      <c r="FW56" s="60">
        <v>4.4000000000000004</v>
      </c>
      <c r="FX56" s="60">
        <v>4.4000000000000004</v>
      </c>
      <c r="FY56" s="60">
        <v>4.4000000000000004</v>
      </c>
      <c r="FZ56" s="60">
        <v>4.3</v>
      </c>
      <c r="GA56" s="60">
        <v>4.3</v>
      </c>
      <c r="GB56" s="60">
        <v>4.4000000000000004</v>
      </c>
      <c r="GC56" s="60">
        <v>4.3</v>
      </c>
      <c r="GD56" s="60">
        <v>4.2</v>
      </c>
      <c r="GE56" s="60">
        <v>4.2</v>
      </c>
      <c r="GF56" s="60">
        <v>4.0999999999999996</v>
      </c>
      <c r="GG56" s="60">
        <v>4</v>
      </c>
      <c r="GH56" s="60">
        <v>4.0999999999999996</v>
      </c>
      <c r="GI56" s="60">
        <v>4</v>
      </c>
      <c r="GJ56" s="60">
        <v>4</v>
      </c>
      <c r="GK56" s="60">
        <v>3.8</v>
      </c>
      <c r="GL56" s="60">
        <v>4</v>
      </c>
      <c r="GM56" s="60">
        <v>3.8</v>
      </c>
      <c r="GN56" s="60">
        <v>3.8</v>
      </c>
      <c r="GO56" s="60">
        <v>3.7</v>
      </c>
      <c r="GP56" s="60">
        <v>3.8</v>
      </c>
      <c r="GQ56" s="60">
        <v>3.8</v>
      </c>
      <c r="GR56" s="60">
        <v>3.9</v>
      </c>
      <c r="GS56" s="59" t="s">
        <v>236</v>
      </c>
      <c r="GT56" s="60">
        <v>4</v>
      </c>
      <c r="GU56" s="60">
        <v>3.8</v>
      </c>
      <c r="GV56" s="60">
        <v>3.8</v>
      </c>
      <c r="GW56" s="60">
        <v>3.7</v>
      </c>
      <c r="GX56" s="60">
        <v>3.6</v>
      </c>
      <c r="GY56" s="60">
        <v>3.6</v>
      </c>
      <c r="GZ56" s="60">
        <v>3.7</v>
      </c>
      <c r="HA56" s="60">
        <v>3.6</v>
      </c>
      <c r="HB56" s="60">
        <v>3.5</v>
      </c>
      <c r="HC56" s="60">
        <v>3.6</v>
      </c>
      <c r="HD56" s="60">
        <v>3.6</v>
      </c>
      <c r="HE56" s="60">
        <v>3.6</v>
      </c>
      <c r="HF56" s="60">
        <v>3.6</v>
      </c>
      <c r="HG56" s="60">
        <v>3.5</v>
      </c>
      <c r="HH56" s="60">
        <v>4.4000000000000004</v>
      </c>
      <c r="HI56" s="60">
        <v>14.8</v>
      </c>
      <c r="HJ56" s="60">
        <v>13.2</v>
      </c>
      <c r="HK56" s="60">
        <v>11</v>
      </c>
      <c r="HL56" s="60">
        <v>10.199999999999999</v>
      </c>
      <c r="HM56" s="60">
        <v>8.4</v>
      </c>
      <c r="HN56" s="60">
        <v>7.8</v>
      </c>
      <c r="HO56" s="60">
        <v>6.9</v>
      </c>
      <c r="HP56" s="60">
        <v>6.7</v>
      </c>
      <c r="HQ56" s="61">
        <v>6.7</v>
      </c>
      <c r="HR56" s="59" t="s">
        <v>236</v>
      </c>
      <c r="HS56" s="60">
        <v>6.4</v>
      </c>
      <c r="HT56" s="60">
        <v>6.2</v>
      </c>
      <c r="HU56" s="60">
        <v>6.1</v>
      </c>
      <c r="HV56" s="60">
        <v>6.1</v>
      </c>
      <c r="HW56" s="60">
        <v>5.8</v>
      </c>
      <c r="HX56" s="60">
        <v>5.9</v>
      </c>
      <c r="HY56" s="60">
        <v>5.4</v>
      </c>
      <c r="HZ56" s="60">
        <v>5.0999999999999996</v>
      </c>
      <c r="IA56" s="60">
        <v>4.7</v>
      </c>
      <c r="IB56" s="60">
        <v>4.5</v>
      </c>
      <c r="IC56" s="60">
        <v>4.0999999999999996</v>
      </c>
      <c r="ID56" s="60">
        <v>3.9</v>
      </c>
      <c r="IE56" s="60">
        <v>4</v>
      </c>
      <c r="IF56" s="60">
        <v>3.9</v>
      </c>
      <c r="IG56" s="60">
        <v>3.7</v>
      </c>
      <c r="IH56" s="60">
        <v>3.7</v>
      </c>
      <c r="II56" s="60">
        <v>3.6</v>
      </c>
      <c r="IJ56" s="60">
        <v>3.6</v>
      </c>
      <c r="IK56" s="60">
        <v>3.5</v>
      </c>
      <c r="IL56" s="60">
        <v>3.6</v>
      </c>
      <c r="IM56" s="60">
        <v>3.5</v>
      </c>
      <c r="IN56" s="60">
        <v>3.6</v>
      </c>
      <c r="IO56" s="60">
        <v>3.6</v>
      </c>
      <c r="IP56" s="61">
        <v>3.5</v>
      </c>
      <c r="IQ56" s="59" t="s">
        <v>236</v>
      </c>
      <c r="IR56" s="60">
        <v>3.5</v>
      </c>
      <c r="IS56" s="60">
        <v>3.6</v>
      </c>
      <c r="IT56" s="60">
        <v>3.5</v>
      </c>
      <c r="IU56" s="60">
        <v>3.4</v>
      </c>
      <c r="IV56" s="60">
        <v>3.6</v>
      </c>
      <c r="IW56" s="60">
        <v>3.6</v>
      </c>
      <c r="IX56" s="60">
        <v>3.5</v>
      </c>
      <c r="IY56" s="60">
        <v>3.7</v>
      </c>
      <c r="IZ56" s="60">
        <v>3.7</v>
      </c>
      <c r="JA56" s="60">
        <v>3.9</v>
      </c>
      <c r="JB56" s="60">
        <v>3.7</v>
      </c>
      <c r="JC56" s="60">
        <v>3.8</v>
      </c>
      <c r="JD56" s="60">
        <v>3.7</v>
      </c>
      <c r="JE56" s="60">
        <v>3.9</v>
      </c>
      <c r="JF56" s="60">
        <v>3.9</v>
      </c>
      <c r="JG56" s="60">
        <v>3.9</v>
      </c>
      <c r="JH56" s="60">
        <v>3.9</v>
      </c>
      <c r="JI56" s="60">
        <v>4.0999999999999996</v>
      </c>
      <c r="JJ56" s="60">
        <v>4.2</v>
      </c>
      <c r="JK56" s="60">
        <v>4.2</v>
      </c>
      <c r="JL56" s="60">
        <v>4.0999999999999996</v>
      </c>
      <c r="JM56" s="60">
        <v>4.0999999999999996</v>
      </c>
      <c r="JN56" s="60">
        <v>4.2</v>
      </c>
      <c r="JO56" s="61">
        <v>4.0999999999999996</v>
      </c>
      <c r="JP56" s="59" t="s">
        <v>236</v>
      </c>
      <c r="JQ56" s="84">
        <v>4</v>
      </c>
      <c r="JR56" s="84">
        <v>4.2</v>
      </c>
      <c r="JS56" s="84">
        <v>4.2</v>
      </c>
      <c r="JT56" s="84">
        <v>4.2</v>
      </c>
      <c r="JU56" s="84">
        <v>4.3</v>
      </c>
      <c r="JV56" s="84">
        <v>4.0999999999999996</v>
      </c>
      <c r="JW56" s="84">
        <v>4.3</v>
      </c>
      <c r="JX56" s="84">
        <v>4.3</v>
      </c>
      <c r="JY56" s="84">
        <v>4.4000000000000004</v>
      </c>
      <c r="JZ56" s="84" t="s">
        <v>402</v>
      </c>
      <c r="KA56" s="81">
        <v>4.5</v>
      </c>
    </row>
    <row r="57" spans="2:287" ht="4.2" customHeight="1" x14ac:dyDescent="0.3"/>
    <row r="58" spans="2:287" x14ac:dyDescent="0.3">
      <c r="B58" t="s">
        <v>416</v>
      </c>
      <c r="AC58" t="s">
        <v>416</v>
      </c>
      <c r="BB58" t="s">
        <v>416</v>
      </c>
      <c r="BW58" t="s">
        <v>416</v>
      </c>
      <c r="CW58" t="s">
        <v>416</v>
      </c>
      <c r="DV58" t="s">
        <v>416</v>
      </c>
      <c r="EU58" t="s">
        <v>416</v>
      </c>
      <c r="FT58" t="s">
        <v>416</v>
      </c>
      <c r="GS58" t="s">
        <v>416</v>
      </c>
      <c r="HR58" t="s">
        <v>416</v>
      </c>
      <c r="IQ58" t="s">
        <v>416</v>
      </c>
      <c r="JP58" t="s">
        <v>416</v>
      </c>
    </row>
  </sheetData>
  <mergeCells count="25">
    <mergeCell ref="JP1:KA1"/>
    <mergeCell ref="JP2:KA2"/>
    <mergeCell ref="BB2:BV2"/>
    <mergeCell ref="BW2:CU2"/>
    <mergeCell ref="HR1:IP1"/>
    <mergeCell ref="HR2:IP2"/>
    <mergeCell ref="CW2:DU2"/>
    <mergeCell ref="CW1:DU1"/>
    <mergeCell ref="DV1:ET1"/>
    <mergeCell ref="DV2:ET2"/>
    <mergeCell ref="BB1:CU1"/>
    <mergeCell ref="FT2:GR2"/>
    <mergeCell ref="GS2:HQ2"/>
    <mergeCell ref="CV2:CV56"/>
    <mergeCell ref="FT1:GR1"/>
    <mergeCell ref="IQ1:JO1"/>
    <mergeCell ref="IQ2:JO2"/>
    <mergeCell ref="GS1:HQ1"/>
    <mergeCell ref="EU2:FS2"/>
    <mergeCell ref="EU1:FS1"/>
    <mergeCell ref="B2:AA2"/>
    <mergeCell ref="AB2:AB56"/>
    <mergeCell ref="B1:AA1"/>
    <mergeCell ref="AC2:BA2"/>
    <mergeCell ref="AC1:BA1"/>
  </mergeCells>
  <phoneticPr fontId="6" type="noConversion"/>
  <hyperlinks>
    <hyperlink ref="KC2" location="'State Unemployment Rates'!B1" display="Annual Averages" xr:uid="{67303248-F352-4130-9C79-C1EBB0B6407B}"/>
    <hyperlink ref="KC3" location="'State Unemployment Rates'!BW1" display="Quarterly Averages" xr:uid="{8102D6ED-CE6A-413D-BFB8-343E1ECC31CB}"/>
  </hyperlinks>
  <pageMargins left="0.7" right="0.7" top="0.75" bottom="0.75" header="0.3" footer="0.3"/>
  <pageSetup scale="35" orientation="landscape" r:id="rId1"/>
  <colBreaks count="10" manualBreakCount="10">
    <brk id="27" min="1" max="57" man="1"/>
    <brk id="53" min="1" max="57" man="1"/>
    <brk id="74" min="1" max="57" man="1"/>
    <brk id="99" min="1" max="57" man="1"/>
    <brk id="125" min="1" max="57" man="1"/>
    <brk id="150" min="1" max="57" man="1"/>
    <brk id="175" min="1" max="57" man="1"/>
    <brk id="200" min="1" max="57" man="1"/>
    <brk id="225" min="1" max="57" man="1"/>
    <brk id="250" min="1" max="57" man="1"/>
  </colBreak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91"/>
  <sheetViews>
    <sheetView showGridLines="0" zoomScale="76" zoomScaleNormal="76"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2.44140625" customWidth="1"/>
    <col min="2" max="2" width="41.5546875" customWidth="1"/>
    <col min="3" max="27" width="9.77734375" style="64" customWidth="1"/>
    <col min="28" max="28" width="34.109375" style="64" customWidth="1"/>
  </cols>
  <sheetData>
    <row r="1" spans="1:28" ht="18" x14ac:dyDescent="0.3">
      <c r="A1" s="73" t="s">
        <v>456</v>
      </c>
      <c r="B1" s="95" t="s">
        <v>265</v>
      </c>
      <c r="C1" s="96"/>
      <c r="D1" s="96"/>
      <c r="E1" s="96"/>
      <c r="F1" s="96"/>
      <c r="G1" s="96"/>
      <c r="H1" s="96"/>
      <c r="I1" s="96"/>
      <c r="J1" s="96"/>
      <c r="K1" s="96"/>
      <c r="L1" s="96"/>
      <c r="M1" s="96"/>
      <c r="N1" s="96"/>
      <c r="O1" s="96"/>
      <c r="P1" s="96"/>
      <c r="Q1" s="96"/>
      <c r="R1" s="96"/>
      <c r="S1" s="96"/>
      <c r="T1" s="96"/>
      <c r="U1" s="96"/>
      <c r="V1" s="96"/>
      <c r="W1" s="96"/>
      <c r="X1" s="96"/>
      <c r="Y1" s="96"/>
      <c r="Z1" s="96"/>
      <c r="AA1" s="96"/>
    </row>
    <row r="2" spans="1:28" ht="36" customHeight="1" x14ac:dyDescent="0.35">
      <c r="B2" s="112" t="s">
        <v>470</v>
      </c>
      <c r="C2" s="113"/>
      <c r="D2" s="113"/>
      <c r="E2" s="113"/>
      <c r="F2" s="113"/>
      <c r="G2" s="113"/>
      <c r="H2" s="113"/>
      <c r="I2" s="113"/>
      <c r="J2" s="113"/>
      <c r="K2" s="113"/>
      <c r="L2" s="113"/>
      <c r="M2" s="113"/>
      <c r="N2" s="113"/>
      <c r="O2" s="113"/>
      <c r="P2" s="113"/>
      <c r="Q2" s="113"/>
      <c r="R2" s="113"/>
      <c r="S2" s="113"/>
      <c r="T2" s="113"/>
      <c r="U2" s="113"/>
      <c r="V2" s="113"/>
      <c r="W2" s="113"/>
      <c r="X2" s="113"/>
      <c r="Y2" s="113"/>
      <c r="Z2" s="113"/>
      <c r="AA2" s="114"/>
      <c r="AB2" s="70" t="s">
        <v>466</v>
      </c>
    </row>
    <row r="3" spans="1:28" s="85" customFormat="1" x14ac:dyDescent="0.3">
      <c r="B3" s="86" t="s">
        <v>256</v>
      </c>
      <c r="C3" s="10" t="s">
        <v>245</v>
      </c>
      <c r="D3" s="10" t="s">
        <v>246</v>
      </c>
      <c r="E3" s="10" t="s">
        <v>247</v>
      </c>
      <c r="F3" s="10" t="s">
        <v>248</v>
      </c>
      <c r="G3" s="10" t="s">
        <v>249</v>
      </c>
      <c r="H3" s="10" t="s">
        <v>250</v>
      </c>
      <c r="I3" s="10" t="s">
        <v>251</v>
      </c>
      <c r="J3" s="10" t="s">
        <v>252</v>
      </c>
      <c r="K3" s="10" t="s">
        <v>253</v>
      </c>
      <c r="L3" s="10" t="s">
        <v>254</v>
      </c>
      <c r="M3" s="10" t="s">
        <v>255</v>
      </c>
      <c r="N3" s="10" t="s">
        <v>261</v>
      </c>
      <c r="O3" s="10" t="s">
        <v>268</v>
      </c>
      <c r="P3" s="10" t="s">
        <v>273</v>
      </c>
      <c r="Q3" s="10" t="s">
        <v>278</v>
      </c>
      <c r="R3" s="10" t="s">
        <v>397</v>
      </c>
      <c r="S3" s="10" t="s">
        <v>403</v>
      </c>
      <c r="T3" s="10" t="s">
        <v>407</v>
      </c>
      <c r="U3" s="10" t="s">
        <v>413</v>
      </c>
      <c r="V3" s="10" t="s">
        <v>430</v>
      </c>
      <c r="W3" s="10" t="s">
        <v>435</v>
      </c>
      <c r="X3" s="10" t="s">
        <v>440</v>
      </c>
      <c r="Y3" s="10" t="s">
        <v>448</v>
      </c>
      <c r="Z3" s="10" t="s">
        <v>459</v>
      </c>
      <c r="AA3" s="10" t="s">
        <v>472</v>
      </c>
      <c r="AB3" s="11" t="s">
        <v>562</v>
      </c>
    </row>
    <row r="4" spans="1:28" x14ac:dyDescent="0.3">
      <c r="B4" s="12" t="s">
        <v>0</v>
      </c>
      <c r="C4" s="32">
        <v>1.2291138133146751</v>
      </c>
      <c r="D4" s="32">
        <v>4.0660242838007177</v>
      </c>
      <c r="E4" s="32">
        <v>2.862896528815817</v>
      </c>
      <c r="F4" s="32">
        <v>2.6156982259268879</v>
      </c>
      <c r="G4" s="32">
        <v>4.4529237063115845</v>
      </c>
      <c r="H4" s="32">
        <v>6.9199917148398571</v>
      </c>
      <c r="I4" s="32">
        <v>8.4463386284385766</v>
      </c>
      <c r="J4" s="32">
        <v>6.0817174965084986</v>
      </c>
      <c r="K4" s="32">
        <v>1.9885798264011267</v>
      </c>
      <c r="L4" s="32">
        <v>2.1824622497073065</v>
      </c>
      <c r="M4" s="32">
        <v>0.10576414595453443</v>
      </c>
      <c r="N4" s="32">
        <v>-1.1709808064800153</v>
      </c>
      <c r="O4" s="32">
        <v>1.6273199703043639</v>
      </c>
      <c r="P4" s="32">
        <v>3.5706980685504153</v>
      </c>
      <c r="Q4" s="32">
        <v>5.4450557201297656</v>
      </c>
      <c r="R4" s="32">
        <v>2.5712374581939645</v>
      </c>
      <c r="S4" s="32">
        <v>4.5948977462437535</v>
      </c>
      <c r="T4" s="32">
        <v>3.611197705592617</v>
      </c>
      <c r="U4" s="32">
        <v>5.0643270630994941</v>
      </c>
      <c r="V4" s="32">
        <v>3.4513568311206333</v>
      </c>
      <c r="W4" s="32">
        <v>4.4412702630879597</v>
      </c>
      <c r="X4" s="32">
        <v>12.899292855401146</v>
      </c>
      <c r="Y4" s="32">
        <v>12.77303033148649</v>
      </c>
      <c r="Z4" s="32">
        <v>8.9306531659061541</v>
      </c>
      <c r="AA4" s="32">
        <v>2.8329651345008644</v>
      </c>
      <c r="AB4" s="32">
        <v>3.416742561101227</v>
      </c>
    </row>
    <row r="5" spans="1:28" x14ac:dyDescent="0.3">
      <c r="B5" s="12" t="s">
        <v>1</v>
      </c>
      <c r="C5" s="32">
        <v>2.8028291753642742</v>
      </c>
      <c r="D5" s="32">
        <v>5.6933328076331557</v>
      </c>
      <c r="E5" s="32">
        <v>3.010407729324438</v>
      </c>
      <c r="F5" s="32">
        <v>2.9151879481422505</v>
      </c>
      <c r="G5" s="32">
        <v>2.6461170343784257</v>
      </c>
      <c r="H5" s="32">
        <v>3.261801103836004</v>
      </c>
      <c r="I5" s="32">
        <v>1.3279110299602159E-2</v>
      </c>
      <c r="J5" s="32">
        <v>-1.7924418701143474</v>
      </c>
      <c r="K5" s="32">
        <v>-3.0098186672975924</v>
      </c>
      <c r="L5" s="32">
        <v>-2.5892110398661905</v>
      </c>
      <c r="M5" s="32">
        <v>-2.9782134296855389</v>
      </c>
      <c r="N5" s="32">
        <v>-3.954573108902848</v>
      </c>
      <c r="O5" s="32">
        <v>-2.5030712530712651</v>
      </c>
      <c r="P5" s="32">
        <v>1.2797290911954917</v>
      </c>
      <c r="Q5" s="32">
        <v>2.5251739823490604</v>
      </c>
      <c r="R5" s="32">
        <v>3.7485068542500111</v>
      </c>
      <c r="S5" s="32">
        <v>2.8765671259914249</v>
      </c>
      <c r="T5" s="32">
        <v>3.8655581610175682</v>
      </c>
      <c r="U5" s="32">
        <v>4.9480057467332417</v>
      </c>
      <c r="V5" s="32">
        <v>4.8532455468457414</v>
      </c>
      <c r="W5" s="32">
        <v>5.6824010320334351</v>
      </c>
      <c r="X5" s="32">
        <v>11.989116846826974</v>
      </c>
      <c r="Y5" s="32">
        <v>13.69456446084547</v>
      </c>
      <c r="Z5" s="32">
        <v>6.6913081143517239</v>
      </c>
      <c r="AA5" s="32">
        <v>8.6371903689589367</v>
      </c>
      <c r="AB5" s="32">
        <v>6.3969953814140057</v>
      </c>
    </row>
    <row r="6" spans="1:28" x14ac:dyDescent="0.3">
      <c r="B6" s="12" t="s">
        <v>2</v>
      </c>
      <c r="C6" s="32">
        <v>2.9563387690689336</v>
      </c>
      <c r="D6" s="32">
        <v>3.9709789495197212</v>
      </c>
      <c r="E6" s="32">
        <v>2.9052739174021625</v>
      </c>
      <c r="F6" s="32">
        <v>3.955989379381486</v>
      </c>
      <c r="G6" s="32">
        <v>3.7466465767520551</v>
      </c>
      <c r="H6" s="32">
        <v>5.9191300189511464</v>
      </c>
      <c r="I6" s="32">
        <v>6.0080597963312776</v>
      </c>
      <c r="J6" s="32">
        <v>4.3062653795192141</v>
      </c>
      <c r="K6" s="32">
        <v>1.1644436379034007</v>
      </c>
      <c r="L6" s="32">
        <v>-2.2676991150442638</v>
      </c>
      <c r="M6" s="32">
        <v>-3.2120405634836868</v>
      </c>
      <c r="N6" s="32">
        <v>-4.6713759699110184</v>
      </c>
      <c r="O6" s="32">
        <v>-2.6590189479966164</v>
      </c>
      <c r="P6" s="32">
        <v>3.57635518315913E-2</v>
      </c>
      <c r="Q6" s="32">
        <v>-2.1671773918964909</v>
      </c>
      <c r="R6" s="32">
        <v>0.32018375763485096</v>
      </c>
      <c r="S6" s="32">
        <v>1.5628523356056023</v>
      </c>
      <c r="T6" s="32">
        <v>2.6796693537368688</v>
      </c>
      <c r="U6" s="32">
        <v>2.042547529149541</v>
      </c>
      <c r="V6" s="32">
        <v>3.6659114247991065</v>
      </c>
      <c r="W6" s="32">
        <v>3.5991697852133742</v>
      </c>
      <c r="X6" s="32">
        <v>12.269491705495783</v>
      </c>
      <c r="Y6" s="32">
        <v>15.207310973219235</v>
      </c>
      <c r="Z6" s="32">
        <v>5.328561370570295</v>
      </c>
      <c r="AA6" s="32">
        <v>7.0097258274751884</v>
      </c>
      <c r="AB6" s="32">
        <v>7.0178596004615734</v>
      </c>
    </row>
    <row r="7" spans="1:28" x14ac:dyDescent="0.3">
      <c r="B7" s="12" t="s">
        <v>424</v>
      </c>
      <c r="C7" s="32">
        <v>7.9881774973045161E-2</v>
      </c>
      <c r="D7" s="32">
        <v>4.4219180268986635</v>
      </c>
      <c r="E7" s="32">
        <v>1.0185362124976116</v>
      </c>
      <c r="F7" s="32">
        <v>2.5972797608913689</v>
      </c>
      <c r="G7" s="32">
        <v>4.4435430341470461</v>
      </c>
      <c r="H7" s="32">
        <v>9.8506514140451316</v>
      </c>
      <c r="I7" s="32">
        <v>14.873204126892281</v>
      </c>
      <c r="J7" s="32">
        <v>8.6694366335110082</v>
      </c>
      <c r="K7" s="32">
        <v>-0.72478694096138607</v>
      </c>
      <c r="L7" s="32">
        <v>-5.7757894054334518</v>
      </c>
      <c r="M7" s="32">
        <v>-7.2239578315740349</v>
      </c>
      <c r="N7" s="32">
        <v>-6.0567851421111873</v>
      </c>
      <c r="O7" s="32">
        <v>-2.7775584645265083</v>
      </c>
      <c r="P7" s="32">
        <v>3.2028585350008187</v>
      </c>
      <c r="Q7" s="32">
        <v>5.6041673224009214</v>
      </c>
      <c r="R7" s="32">
        <v>7.9981520945412221</v>
      </c>
      <c r="S7" s="32">
        <v>8.8891955291845015</v>
      </c>
      <c r="T7" s="32">
        <v>11.728254257907533</v>
      </c>
      <c r="U7" s="32">
        <v>10.776140732927297</v>
      </c>
      <c r="V7" s="32">
        <v>8.3609780071261852</v>
      </c>
      <c r="W7" s="32">
        <v>7.3492450441256851</v>
      </c>
      <c r="X7" s="32">
        <v>17.608175192761344</v>
      </c>
      <c r="Y7" s="32">
        <v>15.260782684837991</v>
      </c>
      <c r="Z7" s="32">
        <v>2.7537530517895092</v>
      </c>
      <c r="AA7" s="32">
        <v>3.3289309885054852</v>
      </c>
      <c r="AB7" s="32">
        <v>3.019471530960649</v>
      </c>
    </row>
    <row r="8" spans="1:28" x14ac:dyDescent="0.3">
      <c r="B8" s="12" t="s">
        <v>280</v>
      </c>
      <c r="C8" s="32">
        <v>2.2997068294323908</v>
      </c>
      <c r="D8" s="32">
        <v>5.6024053933428686</v>
      </c>
      <c r="E8" s="32">
        <v>7.0024023489634546</v>
      </c>
      <c r="F8" s="32">
        <v>9.5064859471145837</v>
      </c>
      <c r="G8" s="32">
        <v>14.256696470945563</v>
      </c>
      <c r="H8" s="32">
        <v>14.772293020087401</v>
      </c>
      <c r="I8" s="32">
        <v>8.7495295173571908</v>
      </c>
      <c r="J8" s="32">
        <v>3.1575304171880481</v>
      </c>
      <c r="K8" s="32">
        <v>-0.12517098097917234</v>
      </c>
      <c r="L8" s="32">
        <v>-1.3217566572347739</v>
      </c>
      <c r="M8" s="32">
        <v>-1.3145834970015979</v>
      </c>
      <c r="N8" s="32">
        <v>-1.1556322144089193</v>
      </c>
      <c r="O8" s="32">
        <v>-0.56242365669338934</v>
      </c>
      <c r="P8" s="32">
        <v>0.20518358531316228</v>
      </c>
      <c r="Q8" s="32">
        <v>-0.773251427955568</v>
      </c>
      <c r="R8" s="32">
        <v>1.7567677645333513</v>
      </c>
      <c r="S8" s="32">
        <v>2.29480200661758</v>
      </c>
      <c r="T8" s="32">
        <v>2.2654945742904831</v>
      </c>
      <c r="U8" s="32">
        <v>2.7241770715096258</v>
      </c>
      <c r="V8" s="32">
        <v>2.9486622385002326</v>
      </c>
      <c r="W8" s="32">
        <v>4.0460684997587926</v>
      </c>
      <c r="X8" s="32">
        <v>11.490002897710806</v>
      </c>
      <c r="Y8" s="32">
        <v>12.52235206054808</v>
      </c>
      <c r="Z8" s="32">
        <v>7.9448966581357139</v>
      </c>
      <c r="AA8" s="32">
        <v>8.0055121884415001</v>
      </c>
      <c r="AB8" s="32">
        <v>6.2032824832419786</v>
      </c>
    </row>
    <row r="9" spans="1:28" x14ac:dyDescent="0.3">
      <c r="B9" s="12" t="s">
        <v>3</v>
      </c>
      <c r="C9" s="32">
        <v>0.61339864045226733</v>
      </c>
      <c r="D9" s="32">
        <v>4.0424031483882628</v>
      </c>
      <c r="E9" s="32">
        <v>2.8620780129438472</v>
      </c>
      <c r="F9" s="32">
        <v>4.0811988521628262</v>
      </c>
      <c r="G9" s="32">
        <v>6.5924640049014771</v>
      </c>
      <c r="H9" s="32">
        <v>12.340735347651965</v>
      </c>
      <c r="I9" s="32">
        <v>15.509772486952954</v>
      </c>
      <c r="J9" s="32">
        <v>6.4950980392156854</v>
      </c>
      <c r="K9" s="32">
        <v>-1.66650491494168</v>
      </c>
      <c r="L9" s="32">
        <v>-5.2280578075431849</v>
      </c>
      <c r="M9" s="32">
        <v>-3.8517041819777886</v>
      </c>
      <c r="N9" s="32">
        <v>-5.0179488766478819</v>
      </c>
      <c r="O9" s="32">
        <v>-1.6632727865113828</v>
      </c>
      <c r="P9" s="32">
        <v>0.62620104698167811</v>
      </c>
      <c r="Q9" s="32">
        <v>1.6035033420038758</v>
      </c>
      <c r="R9" s="32">
        <v>1.8990213234817643</v>
      </c>
      <c r="S9" s="32">
        <v>3.242271975575628</v>
      </c>
      <c r="T9" s="32">
        <v>3.4469481109553834</v>
      </c>
      <c r="U9" s="32">
        <v>3.6387999702225837</v>
      </c>
      <c r="V9" s="32">
        <v>4.7565688344898049</v>
      </c>
      <c r="W9" s="32">
        <v>6.2328579264947725</v>
      </c>
      <c r="X9" s="32">
        <v>14.642741883431242</v>
      </c>
      <c r="Y9" s="32">
        <v>17.344158183947389</v>
      </c>
      <c r="Z9" s="32">
        <v>7.1499169953267883</v>
      </c>
      <c r="AA9" s="32">
        <v>5.0652863104726942</v>
      </c>
      <c r="AB9" s="32">
        <v>4.4144664774834697</v>
      </c>
    </row>
    <row r="10" spans="1:28" x14ac:dyDescent="0.3">
      <c r="B10" s="12" t="s">
        <v>4</v>
      </c>
      <c r="C10" s="32">
        <v>4.667849080941644</v>
      </c>
      <c r="D10" s="32">
        <v>5.9250558422552224</v>
      </c>
      <c r="E10" s="32">
        <v>2.8049955461833642</v>
      </c>
      <c r="F10" s="32">
        <v>4.3641250530485287</v>
      </c>
      <c r="G10" s="32">
        <v>3.6326668925787731</v>
      </c>
      <c r="H10" s="32">
        <v>5.5048721470145834</v>
      </c>
      <c r="I10" s="32">
        <v>7.475476902573952</v>
      </c>
      <c r="J10" s="32">
        <v>5.639103164876369</v>
      </c>
      <c r="K10" s="32">
        <v>2.5659924112139354</v>
      </c>
      <c r="L10" s="32">
        <v>0.13573576770553597</v>
      </c>
      <c r="M10" s="32">
        <v>-0.77211354454602699</v>
      </c>
      <c r="N10" s="32">
        <v>-0.99508484337124115</v>
      </c>
      <c r="O10" s="32">
        <v>1.6503435961257473</v>
      </c>
      <c r="P10" s="32">
        <v>1.4412328329607149</v>
      </c>
      <c r="Q10" s="32">
        <v>2.1449092841119288</v>
      </c>
      <c r="R10" s="32">
        <v>2.0960160283578499</v>
      </c>
      <c r="S10" s="32">
        <v>1.6844038543789575</v>
      </c>
      <c r="T10" s="32">
        <v>1.9398018136157269</v>
      </c>
      <c r="U10" s="32">
        <v>1.3786240458246946</v>
      </c>
      <c r="V10" s="32">
        <v>1.4927517148090041</v>
      </c>
      <c r="W10" s="32">
        <v>2.9097471220985272</v>
      </c>
      <c r="X10" s="32">
        <v>7.3431823130966967</v>
      </c>
      <c r="Y10" s="32">
        <v>7.7131691900317989</v>
      </c>
      <c r="Z10" s="32">
        <v>5.4568704030451443</v>
      </c>
      <c r="AA10" s="32">
        <v>2.8894507787605717</v>
      </c>
      <c r="AB10" s="32">
        <v>2.1973557869857441</v>
      </c>
    </row>
    <row r="11" spans="1:28" x14ac:dyDescent="0.3">
      <c r="B11" s="12" t="s">
        <v>281</v>
      </c>
      <c r="C11" s="32">
        <v>2.8292953322401004</v>
      </c>
      <c r="D11" s="32">
        <v>6.7247652845784156</v>
      </c>
      <c r="E11" s="32">
        <v>6.6882734236888508</v>
      </c>
      <c r="F11" s="32">
        <v>7.8589182151733938</v>
      </c>
      <c r="G11" s="32">
        <v>12.59738834631845</v>
      </c>
      <c r="H11" s="32">
        <v>14.371568722996454</v>
      </c>
      <c r="I11" s="32">
        <v>10.652711108586388</v>
      </c>
      <c r="J11" s="32">
        <v>2.6066867740486277</v>
      </c>
      <c r="K11" s="32">
        <v>-3.8551021939809305</v>
      </c>
      <c r="L11" s="32">
        <v>-5.4407785179017569</v>
      </c>
      <c r="M11" s="32">
        <v>-4.2101208001981139</v>
      </c>
      <c r="N11" s="32">
        <v>-4.4799057769095878</v>
      </c>
      <c r="O11" s="32">
        <v>-3.4569869028465039</v>
      </c>
      <c r="P11" s="32">
        <v>-2.9593171764985549E-2</v>
      </c>
      <c r="Q11" s="32">
        <v>1.6748461478538701</v>
      </c>
      <c r="R11" s="32">
        <v>1.6549187863928783</v>
      </c>
      <c r="S11" s="32">
        <v>1.8269520651190918</v>
      </c>
      <c r="T11" s="32">
        <v>3.4299502605400267</v>
      </c>
      <c r="U11" s="32">
        <v>3.7756372640226576</v>
      </c>
      <c r="V11" s="32">
        <v>4.1637359151530218</v>
      </c>
      <c r="W11" s="32">
        <v>5.5490824351878798</v>
      </c>
      <c r="X11" s="32">
        <v>14.289298393065476</v>
      </c>
      <c r="Y11" s="32">
        <v>15.44211265750539</v>
      </c>
      <c r="Z11" s="32">
        <v>8.6749004059822887</v>
      </c>
      <c r="AA11" s="32">
        <v>7.716467922415382</v>
      </c>
      <c r="AB11" s="32">
        <v>6.8310178505173846</v>
      </c>
    </row>
    <row r="12" spans="1:28" x14ac:dyDescent="0.3">
      <c r="B12" s="12" t="s">
        <v>5</v>
      </c>
      <c r="C12" s="32">
        <v>2.6060540305956392</v>
      </c>
      <c r="D12" s="32">
        <v>7.3594721482045378</v>
      </c>
      <c r="E12" s="32">
        <v>3.2226293188354349</v>
      </c>
      <c r="F12" s="32">
        <v>4.2651043853288106</v>
      </c>
      <c r="G12" s="32">
        <v>4.3340593370792879</v>
      </c>
      <c r="H12" s="32">
        <v>5.4398736952898652</v>
      </c>
      <c r="I12" s="32">
        <v>5.0860147073503281</v>
      </c>
      <c r="J12" s="32">
        <v>4.3458987065212229</v>
      </c>
      <c r="K12" s="32">
        <v>3.1286035079201469</v>
      </c>
      <c r="L12" s="32">
        <v>0.24422539355597461</v>
      </c>
      <c r="M12" s="32">
        <v>0.38305741458259934</v>
      </c>
      <c r="N12" s="32">
        <v>0.96934076055967822</v>
      </c>
      <c r="O12" s="32">
        <v>2.7164784245583551</v>
      </c>
      <c r="P12" s="32">
        <v>0.53005526108040879</v>
      </c>
      <c r="Q12" s="32">
        <v>0.21595243437289025</v>
      </c>
      <c r="R12" s="32">
        <v>1.3209078442895983</v>
      </c>
      <c r="S12" s="32">
        <v>3.0562077061179416</v>
      </c>
      <c r="T12" s="32">
        <v>2.7953848009326654</v>
      </c>
      <c r="U12" s="32">
        <v>0.852572709851529</v>
      </c>
      <c r="V12" s="32">
        <v>3.539159546553261</v>
      </c>
      <c r="W12" s="32">
        <v>3.5829764921786245</v>
      </c>
      <c r="X12" s="32">
        <v>8.4571717829120985</v>
      </c>
      <c r="Y12" s="32">
        <v>11.91269947104059</v>
      </c>
      <c r="Z12" s="32">
        <v>3.4495769948762911</v>
      </c>
      <c r="AA12" s="32">
        <v>5.978959897103131</v>
      </c>
      <c r="AB12" s="32">
        <v>8.1209776422007884</v>
      </c>
    </row>
    <row r="13" spans="1:28" x14ac:dyDescent="0.3">
      <c r="B13" s="12" t="s">
        <v>6</v>
      </c>
      <c r="C13" s="32">
        <v>4.3072890932136065</v>
      </c>
      <c r="D13" s="32">
        <v>4.7143386744655347</v>
      </c>
      <c r="E13" s="32">
        <v>3.8845072084652932</v>
      </c>
      <c r="F13" s="32">
        <v>3.0084440910295385</v>
      </c>
      <c r="G13" s="32">
        <v>3.2606098479974976</v>
      </c>
      <c r="H13" s="32">
        <v>5.1138285185382992</v>
      </c>
      <c r="I13" s="32">
        <v>5.2680597419311193</v>
      </c>
      <c r="J13" s="32">
        <v>3.8928657604761607</v>
      </c>
      <c r="K13" s="32">
        <v>1.5266702794766607</v>
      </c>
      <c r="L13" s="32">
        <v>0.85861127632640422</v>
      </c>
      <c r="M13" s="32">
        <v>0.25251761574984766</v>
      </c>
      <c r="N13" s="32">
        <v>-0.68324761315816662</v>
      </c>
      <c r="O13" s="32">
        <v>1.6295103875592298</v>
      </c>
      <c r="P13" s="32">
        <v>2.0531671672568974</v>
      </c>
      <c r="Q13" s="32">
        <v>1.3134197232594014</v>
      </c>
      <c r="R13" s="32">
        <v>4.277951208232178</v>
      </c>
      <c r="S13" s="32">
        <v>3.6450826033928241</v>
      </c>
      <c r="T13" s="32">
        <v>3.0301409430076642</v>
      </c>
      <c r="U13" s="32">
        <v>2.4374415948499539</v>
      </c>
      <c r="V13" s="32">
        <v>2.6303119377644846</v>
      </c>
      <c r="W13" s="32">
        <v>3.5307770178514053</v>
      </c>
      <c r="X13" s="32">
        <v>12.322625265316844</v>
      </c>
      <c r="Y13" s="32">
        <v>14.80954605291096</v>
      </c>
      <c r="Z13" s="32">
        <v>5.5240138331514643</v>
      </c>
      <c r="AA13" s="32">
        <v>2.3606729758149259</v>
      </c>
      <c r="AB13" s="32">
        <v>2.5768624783683025</v>
      </c>
    </row>
    <row r="14" spans="1:28" x14ac:dyDescent="0.3">
      <c r="B14" s="12" t="s">
        <v>7</v>
      </c>
      <c r="C14" s="32">
        <v>3.6285657291043272</v>
      </c>
      <c r="D14" s="32">
        <v>5.255154093437775</v>
      </c>
      <c r="E14" s="32">
        <v>3.4894566469759747</v>
      </c>
      <c r="F14" s="32">
        <v>3.7976920494106725</v>
      </c>
      <c r="G14" s="32">
        <v>4.9288341051484608</v>
      </c>
      <c r="H14" s="32">
        <v>3.955801463549169</v>
      </c>
      <c r="I14" s="32">
        <v>2.1414412586430398</v>
      </c>
      <c r="J14" s="32">
        <v>2.5610855579835334</v>
      </c>
      <c r="K14" s="32">
        <v>-0.11174516143452884</v>
      </c>
      <c r="L14" s="32">
        <v>0.28042122848366269</v>
      </c>
      <c r="M14" s="32">
        <v>-1.0843373493976016</v>
      </c>
      <c r="N14" s="32">
        <v>-0.97742891084344752</v>
      </c>
      <c r="O14" s="32">
        <v>1.2133452794946153</v>
      </c>
      <c r="P14" s="32">
        <v>3.0127531882970793</v>
      </c>
      <c r="Q14" s="32">
        <v>3.1766145241632238</v>
      </c>
      <c r="R14" s="32">
        <v>3.4613701492116178</v>
      </c>
      <c r="S14" s="32">
        <v>4.3361394987106117</v>
      </c>
      <c r="T14" s="32">
        <v>4.2527037100001275</v>
      </c>
      <c r="U14" s="32">
        <v>2.8499391628303838</v>
      </c>
      <c r="V14" s="32">
        <v>3.7698340102203742</v>
      </c>
      <c r="W14" s="32">
        <v>2.7325936721357635</v>
      </c>
      <c r="X14" s="32">
        <v>9.0082256975826382</v>
      </c>
      <c r="Y14" s="32">
        <v>11.835269670350424</v>
      </c>
      <c r="Z14" s="32">
        <v>7.5853978978979164</v>
      </c>
      <c r="AA14" s="32">
        <v>5.8433572045393012</v>
      </c>
      <c r="AB14" s="32">
        <v>5.4288294218419075</v>
      </c>
    </row>
    <row r="15" spans="1:28" x14ac:dyDescent="0.3">
      <c r="B15" s="12" t="s">
        <v>524</v>
      </c>
      <c r="C15" s="32">
        <v>6.7231316101285854</v>
      </c>
      <c r="D15" s="32">
        <v>7.728525021588073</v>
      </c>
      <c r="E15" s="32">
        <v>9.9662194400442559</v>
      </c>
      <c r="F15" s="32">
        <v>10.58678560891375</v>
      </c>
      <c r="G15" s="32">
        <v>13.1938668215132</v>
      </c>
      <c r="H15" s="32">
        <v>12.263261514571733</v>
      </c>
      <c r="I15" s="32">
        <v>4.3632905608180561</v>
      </c>
      <c r="J15" s="32">
        <v>0.84729716936478017</v>
      </c>
      <c r="K15" s="32">
        <v>-2.5287491199249112</v>
      </c>
      <c r="L15" s="32">
        <v>-2.6220429783904153</v>
      </c>
      <c r="M15" s="32">
        <v>-1.3438500624327721</v>
      </c>
      <c r="N15" s="32">
        <v>-1.9197994987468547</v>
      </c>
      <c r="O15" s="32">
        <v>-0.73209996422549661</v>
      </c>
      <c r="P15" s="32">
        <v>0.2934551772958427</v>
      </c>
      <c r="Q15" s="32">
        <v>1.1716694685779627</v>
      </c>
      <c r="R15" s="32">
        <v>1.7530062408036784</v>
      </c>
      <c r="S15" s="32">
        <v>2.1104988905233268</v>
      </c>
      <c r="T15" s="32">
        <v>3.7369828228198898</v>
      </c>
      <c r="U15" s="32">
        <v>2.869180435908314</v>
      </c>
      <c r="V15" s="32">
        <v>3.6231552453952487</v>
      </c>
      <c r="W15" s="32">
        <v>4.8621614758713516</v>
      </c>
      <c r="X15" s="32">
        <v>11.464398142786436</v>
      </c>
      <c r="Y15" s="32">
        <v>13.626145272504031</v>
      </c>
      <c r="Z15" s="32">
        <v>7.2978320143645581</v>
      </c>
      <c r="AA15" s="32">
        <v>6.3660662405577995</v>
      </c>
      <c r="AB15" s="32">
        <v>7.3740330799124232</v>
      </c>
    </row>
    <row r="16" spans="1:28" x14ac:dyDescent="0.3">
      <c r="B16" s="12" t="s">
        <v>8</v>
      </c>
      <c r="C16" s="32">
        <v>1.8483623044186936</v>
      </c>
      <c r="D16" s="32">
        <v>5.7354897721603404</v>
      </c>
      <c r="E16" s="32">
        <v>6.3326976387550582</v>
      </c>
      <c r="F16" s="32">
        <v>5.4822128540788606</v>
      </c>
      <c r="G16" s="32">
        <v>10.615435853389176</v>
      </c>
      <c r="H16" s="32">
        <v>12.983123365818884</v>
      </c>
      <c r="I16" s="32">
        <v>10.245729192964736</v>
      </c>
      <c r="J16" s="32">
        <v>3.2352454740913306</v>
      </c>
      <c r="K16" s="32">
        <v>-0.49170630715007491</v>
      </c>
      <c r="L16" s="32">
        <v>-0.34056992829455401</v>
      </c>
      <c r="M16" s="32">
        <v>-0.43493389004871652</v>
      </c>
      <c r="N16" s="32">
        <v>0.30079129327773568</v>
      </c>
      <c r="O16" s="32">
        <v>5.9728979754392064E-2</v>
      </c>
      <c r="P16" s="32">
        <v>3.325415676959631</v>
      </c>
      <c r="Q16" s="32">
        <v>3.0065595474513929</v>
      </c>
      <c r="R16" s="32">
        <v>2.950352289590219</v>
      </c>
      <c r="S16" s="32">
        <v>1.7308303445771056</v>
      </c>
      <c r="T16" s="32">
        <v>0.53440139234435247</v>
      </c>
      <c r="U16" s="32">
        <v>-3.6621093749988898E-2</v>
      </c>
      <c r="V16" s="32">
        <v>2.5277811698619868</v>
      </c>
      <c r="W16" s="32">
        <v>3.1768374550651846</v>
      </c>
      <c r="X16" s="32">
        <v>8.0270752439920212</v>
      </c>
      <c r="Y16" s="32">
        <v>11.117263622145156</v>
      </c>
      <c r="Z16" s="32">
        <v>5.8627593261236344</v>
      </c>
      <c r="AA16" s="32">
        <v>5.6297434118706136</v>
      </c>
      <c r="AB16" s="32">
        <v>4.3484455138352196</v>
      </c>
    </row>
    <row r="17" spans="2:28" x14ac:dyDescent="0.3">
      <c r="B17" s="12" t="s">
        <v>9</v>
      </c>
      <c r="C17" s="32">
        <v>8.7804968621188806</v>
      </c>
      <c r="D17" s="32">
        <v>6.4604775803506209</v>
      </c>
      <c r="E17" s="32">
        <v>5.6644006926184653</v>
      </c>
      <c r="F17" s="32">
        <v>3.9041043926864472</v>
      </c>
      <c r="G17" s="32">
        <v>4.7986214550658657</v>
      </c>
      <c r="H17" s="32">
        <v>3.9295468480017748</v>
      </c>
      <c r="I17" s="32">
        <v>-2.3007615574385909</v>
      </c>
      <c r="J17" s="32">
        <v>-6.264752703518683</v>
      </c>
      <c r="K17" s="32">
        <v>-8.7931716030042573</v>
      </c>
      <c r="L17" s="32">
        <v>-6.2202032200587514</v>
      </c>
      <c r="M17" s="32">
        <v>-3.7879565916949076</v>
      </c>
      <c r="N17" s="32">
        <v>-1.1830845594121842</v>
      </c>
      <c r="O17" s="32">
        <v>0.45369436842863653</v>
      </c>
      <c r="P17" s="32">
        <v>8.1582909169116036</v>
      </c>
      <c r="Q17" s="32">
        <v>8.0698614701398377</v>
      </c>
      <c r="R17" s="32">
        <v>5.5874145174645173</v>
      </c>
      <c r="S17" s="32">
        <v>5.1000551828294327</v>
      </c>
      <c r="T17" s="32">
        <v>7.5994141542542915</v>
      </c>
      <c r="U17" s="32">
        <v>6.6363613015897327</v>
      </c>
      <c r="V17" s="32">
        <v>4.7409744466655468</v>
      </c>
      <c r="W17" s="32">
        <v>3.2352636843376192</v>
      </c>
      <c r="X17" s="32">
        <v>9.6043121401445433</v>
      </c>
      <c r="Y17" s="32">
        <v>12.955078898970696</v>
      </c>
      <c r="Z17" s="32">
        <v>5.7526064389611831</v>
      </c>
      <c r="AA17" s="32">
        <v>7.0073663258535923</v>
      </c>
      <c r="AB17" s="32">
        <v>4.994239584927862</v>
      </c>
    </row>
    <row r="18" spans="2:28" x14ac:dyDescent="0.3">
      <c r="B18" s="12" t="s">
        <v>475</v>
      </c>
      <c r="C18" s="32">
        <v>2.1713138904308593</v>
      </c>
      <c r="D18" s="32">
        <v>7.3430153588966762</v>
      </c>
      <c r="E18" s="32">
        <v>4.1406295625766365</v>
      </c>
      <c r="F18" s="32">
        <v>4.4321070734260282</v>
      </c>
      <c r="G18" s="32">
        <v>3.4868527037428487</v>
      </c>
      <c r="H18" s="32">
        <v>5.6801868027328339</v>
      </c>
      <c r="I18" s="32">
        <v>6.7398811764513455</v>
      </c>
      <c r="J18" s="32">
        <v>4.6352944784335159</v>
      </c>
      <c r="K18" s="32">
        <v>1.0726846424384373</v>
      </c>
      <c r="L18" s="32">
        <v>1.0062054166908307</v>
      </c>
      <c r="M18" s="32">
        <v>-5.3239743920994398</v>
      </c>
      <c r="N18" s="32">
        <v>-4.0829631426535613</v>
      </c>
      <c r="O18" s="32">
        <v>0.24184370257966936</v>
      </c>
      <c r="P18" s="32">
        <v>-1.0722676884747151</v>
      </c>
      <c r="Q18" s="32">
        <v>-0.71728007395955862</v>
      </c>
      <c r="R18" s="32">
        <v>1.2313965996114895</v>
      </c>
      <c r="S18" s="32">
        <v>2.1362641545342065</v>
      </c>
      <c r="T18" s="32">
        <v>1.8866166674430751</v>
      </c>
      <c r="U18" s="32">
        <v>3.9030114606193544</v>
      </c>
      <c r="V18" s="32">
        <v>4.6188597327544434</v>
      </c>
      <c r="W18" s="32">
        <v>4.7752572694389261</v>
      </c>
      <c r="X18" s="32">
        <v>11.33517101107957</v>
      </c>
      <c r="Y18" s="32">
        <v>16.926072377197944</v>
      </c>
      <c r="Z18" s="32">
        <v>7.2045309705404792</v>
      </c>
      <c r="AA18" s="32">
        <v>5.534301740255998</v>
      </c>
      <c r="AB18" s="32">
        <v>2.8988959640845025</v>
      </c>
    </row>
    <row r="19" spans="2:28" x14ac:dyDescent="0.3">
      <c r="B19" s="12" t="s">
        <v>10</v>
      </c>
      <c r="C19" s="32">
        <v>5.1049070094054461</v>
      </c>
      <c r="D19" s="32">
        <v>4.773955823699727</v>
      </c>
      <c r="E19" s="32">
        <v>4.0907422078800382</v>
      </c>
      <c r="F19" s="32">
        <v>3.8037424816217413</v>
      </c>
      <c r="G19" s="32">
        <v>4.8911779959583068</v>
      </c>
      <c r="H19" s="32">
        <v>4.9512378094523468</v>
      </c>
      <c r="I19" s="32">
        <v>1.8503476509195149</v>
      </c>
      <c r="J19" s="32">
        <v>1.4722067150490403</v>
      </c>
      <c r="K19" s="32">
        <v>-0.79694426105819671</v>
      </c>
      <c r="L19" s="32">
        <v>-1.4529955158371743</v>
      </c>
      <c r="M19" s="32">
        <v>-1.8779946618645016</v>
      </c>
      <c r="N19" s="32">
        <v>-2.3367089437289046</v>
      </c>
      <c r="O19" s="32">
        <v>0.76342281879193674</v>
      </c>
      <c r="P19" s="32">
        <v>-0.18816085255181081</v>
      </c>
      <c r="Q19" s="32">
        <v>0.95091922191448131</v>
      </c>
      <c r="R19" s="32">
        <v>2.9349550502379751</v>
      </c>
      <c r="S19" s="32">
        <v>3.5078987927048777</v>
      </c>
      <c r="T19" s="32">
        <v>5.8892869883517163</v>
      </c>
      <c r="U19" s="32">
        <v>5.6774571554123243</v>
      </c>
      <c r="V19" s="32">
        <v>5.3128378565686418</v>
      </c>
      <c r="W19" s="32">
        <v>4.5459929717421854</v>
      </c>
      <c r="X19" s="32">
        <v>11.660141251117295</v>
      </c>
      <c r="Y19" s="32">
        <v>15.604036304188496</v>
      </c>
      <c r="Z19" s="32">
        <v>11.057687618861856</v>
      </c>
      <c r="AA19" s="32">
        <v>8.4076119887945389</v>
      </c>
      <c r="AB19" s="32">
        <v>5.9454303241616602</v>
      </c>
    </row>
    <row r="20" spans="2:28" x14ac:dyDescent="0.3">
      <c r="B20" s="12" t="s">
        <v>11</v>
      </c>
      <c r="C20" s="32">
        <v>6.2183105328613708</v>
      </c>
      <c r="D20" s="32">
        <v>6.9008376114563674</v>
      </c>
      <c r="E20" s="32">
        <v>5.4376032083038428</v>
      </c>
      <c r="F20" s="32">
        <v>5.6094481645438066</v>
      </c>
      <c r="G20" s="32">
        <v>6.9155456017432559</v>
      </c>
      <c r="H20" s="32">
        <v>10.506277157374777</v>
      </c>
      <c r="I20" s="32">
        <v>11.139146472667672</v>
      </c>
      <c r="J20" s="32">
        <v>8.6409366968988053</v>
      </c>
      <c r="K20" s="32">
        <v>0.93453978423905237</v>
      </c>
      <c r="L20" s="32">
        <v>-2.5769295443080487</v>
      </c>
      <c r="M20" s="32">
        <v>-4.9503775620280299</v>
      </c>
      <c r="N20" s="32">
        <v>-4.4262350898299001</v>
      </c>
      <c r="O20" s="32">
        <v>-1.8928643526380129</v>
      </c>
      <c r="P20" s="32">
        <v>2.0237965551884063</v>
      </c>
      <c r="Q20" s="32">
        <v>4.3374580312970812</v>
      </c>
      <c r="R20" s="32">
        <v>7.1578827676388679</v>
      </c>
      <c r="S20" s="32">
        <v>7.6697792869270032</v>
      </c>
      <c r="T20" s="32">
        <v>7.3471439271494354</v>
      </c>
      <c r="U20" s="32">
        <v>6.6193549571715637</v>
      </c>
      <c r="V20" s="32">
        <v>5.259486967528626</v>
      </c>
      <c r="W20" s="32">
        <v>4.8682520594563128</v>
      </c>
      <c r="X20" s="32">
        <v>15.682725911133289</v>
      </c>
      <c r="Y20" s="32">
        <v>21.403139666612738</v>
      </c>
      <c r="Z20" s="32">
        <v>7.0763625052767232</v>
      </c>
      <c r="AA20" s="32">
        <v>5.1017761547080598</v>
      </c>
      <c r="AB20" s="32">
        <v>3.6563245823389101</v>
      </c>
    </row>
    <row r="21" spans="2:28" x14ac:dyDescent="0.3">
      <c r="B21" s="12" t="s">
        <v>283</v>
      </c>
      <c r="C21" s="32">
        <v>5.971481268468759</v>
      </c>
      <c r="D21" s="32">
        <v>6.9899315042856625</v>
      </c>
      <c r="E21" s="32">
        <v>5.4697475904773363</v>
      </c>
      <c r="F21" s="32">
        <v>4.0135332360355713</v>
      </c>
      <c r="G21" s="32">
        <v>6.004847247911238</v>
      </c>
      <c r="H21" s="32">
        <v>3.9424205047982719</v>
      </c>
      <c r="I21" s="32">
        <v>3.8464321375338395</v>
      </c>
      <c r="J21" s="32">
        <v>3.6565822661334124</v>
      </c>
      <c r="K21" s="32">
        <v>-1.6132284734826641E-2</v>
      </c>
      <c r="L21" s="32">
        <v>-2.9540290159063121</v>
      </c>
      <c r="M21" s="32">
        <v>-4.0498226557304395</v>
      </c>
      <c r="N21" s="32">
        <v>-7.9375622716705285</v>
      </c>
      <c r="O21" s="32">
        <v>-3.2577326055587053</v>
      </c>
      <c r="P21" s="32">
        <v>1.5564454676632478</v>
      </c>
      <c r="Q21" s="32">
        <v>5.2076182569964269</v>
      </c>
      <c r="R21" s="32">
        <v>4.2503148662387469</v>
      </c>
      <c r="S21" s="32">
        <v>6.9648627405315855</v>
      </c>
      <c r="T21" s="32">
        <v>6.5494577272170673</v>
      </c>
      <c r="U21" s="32">
        <v>8.4814814814814667</v>
      </c>
      <c r="V21" s="32">
        <v>6.8989062996668293</v>
      </c>
      <c r="W21" s="32">
        <v>7.1265734958866123</v>
      </c>
      <c r="X21" s="32">
        <v>15.879184143432834</v>
      </c>
      <c r="Y21" s="32">
        <v>21.640731737610675</v>
      </c>
      <c r="Z21" s="32">
        <v>8.8920655527273684</v>
      </c>
      <c r="AA21" s="32">
        <v>6.8451404191476328</v>
      </c>
      <c r="AB21" s="32">
        <v>6.4420060705350446</v>
      </c>
    </row>
    <row r="22" spans="2:28" x14ac:dyDescent="0.3">
      <c r="B22" s="12" t="s">
        <v>425</v>
      </c>
      <c r="C22" s="32">
        <v>6.6367325138376509</v>
      </c>
      <c r="D22" s="32">
        <v>7.630213555231502</v>
      </c>
      <c r="E22" s="32">
        <v>4.6026928868696304</v>
      </c>
      <c r="F22" s="32">
        <v>3.5000790170476082</v>
      </c>
      <c r="G22" s="32">
        <v>4.083218042000003</v>
      </c>
      <c r="H22" s="32">
        <v>4.8893758450224034</v>
      </c>
      <c r="I22" s="32">
        <v>3.1857918198710422</v>
      </c>
      <c r="J22" s="32">
        <v>2.0568927352459854</v>
      </c>
      <c r="K22" s="32">
        <v>-3.5683876765151834</v>
      </c>
      <c r="L22" s="32">
        <v>-5.9757788336692652</v>
      </c>
      <c r="M22" s="32">
        <v>-7.7726397182532825</v>
      </c>
      <c r="N22" s="32">
        <v>-7.6939050859061942</v>
      </c>
      <c r="O22" s="32">
        <v>-4.2263007390364038</v>
      </c>
      <c r="P22" s="32">
        <v>6.0140140244845375</v>
      </c>
      <c r="Q22" s="32">
        <v>9.4960544927254809</v>
      </c>
      <c r="R22" s="32">
        <v>7.8535892319079315</v>
      </c>
      <c r="S22" s="32">
        <v>7.2624906484092699</v>
      </c>
      <c r="T22" s="32">
        <v>7.1482819278384291</v>
      </c>
      <c r="U22" s="32">
        <v>8.2022803748788888</v>
      </c>
      <c r="V22" s="32">
        <v>6.2536814031474819</v>
      </c>
      <c r="W22" s="32">
        <v>5.9412787056200678</v>
      </c>
      <c r="X22" s="32">
        <v>15.74154487622932</v>
      </c>
      <c r="Y22" s="32">
        <v>21.823349965139769</v>
      </c>
      <c r="Z22" s="32">
        <v>6.3926588889345437</v>
      </c>
      <c r="AA22" s="32">
        <v>5.0262650151120081</v>
      </c>
      <c r="AB22" s="32">
        <v>2.8418506490486939</v>
      </c>
    </row>
    <row r="23" spans="2:28" x14ac:dyDescent="0.3">
      <c r="B23" s="12" t="s">
        <v>284</v>
      </c>
      <c r="C23" s="32">
        <v>9.6001185461165548</v>
      </c>
      <c r="D23" s="32">
        <v>10.337234905551052</v>
      </c>
      <c r="E23" s="32">
        <v>11.614676329517181</v>
      </c>
      <c r="F23" s="32">
        <v>12.918555229685879</v>
      </c>
      <c r="G23" s="32">
        <v>19.828328564682351</v>
      </c>
      <c r="H23" s="32">
        <v>20.514871224239052</v>
      </c>
      <c r="I23" s="32">
        <v>11.598203379723593</v>
      </c>
      <c r="J23" s="32">
        <v>-0.49727661334806328</v>
      </c>
      <c r="K23" s="32">
        <v>-6.1106058637564349</v>
      </c>
      <c r="L23" s="32">
        <v>-7.7066420664206658</v>
      </c>
      <c r="M23" s="32">
        <v>-4.7678068088679249</v>
      </c>
      <c r="N23" s="32">
        <v>-5.0369452957722771</v>
      </c>
      <c r="O23" s="32">
        <v>-3.3831802557556023</v>
      </c>
      <c r="P23" s="32">
        <v>-0.55596229523199314</v>
      </c>
      <c r="Q23" s="32">
        <v>-1.2975957667088589</v>
      </c>
      <c r="R23" s="32">
        <v>0.29369944756532096</v>
      </c>
      <c r="S23" s="32">
        <v>0.28121876960978121</v>
      </c>
      <c r="T23" s="32">
        <v>-0.35922870121443129</v>
      </c>
      <c r="U23" s="32">
        <v>3.8192263856906772</v>
      </c>
      <c r="V23" s="32">
        <v>5.6357118852918164</v>
      </c>
      <c r="W23" s="32">
        <v>6.8249541362233934</v>
      </c>
      <c r="X23" s="32">
        <v>17.822647090939746</v>
      </c>
      <c r="Y23" s="32">
        <v>19.415119933272141</v>
      </c>
      <c r="Z23" s="32">
        <v>10.219776343175635</v>
      </c>
      <c r="AA23" s="32">
        <v>11.250800153629491</v>
      </c>
      <c r="AB23" s="32">
        <v>7.9214716376051042</v>
      </c>
    </row>
    <row r="24" spans="2:28" x14ac:dyDescent="0.3">
      <c r="B24" s="12" t="s">
        <v>285</v>
      </c>
      <c r="C24" s="32">
        <v>3.0109168953917909</v>
      </c>
      <c r="D24" s="32">
        <v>4.944306434810497</v>
      </c>
      <c r="E24" s="32">
        <v>3.7683262064752476</v>
      </c>
      <c r="F24" s="32">
        <v>3.9662975091062869</v>
      </c>
      <c r="G24" s="32">
        <v>7.2707647662526353</v>
      </c>
      <c r="H24" s="32">
        <v>9.303399699783931</v>
      </c>
      <c r="I24" s="32">
        <v>8.0376680802257461</v>
      </c>
      <c r="J24" s="32">
        <v>5.1418514017516737</v>
      </c>
      <c r="K24" s="32">
        <v>-0.38793676099376784</v>
      </c>
      <c r="L24" s="32">
        <v>-1.4404225239403545</v>
      </c>
      <c r="M24" s="32">
        <v>-5.5157108446778018</v>
      </c>
      <c r="N24" s="32">
        <v>-3.9457477585861156</v>
      </c>
      <c r="O24" s="32">
        <v>-1.368780473258091</v>
      </c>
      <c r="P24" s="32">
        <v>-2.0408471783398108</v>
      </c>
      <c r="Q24" s="32">
        <v>2.1589839349372753</v>
      </c>
      <c r="R24" s="32">
        <v>2.0378259161908163</v>
      </c>
      <c r="S24" s="32">
        <v>4.595318815047289</v>
      </c>
      <c r="T24" s="32">
        <v>4.639707859761355</v>
      </c>
      <c r="U24" s="32">
        <v>4.9236429547268479</v>
      </c>
      <c r="V24" s="32">
        <v>5.3707022135131233</v>
      </c>
      <c r="W24" s="32">
        <v>4.7898697008625479</v>
      </c>
      <c r="X24" s="32">
        <v>11.144191476941035</v>
      </c>
      <c r="Y24" s="32">
        <v>15.69935395766584</v>
      </c>
      <c r="Z24" s="32">
        <v>7.8182313419284721</v>
      </c>
      <c r="AA24" s="32">
        <v>5.054273227172823</v>
      </c>
      <c r="AB24" s="32">
        <v>8.3787091104705382</v>
      </c>
    </row>
    <row r="25" spans="2:28" x14ac:dyDescent="0.3">
      <c r="B25" s="12" t="s">
        <v>286</v>
      </c>
      <c r="C25" s="32">
        <v>2.1277993038681275</v>
      </c>
      <c r="D25" s="32">
        <v>5.5066126508477531</v>
      </c>
      <c r="E25" s="32">
        <v>3.1469668034618703</v>
      </c>
      <c r="F25" s="32">
        <v>3.9313781489433097</v>
      </c>
      <c r="G25" s="32">
        <v>5.4124737051566285</v>
      </c>
      <c r="H25" s="32">
        <v>7.5760027326825297</v>
      </c>
      <c r="I25" s="32">
        <v>8.2490766582549391</v>
      </c>
      <c r="J25" s="32">
        <v>5.7554845383107178</v>
      </c>
      <c r="K25" s="32">
        <v>1.1211515160362451</v>
      </c>
      <c r="L25" s="32">
        <v>-1.0827354227720742</v>
      </c>
      <c r="M25" s="32">
        <v>-3.4457595703381583</v>
      </c>
      <c r="N25" s="32">
        <v>-4.9608512953837831</v>
      </c>
      <c r="O25" s="32">
        <v>-2.3156689356829241</v>
      </c>
      <c r="P25" s="32">
        <v>-1.3090198632367267</v>
      </c>
      <c r="Q25" s="32">
        <v>1.4187673221591535</v>
      </c>
      <c r="R25" s="32">
        <v>2.1894723143991213</v>
      </c>
      <c r="S25" s="32">
        <v>3.3395944096017427</v>
      </c>
      <c r="T25" s="32">
        <v>3.8755391250770099</v>
      </c>
      <c r="U25" s="32">
        <v>5.554896494453998</v>
      </c>
      <c r="V25" s="32">
        <v>5.0701019920766477</v>
      </c>
      <c r="W25" s="32">
        <v>6.1772138358893391</v>
      </c>
      <c r="X25" s="32">
        <v>14.287693140748758</v>
      </c>
      <c r="Y25" s="32">
        <v>18.572672080390507</v>
      </c>
      <c r="Z25" s="32">
        <v>8.0389915716502447</v>
      </c>
      <c r="AA25" s="32">
        <v>4.1104727172641464</v>
      </c>
      <c r="AB25" s="32">
        <v>5.4125065685759477</v>
      </c>
    </row>
    <row r="26" spans="2:28" x14ac:dyDescent="0.3">
      <c r="B26" s="12" t="s">
        <v>476</v>
      </c>
      <c r="C26" s="32">
        <v>12.767754160487744</v>
      </c>
      <c r="D26" s="32">
        <v>9.1779145586381681</v>
      </c>
      <c r="E26" s="32">
        <v>1.4587794432548318</v>
      </c>
      <c r="F26" s="32">
        <v>0.88708613639361111</v>
      </c>
      <c r="G26" s="32">
        <v>0.84496453437059582</v>
      </c>
      <c r="H26" s="32">
        <v>4.836069559016587</v>
      </c>
      <c r="I26" s="32">
        <v>7.9057615904277512</v>
      </c>
      <c r="J26" s="32">
        <v>8.8078967350037942</v>
      </c>
      <c r="K26" s="32">
        <v>3.892085478413132</v>
      </c>
      <c r="L26" s="32">
        <v>-0.82757746657372566</v>
      </c>
      <c r="M26" s="32">
        <v>-1.1271277411439851</v>
      </c>
      <c r="N26" s="32">
        <v>-1.2718107793718736</v>
      </c>
      <c r="O26" s="32">
        <v>2.9822218731181183</v>
      </c>
      <c r="P26" s="32">
        <v>8.0392555679853483</v>
      </c>
      <c r="Q26" s="32">
        <v>11.446321833670625</v>
      </c>
      <c r="R26" s="32">
        <v>9.4851978546391269</v>
      </c>
      <c r="S26" s="32">
        <v>8.7020250723239823</v>
      </c>
      <c r="T26" s="32">
        <v>6.9559277527412311</v>
      </c>
      <c r="U26" s="32">
        <v>5.7404719445941943</v>
      </c>
      <c r="V26" s="32">
        <v>6.4814960074047523</v>
      </c>
      <c r="W26" s="32">
        <v>6.8913951483988711</v>
      </c>
      <c r="X26" s="32">
        <v>25.361809460800533</v>
      </c>
      <c r="Y26" s="32">
        <v>21.064291800665202</v>
      </c>
      <c r="Z26" s="32">
        <v>-5.7755355958986847</v>
      </c>
      <c r="AA26" s="32">
        <v>-1.2534758533611634</v>
      </c>
      <c r="AB26" s="32">
        <v>-0.66385710244180052</v>
      </c>
    </row>
    <row r="27" spans="2:28" x14ac:dyDescent="0.3">
      <c r="B27" s="12" t="s">
        <v>477</v>
      </c>
      <c r="C27" s="32">
        <v>2.3224535869539098</v>
      </c>
      <c r="D27" s="32">
        <v>7.9006666040747353</v>
      </c>
      <c r="E27" s="32">
        <v>8.9253861213835162</v>
      </c>
      <c r="F27" s="32">
        <v>13.743933856569402</v>
      </c>
      <c r="G27" s="32">
        <v>26.666666666666661</v>
      </c>
      <c r="H27" s="32">
        <v>32.075184009536613</v>
      </c>
      <c r="I27" s="32">
        <v>16.166577458728206</v>
      </c>
      <c r="J27" s="32">
        <v>-4.5850009486208654</v>
      </c>
      <c r="K27" s="32">
        <v>-24.897738893307576</v>
      </c>
      <c r="L27" s="32">
        <v>-18.891284340053204</v>
      </c>
      <c r="M27" s="32">
        <v>-7.2668770304509467</v>
      </c>
      <c r="N27" s="32">
        <v>-8.2436555030339314</v>
      </c>
      <c r="O27" s="32">
        <v>2.8242601388381194</v>
      </c>
      <c r="P27" s="32">
        <v>14.595103578154411</v>
      </c>
      <c r="Q27" s="32">
        <v>12.649416288119554</v>
      </c>
      <c r="R27" s="32">
        <v>4.8197082301128624</v>
      </c>
      <c r="S27" s="32">
        <v>2.8491898847194053</v>
      </c>
      <c r="T27" s="32">
        <v>4.1477301741306372</v>
      </c>
      <c r="U27" s="32">
        <v>4.7768475502874441</v>
      </c>
      <c r="V27" s="32">
        <v>4.5391796719623789</v>
      </c>
      <c r="W27" s="32">
        <v>5.9815573311846837</v>
      </c>
      <c r="X27" s="32">
        <v>16.165274595313761</v>
      </c>
      <c r="Y27" s="32">
        <v>17.458095480493043</v>
      </c>
      <c r="Z27" s="32">
        <v>3.2735377424198076</v>
      </c>
      <c r="AA27" s="32">
        <v>5.5841975900725371</v>
      </c>
      <c r="AB27" s="32">
        <v>4.2180406982572194</v>
      </c>
    </row>
    <row r="28" spans="2:28" x14ac:dyDescent="0.3">
      <c r="B28" s="12" t="s">
        <v>287</v>
      </c>
      <c r="C28" s="32">
        <v>5.1410840253593992</v>
      </c>
      <c r="D28" s="32">
        <v>7.5840251385379753</v>
      </c>
      <c r="E28" s="32">
        <v>9.7570602514258642</v>
      </c>
      <c r="F28" s="32">
        <v>10.617639126135025</v>
      </c>
      <c r="G28" s="32">
        <v>17.877113133940181</v>
      </c>
      <c r="H28" s="32">
        <v>20.804489919744064</v>
      </c>
      <c r="I28" s="32">
        <v>12.525540779635858</v>
      </c>
      <c r="J28" s="32">
        <v>2.6821400312442956</v>
      </c>
      <c r="K28" s="32">
        <v>-5.1589575388749527</v>
      </c>
      <c r="L28" s="32">
        <v>-7.928124999999997</v>
      </c>
      <c r="M28" s="32">
        <v>-4.8116847118985344</v>
      </c>
      <c r="N28" s="32">
        <v>-4.3001806598840009</v>
      </c>
      <c r="O28" s="32">
        <v>-1.0035023224620354</v>
      </c>
      <c r="P28" s="32">
        <v>1.7814577844686763</v>
      </c>
      <c r="Q28" s="32">
        <v>2.3899913718723242</v>
      </c>
      <c r="R28" s="32">
        <v>2.2246566107693599</v>
      </c>
      <c r="S28" s="32">
        <v>2.4412072965366072</v>
      </c>
      <c r="T28" s="32">
        <v>2.186458213587783</v>
      </c>
      <c r="U28" s="32">
        <v>2.2600458983935479</v>
      </c>
      <c r="V28" s="32">
        <v>2.6424351767307286</v>
      </c>
      <c r="W28" s="32">
        <v>4.0545320086170733</v>
      </c>
      <c r="X28" s="32">
        <v>10.319716539974877</v>
      </c>
      <c r="Y28" s="32">
        <v>10.809019186779345</v>
      </c>
      <c r="Z28" s="32">
        <v>5.1591648270167045</v>
      </c>
      <c r="AA28" s="32">
        <v>5.5662834021072971</v>
      </c>
      <c r="AB28" s="32">
        <v>4.2766830680619483</v>
      </c>
    </row>
    <row r="29" spans="2:28" x14ac:dyDescent="0.3">
      <c r="B29" s="12" t="s">
        <v>12</v>
      </c>
      <c r="C29" s="32">
        <v>4.083764977880544</v>
      </c>
      <c r="D29" s="32">
        <v>8.2635625800939536</v>
      </c>
      <c r="E29" s="32">
        <v>7.1731539387243748</v>
      </c>
      <c r="F29" s="32">
        <v>7.6723423838011895</v>
      </c>
      <c r="G29" s="32">
        <v>10.462790419366419</v>
      </c>
      <c r="H29" s="32">
        <v>11.225295219228325</v>
      </c>
      <c r="I29" s="32">
        <v>5.865082236384378</v>
      </c>
      <c r="J29" s="32">
        <v>2.6274628356619978</v>
      </c>
      <c r="K29" s="32">
        <v>-0.80814549180326933</v>
      </c>
      <c r="L29" s="32">
        <v>-3.0252165941458298</v>
      </c>
      <c r="M29" s="32">
        <v>-2.9771256623971287</v>
      </c>
      <c r="N29" s="32">
        <v>-2.5113215314944481</v>
      </c>
      <c r="O29" s="32">
        <v>-1.8947072072072135</v>
      </c>
      <c r="P29" s="32">
        <v>-0.12196171836885705</v>
      </c>
      <c r="Q29" s="32">
        <v>1.3733856254219967</v>
      </c>
      <c r="R29" s="32">
        <v>-0.10911925175369763</v>
      </c>
      <c r="S29" s="32">
        <v>3.0274656679151191</v>
      </c>
      <c r="T29" s="32">
        <v>1.8837266943901421</v>
      </c>
      <c r="U29" s="32">
        <v>4.6019732396269664</v>
      </c>
      <c r="V29" s="32">
        <v>4.359454745138569</v>
      </c>
      <c r="W29" s="32">
        <v>6.7624955118919416</v>
      </c>
      <c r="X29" s="32">
        <v>16.132249423061328</v>
      </c>
      <c r="Y29" s="32">
        <v>16.822112600107818</v>
      </c>
      <c r="Z29" s="32">
        <v>11.007966629055964</v>
      </c>
      <c r="AA29" s="32">
        <v>8.8267906919440087</v>
      </c>
      <c r="AB29" s="32">
        <v>7.135291984040637</v>
      </c>
    </row>
    <row r="30" spans="2:28" x14ac:dyDescent="0.3">
      <c r="B30" s="12" t="s">
        <v>13</v>
      </c>
      <c r="C30" s="32">
        <v>18.318621109504619</v>
      </c>
      <c r="D30" s="32">
        <v>14.604537488141744</v>
      </c>
      <c r="E30" s="32">
        <v>16.34912172400249</v>
      </c>
      <c r="F30" s="32">
        <v>13.099157110299164</v>
      </c>
      <c r="G30" s="32">
        <v>15.566359604230652</v>
      </c>
      <c r="H30" s="32">
        <v>10.970366816739219</v>
      </c>
      <c r="I30" s="32">
        <v>1.35347472211369</v>
      </c>
      <c r="J30" s="32">
        <v>-3.7264889960708869</v>
      </c>
      <c r="K30" s="32">
        <v>-5.9709631245314032</v>
      </c>
      <c r="L30" s="32">
        <v>-4.6094599492569666</v>
      </c>
      <c r="M30" s="32">
        <v>-3.3018912731659578</v>
      </c>
      <c r="N30" s="32">
        <v>-2.0658762046032786</v>
      </c>
      <c r="O30" s="32">
        <v>0.15547575581278394</v>
      </c>
      <c r="P30" s="32">
        <v>0.73611152840791227</v>
      </c>
      <c r="Q30" s="32">
        <v>2.4556589517219285</v>
      </c>
      <c r="R30" s="32">
        <v>3.8940749509965844</v>
      </c>
      <c r="S30" s="32">
        <v>3.3754564898614836</v>
      </c>
      <c r="T30" s="32">
        <v>4.6430733368870714</v>
      </c>
      <c r="U30" s="32">
        <v>5.6000690726990321</v>
      </c>
      <c r="V30" s="32">
        <v>3.8877896423723968</v>
      </c>
      <c r="W30" s="32">
        <v>5.1620875012789336</v>
      </c>
      <c r="X30" s="32">
        <v>17.296811854512796</v>
      </c>
      <c r="Y30" s="32">
        <v>18.746012301253103</v>
      </c>
      <c r="Z30" s="32">
        <v>7.6496537050071645</v>
      </c>
      <c r="AA30" s="32">
        <v>8.4417269777888659</v>
      </c>
      <c r="AB30" s="32">
        <v>3.6704719378799933</v>
      </c>
    </row>
    <row r="31" spans="2:28" x14ac:dyDescent="0.3">
      <c r="B31" s="12" t="s">
        <v>14</v>
      </c>
      <c r="C31" s="32">
        <v>3.3211530653674437</v>
      </c>
      <c r="D31" s="32">
        <v>4.9434140207481825</v>
      </c>
      <c r="E31" s="32">
        <v>2.8514191567438063</v>
      </c>
      <c r="F31" s="32">
        <v>3.8135978884135779</v>
      </c>
      <c r="G31" s="32">
        <v>3.7629317902858173</v>
      </c>
      <c r="H31" s="32">
        <v>6.0193321616871742</v>
      </c>
      <c r="I31" s="32">
        <v>11.691478848544756</v>
      </c>
      <c r="J31" s="32">
        <v>7.3823013143436089</v>
      </c>
      <c r="K31" s="32">
        <v>0.73359381229567422</v>
      </c>
      <c r="L31" s="32">
        <v>0.45383783213277518</v>
      </c>
      <c r="M31" s="32">
        <v>-0.99025504977541257</v>
      </c>
      <c r="N31" s="32">
        <v>-1.2521886772430713</v>
      </c>
      <c r="O31" s="32">
        <v>0.29552415238300878</v>
      </c>
      <c r="P31" s="32">
        <v>1.6862209364620018</v>
      </c>
      <c r="Q31" s="32">
        <v>1.5752802181157044</v>
      </c>
      <c r="R31" s="32">
        <v>3.506269531503281</v>
      </c>
      <c r="S31" s="32">
        <v>3.4313418438294718</v>
      </c>
      <c r="T31" s="32">
        <v>4.0624015891087772</v>
      </c>
      <c r="U31" s="32">
        <v>2.1521020531682034</v>
      </c>
      <c r="V31" s="32">
        <v>2.3312254315501768</v>
      </c>
      <c r="W31" s="32">
        <v>3.0775740165458698</v>
      </c>
      <c r="X31" s="32">
        <v>6.7739670537402041</v>
      </c>
      <c r="Y31" s="32">
        <v>11.110211844687701</v>
      </c>
      <c r="Z31" s="32">
        <v>0.7539061077320941</v>
      </c>
      <c r="AA31" s="32">
        <v>3.2614589358010537</v>
      </c>
      <c r="AB31" s="32">
        <v>3.1920071503791947</v>
      </c>
    </row>
    <row r="32" spans="2:28" x14ac:dyDescent="0.3">
      <c r="B32" s="12" t="s">
        <v>15</v>
      </c>
      <c r="C32" s="32">
        <v>4.2046107906596797</v>
      </c>
      <c r="D32" s="32">
        <v>5.665313968389607</v>
      </c>
      <c r="E32" s="32">
        <v>4.0022234574763838</v>
      </c>
      <c r="F32" s="32">
        <v>4.0636185478515552</v>
      </c>
      <c r="G32" s="32">
        <v>4.7158065118595438</v>
      </c>
      <c r="H32" s="32">
        <v>3.4764127106804432</v>
      </c>
      <c r="I32" s="32">
        <v>0.91495382140445169</v>
      </c>
      <c r="J32" s="32">
        <v>-3.4060178200347346</v>
      </c>
      <c r="K32" s="32">
        <v>-4.5089515950784698</v>
      </c>
      <c r="L32" s="32">
        <v>-5.7433839981482766</v>
      </c>
      <c r="M32" s="32">
        <v>-4.2466807458703792</v>
      </c>
      <c r="N32" s="32">
        <v>-3.2963463215305411</v>
      </c>
      <c r="O32" s="32">
        <v>-0.6347129647637173</v>
      </c>
      <c r="P32" s="32">
        <v>-6.4054659976520156E-2</v>
      </c>
      <c r="Q32" s="32">
        <v>1.7234625930278025</v>
      </c>
      <c r="R32" s="32">
        <v>4.9865229110512166</v>
      </c>
      <c r="S32" s="32">
        <v>3.7860727206041833</v>
      </c>
      <c r="T32" s="32">
        <v>4.7209817843030244</v>
      </c>
      <c r="U32" s="32">
        <v>4.8486800730139556</v>
      </c>
      <c r="V32" s="32">
        <v>6.1137607162711882</v>
      </c>
      <c r="W32" s="32">
        <v>5.7877104214633102</v>
      </c>
      <c r="X32" s="32">
        <v>15.451382101106482</v>
      </c>
      <c r="Y32" s="32">
        <v>13.941097452222095</v>
      </c>
      <c r="Z32" s="32">
        <v>6.7121075522355467</v>
      </c>
      <c r="AA32" s="32">
        <v>7.8004307783719584</v>
      </c>
      <c r="AB32" s="32">
        <v>4.7971257653352639</v>
      </c>
    </row>
    <row r="33" spans="2:28" x14ac:dyDescent="0.3">
      <c r="B33" s="12" t="s">
        <v>16</v>
      </c>
      <c r="C33" s="32">
        <v>5.4487238807351401</v>
      </c>
      <c r="D33" s="32">
        <v>6.1290039491004977</v>
      </c>
      <c r="E33" s="32">
        <v>4.1956769808324967</v>
      </c>
      <c r="F33" s="32">
        <v>3.7061138975303276</v>
      </c>
      <c r="G33" s="32">
        <v>3.5476514792084135</v>
      </c>
      <c r="H33" s="32">
        <v>2.4816353075070019</v>
      </c>
      <c r="I33" s="32">
        <v>-0.97207799700013142</v>
      </c>
      <c r="J33" s="32">
        <v>-2.56473740933848</v>
      </c>
      <c r="K33" s="32">
        <v>-6.6770302387109233</v>
      </c>
      <c r="L33" s="32">
        <v>-5.6155299996796586</v>
      </c>
      <c r="M33" s="32">
        <v>-5.0773825685582308</v>
      </c>
      <c r="N33" s="32">
        <v>-0.60604977116706094</v>
      </c>
      <c r="O33" s="32">
        <v>-1.0144432253538782</v>
      </c>
      <c r="P33" s="32">
        <v>-1.1920120654879907</v>
      </c>
      <c r="Q33" s="32">
        <v>1.8224617025580869</v>
      </c>
      <c r="R33" s="32">
        <v>3.9625776621875497</v>
      </c>
      <c r="S33" s="32">
        <v>0.10597269031651368</v>
      </c>
      <c r="T33" s="32">
        <v>3.6478489492043131</v>
      </c>
      <c r="U33" s="32">
        <v>4.2812892423608195</v>
      </c>
      <c r="V33" s="32">
        <v>4.6851417745094937</v>
      </c>
      <c r="W33" s="32">
        <v>5.8450920245398885</v>
      </c>
      <c r="X33" s="32">
        <v>14.199185637072343</v>
      </c>
      <c r="Y33" s="32">
        <v>14.782388021824655</v>
      </c>
      <c r="Z33" s="32">
        <v>7.2451912447490496</v>
      </c>
      <c r="AA33" s="32">
        <v>10.553116045106892</v>
      </c>
      <c r="AB33" s="32">
        <v>5.2503157653002841</v>
      </c>
    </row>
    <row r="34" spans="2:28" x14ac:dyDescent="0.3">
      <c r="B34" s="12" t="s">
        <v>288</v>
      </c>
      <c r="C34" s="32">
        <v>2.7668835926388802</v>
      </c>
      <c r="D34" s="32">
        <v>4.1308450408890751</v>
      </c>
      <c r="E34" s="32">
        <v>3.8219895287958217</v>
      </c>
      <c r="F34" s="32">
        <v>3.4116916870320591</v>
      </c>
      <c r="G34" s="32">
        <v>4.2237935367706481</v>
      </c>
      <c r="H34" s="32">
        <v>3.2176213356367667</v>
      </c>
      <c r="I34" s="32">
        <v>8.1053751067873048</v>
      </c>
      <c r="J34" s="32">
        <v>8.1217946650324215</v>
      </c>
      <c r="K34" s="32">
        <v>3.0592762745741631</v>
      </c>
      <c r="L34" s="32">
        <v>1.3648271170740855</v>
      </c>
      <c r="M34" s="32">
        <v>-1.1722542692329752</v>
      </c>
      <c r="N34" s="32">
        <v>-2.6728310337354455</v>
      </c>
      <c r="O34" s="32">
        <v>0.11578712981517025</v>
      </c>
      <c r="P34" s="32">
        <v>0.56640422282521197</v>
      </c>
      <c r="Q34" s="32">
        <v>2.4872834500552887</v>
      </c>
      <c r="R34" s="32">
        <v>3.6339049372769994</v>
      </c>
      <c r="S34" s="32">
        <v>4.5295538465809804</v>
      </c>
      <c r="T34" s="32">
        <v>3.4196093013372897</v>
      </c>
      <c r="U34" s="32">
        <v>5.0824387487800937</v>
      </c>
      <c r="V34" s="32">
        <v>4.5225700808954938</v>
      </c>
      <c r="W34" s="32">
        <v>5.1090196995381865</v>
      </c>
      <c r="X34" s="32">
        <v>7.7403926366720555</v>
      </c>
      <c r="Y34" s="32">
        <v>11.846506442021788</v>
      </c>
      <c r="Z34" s="32">
        <v>2.3038794893805559</v>
      </c>
      <c r="AA34" s="32">
        <v>5.7761537420490061</v>
      </c>
      <c r="AB34" s="32">
        <v>4.8655514088611795</v>
      </c>
    </row>
    <row r="35" spans="2:28" x14ac:dyDescent="0.3">
      <c r="B35" s="12" t="s">
        <v>289</v>
      </c>
      <c r="C35" s="32">
        <v>0.88705845081575863</v>
      </c>
      <c r="D35" s="32">
        <v>7.6012717852096179</v>
      </c>
      <c r="E35" s="32">
        <v>2.5116279069767433</v>
      </c>
      <c r="F35" s="32">
        <v>3.1208853777445755</v>
      </c>
      <c r="G35" s="32">
        <v>3.7994340534198257</v>
      </c>
      <c r="H35" s="32">
        <v>7.8194088899232073</v>
      </c>
      <c r="I35" s="32">
        <v>5.8477999444975337</v>
      </c>
      <c r="J35" s="32">
        <v>5.5713349355473119</v>
      </c>
      <c r="K35" s="32">
        <v>2.0957505518763631</v>
      </c>
      <c r="L35" s="32">
        <v>0.33784240327574544</v>
      </c>
      <c r="M35" s="32">
        <v>-1.1299815485730447</v>
      </c>
      <c r="N35" s="32">
        <v>0.29423784225581784</v>
      </c>
      <c r="O35" s="32">
        <v>1.6977698095781424</v>
      </c>
      <c r="P35" s="32">
        <v>3.6981142155029678</v>
      </c>
      <c r="Q35" s="32">
        <v>-0.85259836435058745</v>
      </c>
      <c r="R35" s="32">
        <v>1.9744618941844427</v>
      </c>
      <c r="S35" s="32">
        <v>-1.5833789791472985</v>
      </c>
      <c r="T35" s="32">
        <v>-0.79601346104065662</v>
      </c>
      <c r="U35" s="32">
        <v>-0.54928566768868148</v>
      </c>
      <c r="V35" s="32">
        <v>2.2801217464315737</v>
      </c>
      <c r="W35" s="32">
        <v>3.6864113285959954</v>
      </c>
      <c r="X35" s="32">
        <v>10.05368895046761</v>
      </c>
      <c r="Y35" s="32">
        <v>9.5826354776704861</v>
      </c>
      <c r="Z35" s="32">
        <v>9.5632282947644818</v>
      </c>
      <c r="AA35" s="32">
        <v>7.8297179129490635</v>
      </c>
      <c r="AB35" s="32">
        <v>6.1525266492797215</v>
      </c>
    </row>
    <row r="36" spans="2:28" x14ac:dyDescent="0.3">
      <c r="B36" s="12" t="s">
        <v>17</v>
      </c>
      <c r="C36" s="32">
        <v>3.0693592482826881</v>
      </c>
      <c r="D36" s="32">
        <v>5.7374674007534043</v>
      </c>
      <c r="E36" s="32">
        <v>5.4472247401817109</v>
      </c>
      <c r="F36" s="32">
        <v>8.4484516503068754</v>
      </c>
      <c r="G36" s="32">
        <v>17.903294191383857</v>
      </c>
      <c r="H36" s="32">
        <v>20.628840350849753</v>
      </c>
      <c r="I36" s="32">
        <v>12.225059297758989</v>
      </c>
      <c r="J36" s="32">
        <v>3.9441011722584962</v>
      </c>
      <c r="K36" s="32">
        <v>-0.8311111111111158</v>
      </c>
      <c r="L36" s="32">
        <v>-5.0004481692286991</v>
      </c>
      <c r="M36" s="32">
        <v>-4.7423604476995784</v>
      </c>
      <c r="N36" s="32">
        <v>-4.7333102218700462</v>
      </c>
      <c r="O36" s="32">
        <v>-0.31451036454609449</v>
      </c>
      <c r="P36" s="32">
        <v>2.3388915687782674</v>
      </c>
      <c r="Q36" s="32">
        <v>3.3007630864873683</v>
      </c>
      <c r="R36" s="32">
        <v>6.3819554064720174</v>
      </c>
      <c r="S36" s="32">
        <v>6.9589511146145977</v>
      </c>
      <c r="T36" s="32">
        <v>11.052825526195997</v>
      </c>
      <c r="U36" s="32">
        <v>9.7126795752654473</v>
      </c>
      <c r="V36" s="32">
        <v>6.964311130088241</v>
      </c>
      <c r="W36" s="32">
        <v>6.259719738866476</v>
      </c>
      <c r="X36" s="32">
        <v>17.438092852894215</v>
      </c>
      <c r="Y36" s="32">
        <v>16.765409555290468</v>
      </c>
      <c r="Z36" s="32">
        <v>0.78591404600194537</v>
      </c>
      <c r="AA36" s="32">
        <v>6.8532791202070342</v>
      </c>
      <c r="AB36" s="32">
        <v>4.2041509474521233</v>
      </c>
    </row>
    <row r="37" spans="2:28" x14ac:dyDescent="0.3">
      <c r="B37" s="12" t="s">
        <v>525</v>
      </c>
      <c r="C37" s="32">
        <v>7.1115906916139116</v>
      </c>
      <c r="D37" s="32">
        <v>7.9946778179053268</v>
      </c>
      <c r="E37" s="32">
        <v>7.0508307519008939</v>
      </c>
      <c r="F37" s="32">
        <v>6.6768603465851006</v>
      </c>
      <c r="G37" s="32">
        <v>9.481682412958726</v>
      </c>
      <c r="H37" s="32">
        <v>21.188146688252264</v>
      </c>
      <c r="I37" s="32">
        <v>29.521641149548117</v>
      </c>
      <c r="J37" s="32">
        <v>2.2816143497757846</v>
      </c>
      <c r="K37" s="32">
        <v>-13.067763319420578</v>
      </c>
      <c r="L37" s="32">
        <v>-19.343157724856507</v>
      </c>
      <c r="M37" s="32">
        <v>-16.797558901505695</v>
      </c>
      <c r="N37" s="32">
        <v>-5.362832922503447</v>
      </c>
      <c r="O37" s="32">
        <v>3.0303030303030276</v>
      </c>
      <c r="P37" s="32">
        <v>15.795720804044899</v>
      </c>
      <c r="Q37" s="32">
        <v>15.135984238341816</v>
      </c>
      <c r="R37" s="32">
        <v>11.400293678964978</v>
      </c>
      <c r="S37" s="32">
        <v>11.510238819292361</v>
      </c>
      <c r="T37" s="32">
        <v>9.6817729130017849</v>
      </c>
      <c r="U37" s="32">
        <v>8.1109291333236975</v>
      </c>
      <c r="V37" s="32">
        <v>5.848554541244444</v>
      </c>
      <c r="W37" s="32">
        <v>6.7096774193548425</v>
      </c>
      <c r="X37" s="32">
        <v>24.020486733658576</v>
      </c>
      <c r="Y37" s="32">
        <v>17.481494763620464</v>
      </c>
      <c r="Z37" s="32">
        <v>0.5919078894023988</v>
      </c>
      <c r="AA37" s="32">
        <v>4.4039411669875239</v>
      </c>
      <c r="AB37" s="32">
        <v>1.4314947148684309</v>
      </c>
    </row>
    <row r="38" spans="2:28" x14ac:dyDescent="0.3">
      <c r="B38" s="12" t="s">
        <v>18</v>
      </c>
      <c r="C38" s="32">
        <v>3.6915504511894959</v>
      </c>
      <c r="D38" s="32">
        <v>4.8759160559626924</v>
      </c>
      <c r="E38" s="32">
        <v>5.5981260173899372</v>
      </c>
      <c r="F38" s="32">
        <v>6.218746475166359</v>
      </c>
      <c r="G38" s="32">
        <v>8.7430533432444779</v>
      </c>
      <c r="H38" s="32">
        <v>10.440740861300091</v>
      </c>
      <c r="I38" s="32">
        <v>7.1812782763753358</v>
      </c>
      <c r="J38" s="32">
        <v>6.4388835418671686</v>
      </c>
      <c r="K38" s="32">
        <v>3.2875615206748199</v>
      </c>
      <c r="L38" s="32">
        <v>-0.38145026138723948</v>
      </c>
      <c r="M38" s="32">
        <v>-1.2730217317615145</v>
      </c>
      <c r="N38" s="32">
        <v>-0.86089599308232234</v>
      </c>
      <c r="O38" s="32">
        <v>2.5525255893897203</v>
      </c>
      <c r="P38" s="32">
        <v>4.2863217930758424</v>
      </c>
      <c r="Q38" s="32">
        <v>3.7431487544825393</v>
      </c>
      <c r="R38" s="32">
        <v>4.2913294797687795</v>
      </c>
      <c r="S38" s="32">
        <v>2.9552609408947772</v>
      </c>
      <c r="T38" s="32">
        <v>2.9124227481212017</v>
      </c>
      <c r="U38" s="32">
        <v>2.5150915957858677</v>
      </c>
      <c r="V38" s="32">
        <v>3.6147652239582717</v>
      </c>
      <c r="W38" s="32">
        <v>4.7631711136719712</v>
      </c>
      <c r="X38" s="32">
        <v>15.376298594462456</v>
      </c>
      <c r="Y38" s="32">
        <v>20.215123859191642</v>
      </c>
      <c r="Z38" s="32">
        <v>4.1639553169567911</v>
      </c>
      <c r="AA38" s="32">
        <v>3.6031521887669005</v>
      </c>
      <c r="AB38" s="32">
        <v>1.0949181652859075</v>
      </c>
    </row>
    <row r="39" spans="2:28" x14ac:dyDescent="0.3">
      <c r="B39" s="12" t="s">
        <v>19</v>
      </c>
      <c r="C39" s="32">
        <v>0.86285195277020499</v>
      </c>
      <c r="D39" s="32">
        <v>5.9905447996398298</v>
      </c>
      <c r="E39" s="32">
        <v>5.6116055308935708</v>
      </c>
      <c r="F39" s="32">
        <v>2.5501277074995388</v>
      </c>
      <c r="G39" s="32">
        <v>4.518444431370261</v>
      </c>
      <c r="H39" s="32">
        <v>9.954029458673407</v>
      </c>
      <c r="I39" s="32">
        <v>9.1723549488054612</v>
      </c>
      <c r="J39" s="32">
        <v>6.3431027745212809</v>
      </c>
      <c r="K39" s="32">
        <v>5.074008201902025</v>
      </c>
      <c r="L39" s="32">
        <v>-0.3343358746589975</v>
      </c>
      <c r="M39" s="32">
        <v>-0.9726861858911473</v>
      </c>
      <c r="N39" s="32">
        <v>-3.6596601136734019</v>
      </c>
      <c r="O39" s="32">
        <v>-0.6017272071913049</v>
      </c>
      <c r="P39" s="32">
        <v>0.67641573665668808</v>
      </c>
      <c r="Q39" s="32">
        <v>0.34549170084829939</v>
      </c>
      <c r="R39" s="32">
        <v>-2.7251150115743972</v>
      </c>
      <c r="S39" s="32">
        <v>0.81633882579750239</v>
      </c>
      <c r="T39" s="32">
        <v>2.1871638580136299</v>
      </c>
      <c r="U39" s="32">
        <v>2.7587719298245883</v>
      </c>
      <c r="V39" s="32">
        <v>2.6363338882012366</v>
      </c>
      <c r="W39" s="32">
        <v>6.3709453839755792</v>
      </c>
      <c r="X39" s="32">
        <v>10.76808798999167</v>
      </c>
      <c r="Y39" s="32">
        <v>11.793079918587267</v>
      </c>
      <c r="Z39" s="32">
        <v>7.3213853488102831</v>
      </c>
      <c r="AA39" s="32">
        <v>7.5858011374779322</v>
      </c>
      <c r="AB39" s="32">
        <v>8.9106908061090451</v>
      </c>
    </row>
    <row r="40" spans="2:28" x14ac:dyDescent="0.3">
      <c r="B40" s="12" t="s">
        <v>478</v>
      </c>
      <c r="C40" s="32">
        <v>2.9938009246781139</v>
      </c>
      <c r="D40" s="32">
        <v>5.7431004287698428</v>
      </c>
      <c r="E40" s="32">
        <v>3.6531505806205899</v>
      </c>
      <c r="F40" s="32">
        <v>4.4684016235376545</v>
      </c>
      <c r="G40" s="32">
        <v>5.1510143806476227</v>
      </c>
      <c r="H40" s="32">
        <v>6.9066408078646724</v>
      </c>
      <c r="I40" s="32">
        <v>6.0116040848881225</v>
      </c>
      <c r="J40" s="32">
        <v>2.8028973106937638</v>
      </c>
      <c r="K40" s="32">
        <v>0.41471149568785837</v>
      </c>
      <c r="L40" s="32">
        <v>-2.0435577912427005</v>
      </c>
      <c r="M40" s="32">
        <v>-4.5721121582586903</v>
      </c>
      <c r="N40" s="32">
        <v>-4.0252553048370388</v>
      </c>
      <c r="O40" s="32">
        <v>-0.4555663518055475</v>
      </c>
      <c r="P40" s="32">
        <v>0.13121469604595593</v>
      </c>
      <c r="Q40" s="32">
        <v>2.4163004394726295</v>
      </c>
      <c r="R40" s="32">
        <v>4.2052210276655178</v>
      </c>
      <c r="S40" s="32">
        <v>3.7914408074031902</v>
      </c>
      <c r="T40" s="32">
        <v>4.0020775023804633</v>
      </c>
      <c r="U40" s="32">
        <v>4.9189879036732886</v>
      </c>
      <c r="V40" s="32">
        <v>5.2383848533728239</v>
      </c>
      <c r="W40" s="32">
        <v>5.6083220262324485</v>
      </c>
      <c r="X40" s="32">
        <v>11.573875802997868</v>
      </c>
      <c r="Y40" s="32">
        <v>14.602991822068677</v>
      </c>
      <c r="Z40" s="32">
        <v>5.5458901242033898</v>
      </c>
      <c r="AA40" s="32">
        <v>5.2394972057190126</v>
      </c>
      <c r="AB40" s="32">
        <v>3.902198912001098</v>
      </c>
    </row>
    <row r="41" spans="2:28" x14ac:dyDescent="0.3">
      <c r="B41" s="12" t="s">
        <v>20</v>
      </c>
      <c r="C41" s="32">
        <v>2.5946223668436463</v>
      </c>
      <c r="D41" s="32">
        <v>4.8263917869960871</v>
      </c>
      <c r="E41" s="32">
        <v>4.9286382546728458</v>
      </c>
      <c r="F41" s="32">
        <v>4.5377800542560687</v>
      </c>
      <c r="G41" s="32">
        <v>6.3569549042736595</v>
      </c>
      <c r="H41" s="32">
        <v>7.9528392028392236</v>
      </c>
      <c r="I41" s="32">
        <v>8.2726137602933356</v>
      </c>
      <c r="J41" s="32">
        <v>6.6420448739471283</v>
      </c>
      <c r="K41" s="32">
        <v>2.9211668240866295</v>
      </c>
      <c r="L41" s="32">
        <v>0.45752590208412158</v>
      </c>
      <c r="M41" s="32">
        <v>1.0644635977280936</v>
      </c>
      <c r="N41" s="32">
        <v>4.3544900766358863</v>
      </c>
      <c r="O41" s="32">
        <v>8.7083694246726573</v>
      </c>
      <c r="P41" s="32">
        <v>12.595269989375947</v>
      </c>
      <c r="Q41" s="32">
        <v>7.8869368122006289</v>
      </c>
      <c r="R41" s="32">
        <v>5.1106062190450219</v>
      </c>
      <c r="S41" s="32">
        <v>0.89989056607184814</v>
      </c>
      <c r="T41" s="32">
        <v>1.1921408339607975</v>
      </c>
      <c r="U41" s="32">
        <v>-0.24979184013323996</v>
      </c>
      <c r="V41" s="32">
        <v>1.7227293716477909</v>
      </c>
      <c r="W41" s="32">
        <v>2.1291640477686835</v>
      </c>
      <c r="X41" s="32">
        <v>7.5732321289671889</v>
      </c>
      <c r="Y41" s="32">
        <v>9.0789902344836406</v>
      </c>
      <c r="Z41" s="32">
        <v>6.8474689860646754</v>
      </c>
      <c r="AA41" s="32">
        <v>3.3481731968884043</v>
      </c>
      <c r="AB41" s="32">
        <v>4.5703302277156466</v>
      </c>
    </row>
    <row r="42" spans="2:28" x14ac:dyDescent="0.3">
      <c r="B42" s="12" t="s">
        <v>290</v>
      </c>
      <c r="C42" s="32">
        <v>5.9341437016068532</v>
      </c>
      <c r="D42" s="32">
        <v>5.6331663228214923</v>
      </c>
      <c r="E42" s="32">
        <v>5.2844016219634637</v>
      </c>
      <c r="F42" s="32">
        <v>4.8689998763316256</v>
      </c>
      <c r="G42" s="32">
        <v>7.5691975942991041</v>
      </c>
      <c r="H42" s="32">
        <v>10.471089394224142</v>
      </c>
      <c r="I42" s="32">
        <v>7.6370183447219908</v>
      </c>
      <c r="J42" s="32">
        <v>3.7747777411919703</v>
      </c>
      <c r="K42" s="32">
        <v>1.6321661103425367</v>
      </c>
      <c r="L42" s="32">
        <v>-1.3574434606690944</v>
      </c>
      <c r="M42" s="32">
        <v>-3.8815039878465685</v>
      </c>
      <c r="N42" s="32">
        <v>-1.9440493124703639</v>
      </c>
      <c r="O42" s="32">
        <v>-1.0571136900924261</v>
      </c>
      <c r="P42" s="32">
        <v>1.3575704918478149</v>
      </c>
      <c r="Q42" s="32">
        <v>1.0246313336280011</v>
      </c>
      <c r="R42" s="32">
        <v>1.4080025455413203</v>
      </c>
      <c r="S42" s="32">
        <v>2.5703378307708302</v>
      </c>
      <c r="T42" s="32">
        <v>1.7538940015805471</v>
      </c>
      <c r="U42" s="32">
        <v>3.6978579481398155</v>
      </c>
      <c r="V42" s="32">
        <v>5.1424222657099339</v>
      </c>
      <c r="W42" s="32">
        <v>5.1115017405990226</v>
      </c>
      <c r="X42" s="32">
        <v>11.227701993704088</v>
      </c>
      <c r="Y42" s="32">
        <v>13.645833333333357</v>
      </c>
      <c r="Z42" s="32">
        <v>9.0310084222541285</v>
      </c>
      <c r="AA42" s="32">
        <v>5.9639939725592894</v>
      </c>
      <c r="AB42" s="32">
        <v>3.7591990480737802</v>
      </c>
    </row>
    <row r="43" spans="2:28" x14ac:dyDescent="0.3">
      <c r="B43" s="12" t="s">
        <v>22</v>
      </c>
      <c r="C43" s="32">
        <v>3.3421853747004349</v>
      </c>
      <c r="D43" s="32">
        <v>3.3824297503394885</v>
      </c>
      <c r="E43" s="32">
        <v>2.7827176461078462</v>
      </c>
      <c r="F43" s="32">
        <v>2.7978215135368689</v>
      </c>
      <c r="G43" s="32">
        <v>4.0107872389258725</v>
      </c>
      <c r="H43" s="32">
        <v>3.1499972416836775</v>
      </c>
      <c r="I43" s="32">
        <v>2.9183156843869185</v>
      </c>
      <c r="J43" s="32">
        <v>2.1582858429613161</v>
      </c>
      <c r="K43" s="32">
        <v>-0.13564609932684712</v>
      </c>
      <c r="L43" s="32">
        <v>-0.35655466322563889</v>
      </c>
      <c r="M43" s="32">
        <v>-0.41746894542232793</v>
      </c>
      <c r="N43" s="32">
        <v>-1.4031005099072513</v>
      </c>
      <c r="O43" s="32">
        <v>-0.6317031689285546</v>
      </c>
      <c r="P43" s="32">
        <v>1.7796639770861766</v>
      </c>
      <c r="Q43" s="32">
        <v>-0.27111896631603072</v>
      </c>
      <c r="R43" s="32">
        <v>0.90331905228926423</v>
      </c>
      <c r="S43" s="32">
        <v>0.46893117795510086</v>
      </c>
      <c r="T43" s="32">
        <v>0.22573363431150906</v>
      </c>
      <c r="U43" s="32">
        <v>-0.4707715234031018</v>
      </c>
      <c r="V43" s="32">
        <v>1.3985776023411667</v>
      </c>
      <c r="W43" s="32">
        <v>2.3424390898717951</v>
      </c>
      <c r="X43" s="32">
        <v>10.645658447009465</v>
      </c>
      <c r="Y43" s="32">
        <v>16.187300881677391</v>
      </c>
      <c r="Z43" s="32">
        <v>8.6750245507531076</v>
      </c>
      <c r="AA43" s="32">
        <v>6.4897724472192442</v>
      </c>
      <c r="AB43" s="32">
        <v>5.3190293052650439</v>
      </c>
    </row>
    <row r="44" spans="2:28" x14ac:dyDescent="0.3">
      <c r="B44" s="12" t="s">
        <v>21</v>
      </c>
      <c r="C44" s="32">
        <v>2.6676201620942086</v>
      </c>
      <c r="D44" s="32">
        <v>4.1116997699305546</v>
      </c>
      <c r="E44" s="32">
        <v>3.1039026862645702</v>
      </c>
      <c r="F44" s="32">
        <v>4.2767815007078713</v>
      </c>
      <c r="G44" s="32">
        <v>5.6231260960570628</v>
      </c>
      <c r="H44" s="32">
        <v>5.734383089639894</v>
      </c>
      <c r="I44" s="32">
        <v>3.5643731532292389</v>
      </c>
      <c r="J44" s="32">
        <v>2.7504238946132631</v>
      </c>
      <c r="K44" s="32">
        <v>1.1948018977198771</v>
      </c>
      <c r="L44" s="32">
        <v>0.55036377320623053</v>
      </c>
      <c r="M44" s="32">
        <v>1.1087373493224417</v>
      </c>
      <c r="N44" s="32">
        <v>-0.89453715413799761</v>
      </c>
      <c r="O44" s="32">
        <v>1.7958853372342709</v>
      </c>
      <c r="P44" s="32">
        <v>0.83929554210235846</v>
      </c>
      <c r="Q44" s="32">
        <v>0.88385561164932014</v>
      </c>
      <c r="R44" s="32">
        <v>4.663080067323877</v>
      </c>
      <c r="S44" s="32">
        <v>3.8479762229528758</v>
      </c>
      <c r="T44" s="32">
        <v>5.1834031551149629</v>
      </c>
      <c r="U44" s="32">
        <v>6.6196960933803117</v>
      </c>
      <c r="V44" s="32">
        <v>6.1014399842193479</v>
      </c>
      <c r="W44" s="32">
        <v>5.9701839392988676</v>
      </c>
      <c r="X44" s="32">
        <v>12.711762190374909</v>
      </c>
      <c r="Y44" s="32">
        <v>15.66756167795158</v>
      </c>
      <c r="Z44" s="32">
        <v>3.8983321698613072</v>
      </c>
      <c r="AA44" s="32">
        <v>6.0963960755108237</v>
      </c>
      <c r="AB44" s="32">
        <v>3.7818434460398231</v>
      </c>
    </row>
    <row r="45" spans="2:28" x14ac:dyDescent="0.3">
      <c r="B45" s="12" t="s">
        <v>23</v>
      </c>
      <c r="C45" s="32">
        <v>2.6402209608316518</v>
      </c>
      <c r="D45" s="32">
        <v>6.0705583218561232</v>
      </c>
      <c r="E45" s="32">
        <v>3.7335197762684569</v>
      </c>
      <c r="F45" s="32">
        <v>3.7243158928537357</v>
      </c>
      <c r="G45" s="32">
        <v>5.6346657260085697</v>
      </c>
      <c r="H45" s="32">
        <v>14.59102253154767</v>
      </c>
      <c r="I45" s="32">
        <v>24.50460122699387</v>
      </c>
      <c r="J45" s="32">
        <v>4.9915616492356207</v>
      </c>
      <c r="K45" s="32">
        <v>-6.9107932745896328</v>
      </c>
      <c r="L45" s="32">
        <v>-12.670943672090651</v>
      </c>
      <c r="M45" s="32">
        <v>-13.275409173570418</v>
      </c>
      <c r="N45" s="32">
        <v>-13.272200772200771</v>
      </c>
      <c r="O45" s="32">
        <v>6.0618271832364456</v>
      </c>
      <c r="P45" s="32">
        <v>12.740628166160084</v>
      </c>
      <c r="Q45" s="32">
        <v>9.8854190069647352</v>
      </c>
      <c r="R45" s="32">
        <v>7.6028857668604122</v>
      </c>
      <c r="S45" s="32">
        <v>9.3295331161780801</v>
      </c>
      <c r="T45" s="32">
        <v>11.325322144151762</v>
      </c>
      <c r="U45" s="32">
        <v>15.071869041114239</v>
      </c>
      <c r="V45" s="32">
        <v>12.370025098601634</v>
      </c>
      <c r="W45" s="32">
        <v>11.881025888683849</v>
      </c>
      <c r="X45" s="32">
        <v>28.86499402628435</v>
      </c>
      <c r="Y45" s="32">
        <v>13.752594462355617</v>
      </c>
      <c r="Z45" s="32">
        <v>-2.4367030366767461</v>
      </c>
      <c r="AA45" s="32">
        <v>4.2427280223777952</v>
      </c>
      <c r="AB45" s="32">
        <v>3.7499869283779796</v>
      </c>
    </row>
    <row r="46" spans="2:28" x14ac:dyDescent="0.3">
      <c r="B46" s="12" t="s">
        <v>291</v>
      </c>
      <c r="C46" s="32">
        <v>15.438329757765423</v>
      </c>
      <c r="D46" s="32">
        <v>12.196968768368599</v>
      </c>
      <c r="E46" s="32">
        <v>11.854440092166584</v>
      </c>
      <c r="F46" s="32">
        <v>9.0431247594044741</v>
      </c>
      <c r="G46" s="32">
        <v>10.452611696198243</v>
      </c>
      <c r="H46" s="32">
        <v>8.7278008124892068</v>
      </c>
      <c r="I46" s="32">
        <v>6.2300708619988932E-2</v>
      </c>
      <c r="J46" s="32">
        <v>-3.4044353395612958</v>
      </c>
      <c r="K46" s="32">
        <v>-4.812689875156706</v>
      </c>
      <c r="L46" s="32">
        <v>-4.3941296480890513</v>
      </c>
      <c r="M46" s="32">
        <v>-1.6088952176784299</v>
      </c>
      <c r="N46" s="32">
        <v>-1.5005465410522834</v>
      </c>
      <c r="O46" s="32">
        <v>-2.0150414790143234E-2</v>
      </c>
      <c r="P46" s="32">
        <v>2.955278519661686</v>
      </c>
      <c r="Q46" s="32">
        <v>5.1116816423183442</v>
      </c>
      <c r="R46" s="32">
        <v>4.8584583083837396</v>
      </c>
      <c r="S46" s="32">
        <v>5.3151449553462404</v>
      </c>
      <c r="T46" s="32">
        <v>5.9887434421308283</v>
      </c>
      <c r="U46" s="32">
        <v>5.3887044048823052</v>
      </c>
      <c r="V46" s="32">
        <v>4.3379552485135697</v>
      </c>
      <c r="W46" s="32">
        <v>4.7166413151308095</v>
      </c>
      <c r="X46" s="32">
        <v>12.070589320595682</v>
      </c>
      <c r="Y46" s="32">
        <v>13.311189673282486</v>
      </c>
      <c r="Z46" s="32">
        <v>6.1753972329181783</v>
      </c>
      <c r="AA46" s="32">
        <v>6.8685548078985859</v>
      </c>
      <c r="AB46" s="32">
        <v>5.1726216538769076</v>
      </c>
    </row>
    <row r="47" spans="2:28" x14ac:dyDescent="0.3">
      <c r="B47" s="12" t="s">
        <v>24</v>
      </c>
      <c r="C47" s="32">
        <v>15.251979293544448</v>
      </c>
      <c r="D47" s="32">
        <v>11.0175369067671</v>
      </c>
      <c r="E47" s="32">
        <v>4.5604640785363637</v>
      </c>
      <c r="F47" s="32">
        <v>1.4680778422669682</v>
      </c>
      <c r="G47" s="32">
        <v>2.6497308209959547</v>
      </c>
      <c r="H47" s="32">
        <v>4.5221120489497224</v>
      </c>
      <c r="I47" s="32">
        <v>1.8960132760130088</v>
      </c>
      <c r="J47" s="32">
        <v>1.4324185688638247</v>
      </c>
      <c r="K47" s="32">
        <v>1.3616192775958602</v>
      </c>
      <c r="L47" s="32">
        <v>-0.52011874173671924</v>
      </c>
      <c r="M47" s="32">
        <v>-1.39423498877842</v>
      </c>
      <c r="N47" s="32">
        <v>-1.7547205798207233</v>
      </c>
      <c r="O47" s="32">
        <v>1.8934834659936506</v>
      </c>
      <c r="P47" s="32">
        <v>5.4275480134132748</v>
      </c>
      <c r="Q47" s="32">
        <v>8.1926723774412338</v>
      </c>
      <c r="R47" s="32">
        <v>10.959788866493692</v>
      </c>
      <c r="S47" s="32">
        <v>12.025932579308151</v>
      </c>
      <c r="T47" s="32">
        <v>8.897568666798028</v>
      </c>
      <c r="U47" s="32">
        <v>7.2878790371674551</v>
      </c>
      <c r="V47" s="32">
        <v>3.689703029513014</v>
      </c>
      <c r="W47" s="32">
        <v>2.8011743043282245</v>
      </c>
      <c r="X47" s="32">
        <v>12.743045814540665</v>
      </c>
      <c r="Y47" s="32">
        <v>17.326391547354735</v>
      </c>
      <c r="Z47" s="32">
        <v>0.53130166188113392</v>
      </c>
      <c r="AA47" s="32">
        <v>2.4536824168988058</v>
      </c>
      <c r="AB47" s="32">
        <v>1.7676003630746617</v>
      </c>
    </row>
    <row r="48" spans="2:28" x14ac:dyDescent="0.3">
      <c r="B48" s="12" t="s">
        <v>25</v>
      </c>
      <c r="C48" s="32">
        <v>2.0266940891659591</v>
      </c>
      <c r="D48" s="32">
        <v>4.5671209289628978</v>
      </c>
      <c r="E48" s="32">
        <v>2.2269970681553453</v>
      </c>
      <c r="F48" s="32">
        <v>2.6990394248335159</v>
      </c>
      <c r="G48" s="32">
        <v>3.7049788642145254</v>
      </c>
      <c r="H48" s="32">
        <v>5.8338559150098002</v>
      </c>
      <c r="I48" s="32">
        <v>2.9138565030236485</v>
      </c>
      <c r="J48" s="32">
        <v>1.9744974853097785</v>
      </c>
      <c r="K48" s="32">
        <v>1.2354904598216532</v>
      </c>
      <c r="L48" s="32">
        <v>-9.5139674884769931E-2</v>
      </c>
      <c r="M48" s="32">
        <v>-0.82095066086526058</v>
      </c>
      <c r="N48" s="32">
        <v>-0.34103137157520669</v>
      </c>
      <c r="O48" s="32">
        <v>1.2060000996694242</v>
      </c>
      <c r="P48" s="32">
        <v>1.2392285597045527</v>
      </c>
      <c r="Q48" s="32">
        <v>0.99383916990922749</v>
      </c>
      <c r="R48" s="32">
        <v>4.4467275616842938</v>
      </c>
      <c r="S48" s="32">
        <v>3.3967078062800526</v>
      </c>
      <c r="T48" s="32">
        <v>6.6609189422205173</v>
      </c>
      <c r="U48" s="32">
        <v>3.5984056637957673</v>
      </c>
      <c r="V48" s="32">
        <v>3.95097933706412</v>
      </c>
      <c r="W48" s="32">
        <v>3.3724586854399385</v>
      </c>
      <c r="X48" s="32">
        <v>11.869202168279536</v>
      </c>
      <c r="Y48" s="32">
        <v>18.278871978513877</v>
      </c>
      <c r="Z48" s="32">
        <v>7.3041043010956042</v>
      </c>
      <c r="AA48" s="32">
        <v>4.8098118398081535</v>
      </c>
      <c r="AB48" s="32">
        <v>4.4075631327130216</v>
      </c>
    </row>
    <row r="49" spans="2:28" x14ac:dyDescent="0.3">
      <c r="B49" s="12" t="s">
        <v>526</v>
      </c>
      <c r="C49" s="32">
        <v>7.6232806016051313</v>
      </c>
      <c r="D49" s="32">
        <v>6.4315352697095429</v>
      </c>
      <c r="E49" s="32">
        <v>6.4309095590128429</v>
      </c>
      <c r="F49" s="32">
        <v>6.9840172786177268</v>
      </c>
      <c r="G49" s="32">
        <v>13.049727861491988</v>
      </c>
      <c r="H49" s="32">
        <v>18.567938625941103</v>
      </c>
      <c r="I49" s="32">
        <v>14.674554787093053</v>
      </c>
      <c r="J49" s="32">
        <v>4.2060248179630833</v>
      </c>
      <c r="K49" s="32">
        <v>-2.7516737920464607</v>
      </c>
      <c r="L49" s="32">
        <v>-5.6144825655541357</v>
      </c>
      <c r="M49" s="32">
        <v>-8.5695140170489523</v>
      </c>
      <c r="N49" s="32">
        <v>-5.0942557460561861</v>
      </c>
      <c r="O49" s="32">
        <v>0.85705966502516162</v>
      </c>
      <c r="P49" s="32">
        <v>7.5902495355726352</v>
      </c>
      <c r="Q49" s="32">
        <v>8.4010966575278623</v>
      </c>
      <c r="R49" s="32">
        <v>8.2493865426837232</v>
      </c>
      <c r="S49" s="32">
        <v>7.8503892385241469</v>
      </c>
      <c r="T49" s="32">
        <v>10.191100417600051</v>
      </c>
      <c r="U49" s="32">
        <v>9.5355218686209433</v>
      </c>
      <c r="V49" s="32">
        <v>6.9319483693576434</v>
      </c>
      <c r="W49" s="32">
        <v>6.3518706341156861</v>
      </c>
      <c r="X49" s="32">
        <v>24.204326422608613</v>
      </c>
      <c r="Y49" s="32">
        <v>22.130540340328441</v>
      </c>
      <c r="Z49" s="32">
        <v>3.7836425861236922</v>
      </c>
      <c r="AA49" s="32">
        <v>6.2394150495066469</v>
      </c>
      <c r="AB49" s="32">
        <v>1.3847859692287967</v>
      </c>
    </row>
    <row r="50" spans="2:28" x14ac:dyDescent="0.3">
      <c r="B50" s="12" t="s">
        <v>479</v>
      </c>
      <c r="C50" s="32">
        <v>5.2641929985577596</v>
      </c>
      <c r="D50" s="32">
        <v>6.5309003342259864</v>
      </c>
      <c r="E50" s="32">
        <v>6.058421185961782</v>
      </c>
      <c r="F50" s="32">
        <v>6.2359901517657024</v>
      </c>
      <c r="G50" s="32">
        <v>13.464199239017628</v>
      </c>
      <c r="H50" s="32">
        <v>18.561085283133917</v>
      </c>
      <c r="I50" s="32">
        <v>18.004165488159217</v>
      </c>
      <c r="J50" s="32">
        <v>5.3145359858802088</v>
      </c>
      <c r="K50" s="32">
        <v>-4.4390879748406942</v>
      </c>
      <c r="L50" s="32">
        <v>-8.984226992735989</v>
      </c>
      <c r="M50" s="32">
        <v>-5.9887717962747056</v>
      </c>
      <c r="N50" s="32">
        <v>-5.8173812927795332</v>
      </c>
      <c r="O50" s="32">
        <v>-3.7627114090353464</v>
      </c>
      <c r="P50" s="32">
        <v>0.76074818537130717</v>
      </c>
      <c r="Q50" s="32">
        <v>3.9578859873935279</v>
      </c>
      <c r="R50" s="32">
        <v>9.3907411849364131</v>
      </c>
      <c r="S50" s="32">
        <v>9.0962248291488468</v>
      </c>
      <c r="T50" s="32">
        <v>10.27848497029793</v>
      </c>
      <c r="U50" s="32">
        <v>10.770445823756347</v>
      </c>
      <c r="V50" s="32">
        <v>6.6216932667873207</v>
      </c>
      <c r="W50" s="32">
        <v>7.6781948183330284</v>
      </c>
      <c r="X50" s="32">
        <v>17.198522269462877</v>
      </c>
      <c r="Y50" s="32">
        <v>15.074830671404026</v>
      </c>
      <c r="Z50" s="32">
        <v>-1.0189563667062362</v>
      </c>
      <c r="AA50" s="32">
        <v>4.0217579310879659</v>
      </c>
      <c r="AB50" s="32">
        <v>3.5378694189849735</v>
      </c>
    </row>
    <row r="51" spans="2:28" x14ac:dyDescent="0.3">
      <c r="B51" s="12" t="s">
        <v>527</v>
      </c>
      <c r="C51" s="32">
        <v>10.789430761702846</v>
      </c>
      <c r="D51" s="32">
        <v>9.9116672800883201</v>
      </c>
      <c r="E51" s="32">
        <v>10.271908381609363</v>
      </c>
      <c r="F51" s="32">
        <v>8.3433291325670567</v>
      </c>
      <c r="G51" s="32">
        <v>12.671674421211954</v>
      </c>
      <c r="H51" s="32">
        <v>13.237891489838072</v>
      </c>
      <c r="I51" s="32">
        <v>5.3777968168187806</v>
      </c>
      <c r="J51" s="32">
        <v>-1.4936885664550759</v>
      </c>
      <c r="K51" s="32">
        <v>-5.2590366545331335</v>
      </c>
      <c r="L51" s="32">
        <v>-7.2073178904103585</v>
      </c>
      <c r="M51" s="32">
        <v>-4.786894717203694</v>
      </c>
      <c r="N51" s="32">
        <v>-2.6926577669902807</v>
      </c>
      <c r="O51" s="32">
        <v>-1.496609244680025</v>
      </c>
      <c r="P51" s="32">
        <v>-0.76099285167893216</v>
      </c>
      <c r="Q51" s="32">
        <v>0.83992291846632927</v>
      </c>
      <c r="R51" s="32">
        <v>2.3946650500151545</v>
      </c>
      <c r="S51" s="32">
        <v>0.93958349422091914</v>
      </c>
      <c r="T51" s="32">
        <v>-0.16449046210341711</v>
      </c>
      <c r="U51" s="32">
        <v>1.0051727441088287</v>
      </c>
      <c r="V51" s="32">
        <v>2.2381831516653516</v>
      </c>
      <c r="W51" s="32">
        <v>3.6993519022411325</v>
      </c>
      <c r="X51" s="32">
        <v>13.906945123623915</v>
      </c>
      <c r="Y51" s="32">
        <v>14.753463241992403</v>
      </c>
      <c r="Z51" s="32">
        <v>7.5616143366820987</v>
      </c>
      <c r="AA51" s="32">
        <v>8.5646420088225206</v>
      </c>
      <c r="AB51" s="32">
        <v>6.478141338376231</v>
      </c>
    </row>
    <row r="52" spans="2:28" x14ac:dyDescent="0.3">
      <c r="B52" s="12" t="s">
        <v>292</v>
      </c>
      <c r="C52" s="32">
        <v>1.7511398929491939</v>
      </c>
      <c r="D52" s="32">
        <v>6.8753517772870865</v>
      </c>
      <c r="E52" s="32">
        <v>3.2975491188981243</v>
      </c>
      <c r="F52" s="32">
        <v>4.4158594454684508</v>
      </c>
      <c r="G52" s="32">
        <v>1.7990610328638468</v>
      </c>
      <c r="H52" s="32">
        <v>6.0341646989374276</v>
      </c>
      <c r="I52" s="32">
        <v>3.0341516031942239</v>
      </c>
      <c r="J52" s="32">
        <v>3.2099015585161261</v>
      </c>
      <c r="K52" s="32">
        <v>0.53988613310647082</v>
      </c>
      <c r="L52" s="32">
        <v>1.5865525433657712</v>
      </c>
      <c r="M52" s="32">
        <v>-0.46773134280542195</v>
      </c>
      <c r="N52" s="32">
        <v>-1.0637784250929427</v>
      </c>
      <c r="O52" s="32">
        <v>-1.0573231830307783</v>
      </c>
      <c r="P52" s="32">
        <v>1.4007167987373892</v>
      </c>
      <c r="Q52" s="32">
        <v>-0.60313239728913004</v>
      </c>
      <c r="R52" s="32">
        <v>4.1692493393794994</v>
      </c>
      <c r="S52" s="32">
        <v>0.98493626882967256</v>
      </c>
      <c r="T52" s="32">
        <v>3.7850242669519529</v>
      </c>
      <c r="U52" s="32">
        <v>1.355106675431772</v>
      </c>
      <c r="V52" s="32">
        <v>5.3317413287342186</v>
      </c>
      <c r="W52" s="32">
        <v>5.5544670846395139</v>
      </c>
      <c r="X52" s="32">
        <v>13.73417301955584</v>
      </c>
      <c r="Y52" s="32">
        <v>19.712300662128147</v>
      </c>
      <c r="Z52" s="32">
        <v>9.3812686232885856</v>
      </c>
      <c r="AA52" s="32">
        <v>6.1044441279111128</v>
      </c>
      <c r="AB52" s="32">
        <v>1.5002753187344009</v>
      </c>
    </row>
    <row r="53" spans="2:28" x14ac:dyDescent="0.3">
      <c r="B53" s="12" t="s">
        <v>480</v>
      </c>
      <c r="C53" s="32">
        <v>6.042169515868423</v>
      </c>
      <c r="D53" s="32">
        <v>8.4349134687735194</v>
      </c>
      <c r="E53" s="32">
        <v>4.5000346957185355</v>
      </c>
      <c r="F53" s="32">
        <v>6.0808791792556161</v>
      </c>
      <c r="G53" s="32">
        <v>7.7729612995101949</v>
      </c>
      <c r="H53" s="32">
        <v>11.132891909159536</v>
      </c>
      <c r="I53" s="32">
        <v>11.640425948912281</v>
      </c>
      <c r="J53" s="32">
        <v>8.0579092739103899</v>
      </c>
      <c r="K53" s="32">
        <v>-1.1090773213183303</v>
      </c>
      <c r="L53" s="32">
        <v>-6.1683368928317162</v>
      </c>
      <c r="M53" s="32">
        <v>-9.4837346655305623</v>
      </c>
      <c r="N53" s="32">
        <v>-7.7152215402073621</v>
      </c>
      <c r="O53" s="32">
        <v>-7.7775448892615113</v>
      </c>
      <c r="P53" s="32">
        <v>-0.63940362732769485</v>
      </c>
      <c r="Q53" s="32">
        <v>3.7269164493648699</v>
      </c>
      <c r="R53" s="32">
        <v>5.1190073653724522</v>
      </c>
      <c r="S53" s="32">
        <v>7.968896409940851</v>
      </c>
      <c r="T53" s="32">
        <v>5.7058846388000184</v>
      </c>
      <c r="U53" s="32">
        <v>5.6490944293311696</v>
      </c>
      <c r="V53" s="32">
        <v>4.5049642757724717</v>
      </c>
      <c r="W53" s="32">
        <v>5.4073251942286404</v>
      </c>
      <c r="X53" s="32">
        <v>12.557385334624938</v>
      </c>
      <c r="Y53" s="32">
        <v>17.580310202248882</v>
      </c>
      <c r="Z53" s="32">
        <v>13.786189942000604</v>
      </c>
      <c r="AA53" s="32">
        <v>5.1587551304372203</v>
      </c>
      <c r="AB53" s="32">
        <v>7.5723497795022077</v>
      </c>
    </row>
    <row r="54" spans="2:28" x14ac:dyDescent="0.3">
      <c r="B54" s="12" t="s">
        <v>481</v>
      </c>
      <c r="C54" s="32">
        <v>0.45958302415205488</v>
      </c>
      <c r="D54" s="32">
        <v>5.4540255903166468</v>
      </c>
      <c r="E54" s="32">
        <v>3.9924985313389616</v>
      </c>
      <c r="F54" s="32">
        <v>4.4367191743617473</v>
      </c>
      <c r="G54" s="32">
        <v>5.577631223084456</v>
      </c>
      <c r="H54" s="32">
        <v>5.3676992196736828</v>
      </c>
      <c r="I54" s="32">
        <v>3.0501944943147619</v>
      </c>
      <c r="J54" s="32">
        <v>2.2521459811625677</v>
      </c>
      <c r="K54" s="32">
        <v>2.0587817691324783</v>
      </c>
      <c r="L54" s="32">
        <v>1.6798831385642421</v>
      </c>
      <c r="M54" s="32">
        <v>0.60543868650591026</v>
      </c>
      <c r="N54" s="32">
        <v>-3.2299741602070942E-2</v>
      </c>
      <c r="O54" s="32">
        <v>1.2039792534648486</v>
      </c>
      <c r="P54" s="32">
        <v>2.3221817081982232</v>
      </c>
      <c r="Q54" s="32">
        <v>2.94933902619261</v>
      </c>
      <c r="R54" s="32">
        <v>3.2684117337417051</v>
      </c>
      <c r="S54" s="32">
        <v>4.2477602718566487</v>
      </c>
      <c r="T54" s="32">
        <v>5.5652689287301715</v>
      </c>
      <c r="U54" s="32">
        <v>6.2094714089212077</v>
      </c>
      <c r="V54" s="32">
        <v>5.3918329589004887</v>
      </c>
      <c r="W54" s="32">
        <v>6.2921630094044056</v>
      </c>
      <c r="X54" s="32">
        <v>14.405200075500169</v>
      </c>
      <c r="Y54" s="32">
        <v>14.591818847379322</v>
      </c>
      <c r="Z54" s="32">
        <v>7.3940430126878454</v>
      </c>
      <c r="AA54" s="32">
        <v>7.5267916244228905</v>
      </c>
      <c r="AB54" s="32">
        <v>7.1477958181341394</v>
      </c>
    </row>
    <row r="55" spans="2:28" x14ac:dyDescent="0.3">
      <c r="B55" s="12" t="s">
        <v>26</v>
      </c>
      <c r="C55" s="32">
        <v>3.2830933288551023</v>
      </c>
      <c r="D55" s="32">
        <v>5.1176781431649276</v>
      </c>
      <c r="E55" s="32">
        <v>2.6353441608661932</v>
      </c>
      <c r="F55" s="32">
        <v>2.7014298362940892</v>
      </c>
      <c r="G55" s="32">
        <v>0.57046425885503016</v>
      </c>
      <c r="H55" s="32">
        <v>2.1576566717735224</v>
      </c>
      <c r="I55" s="32">
        <v>1.7014515005981279</v>
      </c>
      <c r="J55" s="32">
        <v>1.518502914121167</v>
      </c>
      <c r="K55" s="32">
        <v>0.13660965951338699</v>
      </c>
      <c r="L55" s="32">
        <v>0.53187815155075757</v>
      </c>
      <c r="M55" s="32">
        <v>-3.7223443726810634</v>
      </c>
      <c r="N55" s="32">
        <v>-2.859997502185585</v>
      </c>
      <c r="O55" s="32">
        <v>-0.94221797744553637</v>
      </c>
      <c r="P55" s="32">
        <v>0.87701407301652434</v>
      </c>
      <c r="Q55" s="32">
        <v>-0.74624122339449483</v>
      </c>
      <c r="R55" s="32">
        <v>3.9888888888888863</v>
      </c>
      <c r="S55" s="32">
        <v>3.2624568151868205</v>
      </c>
      <c r="T55" s="32">
        <v>2.9627841203049066</v>
      </c>
      <c r="U55" s="32">
        <v>6.0046228058421303</v>
      </c>
      <c r="V55" s="32">
        <v>5.4037826478534834</v>
      </c>
      <c r="W55" s="32">
        <v>5.3396093480639895</v>
      </c>
      <c r="X55" s="32">
        <v>16.427829403310046</v>
      </c>
      <c r="Y55" s="32">
        <v>23.649697488235645</v>
      </c>
      <c r="Z55" s="32">
        <v>7.8466648214779999</v>
      </c>
      <c r="AA55" s="32">
        <v>7.145606863302234</v>
      </c>
      <c r="AB55" s="32">
        <v>3.4524304833229325</v>
      </c>
    </row>
    <row r="56" spans="2:28" x14ac:dyDescent="0.3">
      <c r="B56" s="12" t="s">
        <v>293</v>
      </c>
      <c r="C56" s="32">
        <v>8.9510302381589533</v>
      </c>
      <c r="D56" s="32">
        <v>7.9536616316672859</v>
      </c>
      <c r="E56" s="32">
        <v>7.6899742150765782</v>
      </c>
      <c r="F56" s="32">
        <v>6.4630281690140956</v>
      </c>
      <c r="G56" s="32">
        <v>13.173256602338302</v>
      </c>
      <c r="H56" s="32">
        <v>13.849233601706668</v>
      </c>
      <c r="I56" s="32">
        <v>7.2899955079253065</v>
      </c>
      <c r="J56" s="32">
        <v>1.8158980800287106</v>
      </c>
      <c r="K56" s="32">
        <v>-0.41591766240175465</v>
      </c>
      <c r="L56" s="32">
        <v>-1.9278188746917668</v>
      </c>
      <c r="M56" s="32">
        <v>-0.29353383458646798</v>
      </c>
      <c r="N56" s="32">
        <v>0.13875315210964967</v>
      </c>
      <c r="O56" s="32">
        <v>0.90004337558438063</v>
      </c>
      <c r="P56" s="32">
        <v>1.0126219504913658</v>
      </c>
      <c r="Q56" s="32">
        <v>1.5415351514936448</v>
      </c>
      <c r="R56" s="32">
        <v>2.385470632749298</v>
      </c>
      <c r="S56" s="32">
        <v>2.1581915764577353</v>
      </c>
      <c r="T56" s="32">
        <v>2.4509694797533621</v>
      </c>
      <c r="U56" s="32">
        <v>3.8883577419494886</v>
      </c>
      <c r="V56" s="32">
        <v>3.5232109429739866</v>
      </c>
      <c r="W56" s="32">
        <v>4.5246080491352814</v>
      </c>
      <c r="X56" s="32">
        <v>12.89443418928975</v>
      </c>
      <c r="Y56" s="32">
        <v>16.220797342761493</v>
      </c>
      <c r="Z56" s="32">
        <v>9.9748823299769427</v>
      </c>
      <c r="AA56" s="32">
        <v>7.7674259726864259</v>
      </c>
      <c r="AB56" s="32">
        <v>6.0735818249969986</v>
      </c>
    </row>
    <row r="57" spans="2:28" x14ac:dyDescent="0.3">
      <c r="B57" s="12" t="s">
        <v>294</v>
      </c>
      <c r="C57" s="32">
        <v>2.9887281126004472</v>
      </c>
      <c r="D57" s="32">
        <v>5.8672442544708492</v>
      </c>
      <c r="E57" s="32">
        <v>3.2716541135573651</v>
      </c>
      <c r="F57" s="32">
        <v>3.4432581216360614</v>
      </c>
      <c r="G57" s="32">
        <v>2.4015728013830007</v>
      </c>
      <c r="H57" s="32">
        <v>2.7656405163852815</v>
      </c>
      <c r="I57" s="32">
        <v>-0.7102478620089836</v>
      </c>
      <c r="J57" s="32">
        <v>-1.2441200324411983</v>
      </c>
      <c r="K57" s="32">
        <v>-3.186439564410426</v>
      </c>
      <c r="L57" s="32">
        <v>-1.9442512257605071</v>
      </c>
      <c r="M57" s="32">
        <v>-3.6991539353253611</v>
      </c>
      <c r="N57" s="32">
        <v>-3.6633787886954483</v>
      </c>
      <c r="O57" s="32">
        <v>-0.97538232002982728</v>
      </c>
      <c r="P57" s="32">
        <v>1.6516940693447779</v>
      </c>
      <c r="Q57" s="32">
        <v>3.488716789565327</v>
      </c>
      <c r="R57" s="32">
        <v>2.8680380256727034</v>
      </c>
      <c r="S57" s="32">
        <v>3.2057641100611045</v>
      </c>
      <c r="T57" s="32">
        <v>3.7166320972664924</v>
      </c>
      <c r="U57" s="32">
        <v>4.2207950573124098</v>
      </c>
      <c r="V57" s="32">
        <v>5.109124662641773</v>
      </c>
      <c r="W57" s="32">
        <v>5.4114224649727038</v>
      </c>
      <c r="X57" s="32">
        <v>12.708738137478527</v>
      </c>
      <c r="Y57" s="32">
        <v>13.11962822306616</v>
      </c>
      <c r="Z57" s="32">
        <v>7.5052457205963652</v>
      </c>
      <c r="AA57" s="32">
        <v>7.0655188708318661</v>
      </c>
      <c r="AB57" s="32">
        <v>6.6720641454588003</v>
      </c>
    </row>
    <row r="58" spans="2:28" x14ac:dyDescent="0.3">
      <c r="B58" s="12" t="s">
        <v>295</v>
      </c>
      <c r="C58" s="32">
        <v>6.6962033645515895</v>
      </c>
      <c r="D58" s="32">
        <v>10.636023516835923</v>
      </c>
      <c r="E58" s="32">
        <v>13.108509847640271</v>
      </c>
      <c r="F58" s="32">
        <v>11.351129363449687</v>
      </c>
      <c r="G58" s="32">
        <v>17.55845688574167</v>
      </c>
      <c r="H58" s="32">
        <v>33.122090177820709</v>
      </c>
      <c r="I58" s="32">
        <v>16.225337242296</v>
      </c>
      <c r="J58" s="32">
        <v>-11.145807142335739</v>
      </c>
      <c r="K58" s="32">
        <v>-29.273123933145285</v>
      </c>
      <c r="L58" s="32">
        <v>-20.460235925763413</v>
      </c>
      <c r="M58" s="32">
        <v>-7.0194226743903076</v>
      </c>
      <c r="N58" s="32">
        <v>-3.0574315480864867</v>
      </c>
      <c r="O58" s="32">
        <v>5.9890911054706564</v>
      </c>
      <c r="P58" s="32">
        <v>10.67631373348279</v>
      </c>
      <c r="Q58" s="32">
        <v>10.415259959486844</v>
      </c>
      <c r="R58" s="32">
        <v>11.229864769078969</v>
      </c>
      <c r="S58" s="32">
        <v>10.217290799815061</v>
      </c>
      <c r="T58" s="32">
        <v>7.1750861599854776</v>
      </c>
      <c r="U58" s="32">
        <v>5.1704623586532161</v>
      </c>
      <c r="V58" s="32">
        <v>3.4488307769675597</v>
      </c>
      <c r="W58" s="32">
        <v>5.5146129465067029</v>
      </c>
      <c r="X58" s="32">
        <v>21.244678694506391</v>
      </c>
      <c r="Y58" s="32">
        <v>29.382438327430815</v>
      </c>
      <c r="Z58" s="32">
        <v>4.7349686332557761</v>
      </c>
      <c r="AA58" s="32">
        <v>-1.3796584504079945</v>
      </c>
      <c r="AB58" s="32">
        <v>-4.7097077534002718</v>
      </c>
    </row>
    <row r="59" spans="2:28" x14ac:dyDescent="0.3">
      <c r="B59" s="12" t="s">
        <v>296</v>
      </c>
      <c r="C59" s="32">
        <v>2.6617784237586095</v>
      </c>
      <c r="D59" s="32">
        <v>5.7391598343335293</v>
      </c>
      <c r="E59" s="32">
        <v>3.607114308553161</v>
      </c>
      <c r="F59" s="32">
        <v>3.9000867971838993</v>
      </c>
      <c r="G59" s="32">
        <v>4.3607403419533286</v>
      </c>
      <c r="H59" s="32">
        <v>6.2544471324889717</v>
      </c>
      <c r="I59" s="32">
        <v>3.0452688676086526</v>
      </c>
      <c r="J59" s="32">
        <v>2.887036766258877</v>
      </c>
      <c r="K59" s="32">
        <v>5.0530570995466206E-2</v>
      </c>
      <c r="L59" s="32">
        <v>-0.44034090909091939</v>
      </c>
      <c r="M59" s="32">
        <v>-1.3141833515638579</v>
      </c>
      <c r="N59" s="32">
        <v>-0.84816552078648133</v>
      </c>
      <c r="O59" s="32">
        <v>2.0543062666061651</v>
      </c>
      <c r="P59" s="32">
        <v>1.0064770129540213</v>
      </c>
      <c r="Q59" s="32">
        <v>1.0546003206236554</v>
      </c>
      <c r="R59" s="32">
        <v>0.53812775090595899</v>
      </c>
      <c r="S59" s="32">
        <v>3.8596599786519636</v>
      </c>
      <c r="T59" s="32">
        <v>9.5326044862820147E-2</v>
      </c>
      <c r="U59" s="32">
        <v>4.4909377697092356</v>
      </c>
      <c r="V59" s="32">
        <v>2.1133580176587952</v>
      </c>
      <c r="W59" s="32">
        <v>4.5827289969876173</v>
      </c>
      <c r="X59" s="32">
        <v>10.196026136818226</v>
      </c>
      <c r="Y59" s="32">
        <v>13.768817464543304</v>
      </c>
      <c r="Z59" s="32">
        <v>4.9194800774352787</v>
      </c>
      <c r="AA59" s="32">
        <v>3.4976023682316226</v>
      </c>
      <c r="AB59" s="32">
        <v>7.8834874241972663</v>
      </c>
    </row>
    <row r="60" spans="2:28" x14ac:dyDescent="0.3">
      <c r="B60" s="12" t="s">
        <v>27</v>
      </c>
      <c r="C60" s="32">
        <v>3.7524732209865519</v>
      </c>
      <c r="D60" s="32">
        <v>6.1945156835667925</v>
      </c>
      <c r="E60" s="32">
        <v>8.6362416661506245</v>
      </c>
      <c r="F60" s="32">
        <v>11.054321597537587</v>
      </c>
      <c r="G60" s="32">
        <v>26.281031326455562</v>
      </c>
      <c r="H60" s="32">
        <v>24.334101070315661</v>
      </c>
      <c r="I60" s="32">
        <v>6.3178999901929878</v>
      </c>
      <c r="J60" s="32">
        <v>-5.7887238774610772</v>
      </c>
      <c r="K60" s="32">
        <v>-11.725285843278465</v>
      </c>
      <c r="L60" s="32">
        <v>-14.107193473250934</v>
      </c>
      <c r="M60" s="32">
        <v>-13.375229568411395</v>
      </c>
      <c r="N60" s="32">
        <v>-16.866531950839768</v>
      </c>
      <c r="O60" s="32">
        <v>-3.6062242234663588</v>
      </c>
      <c r="P60" s="32">
        <v>10.039064922180208</v>
      </c>
      <c r="Q60" s="32">
        <v>14.09707351891505</v>
      </c>
      <c r="R60" s="32">
        <v>13.013845216732811</v>
      </c>
      <c r="S60" s="32">
        <v>11.838655168395285</v>
      </c>
      <c r="T60" s="32">
        <v>9.5955714750895371</v>
      </c>
      <c r="U60" s="32">
        <v>11.542392621996145</v>
      </c>
      <c r="V60" s="32">
        <v>6.896882391800041</v>
      </c>
      <c r="W60" s="32">
        <v>6.4588794641522451</v>
      </c>
      <c r="X60" s="32">
        <v>17.706704616738598</v>
      </c>
      <c r="Y60" s="32">
        <v>15.322266324103762</v>
      </c>
      <c r="Z60" s="32">
        <v>-1.0656495289070422</v>
      </c>
      <c r="AA60" s="32">
        <v>3.9167021061511154</v>
      </c>
      <c r="AB60" s="32">
        <v>1.7853145667288572</v>
      </c>
    </row>
    <row r="61" spans="2:28" x14ac:dyDescent="0.3">
      <c r="B61" s="12" t="s">
        <v>28</v>
      </c>
      <c r="C61" s="32">
        <v>3.7005661390966393</v>
      </c>
      <c r="D61" s="32">
        <v>5.9475183805216325</v>
      </c>
      <c r="E61" s="32">
        <v>8.4721856546432264</v>
      </c>
      <c r="F61" s="32">
        <v>7.4689228315331535</v>
      </c>
      <c r="G61" s="32">
        <v>12.525206898220587</v>
      </c>
      <c r="H61" s="32">
        <v>14.068615503720384</v>
      </c>
      <c r="I61" s="32">
        <v>13.199436931275454</v>
      </c>
      <c r="J61" s="32">
        <v>9.3564719205915701</v>
      </c>
      <c r="K61" s="32">
        <v>2.0295858588935234</v>
      </c>
      <c r="L61" s="32">
        <v>-2.8400270668311856</v>
      </c>
      <c r="M61" s="32">
        <v>-2.6239783690776175</v>
      </c>
      <c r="N61" s="32">
        <v>-0.39336951491438787</v>
      </c>
      <c r="O61" s="32">
        <v>3.5733141855504691</v>
      </c>
      <c r="P61" s="32">
        <v>4.7927329078563785</v>
      </c>
      <c r="Q61" s="32">
        <v>4.188272836059026</v>
      </c>
      <c r="R61" s="32">
        <v>3.8434243454226191</v>
      </c>
      <c r="S61" s="32">
        <v>-1.7948349039637268</v>
      </c>
      <c r="T61" s="32">
        <v>-1.2288026956744913</v>
      </c>
      <c r="U61" s="32">
        <v>1.2783906554185709</v>
      </c>
      <c r="V61" s="32">
        <v>2.7469358987267656</v>
      </c>
      <c r="W61" s="32">
        <v>5.67661469933185</v>
      </c>
      <c r="X61" s="32">
        <v>7.9673247795518432</v>
      </c>
      <c r="Y61" s="32">
        <v>12.983220507054561</v>
      </c>
      <c r="Z61" s="32">
        <v>7.9384385733340057</v>
      </c>
      <c r="AA61" s="32">
        <v>3.2761799882193188</v>
      </c>
      <c r="AB61" s="32">
        <v>5.8192248932123603</v>
      </c>
    </row>
    <row r="62" spans="2:28" x14ac:dyDescent="0.3">
      <c r="B62" s="12" t="s">
        <v>29</v>
      </c>
      <c r="C62" s="32">
        <v>3.1954480550387299</v>
      </c>
      <c r="D62" s="32">
        <v>4.6457997022998354</v>
      </c>
      <c r="E62" s="32">
        <v>3.2675548432335111</v>
      </c>
      <c r="F62" s="32">
        <v>3.3232452566639425</v>
      </c>
      <c r="G62" s="32">
        <v>3.3365252821119684</v>
      </c>
      <c r="H62" s="32">
        <v>3.7357366087651389</v>
      </c>
      <c r="I62" s="32">
        <v>1.2926504589084287</v>
      </c>
      <c r="J62" s="32">
        <v>1.941898668511155</v>
      </c>
      <c r="K62" s="32">
        <v>0.56485675029260829</v>
      </c>
      <c r="L62" s="32">
        <v>0.28337212832707515</v>
      </c>
      <c r="M62" s="32">
        <v>-0.13623978201633413</v>
      </c>
      <c r="N62" s="32">
        <v>-0.71918211981877311</v>
      </c>
      <c r="O62" s="32">
        <v>0.63956841855257185</v>
      </c>
      <c r="P62" s="32">
        <v>0.45513544493704927</v>
      </c>
      <c r="Q62" s="32">
        <v>1.2971322135150176</v>
      </c>
      <c r="R62" s="32">
        <v>1.7675512705827456</v>
      </c>
      <c r="S62" s="32">
        <v>1.6815066820764057</v>
      </c>
      <c r="T62" s="32">
        <v>2.998431146543723</v>
      </c>
      <c r="U62" s="32">
        <v>3.2157789210276677</v>
      </c>
      <c r="V62" s="32">
        <v>2.8279725334297234</v>
      </c>
      <c r="W62" s="32">
        <v>3.1865975456169648</v>
      </c>
      <c r="X62" s="32">
        <v>9.6818143112599628</v>
      </c>
      <c r="Y62" s="32">
        <v>11.019098390352466</v>
      </c>
      <c r="Z62" s="32">
        <v>5.9463869463869612</v>
      </c>
      <c r="AA62" s="32">
        <v>4.6819651932850759</v>
      </c>
      <c r="AB62" s="32">
        <v>2.3333086422365978</v>
      </c>
    </row>
    <row r="63" spans="2:28" x14ac:dyDescent="0.3">
      <c r="B63" s="12" t="s">
        <v>482</v>
      </c>
      <c r="C63" s="32">
        <v>0.82794874603000501</v>
      </c>
      <c r="D63" s="32">
        <v>6.173831816305686</v>
      </c>
      <c r="E63" s="32">
        <v>4.7754475703324806</v>
      </c>
      <c r="F63" s="32">
        <v>5.5498056982171029</v>
      </c>
      <c r="G63" s="32">
        <v>11.592754990656996</v>
      </c>
      <c r="H63" s="32">
        <v>18.777459091135174</v>
      </c>
      <c r="I63" s="32">
        <v>14.327987381879614</v>
      </c>
      <c r="J63" s="32">
        <v>2.2806075108658064</v>
      </c>
      <c r="K63" s="32">
        <v>-2.6487299465240532</v>
      </c>
      <c r="L63" s="32">
        <v>-5.804529347572851</v>
      </c>
      <c r="M63" s="32">
        <v>-5.2028689324811639</v>
      </c>
      <c r="N63" s="32">
        <v>-5.106692664707646</v>
      </c>
      <c r="O63" s="32">
        <v>-1.1417077864760428</v>
      </c>
      <c r="P63" s="32">
        <v>0.10246201586698866</v>
      </c>
      <c r="Q63" s="32">
        <v>1.0279581213078037</v>
      </c>
      <c r="R63" s="32">
        <v>2.2376286346991625</v>
      </c>
      <c r="S63" s="32">
        <v>0.96549966731316328</v>
      </c>
      <c r="T63" s="32">
        <v>1.8031660567310093</v>
      </c>
      <c r="U63" s="32">
        <v>2.6788788650919493</v>
      </c>
      <c r="V63" s="32">
        <v>3.950368879946331</v>
      </c>
      <c r="W63" s="32">
        <v>3.8531518162462142</v>
      </c>
      <c r="X63" s="32">
        <v>11.610193710316729</v>
      </c>
      <c r="Y63" s="32">
        <v>15.139437795713896</v>
      </c>
      <c r="Z63" s="32">
        <v>5.4977568069306759</v>
      </c>
      <c r="AA63" s="32">
        <v>7.8975345981119993</v>
      </c>
      <c r="AB63" s="32">
        <v>4.5269556483036766</v>
      </c>
    </row>
    <row r="64" spans="2:28" x14ac:dyDescent="0.3">
      <c r="B64" s="12" t="s">
        <v>297</v>
      </c>
      <c r="C64" s="32">
        <v>4.4660881147114528</v>
      </c>
      <c r="D64" s="32">
        <v>4.4803474311214009</v>
      </c>
      <c r="E64" s="32">
        <v>4.9250657819471355</v>
      </c>
      <c r="F64" s="32">
        <v>4.8665249232223262</v>
      </c>
      <c r="G64" s="32">
        <v>7.136049352764795</v>
      </c>
      <c r="H64" s="32">
        <v>6.1674080064698877</v>
      </c>
      <c r="I64" s="32">
        <v>3.4614095493463948</v>
      </c>
      <c r="J64" s="32">
        <v>1.4843174790163616</v>
      </c>
      <c r="K64" s="32">
        <v>-0.19443396500190557</v>
      </c>
      <c r="L64" s="32">
        <v>-0.49430100023258872</v>
      </c>
      <c r="M64" s="32">
        <v>-0.6691601893518806</v>
      </c>
      <c r="N64" s="32">
        <v>-1.7400641308504716</v>
      </c>
      <c r="O64" s="32">
        <v>-1.4969387602337125E-2</v>
      </c>
      <c r="P64" s="32">
        <v>-0.59886515053972911</v>
      </c>
      <c r="Q64" s="32">
        <v>1.284773997258748</v>
      </c>
      <c r="R64" s="32">
        <v>2.6142818903726495</v>
      </c>
      <c r="S64" s="32">
        <v>1.520201727436099</v>
      </c>
      <c r="T64" s="32">
        <v>0.91073901189100415</v>
      </c>
      <c r="U64" s="32">
        <v>2.1445445672009233</v>
      </c>
      <c r="V64" s="32">
        <v>1.8987078815073444</v>
      </c>
      <c r="W64" s="32">
        <v>2.7725678871401982</v>
      </c>
      <c r="X64" s="32">
        <v>9.7185855219656503</v>
      </c>
      <c r="Y64" s="32">
        <v>12.130124025214851</v>
      </c>
      <c r="Z64" s="32">
        <v>6.6977674108630536</v>
      </c>
      <c r="AA64" s="32">
        <v>9.9867018597247679</v>
      </c>
      <c r="AB64" s="32">
        <v>7.2484350182192125</v>
      </c>
    </row>
    <row r="65" spans="2:28" x14ac:dyDescent="0.3">
      <c r="B65" s="12" t="s">
        <v>30</v>
      </c>
      <c r="C65" s="32">
        <v>1.8339808664410651</v>
      </c>
      <c r="D65" s="32">
        <v>4.494174597965217</v>
      </c>
      <c r="E65" s="32">
        <v>2.1926466835482605</v>
      </c>
      <c r="F65" s="32">
        <v>3.0656934306569461</v>
      </c>
      <c r="G65" s="32">
        <v>2.8757268525421376</v>
      </c>
      <c r="H65" s="32">
        <v>3.9982608380586759</v>
      </c>
      <c r="I65" s="32">
        <v>3.5100860537226053</v>
      </c>
      <c r="J65" s="32">
        <v>2.5546523956176959</v>
      </c>
      <c r="K65" s="32">
        <v>2.6337813223058948</v>
      </c>
      <c r="L65" s="32">
        <v>0.32617037605526811</v>
      </c>
      <c r="M65" s="32">
        <v>-0.5243195002231138</v>
      </c>
      <c r="N65" s="32">
        <v>-0.4293564459539656</v>
      </c>
      <c r="O65" s="32">
        <v>1.2662708564624925</v>
      </c>
      <c r="P65" s="32">
        <v>1.1185611236454784</v>
      </c>
      <c r="Q65" s="32">
        <v>1.2130354168631063</v>
      </c>
      <c r="R65" s="32">
        <v>1.3257987394044823</v>
      </c>
      <c r="S65" s="32">
        <v>0.26199669056812258</v>
      </c>
      <c r="T65" s="32">
        <v>-0.54554623389724277</v>
      </c>
      <c r="U65" s="32">
        <v>1.4735257060324081</v>
      </c>
      <c r="V65" s="32">
        <v>-0.14082161081753197</v>
      </c>
      <c r="W65" s="32">
        <v>3.9970886152726148</v>
      </c>
      <c r="X65" s="32">
        <v>9.023970605389021</v>
      </c>
      <c r="Y65" s="32">
        <v>6.9035614459764805</v>
      </c>
      <c r="Z65" s="32">
        <v>5.4994683180083825</v>
      </c>
      <c r="AA65" s="32">
        <v>8.1405414379053909</v>
      </c>
      <c r="AB65" s="32">
        <v>6.2646652670341529</v>
      </c>
    </row>
    <row r="66" spans="2:28" x14ac:dyDescent="0.3">
      <c r="B66" s="12" t="s">
        <v>298</v>
      </c>
      <c r="C66" s="32">
        <v>10.0045285753102</v>
      </c>
      <c r="D66" s="32">
        <v>7.8332894216835758</v>
      </c>
      <c r="E66" s="32">
        <v>5.1920287088646155</v>
      </c>
      <c r="F66" s="32">
        <v>4.6976845467082695</v>
      </c>
      <c r="G66" s="32">
        <v>9.3800696052467547</v>
      </c>
      <c r="H66" s="32">
        <v>15.480566893998926</v>
      </c>
      <c r="I66" s="32">
        <v>13.203363410832281</v>
      </c>
      <c r="J66" s="32">
        <v>3.5296627426643079</v>
      </c>
      <c r="K66" s="32">
        <v>-2.1608002547627292</v>
      </c>
      <c r="L66" s="32">
        <v>-6.3690060215012672</v>
      </c>
      <c r="M66" s="32">
        <v>-7.0711408298059446</v>
      </c>
      <c r="N66" s="32">
        <v>-5.3966332929915373</v>
      </c>
      <c r="O66" s="32">
        <v>-0.31284526370878307</v>
      </c>
      <c r="P66" s="32">
        <v>3.196602734611953</v>
      </c>
      <c r="Q66" s="32">
        <v>6.4190105815320697</v>
      </c>
      <c r="R66" s="32">
        <v>9.2177109227271625</v>
      </c>
      <c r="S66" s="32">
        <v>8.1586600655571893</v>
      </c>
      <c r="T66" s="32">
        <v>8.4272340578602325</v>
      </c>
      <c r="U66" s="32">
        <v>5.8455668906029601</v>
      </c>
      <c r="V66" s="32">
        <v>4.9906752965882539</v>
      </c>
      <c r="W66" s="32">
        <v>5.3064849574958828</v>
      </c>
      <c r="X66" s="32">
        <v>14.910309928630671</v>
      </c>
      <c r="Y66" s="32">
        <v>21.689332963271333</v>
      </c>
      <c r="Z66" s="32">
        <v>9.9345669814141946</v>
      </c>
      <c r="AA66" s="32">
        <v>8.452204221261205</v>
      </c>
      <c r="AB66" s="32">
        <v>5.4768188749173774</v>
      </c>
    </row>
    <row r="67" spans="2:28" x14ac:dyDescent="0.3">
      <c r="B67" s="12" t="s">
        <v>299</v>
      </c>
      <c r="C67" s="32">
        <v>3.4017958922464731</v>
      </c>
      <c r="D67" s="32">
        <v>5.1582082624168413</v>
      </c>
      <c r="E67" s="32">
        <v>2.5031726471832494</v>
      </c>
      <c r="F67" s="32">
        <v>2.6017368836575017</v>
      </c>
      <c r="G67" s="32">
        <v>2.6424399286488764</v>
      </c>
      <c r="H67" s="32">
        <v>4.2713781881996038</v>
      </c>
      <c r="I67" s="32">
        <v>6.781045751633985</v>
      </c>
      <c r="J67" s="32">
        <v>6.8676358071920518</v>
      </c>
      <c r="K67" s="32">
        <v>2.017526275093795</v>
      </c>
      <c r="L67" s="32">
        <v>-3.0345137339116035</v>
      </c>
      <c r="M67" s="32">
        <v>-6.0606499240066558</v>
      </c>
      <c r="N67" s="32">
        <v>-4.4654688896422101</v>
      </c>
      <c r="O67" s="32">
        <v>-1.633870967741935</v>
      </c>
      <c r="P67" s="32">
        <v>3.1318149769622883</v>
      </c>
      <c r="Q67" s="32">
        <v>4.5646056250695732</v>
      </c>
      <c r="R67" s="32">
        <v>6.0683006933462957</v>
      </c>
      <c r="S67" s="32">
        <v>6.7145457933743602</v>
      </c>
      <c r="T67" s="32">
        <v>7.3734266485767419</v>
      </c>
      <c r="U67" s="32">
        <v>7.8879547615473111</v>
      </c>
      <c r="V67" s="32">
        <v>6.1528114382457755</v>
      </c>
      <c r="W67" s="32">
        <v>6.4188414187867915</v>
      </c>
      <c r="X67" s="32">
        <v>16.529629743684502</v>
      </c>
      <c r="Y67" s="32">
        <v>23.071298955268581</v>
      </c>
      <c r="Z67" s="32">
        <v>7.2398416754346329</v>
      </c>
      <c r="AA67" s="32">
        <v>5.5330111861601416</v>
      </c>
      <c r="AB67" s="32">
        <v>3.7570924704799946</v>
      </c>
    </row>
    <row r="68" spans="2:28" x14ac:dyDescent="0.3">
      <c r="B68" s="12" t="s">
        <v>31</v>
      </c>
      <c r="C68" s="32">
        <v>8.03163713430488</v>
      </c>
      <c r="D68" s="32">
        <v>8.3911416725654711</v>
      </c>
      <c r="E68" s="32">
        <v>8.3180953091763996</v>
      </c>
      <c r="F68" s="32">
        <v>8.5561220974299079</v>
      </c>
      <c r="G68" s="32">
        <v>12.815182722670947</v>
      </c>
      <c r="H68" s="32">
        <v>17.925311203319506</v>
      </c>
      <c r="I68" s="32">
        <v>11.631818127601701</v>
      </c>
      <c r="J68" s="32">
        <v>3.7300595142695459</v>
      </c>
      <c r="K68" s="32">
        <v>-2.5895634618157803</v>
      </c>
      <c r="L68" s="32">
        <v>-5.0429320700448361</v>
      </c>
      <c r="M68" s="32">
        <v>-3.6570563146582913</v>
      </c>
      <c r="N68" s="32">
        <v>-3.3473964052476379</v>
      </c>
      <c r="O68" s="32">
        <v>-1.3980076298448996</v>
      </c>
      <c r="P68" s="32">
        <v>0.33232261976956501</v>
      </c>
      <c r="Q68" s="32">
        <v>1.7600696291281803</v>
      </c>
      <c r="R68" s="32">
        <v>3.6873366595390866</v>
      </c>
      <c r="S68" s="32">
        <v>2.4288529398286185</v>
      </c>
      <c r="T68" s="32">
        <v>4.791731913560926</v>
      </c>
      <c r="U68" s="32">
        <v>4.9739561096405094</v>
      </c>
      <c r="V68" s="32">
        <v>3.4133891894090329</v>
      </c>
      <c r="W68" s="32">
        <v>3.9889877587139244</v>
      </c>
      <c r="X68" s="32">
        <v>10.060324123976482</v>
      </c>
      <c r="Y68" s="32">
        <v>16.441298259480064</v>
      </c>
      <c r="Z68" s="32">
        <v>8.0787959274015044</v>
      </c>
      <c r="AA68" s="32">
        <v>6.0359068878421906</v>
      </c>
      <c r="AB68" s="32">
        <v>5.3633285839400857</v>
      </c>
    </row>
    <row r="69" spans="2:28" x14ac:dyDescent="0.3">
      <c r="B69" s="12" t="s">
        <v>300</v>
      </c>
      <c r="C69" s="32">
        <v>3.039003578866506</v>
      </c>
      <c r="D69" s="32">
        <v>6.0812401883830303</v>
      </c>
      <c r="E69" s="32">
        <v>3.9974842301929714</v>
      </c>
      <c r="F69" s="32">
        <v>4.6300249021700379</v>
      </c>
      <c r="G69" s="32">
        <v>5.2547472927256367</v>
      </c>
      <c r="H69" s="32">
        <v>7.205155538327368</v>
      </c>
      <c r="I69" s="32">
        <v>5.4342749529189938</v>
      </c>
      <c r="J69" s="32">
        <v>3.3594352833585805</v>
      </c>
      <c r="K69" s="32">
        <v>-0.69954239420455533</v>
      </c>
      <c r="L69" s="32">
        <v>-0.9954473944338571</v>
      </c>
      <c r="M69" s="32">
        <v>-1.4540443244459467</v>
      </c>
      <c r="N69" s="32">
        <v>-2.5913981563400745</v>
      </c>
      <c r="O69" s="32">
        <v>0.49075620403737918</v>
      </c>
      <c r="P69" s="32">
        <v>1.3367931542195732</v>
      </c>
      <c r="Q69" s="32">
        <v>1.8715654400552451</v>
      </c>
      <c r="R69" s="32">
        <v>3.1278683894655046</v>
      </c>
      <c r="S69" s="32">
        <v>3.7573599890455833</v>
      </c>
      <c r="T69" s="32">
        <v>6.1261118589489794</v>
      </c>
      <c r="U69" s="32">
        <v>6.3258555511341186</v>
      </c>
      <c r="V69" s="32">
        <v>5.9214296574389147</v>
      </c>
      <c r="W69" s="32">
        <v>6.6459819358258176</v>
      </c>
      <c r="X69" s="32">
        <v>16.645441838794838</v>
      </c>
      <c r="Y69" s="32">
        <v>20.47629191741671</v>
      </c>
      <c r="Z69" s="32">
        <v>9.5564020010167283</v>
      </c>
      <c r="AA69" s="32">
        <v>6.7968151067235194</v>
      </c>
      <c r="AB69" s="32">
        <v>3.4543139127666267</v>
      </c>
    </row>
    <row r="70" spans="2:28" x14ac:dyDescent="0.3">
      <c r="B70" s="12" t="s">
        <v>32</v>
      </c>
      <c r="C70" s="32">
        <v>4.3493216950100111</v>
      </c>
      <c r="D70" s="32">
        <v>5.0457392450964145</v>
      </c>
      <c r="E70" s="32">
        <v>5.9036971658330994</v>
      </c>
      <c r="F70" s="32">
        <v>6.550606537642345</v>
      </c>
      <c r="G70" s="32">
        <v>9.7371897378850214</v>
      </c>
      <c r="H70" s="32">
        <v>7.753350017423255</v>
      </c>
      <c r="I70" s="32">
        <v>6.2385159270311519</v>
      </c>
      <c r="J70" s="32">
        <v>2.8461527818133714</v>
      </c>
      <c r="K70" s="32">
        <v>0.84084488093638665</v>
      </c>
      <c r="L70" s="32">
        <v>-0.42425455273162882</v>
      </c>
      <c r="M70" s="32">
        <v>4.0194541581106691E-3</v>
      </c>
      <c r="N70" s="32">
        <v>0.3617363344051272</v>
      </c>
      <c r="O70" s="32">
        <v>1.9383259911894157</v>
      </c>
      <c r="P70" s="32">
        <v>2.7343443073780227</v>
      </c>
      <c r="Q70" s="32">
        <v>3.2441045251752731</v>
      </c>
      <c r="R70" s="32">
        <v>4.8990678436940716</v>
      </c>
      <c r="S70" s="32">
        <v>4.5572778738980579</v>
      </c>
      <c r="T70" s="32">
        <v>4.6580739573366392</v>
      </c>
      <c r="U70" s="32">
        <v>5.3596205349940362</v>
      </c>
      <c r="V70" s="32">
        <v>6.2211605210502618</v>
      </c>
      <c r="W70" s="32">
        <v>6.4718885151369587</v>
      </c>
      <c r="X70" s="32">
        <v>12.502707972270333</v>
      </c>
      <c r="Y70" s="32">
        <v>14.482288281782797</v>
      </c>
      <c r="Z70" s="32">
        <v>1.0057118828187939</v>
      </c>
      <c r="AA70" s="32">
        <v>3.7468776019983441</v>
      </c>
      <c r="AB70" s="32">
        <v>4.5760965458720992</v>
      </c>
    </row>
    <row r="71" spans="2:28" x14ac:dyDescent="0.3">
      <c r="B71" s="12" t="s">
        <v>528</v>
      </c>
      <c r="C71" s="32">
        <v>7.2462199986617293</v>
      </c>
      <c r="D71" s="32">
        <v>6.6821260817435224</v>
      </c>
      <c r="E71" s="32">
        <v>7.039654090166203</v>
      </c>
      <c r="F71" s="32">
        <v>6.0021244982034094</v>
      </c>
      <c r="G71" s="32">
        <v>9.2828643905431782</v>
      </c>
      <c r="H71" s="32">
        <v>10.048907668326201</v>
      </c>
      <c r="I71" s="32">
        <v>6.6559360375462395</v>
      </c>
      <c r="J71" s="32">
        <v>1.2556752461439613</v>
      </c>
      <c r="K71" s="32">
        <v>-5.1805089155800736</v>
      </c>
      <c r="L71" s="32">
        <v>-8.6848208434985192</v>
      </c>
      <c r="M71" s="32">
        <v>-6.9616369103892461</v>
      </c>
      <c r="N71" s="32">
        <v>-6.2118245337563049</v>
      </c>
      <c r="O71" s="32">
        <v>-2.874394736507091</v>
      </c>
      <c r="P71" s="32">
        <v>1.2932740024350187</v>
      </c>
      <c r="Q71" s="32">
        <v>4.4782205383140816</v>
      </c>
      <c r="R71" s="32">
        <v>4.1649919129427726</v>
      </c>
      <c r="S71" s="32">
        <v>3.4187730896821922</v>
      </c>
      <c r="T71" s="32">
        <v>3.1917380512243021</v>
      </c>
      <c r="U71" s="32">
        <v>2.7414383367678319</v>
      </c>
      <c r="V71" s="32">
        <v>2.962949267490389</v>
      </c>
      <c r="W71" s="32">
        <v>3.0436785865883165</v>
      </c>
      <c r="X71" s="32">
        <v>9.0095409549330476</v>
      </c>
      <c r="Y71" s="32">
        <v>12.522795781124696</v>
      </c>
      <c r="Z71" s="32">
        <v>6.1149903182605936</v>
      </c>
      <c r="AA71" s="32">
        <v>7.5969324967609664</v>
      </c>
      <c r="AB71" s="32">
        <v>6.5908685748929274</v>
      </c>
    </row>
    <row r="72" spans="2:28" x14ac:dyDescent="0.3">
      <c r="B72" s="12" t="s">
        <v>33</v>
      </c>
      <c r="C72" s="32">
        <v>8.1710434580525071</v>
      </c>
      <c r="D72" s="32">
        <v>12.22231770721438</v>
      </c>
      <c r="E72" s="32">
        <v>13.745572891739277</v>
      </c>
      <c r="F72" s="32">
        <v>16.234957502314206</v>
      </c>
      <c r="G72" s="32">
        <v>19.940342595676299</v>
      </c>
      <c r="H72" s="32">
        <v>20.400328375507048</v>
      </c>
      <c r="I72" s="32">
        <v>7.4852100671813693</v>
      </c>
      <c r="J72" s="32">
        <v>-5.1616213442790997</v>
      </c>
      <c r="K72" s="32">
        <v>-11.30314178355729</v>
      </c>
      <c r="L72" s="32">
        <v>-9.5684865422363981</v>
      </c>
      <c r="M72" s="32">
        <v>-8.6874409820585576</v>
      </c>
      <c r="N72" s="32">
        <v>-7.3570689909883136</v>
      </c>
      <c r="O72" s="32">
        <v>-1.9991012017802068</v>
      </c>
      <c r="P72" s="32">
        <v>8.32519747936451</v>
      </c>
      <c r="Q72" s="32">
        <v>6.8701351904957075</v>
      </c>
      <c r="R72" s="32">
        <v>4.674103320938916</v>
      </c>
      <c r="S72" s="32">
        <v>6.5760080079102501</v>
      </c>
      <c r="T72" s="32">
        <v>6.8529081620965382</v>
      </c>
      <c r="U72" s="32">
        <v>7.3427735317132869</v>
      </c>
      <c r="V72" s="32">
        <v>12.864118874764085</v>
      </c>
      <c r="W72" s="32">
        <v>3.6418010812150126</v>
      </c>
      <c r="X72" s="32">
        <v>11.540333114216672</v>
      </c>
      <c r="Y72" s="32">
        <v>8.2935976426466773</v>
      </c>
      <c r="Z72" s="32">
        <v>-1.1597910821183</v>
      </c>
      <c r="AA72" s="32">
        <v>3.2484805148373264</v>
      </c>
      <c r="AB72" s="32">
        <v>1.6715858189520594</v>
      </c>
    </row>
    <row r="73" spans="2:28" x14ac:dyDescent="0.3">
      <c r="B73" s="12" t="s">
        <v>301</v>
      </c>
      <c r="C73" s="32">
        <v>4.949735723909221</v>
      </c>
      <c r="D73" s="32">
        <v>4.9730412971777271</v>
      </c>
      <c r="E73" s="32">
        <v>3.5709582133920392</v>
      </c>
      <c r="F73" s="32">
        <v>3.2116841359515869</v>
      </c>
      <c r="G73" s="32">
        <v>4.1114455180667697</v>
      </c>
      <c r="H73" s="32">
        <v>4.1215153922878223</v>
      </c>
      <c r="I73" s="32">
        <v>1.5927651767303486</v>
      </c>
      <c r="J73" s="32">
        <v>0.29246308252890429</v>
      </c>
      <c r="K73" s="32">
        <v>-2.1575970042227666</v>
      </c>
      <c r="L73" s="32">
        <v>-2.3957264539665513</v>
      </c>
      <c r="M73" s="32">
        <v>-1.9806440847655371</v>
      </c>
      <c r="N73" s="32">
        <v>-3.2174046269342838</v>
      </c>
      <c r="O73" s="32">
        <v>-0.33067736091321187</v>
      </c>
      <c r="P73" s="32">
        <v>-0.47824936027530685</v>
      </c>
      <c r="Q73" s="32">
        <v>2.322942156967045</v>
      </c>
      <c r="R73" s="32">
        <v>3.7016497989740715</v>
      </c>
      <c r="S73" s="32">
        <v>3.8653074866310089</v>
      </c>
      <c r="T73" s="32">
        <v>5.1083616237349805</v>
      </c>
      <c r="U73" s="32">
        <v>5.7923095762919319</v>
      </c>
      <c r="V73" s="32">
        <v>5.3521819655052871</v>
      </c>
      <c r="W73" s="32">
        <v>5.9798656796363314</v>
      </c>
      <c r="X73" s="32">
        <v>12.54325147411388</v>
      </c>
      <c r="Y73" s="32">
        <v>16.081709732393733</v>
      </c>
      <c r="Z73" s="32">
        <v>8.2908441622854934</v>
      </c>
      <c r="AA73" s="32">
        <v>7.4371610728418469</v>
      </c>
      <c r="AB73" s="32">
        <v>5.6089979479275742</v>
      </c>
    </row>
    <row r="74" spans="2:28" x14ac:dyDescent="0.3">
      <c r="B74" s="12" t="s">
        <v>302</v>
      </c>
      <c r="C74" s="32">
        <v>1.6989530436963163</v>
      </c>
      <c r="D74" s="32">
        <v>5.3137714215263365</v>
      </c>
      <c r="E74" s="32">
        <v>2.3452743307578183</v>
      </c>
      <c r="F74" s="32">
        <v>3.1837419453235372</v>
      </c>
      <c r="G74" s="32">
        <v>3.6471805483704101</v>
      </c>
      <c r="H74" s="32">
        <v>7.2551606117865264</v>
      </c>
      <c r="I74" s="32">
        <v>6.5134290652838711</v>
      </c>
      <c r="J74" s="32">
        <v>5.1352068282178864</v>
      </c>
      <c r="K74" s="32">
        <v>1.1769420285553167</v>
      </c>
      <c r="L74" s="32">
        <v>1.7280075105249981</v>
      </c>
      <c r="M74" s="32">
        <v>-0.34319168264861366</v>
      </c>
      <c r="N74" s="32">
        <v>-0.55128705994706984</v>
      </c>
      <c r="O74" s="32">
        <v>1.0504874145205845</v>
      </c>
      <c r="P74" s="32">
        <v>-0.86534585037145728</v>
      </c>
      <c r="Q74" s="32">
        <v>0.41684216641730831</v>
      </c>
      <c r="R74" s="32">
        <v>1.9858833058520764</v>
      </c>
      <c r="S74" s="32">
        <v>3.0278963565968375</v>
      </c>
      <c r="T74" s="32">
        <v>2.5163119786361321</v>
      </c>
      <c r="U74" s="32">
        <v>6.3807503289738721</v>
      </c>
      <c r="V74" s="32">
        <v>4.7257213541009202</v>
      </c>
      <c r="W74" s="32">
        <v>8.1282391225744313</v>
      </c>
      <c r="X74" s="32">
        <v>16.458969614552931</v>
      </c>
      <c r="Y74" s="32">
        <v>23.045558958652347</v>
      </c>
      <c r="Z74" s="32">
        <v>5.3991194635883977</v>
      </c>
      <c r="AA74" s="32">
        <v>4.6834293980029473</v>
      </c>
      <c r="AB74" s="32">
        <v>3.7703507187208718</v>
      </c>
    </row>
    <row r="75" spans="2:28" x14ac:dyDescent="0.3">
      <c r="B75" s="12" t="s">
        <v>529</v>
      </c>
      <c r="C75" s="32">
        <v>3.3234116801806435</v>
      </c>
      <c r="D75" s="32">
        <v>5.2946318591806651</v>
      </c>
      <c r="E75" s="32">
        <v>3.3679880752466751</v>
      </c>
      <c r="F75" s="32">
        <v>3.2801547897196359</v>
      </c>
      <c r="G75" s="32">
        <v>3.7486081900284685</v>
      </c>
      <c r="H75" s="32">
        <v>3.0220435419576752</v>
      </c>
      <c r="I75" s="32">
        <v>-0.36212712480983011</v>
      </c>
      <c r="J75" s="32">
        <v>-1.953300031531624</v>
      </c>
      <c r="K75" s="32">
        <v>-4.5616113744075921</v>
      </c>
      <c r="L75" s="32">
        <v>-3.0699654163341195</v>
      </c>
      <c r="M75" s="32">
        <v>-3.8149083324184874</v>
      </c>
      <c r="N75" s="32">
        <v>-4.1507352241815454</v>
      </c>
      <c r="O75" s="32">
        <v>-1.6353424494413238</v>
      </c>
      <c r="P75" s="32">
        <v>0.36519177612333031</v>
      </c>
      <c r="Q75" s="32">
        <v>2.5550820199421009</v>
      </c>
      <c r="R75" s="32">
        <v>3.6479466823483131</v>
      </c>
      <c r="S75" s="32">
        <v>3.1318556623042726</v>
      </c>
      <c r="T75" s="32">
        <v>4.4542653854617198</v>
      </c>
      <c r="U75" s="32">
        <v>4.7313073857551791</v>
      </c>
      <c r="V75" s="32">
        <v>4.7975056993429188</v>
      </c>
      <c r="W75" s="32">
        <v>6.1854185994433486</v>
      </c>
      <c r="X75" s="32">
        <v>12.314528884537168</v>
      </c>
      <c r="Y75" s="32">
        <v>13.395922746781119</v>
      </c>
      <c r="Z75" s="32">
        <v>7.1261295358849397</v>
      </c>
      <c r="AA75" s="32">
        <v>7.8191072394642847</v>
      </c>
      <c r="AB75" s="32">
        <v>6.9039902458341906</v>
      </c>
    </row>
    <row r="76" spans="2:28" x14ac:dyDescent="0.3">
      <c r="B76" s="12" t="s">
        <v>34</v>
      </c>
      <c r="C76" s="32">
        <v>3.3669898225994421</v>
      </c>
      <c r="D76" s="32">
        <v>6.2461083437110876</v>
      </c>
      <c r="E76" s="32">
        <v>4.2507600454195993</v>
      </c>
      <c r="F76" s="32">
        <v>3.6874374154559408</v>
      </c>
      <c r="G76" s="32">
        <v>3.7477550743790555</v>
      </c>
      <c r="H76" s="32">
        <v>5.6373909919325893</v>
      </c>
      <c r="I76" s="32">
        <v>7.1530161085860744</v>
      </c>
      <c r="J76" s="32">
        <v>4.7162869880109426</v>
      </c>
      <c r="K76" s="32">
        <v>-0.36648204789069272</v>
      </c>
      <c r="L76" s="32">
        <v>-1.0177554068255712</v>
      </c>
      <c r="M76" s="32">
        <v>-2.5118748253702305</v>
      </c>
      <c r="N76" s="32">
        <v>-2.1180247055114454</v>
      </c>
      <c r="O76" s="32">
        <v>0.56072850784727457</v>
      </c>
      <c r="P76" s="32">
        <v>0.37416104939800299</v>
      </c>
      <c r="Q76" s="32">
        <v>1.4504525411928482</v>
      </c>
      <c r="R76" s="32">
        <v>1.8815052041633251</v>
      </c>
      <c r="S76" s="32">
        <v>2.7617176536626431</v>
      </c>
      <c r="T76" s="32">
        <v>4.7891516906101605</v>
      </c>
      <c r="U76" s="32">
        <v>6.070241741056881</v>
      </c>
      <c r="V76" s="32">
        <v>5.7056503630533273</v>
      </c>
      <c r="W76" s="32">
        <v>6.0729686065297495</v>
      </c>
      <c r="X76" s="32">
        <v>16.099800574171084</v>
      </c>
      <c r="Y76" s="32">
        <v>20.037751875796307</v>
      </c>
      <c r="Z76" s="32">
        <v>8.2068781155158597</v>
      </c>
      <c r="AA76" s="32">
        <v>10.110881822937845</v>
      </c>
      <c r="AB76" s="32">
        <v>2.6467789705034717</v>
      </c>
    </row>
    <row r="77" spans="2:28" x14ac:dyDescent="0.3">
      <c r="B77" s="12" t="s">
        <v>35</v>
      </c>
      <c r="C77" s="32">
        <v>3.3988942264118194E-2</v>
      </c>
      <c r="D77" s="32">
        <v>4.4170611819602579</v>
      </c>
      <c r="E77" s="32">
        <v>2.902575004881025</v>
      </c>
      <c r="F77" s="32">
        <v>5.0258248129018579</v>
      </c>
      <c r="G77" s="32">
        <v>12.669864910977747</v>
      </c>
      <c r="H77" s="32">
        <v>29.367016443676384</v>
      </c>
      <c r="I77" s="32">
        <v>17.307718790883463</v>
      </c>
      <c r="J77" s="32">
        <v>2.4418017679583848</v>
      </c>
      <c r="K77" s="32">
        <v>-4.1426492327790836</v>
      </c>
      <c r="L77" s="32">
        <v>-7.6869739862279962</v>
      </c>
      <c r="M77" s="32">
        <v>-10.672382087078136</v>
      </c>
      <c r="N77" s="32">
        <v>-9.1407280687765375</v>
      </c>
      <c r="O77" s="32">
        <v>0.49782997191727407</v>
      </c>
      <c r="P77" s="32">
        <v>5.5045725898640763</v>
      </c>
      <c r="Q77" s="32">
        <v>7.0909391882740591</v>
      </c>
      <c r="R77" s="32">
        <v>6.9249469527703944</v>
      </c>
      <c r="S77" s="32">
        <v>8.347899225926847</v>
      </c>
      <c r="T77" s="32">
        <v>10.809892895697647</v>
      </c>
      <c r="U77" s="32">
        <v>12.451425756663559</v>
      </c>
      <c r="V77" s="32">
        <v>10.275479412051002</v>
      </c>
      <c r="W77" s="32">
        <v>11.425065762759745</v>
      </c>
      <c r="X77" s="32">
        <v>28.627336032132078</v>
      </c>
      <c r="Y77" s="32">
        <v>17.926277214917018</v>
      </c>
      <c r="Z77" s="32">
        <v>0.27001478030614923</v>
      </c>
      <c r="AA77" s="32">
        <v>3.6627289205575453</v>
      </c>
      <c r="AB77" s="32">
        <v>4.1729332891483395</v>
      </c>
    </row>
    <row r="78" spans="2:28" x14ac:dyDescent="0.3">
      <c r="B78" s="12" t="s">
        <v>303</v>
      </c>
      <c r="C78" s="32">
        <v>5.3872503225232515</v>
      </c>
      <c r="D78" s="32">
        <v>5.5972984381595481</v>
      </c>
      <c r="E78" s="32">
        <v>3.7376079309242138</v>
      </c>
      <c r="F78" s="32">
        <v>3.6588185426380537</v>
      </c>
      <c r="G78" s="32">
        <v>4.0910020259846469</v>
      </c>
      <c r="H78" s="32">
        <v>3.4677332952394613</v>
      </c>
      <c r="I78" s="32">
        <v>5.3931382024023033</v>
      </c>
      <c r="J78" s="32">
        <v>4.4785406671142614</v>
      </c>
      <c r="K78" s="32">
        <v>4.3022381041941005</v>
      </c>
      <c r="L78" s="32">
        <v>2.5154397511607973</v>
      </c>
      <c r="M78" s="32">
        <v>2.3921551382964701</v>
      </c>
      <c r="N78" s="32">
        <v>-1.5231551070073568</v>
      </c>
      <c r="O78" s="32">
        <v>1.949382913462494</v>
      </c>
      <c r="P78" s="32">
        <v>1.8279815205612282</v>
      </c>
      <c r="Q78" s="32">
        <v>5.5227266362338101</v>
      </c>
      <c r="R78" s="32">
        <v>7.5705300034502043</v>
      </c>
      <c r="S78" s="32">
        <v>8.4896932015839468</v>
      </c>
      <c r="T78" s="32">
        <v>4.8041389504804188</v>
      </c>
      <c r="U78" s="32">
        <v>5.171964847564281</v>
      </c>
      <c r="V78" s="32">
        <v>2.8719683918421168</v>
      </c>
      <c r="W78" s="32">
        <v>4.0162052125429781</v>
      </c>
      <c r="X78" s="32">
        <v>11.340454659391108</v>
      </c>
      <c r="Y78" s="32">
        <v>16.744451852557397</v>
      </c>
      <c r="Z78" s="32">
        <v>7.7313891134564772</v>
      </c>
      <c r="AA78" s="32">
        <v>4.4743237568072081</v>
      </c>
      <c r="AB78" s="32">
        <v>3.4132731017072704</v>
      </c>
    </row>
    <row r="79" spans="2:28" x14ac:dyDescent="0.3">
      <c r="B79" s="12" t="s">
        <v>36</v>
      </c>
      <c r="C79" s="32">
        <v>6.6861337226744588</v>
      </c>
      <c r="D79" s="32">
        <v>8.4811218177045955</v>
      </c>
      <c r="E79" s="32">
        <v>5.1187225659282021</v>
      </c>
      <c r="F79" s="32">
        <v>3.0035509962517137</v>
      </c>
      <c r="G79" s="32">
        <v>4.6045806400127676</v>
      </c>
      <c r="H79" s="32">
        <v>6.7912725053402401</v>
      </c>
      <c r="I79" s="32">
        <v>4.7863296709576897</v>
      </c>
      <c r="J79" s="32">
        <v>1.1562427564391076</v>
      </c>
      <c r="K79" s="32">
        <v>-2.5286767580099734</v>
      </c>
      <c r="L79" s="32">
        <v>-2.2319638239320372</v>
      </c>
      <c r="M79" s="32">
        <v>-2.2376554123820891</v>
      </c>
      <c r="N79" s="32">
        <v>-3.5461608576761172</v>
      </c>
      <c r="O79" s="32">
        <v>0.34200342003418704</v>
      </c>
      <c r="P79" s="32">
        <v>3.4367805782282712</v>
      </c>
      <c r="Q79" s="32">
        <v>3.344268928937888</v>
      </c>
      <c r="R79" s="32">
        <v>6.1252744486553601</v>
      </c>
      <c r="S79" s="32">
        <v>7.1000303082214389</v>
      </c>
      <c r="T79" s="32">
        <v>9.3497385419870849</v>
      </c>
      <c r="U79" s="32">
        <v>10.33373089992573</v>
      </c>
      <c r="V79" s="32">
        <v>7.2508107446613179</v>
      </c>
      <c r="W79" s="32">
        <v>7.4585425224402702</v>
      </c>
      <c r="X79" s="32">
        <v>18.101617527342249</v>
      </c>
      <c r="Y79" s="32">
        <v>15.713012010279549</v>
      </c>
      <c r="Z79" s="32">
        <v>7.1224610045250714E-2</v>
      </c>
      <c r="AA79" s="32">
        <v>2.5745546777439232</v>
      </c>
      <c r="AB79" s="32">
        <v>1.8995101931909675</v>
      </c>
    </row>
    <row r="80" spans="2:28" x14ac:dyDescent="0.3">
      <c r="B80" s="12" t="s">
        <v>37</v>
      </c>
      <c r="C80" s="32">
        <v>3.2435162615016333</v>
      </c>
      <c r="D80" s="32">
        <v>3.9201089037308012</v>
      </c>
      <c r="E80" s="32">
        <v>3.3383138547188773</v>
      </c>
      <c r="F80" s="32">
        <v>2.976945016637611</v>
      </c>
      <c r="G80" s="32">
        <v>5.606739628012547</v>
      </c>
      <c r="H80" s="32">
        <v>7.5966196772666139</v>
      </c>
      <c r="I80" s="32">
        <v>4.5973898471486585</v>
      </c>
      <c r="J80" s="32">
        <v>1.5276811289304471</v>
      </c>
      <c r="K80" s="32">
        <v>0.18171095206975796</v>
      </c>
      <c r="L80" s="32">
        <v>-0.98964216957566631</v>
      </c>
      <c r="M80" s="32">
        <v>-0.22497549374085324</v>
      </c>
      <c r="N80" s="32">
        <v>-0.90515228140249926</v>
      </c>
      <c r="O80" s="32">
        <v>1.7390739025143542</v>
      </c>
      <c r="P80" s="32">
        <v>1.6294710609134455</v>
      </c>
      <c r="Q80" s="32">
        <v>1.8532782117987479</v>
      </c>
      <c r="R80" s="32">
        <v>2.7733193407000201</v>
      </c>
      <c r="S80" s="32">
        <v>3.9208325199345362</v>
      </c>
      <c r="T80" s="32">
        <v>3.0388416854516986</v>
      </c>
      <c r="U80" s="32">
        <v>2.8678811336895205</v>
      </c>
      <c r="V80" s="32">
        <v>3.5813611080815821</v>
      </c>
      <c r="W80" s="32">
        <v>4.297240026849547</v>
      </c>
      <c r="X80" s="32">
        <v>13.131593559133803</v>
      </c>
      <c r="Y80" s="32">
        <v>14.723926380368102</v>
      </c>
      <c r="Z80" s="32">
        <v>7.7180359747204719</v>
      </c>
      <c r="AA80" s="32">
        <v>9.0984583167851962</v>
      </c>
      <c r="AB80" s="32">
        <v>6.0949225880603031</v>
      </c>
    </row>
    <row r="81" spans="2:28" x14ac:dyDescent="0.3">
      <c r="B81" s="12" t="s">
        <v>38</v>
      </c>
      <c r="C81" s="32">
        <v>3.9623315746326604</v>
      </c>
      <c r="D81" s="32">
        <v>6.0152048202515074</v>
      </c>
      <c r="E81" s="32">
        <v>3.1468731524040283</v>
      </c>
      <c r="F81" s="32">
        <v>3.5870791191317197</v>
      </c>
      <c r="G81" s="32">
        <v>4.4588829587847822</v>
      </c>
      <c r="H81" s="32">
        <v>6.320807915107407</v>
      </c>
      <c r="I81" s="32">
        <v>5.2925104468016571</v>
      </c>
      <c r="J81" s="32">
        <v>3.8511440477462466</v>
      </c>
      <c r="K81" s="32">
        <v>1.4110176965136167</v>
      </c>
      <c r="L81" s="32">
        <v>-1.0377413183373041</v>
      </c>
      <c r="M81" s="32">
        <v>-3.214704159343873</v>
      </c>
      <c r="N81" s="32">
        <v>-3.6437920859499151</v>
      </c>
      <c r="O81" s="32">
        <v>-1.7981374750694945</v>
      </c>
      <c r="P81" s="32">
        <v>-1.3017335124416052</v>
      </c>
      <c r="Q81" s="32">
        <v>0.72750251142292832</v>
      </c>
      <c r="R81" s="32">
        <v>3.8187462801807959</v>
      </c>
      <c r="S81" s="32">
        <v>2.9175252939991791</v>
      </c>
      <c r="T81" s="32">
        <v>3.7456341081536948</v>
      </c>
      <c r="U81" s="32">
        <v>4.4941374506616727</v>
      </c>
      <c r="V81" s="32">
        <v>4.9063311530503251</v>
      </c>
      <c r="W81" s="32">
        <v>4.5325779036827107</v>
      </c>
      <c r="X81" s="32">
        <v>12.985335460831248</v>
      </c>
      <c r="Y81" s="32">
        <v>18.855637749383526</v>
      </c>
      <c r="Z81" s="32">
        <v>8.4616617787124149</v>
      </c>
      <c r="AA81" s="32">
        <v>6.7060235097725629</v>
      </c>
      <c r="AB81" s="32">
        <v>5.5443590190175085</v>
      </c>
    </row>
    <row r="82" spans="2:28" x14ac:dyDescent="0.3">
      <c r="B82" s="12" t="s">
        <v>304</v>
      </c>
      <c r="C82" s="32">
        <v>3.8892398399663186</v>
      </c>
      <c r="D82" s="32">
        <v>5.1989379167764582</v>
      </c>
      <c r="E82" s="32">
        <v>3.3409117182382042</v>
      </c>
      <c r="F82" s="32">
        <v>4.0886717876053469</v>
      </c>
      <c r="G82" s="32">
        <v>5.1693564276630743</v>
      </c>
      <c r="H82" s="32">
        <v>9.0334667461466225</v>
      </c>
      <c r="I82" s="32">
        <v>8.3834486636779726</v>
      </c>
      <c r="J82" s="32">
        <v>3.7630069466463079</v>
      </c>
      <c r="K82" s="32">
        <v>-0.67919496645695299</v>
      </c>
      <c r="L82" s="32">
        <v>-1.4907422945684146</v>
      </c>
      <c r="M82" s="32">
        <v>-4.5370659549700543</v>
      </c>
      <c r="N82" s="32">
        <v>-5.0947268239003085</v>
      </c>
      <c r="O82" s="32">
        <v>-2.7123158884362231</v>
      </c>
      <c r="P82" s="32">
        <v>-1.26270353846899</v>
      </c>
      <c r="Q82" s="32">
        <v>-0.94282684935973471</v>
      </c>
      <c r="R82" s="32">
        <v>2.5260592487690747</v>
      </c>
      <c r="S82" s="32">
        <v>0.48987327540515047</v>
      </c>
      <c r="T82" s="32">
        <v>1.5104050123069923</v>
      </c>
      <c r="U82" s="32">
        <v>3.3017902410605871</v>
      </c>
      <c r="V82" s="32">
        <v>3.8181319351298759</v>
      </c>
      <c r="W82" s="32">
        <v>5.6376903087516306</v>
      </c>
      <c r="X82" s="32">
        <v>11.893875168512791</v>
      </c>
      <c r="Y82" s="32">
        <v>11.987181875768504</v>
      </c>
      <c r="Z82" s="32">
        <v>7.3478849182582628</v>
      </c>
      <c r="AA82" s="32">
        <v>8.4401830824387467</v>
      </c>
      <c r="AB82" s="32">
        <v>5.1746303835440211</v>
      </c>
    </row>
    <row r="83" spans="2:28" x14ac:dyDescent="0.3">
      <c r="B83" s="12" t="s">
        <v>39</v>
      </c>
      <c r="C83" s="32">
        <v>1.0934328553656725</v>
      </c>
      <c r="D83" s="32">
        <v>3.870898100172715</v>
      </c>
      <c r="E83" s="32">
        <v>0.89372934549913907</v>
      </c>
      <c r="F83" s="32">
        <v>2.0641493109202269</v>
      </c>
      <c r="G83" s="32">
        <v>2.8741548087596991</v>
      </c>
      <c r="H83" s="32">
        <v>3.9886990131256184</v>
      </c>
      <c r="I83" s="32">
        <v>2.5980151692388986</v>
      </c>
      <c r="J83" s="32">
        <v>1.9272145497342796</v>
      </c>
      <c r="K83" s="32">
        <v>1.896187778519498</v>
      </c>
      <c r="L83" s="32">
        <v>0.14873047912460358</v>
      </c>
      <c r="M83" s="32">
        <v>-1.097910257770196</v>
      </c>
      <c r="N83" s="32">
        <v>-0.62208398133750675</v>
      </c>
      <c r="O83" s="32">
        <v>3.1424819671541426</v>
      </c>
      <c r="P83" s="32">
        <v>0.82664806417858117</v>
      </c>
      <c r="Q83" s="32">
        <v>1.5567163662780548</v>
      </c>
      <c r="R83" s="32">
        <v>3.3637633273154721</v>
      </c>
      <c r="S83" s="32">
        <v>2.3694573975514555</v>
      </c>
      <c r="T83" s="32">
        <v>3.9499734414988552</v>
      </c>
      <c r="U83" s="32">
        <v>4.6050696025146998</v>
      </c>
      <c r="V83" s="32">
        <v>5.0314558507882357</v>
      </c>
      <c r="W83" s="32">
        <v>5.5204780562054356</v>
      </c>
      <c r="X83" s="32">
        <v>12.75660803248253</v>
      </c>
      <c r="Y83" s="32">
        <v>15.677193148705326</v>
      </c>
      <c r="Z83" s="32">
        <v>6.1152810346416508</v>
      </c>
      <c r="AA83" s="32">
        <v>5.8728734234625657</v>
      </c>
      <c r="AB83" s="32">
        <v>3.4151872130966154</v>
      </c>
    </row>
    <row r="84" spans="2:28" x14ac:dyDescent="0.3">
      <c r="B84" s="12" t="s">
        <v>40</v>
      </c>
      <c r="C84" s="32">
        <v>4.1279861368981319</v>
      </c>
      <c r="D84" s="32">
        <v>5.2897473997028266</v>
      </c>
      <c r="E84" s="32">
        <v>3.8667795653400949</v>
      </c>
      <c r="F84" s="32">
        <v>3.6014492753623228</v>
      </c>
      <c r="G84" s="32">
        <v>4.1144995453591626</v>
      </c>
      <c r="H84" s="32">
        <v>4.1030550377050945</v>
      </c>
      <c r="I84" s="32">
        <v>0.99380485286526543</v>
      </c>
      <c r="J84" s="32">
        <v>-0.54313099041533031</v>
      </c>
      <c r="K84" s="32">
        <v>-1.8326373273369723</v>
      </c>
      <c r="L84" s="32">
        <v>-1.9470213845121931</v>
      </c>
      <c r="M84" s="32">
        <v>-2.2776952727393995</v>
      </c>
      <c r="N84" s="32">
        <v>-2.7542517587596516</v>
      </c>
      <c r="O84" s="32">
        <v>-0.25987252199258792</v>
      </c>
      <c r="P84" s="32">
        <v>1.9946129605830754</v>
      </c>
      <c r="Q84" s="32">
        <v>4.4514636840651711</v>
      </c>
      <c r="R84" s="32">
        <v>5.00206560356935</v>
      </c>
      <c r="S84" s="32">
        <v>5.7898712662491025</v>
      </c>
      <c r="T84" s="32">
        <v>6.6705345055860565</v>
      </c>
      <c r="U84" s="32">
        <v>6.7275643260581441</v>
      </c>
      <c r="V84" s="32">
        <v>5.8448431313619764</v>
      </c>
      <c r="W84" s="32">
        <v>6.4874941359472471</v>
      </c>
      <c r="X84" s="32">
        <v>13.491078984893988</v>
      </c>
      <c r="Y84" s="32">
        <v>16.459640018795852</v>
      </c>
      <c r="Z84" s="32">
        <v>7.3548115466594233</v>
      </c>
      <c r="AA84" s="32">
        <v>6.3982940061441784</v>
      </c>
      <c r="AB84" s="32">
        <v>5.590498337833405</v>
      </c>
    </row>
    <row r="85" spans="2:28" x14ac:dyDescent="0.3">
      <c r="B85" s="12" t="s">
        <v>41</v>
      </c>
      <c r="C85" s="32">
        <v>1.9521227941012631</v>
      </c>
      <c r="D85" s="32">
        <v>4.9849008709352605</v>
      </c>
      <c r="E85" s="32">
        <v>5.3943638485909551</v>
      </c>
      <c r="F85" s="32">
        <v>4.45771695277275</v>
      </c>
      <c r="G85" s="32">
        <v>6.9105229277897751</v>
      </c>
      <c r="H85" s="32">
        <v>7.7318127080824306</v>
      </c>
      <c r="I85" s="32">
        <v>6.7412959857974242</v>
      </c>
      <c r="J85" s="32">
        <v>4.2735042735042805</v>
      </c>
      <c r="K85" s="32">
        <v>8.1228769753360908E-2</v>
      </c>
      <c r="L85" s="32">
        <v>1.6084999631077901</v>
      </c>
      <c r="M85" s="32">
        <v>-3.5974148573088338</v>
      </c>
      <c r="N85" s="32">
        <v>-1.4010666184579135</v>
      </c>
      <c r="O85" s="32">
        <v>0.82661043882166219</v>
      </c>
      <c r="P85" s="32">
        <v>4.6780524026731829</v>
      </c>
      <c r="Q85" s="32">
        <v>7.8869650819387349</v>
      </c>
      <c r="R85" s="32">
        <v>5.4385164510761586</v>
      </c>
      <c r="S85" s="32">
        <v>4.1857031955915946</v>
      </c>
      <c r="T85" s="32">
        <v>2.0765641414018043</v>
      </c>
      <c r="U85" s="32">
        <v>3.0431036545963686</v>
      </c>
      <c r="V85" s="32">
        <v>3.8393199317144466</v>
      </c>
      <c r="W85" s="32">
        <v>5.1098808924677108</v>
      </c>
      <c r="X85" s="32">
        <v>12.90538815117468</v>
      </c>
      <c r="Y85" s="32">
        <v>15.278995033596242</v>
      </c>
      <c r="Z85" s="32">
        <v>3.9059562153589633</v>
      </c>
      <c r="AA85" s="32">
        <v>4.0447192849949465</v>
      </c>
      <c r="AB85" s="32">
        <v>2.9826426872088252</v>
      </c>
    </row>
    <row r="86" spans="2:28" x14ac:dyDescent="0.3">
      <c r="B86" s="12" t="s">
        <v>42</v>
      </c>
      <c r="C86" s="32">
        <v>0.83385539305695922</v>
      </c>
      <c r="D86" s="32">
        <v>4.1540801679628148</v>
      </c>
      <c r="E86" s="32">
        <v>3.3795458285338142</v>
      </c>
      <c r="F86" s="32">
        <v>3.2730456236693684</v>
      </c>
      <c r="G86" s="32">
        <v>7.5967170160295749</v>
      </c>
      <c r="H86" s="32">
        <v>11.309470517664355</v>
      </c>
      <c r="I86" s="32">
        <v>13.779901227418257</v>
      </c>
      <c r="J86" s="32">
        <v>9.1475915112612771</v>
      </c>
      <c r="K86" s="32">
        <v>0.55700203370510071</v>
      </c>
      <c r="L86" s="32">
        <v>-3.9637248966236771</v>
      </c>
      <c r="M86" s="32">
        <v>-3.0368065243051912</v>
      </c>
      <c r="N86" s="32">
        <v>-4.3700199203187129</v>
      </c>
      <c r="O86" s="32">
        <v>-4.7736839821188592E-2</v>
      </c>
      <c r="P86" s="32">
        <v>4.0204932268148585</v>
      </c>
      <c r="Q86" s="32">
        <v>3.4852658819600979</v>
      </c>
      <c r="R86" s="32">
        <v>5.8672474757660131</v>
      </c>
      <c r="S86" s="32">
        <v>6.7345668821355398</v>
      </c>
      <c r="T86" s="32">
        <v>8.1193632058634613</v>
      </c>
      <c r="U86" s="32">
        <v>6.3013095631121452</v>
      </c>
      <c r="V86" s="32">
        <v>5.9702265104145003</v>
      </c>
      <c r="W86" s="32">
        <v>4.8005627033205434</v>
      </c>
      <c r="X86" s="32">
        <v>13.903259785415333</v>
      </c>
      <c r="Y86" s="32">
        <v>16.5452730129632</v>
      </c>
      <c r="Z86" s="32">
        <v>2.8748183050228526</v>
      </c>
      <c r="AA86" s="32">
        <v>4.1200521491027375</v>
      </c>
      <c r="AB86" s="32">
        <v>3.0702223887387525</v>
      </c>
    </row>
    <row r="87" spans="2:28" x14ac:dyDescent="0.3">
      <c r="B87" s="12" t="s">
        <v>305</v>
      </c>
      <c r="C87" s="32">
        <v>3.8008086826984533</v>
      </c>
      <c r="D87" s="32">
        <v>6.3740364113498593</v>
      </c>
      <c r="E87" s="32">
        <v>5.7396164594776922</v>
      </c>
      <c r="F87" s="32">
        <v>9.3505641324754585</v>
      </c>
      <c r="G87" s="32">
        <v>22.654309669461426</v>
      </c>
      <c r="H87" s="32">
        <v>34.424603174603142</v>
      </c>
      <c r="I87" s="32">
        <v>10.351311732295422</v>
      </c>
      <c r="J87" s="32">
        <v>-6.5064037964710497</v>
      </c>
      <c r="K87" s="32">
        <v>-12.865009994904542</v>
      </c>
      <c r="L87" s="32">
        <v>-9.2473263385175812</v>
      </c>
      <c r="M87" s="32">
        <v>-6.6902106567534254</v>
      </c>
      <c r="N87" s="32">
        <v>-4.8219811157886312</v>
      </c>
      <c r="O87" s="32">
        <v>-1.3017999162829641</v>
      </c>
      <c r="P87" s="32">
        <v>2.9192643171183308</v>
      </c>
      <c r="Q87" s="32">
        <v>2.7032224389439863</v>
      </c>
      <c r="R87" s="32">
        <v>7.0563060050822468</v>
      </c>
      <c r="S87" s="32">
        <v>5.9753141943382548</v>
      </c>
      <c r="T87" s="32">
        <v>6.6934656780110569</v>
      </c>
      <c r="U87" s="32">
        <v>6.00616526898472</v>
      </c>
      <c r="V87" s="32">
        <v>7.6899825938317568</v>
      </c>
      <c r="W87" s="32">
        <v>7.5967131560863654</v>
      </c>
      <c r="X87" s="32">
        <v>18.370963389403627</v>
      </c>
      <c r="Y87" s="32">
        <v>19.706215376197811</v>
      </c>
      <c r="Z87" s="32">
        <v>4.7236946516425959</v>
      </c>
      <c r="AA87" s="32">
        <v>2.3671544439460401</v>
      </c>
      <c r="AB87" s="32">
        <v>1.1529565056273006</v>
      </c>
    </row>
    <row r="88" spans="2:28" x14ac:dyDescent="0.3">
      <c r="B88" s="12" t="s">
        <v>306</v>
      </c>
      <c r="C88" s="32">
        <v>6.0161857735309576</v>
      </c>
      <c r="D88" s="32">
        <v>6.5123852754356282</v>
      </c>
      <c r="E88" s="32">
        <v>3.8028867955227863</v>
      </c>
      <c r="F88" s="32">
        <v>2.8757170090840667</v>
      </c>
      <c r="G88" s="32">
        <v>2.1459420107452942</v>
      </c>
      <c r="H88" s="32">
        <v>3.1115175427220976</v>
      </c>
      <c r="I88" s="32">
        <v>3.127423991457734</v>
      </c>
      <c r="J88" s="32">
        <v>2.8903614724180349</v>
      </c>
      <c r="K88" s="32">
        <v>0.91613586470642439</v>
      </c>
      <c r="L88" s="32">
        <v>0.12416885840498271</v>
      </c>
      <c r="M88" s="32">
        <v>-1.2880731449516181</v>
      </c>
      <c r="N88" s="32">
        <v>-1.9907583489787939</v>
      </c>
      <c r="O88" s="32">
        <v>1.0525606245095576</v>
      </c>
      <c r="P88" s="32">
        <v>4.8758979846519335</v>
      </c>
      <c r="Q88" s="32">
        <v>8.1014132759688273</v>
      </c>
      <c r="R88" s="32">
        <v>9.2097538441285209</v>
      </c>
      <c r="S88" s="32">
        <v>9.7685802751363404</v>
      </c>
      <c r="T88" s="32">
        <v>10.004270952163829</v>
      </c>
      <c r="U88" s="32">
        <v>7.0361959849630118</v>
      </c>
      <c r="V88" s="32">
        <v>4.4439653106068233</v>
      </c>
      <c r="W88" s="32">
        <v>4.0399827983833791</v>
      </c>
      <c r="X88" s="32">
        <v>15.158622468701367</v>
      </c>
      <c r="Y88" s="32">
        <v>22.148003715861897</v>
      </c>
      <c r="Z88" s="32">
        <v>3.2446737549373106</v>
      </c>
      <c r="AA88" s="32">
        <v>3.0265026733546474</v>
      </c>
      <c r="AB88" s="32">
        <v>1.7570568175353074</v>
      </c>
    </row>
    <row r="89" spans="2:28" x14ac:dyDescent="0.3">
      <c r="B89" s="12" t="s">
        <v>43</v>
      </c>
      <c r="C89" s="32">
        <v>3.7859606451484229</v>
      </c>
      <c r="D89" s="32">
        <v>6.3698182796112057</v>
      </c>
      <c r="E89" s="32">
        <v>4.9066348827969675</v>
      </c>
      <c r="F89" s="32">
        <v>4.4671291594222895</v>
      </c>
      <c r="G89" s="32">
        <v>5.8926276241637154</v>
      </c>
      <c r="H89" s="32">
        <v>5.9755376427748974</v>
      </c>
      <c r="I89" s="32">
        <v>4.440398226190112</v>
      </c>
      <c r="J89" s="32">
        <v>3.4952056913083895</v>
      </c>
      <c r="K89" s="32">
        <v>-4.3919469651687137</v>
      </c>
      <c r="L89" s="32">
        <v>-2.5618437317950105</v>
      </c>
      <c r="M89" s="32">
        <v>-8.2609076061596056</v>
      </c>
      <c r="N89" s="32">
        <v>-7.133887555435436</v>
      </c>
      <c r="O89" s="32">
        <v>-3.021070468822229</v>
      </c>
      <c r="P89" s="32">
        <v>1.2407780013413916</v>
      </c>
      <c r="Q89" s="32">
        <v>5.0260630044804078</v>
      </c>
      <c r="R89" s="32">
        <v>2.9812097470287569</v>
      </c>
      <c r="S89" s="32">
        <v>3.7911025145067612</v>
      </c>
      <c r="T89" s="32">
        <v>6.9775748540191307</v>
      </c>
      <c r="U89" s="32">
        <v>6.2074471945996912</v>
      </c>
      <c r="V89" s="32">
        <v>4.5242683943631068</v>
      </c>
      <c r="W89" s="32">
        <v>7.5074211138863145</v>
      </c>
      <c r="X89" s="32">
        <v>14.445579720722023</v>
      </c>
      <c r="Y89" s="32">
        <v>19.221367230677689</v>
      </c>
      <c r="Z89" s="32">
        <v>9.2838740160287934</v>
      </c>
      <c r="AA89" s="32">
        <v>6.2241510111186393</v>
      </c>
      <c r="AB89" s="32">
        <v>5.9441493541188661</v>
      </c>
    </row>
    <row r="90" spans="2:28" x14ac:dyDescent="0.3">
      <c r="B90" s="12" t="s">
        <v>307</v>
      </c>
      <c r="C90" s="32">
        <v>2.5276336119804732</v>
      </c>
      <c r="D90" s="32">
        <v>6.0705591406159609</v>
      </c>
      <c r="E90" s="32">
        <v>1.9799635701275076</v>
      </c>
      <c r="F90" s="32">
        <v>4.8171897047528667</v>
      </c>
      <c r="G90" s="32">
        <v>5.4716788221661927</v>
      </c>
      <c r="H90" s="32">
        <v>17.0821552629453</v>
      </c>
      <c r="I90" s="32">
        <v>17.199315559971296</v>
      </c>
      <c r="J90" s="32">
        <v>2.253567559930314</v>
      </c>
      <c r="K90" s="32">
        <v>-3.8343734887041458</v>
      </c>
      <c r="L90" s="32">
        <v>-7.74582116001723</v>
      </c>
      <c r="M90" s="32">
        <v>-10.302802185678871</v>
      </c>
      <c r="N90" s="32">
        <v>-6.9151630033714939</v>
      </c>
      <c r="O90" s="32">
        <v>0.82232240012434232</v>
      </c>
      <c r="P90" s="32">
        <v>2.0028060870503905</v>
      </c>
      <c r="Q90" s="32">
        <v>6.6960911756703601</v>
      </c>
      <c r="R90" s="32">
        <v>4.1310137700458993</v>
      </c>
      <c r="S90" s="32">
        <v>6.1996626033957503</v>
      </c>
      <c r="T90" s="32">
        <v>4.5400392001127443</v>
      </c>
      <c r="U90" s="32">
        <v>5.8930212609521471</v>
      </c>
      <c r="V90" s="32">
        <v>6.1390515425741254</v>
      </c>
      <c r="W90" s="32">
        <v>6.2200852604149537</v>
      </c>
      <c r="X90" s="32">
        <v>15.977582525866318</v>
      </c>
      <c r="Y90" s="32">
        <v>17.81927604212763</v>
      </c>
      <c r="Z90" s="32">
        <v>8.9014753162464988</v>
      </c>
      <c r="AA90" s="32">
        <v>4.4580407521348508</v>
      </c>
      <c r="AB90" s="32">
        <v>4.1129043041088886</v>
      </c>
    </row>
    <row r="91" spans="2:28" x14ac:dyDescent="0.3">
      <c r="B91" s="12" t="s">
        <v>308</v>
      </c>
      <c r="C91" s="32">
        <v>4.3604883108593118</v>
      </c>
      <c r="D91" s="32">
        <v>5.2811651821552896</v>
      </c>
      <c r="E91" s="32">
        <v>3.723607051433353</v>
      </c>
      <c r="F91" s="32">
        <v>3.5706784289015081</v>
      </c>
      <c r="G91" s="32">
        <v>4.4058000405597042</v>
      </c>
      <c r="H91" s="32">
        <v>4.927240648116693</v>
      </c>
      <c r="I91" s="32">
        <v>2.2831402434321024</v>
      </c>
      <c r="J91" s="32">
        <v>2.5866099573171653</v>
      </c>
      <c r="K91" s="32">
        <v>0.81007968478934433</v>
      </c>
      <c r="L91" s="32">
        <v>-9.4795023990446037E-2</v>
      </c>
      <c r="M91" s="32">
        <v>-7.7367744949197181E-2</v>
      </c>
      <c r="N91" s="32">
        <v>-4.3826971118021696E-2</v>
      </c>
      <c r="O91" s="32">
        <v>0.78192367840284049</v>
      </c>
      <c r="P91" s="32">
        <v>1.0586460931608421</v>
      </c>
      <c r="Q91" s="32">
        <v>0.76629452113767815</v>
      </c>
      <c r="R91" s="32">
        <v>2.0108231273141541</v>
      </c>
      <c r="S91" s="32">
        <v>2.9288586106767767</v>
      </c>
      <c r="T91" s="32">
        <v>2.0588634205886303</v>
      </c>
      <c r="U91" s="32">
        <v>1.5428981501169448</v>
      </c>
      <c r="V91" s="32">
        <v>2.9329005745396541</v>
      </c>
      <c r="W91" s="32">
        <v>3.2027972027971918</v>
      </c>
      <c r="X91" s="32">
        <v>8.4909263388732281</v>
      </c>
      <c r="Y91" s="32">
        <v>9.3923530280146661</v>
      </c>
      <c r="Z91" s="32">
        <v>6.680023252916989</v>
      </c>
      <c r="AA91" s="32">
        <v>6.1469148656670081</v>
      </c>
      <c r="AB91" s="32">
        <v>3.8884404486876134</v>
      </c>
    </row>
    <row r="92" spans="2:28" x14ac:dyDescent="0.3">
      <c r="B92" s="12" t="s">
        <v>453</v>
      </c>
      <c r="C92" s="32">
        <v>2.2073520465803576</v>
      </c>
      <c r="D92" s="32">
        <v>4.4724088087747749</v>
      </c>
      <c r="E92" s="32">
        <v>2.49450638886628</v>
      </c>
      <c r="F92" s="32">
        <v>2.3921070393456922</v>
      </c>
      <c r="G92" s="32">
        <v>3.1854049128521522</v>
      </c>
      <c r="H92" s="32">
        <v>3.4553380181127968</v>
      </c>
      <c r="I92" s="32">
        <v>0.40318919017088284</v>
      </c>
      <c r="J92" s="32">
        <v>-0.47211620208742477</v>
      </c>
      <c r="K92" s="32">
        <v>-1.9846606811820822</v>
      </c>
      <c r="L92" s="32">
        <v>-2.5273502688670235</v>
      </c>
      <c r="M92" s="32">
        <v>-2.878231590161151</v>
      </c>
      <c r="N92" s="32">
        <v>-3.7568065185881516</v>
      </c>
      <c r="O92" s="32">
        <v>-0.96059915337024515</v>
      </c>
      <c r="P92" s="32">
        <v>-0.95758671708039422</v>
      </c>
      <c r="Q92" s="32">
        <v>0.94817212332463097</v>
      </c>
      <c r="R92" s="32">
        <v>3.2226903709793531</v>
      </c>
      <c r="S92" s="32">
        <v>3.2654361547498123</v>
      </c>
      <c r="T92" s="32">
        <v>4.6449299114976084</v>
      </c>
      <c r="U92" s="32">
        <v>6.4268867924528239</v>
      </c>
      <c r="V92" s="32">
        <v>6.0595567867035793</v>
      </c>
      <c r="W92" s="32">
        <v>6.3597779954293276</v>
      </c>
      <c r="X92" s="32">
        <v>13.151513291178096</v>
      </c>
      <c r="Y92" s="32">
        <v>14.259749067480509</v>
      </c>
      <c r="Z92" s="32">
        <v>8.3145373821790436</v>
      </c>
      <c r="AA92" s="32">
        <v>7.4253085201990476</v>
      </c>
      <c r="AB92" s="32">
        <v>5.7351980675326653</v>
      </c>
    </row>
    <row r="93" spans="2:28" x14ac:dyDescent="0.3">
      <c r="B93" s="12" t="s">
        <v>44</v>
      </c>
      <c r="C93" s="32">
        <v>2.7719524096260439</v>
      </c>
      <c r="D93" s="32">
        <v>4.0952804267011533</v>
      </c>
      <c r="E93" s="32">
        <v>2.3309978068047243</v>
      </c>
      <c r="F93" s="32">
        <v>2.9739776951672958</v>
      </c>
      <c r="G93" s="32">
        <v>2.3042068813084571</v>
      </c>
      <c r="H93" s="32">
        <v>3.7520479628396108</v>
      </c>
      <c r="I93" s="32">
        <v>3.9391257570236204</v>
      </c>
      <c r="J93" s="32">
        <v>5.0236238876738337</v>
      </c>
      <c r="K93" s="32">
        <v>3.5910723937303546</v>
      </c>
      <c r="L93" s="32">
        <v>-0.5739277219366401</v>
      </c>
      <c r="M93" s="32">
        <v>-0.58495778734698467</v>
      </c>
      <c r="N93" s="32">
        <v>-2.0850152145563072</v>
      </c>
      <c r="O93" s="32">
        <v>-0.48201176489243158</v>
      </c>
      <c r="P93" s="32">
        <v>-1.5757189516450221</v>
      </c>
      <c r="Q93" s="32">
        <v>0.57141932141930862</v>
      </c>
      <c r="R93" s="32">
        <v>2.5801155659997743</v>
      </c>
      <c r="S93" s="32">
        <v>-8.1591665097591193E-2</v>
      </c>
      <c r="T93" s="32">
        <v>4.9858668341708601</v>
      </c>
      <c r="U93" s="32">
        <v>2.3663151596739151</v>
      </c>
      <c r="V93" s="32">
        <v>5.0089863670237156</v>
      </c>
      <c r="W93" s="32">
        <v>6.3828010853683725</v>
      </c>
      <c r="X93" s="32">
        <v>17.439700727253715</v>
      </c>
      <c r="Y93" s="32">
        <v>19.895305451912893</v>
      </c>
      <c r="Z93" s="32">
        <v>6.030766944114152</v>
      </c>
      <c r="AA93" s="32">
        <v>5.1708428246013627</v>
      </c>
      <c r="AB93" s="32">
        <v>4.2973513074109126</v>
      </c>
    </row>
    <row r="94" spans="2:28" x14ac:dyDescent="0.3">
      <c r="B94" s="12" t="s">
        <v>45</v>
      </c>
      <c r="C94" s="32">
        <v>3.2460800829337666</v>
      </c>
      <c r="D94" s="32">
        <v>4.2631523899173684</v>
      </c>
      <c r="E94" s="32">
        <v>3.4428104247336888</v>
      </c>
      <c r="F94" s="32">
        <v>2.2401520588064328</v>
      </c>
      <c r="G94" s="32">
        <v>3.4677694730052444</v>
      </c>
      <c r="H94" s="32">
        <v>4.26827032378716</v>
      </c>
      <c r="I94" s="32">
        <v>2.6622120625989121</v>
      </c>
      <c r="J94" s="32">
        <v>2.5811866264730199</v>
      </c>
      <c r="K94" s="32">
        <v>0.33227029102871342</v>
      </c>
      <c r="L94" s="32">
        <v>-0.42269928440673565</v>
      </c>
      <c r="M94" s="32">
        <v>-0.43619225884082846</v>
      </c>
      <c r="N94" s="32">
        <v>-1.3176668065463693</v>
      </c>
      <c r="O94" s="32">
        <v>1.0171797924817261</v>
      </c>
      <c r="P94" s="32">
        <v>-2.1553175725735785</v>
      </c>
      <c r="Q94" s="32">
        <v>-1.1289323328973699</v>
      </c>
      <c r="R94" s="32">
        <v>1.6344078535124984</v>
      </c>
      <c r="S94" s="32">
        <v>1.1971022931616115</v>
      </c>
      <c r="T94" s="32">
        <v>7.9539685225937795E-2</v>
      </c>
      <c r="U94" s="32">
        <v>-6.0875593959786034E-2</v>
      </c>
      <c r="V94" s="32">
        <v>3.419569888834384</v>
      </c>
      <c r="W94" s="32">
        <v>3.1903406302149717</v>
      </c>
      <c r="X94" s="32">
        <v>8.0653855910705055</v>
      </c>
      <c r="Y94" s="32">
        <v>11.021288457870559</v>
      </c>
      <c r="Z94" s="32">
        <v>7.643615123362979</v>
      </c>
      <c r="AA94" s="32">
        <v>8.4512921244859207</v>
      </c>
      <c r="AB94" s="32">
        <v>5.4490935410491659</v>
      </c>
    </row>
    <row r="95" spans="2:28" x14ac:dyDescent="0.3">
      <c r="B95" s="12" t="s">
        <v>309</v>
      </c>
      <c r="C95" s="32">
        <v>5.7714497202447257</v>
      </c>
      <c r="D95" s="32">
        <v>9.4022723530380325</v>
      </c>
      <c r="E95" s="32">
        <v>9.1699277543648492</v>
      </c>
      <c r="F95" s="32">
        <v>11.01402819425774</v>
      </c>
      <c r="G95" s="32">
        <v>18.325907757269032</v>
      </c>
      <c r="H95" s="32">
        <v>27.278213639106852</v>
      </c>
      <c r="I95" s="32">
        <v>16.870760921104157</v>
      </c>
      <c r="J95" s="32">
        <v>-3.9010063414505081</v>
      </c>
      <c r="K95" s="32">
        <v>-18.486939921804723</v>
      </c>
      <c r="L95" s="32">
        <v>-16.144795361143949</v>
      </c>
      <c r="M95" s="32">
        <v>-12.857833395993335</v>
      </c>
      <c r="N95" s="32">
        <v>-9.1479198767334342</v>
      </c>
      <c r="O95" s="32">
        <v>-1.9096721672913541</v>
      </c>
      <c r="P95" s="32">
        <v>8.2282967650465935</v>
      </c>
      <c r="Q95" s="32">
        <v>9.1251837178094384</v>
      </c>
      <c r="R95" s="32">
        <v>9.3517596767582312</v>
      </c>
      <c r="S95" s="32">
        <v>10.064795973010598</v>
      </c>
      <c r="T95" s="32">
        <v>11.308292991461322</v>
      </c>
      <c r="U95" s="32">
        <v>8.9552075706745615</v>
      </c>
      <c r="V95" s="32">
        <v>6.0778689346679293</v>
      </c>
      <c r="W95" s="32">
        <v>6.514380802904518</v>
      </c>
      <c r="X95" s="32">
        <v>18.323036500497093</v>
      </c>
      <c r="Y95" s="32">
        <v>25.073894582064238</v>
      </c>
      <c r="Z95" s="32">
        <v>4.4703426682901393</v>
      </c>
      <c r="AA95" s="32">
        <v>2.6835233731785424</v>
      </c>
      <c r="AB95" s="32">
        <v>0.65291301822856251</v>
      </c>
    </row>
    <row r="96" spans="2:28" x14ac:dyDescent="0.3">
      <c r="B96" s="12" t="s">
        <v>483</v>
      </c>
      <c r="C96" s="32">
        <v>14.052843873737197</v>
      </c>
      <c r="D96" s="32">
        <v>10.058240456838764</v>
      </c>
      <c r="E96" s="32">
        <v>4.8893736825813328</v>
      </c>
      <c r="F96" s="32">
        <v>2.2372747969307882</v>
      </c>
      <c r="G96" s="32">
        <v>3.0048109965635561</v>
      </c>
      <c r="H96" s="32">
        <v>3.66179139532401</v>
      </c>
      <c r="I96" s="32">
        <v>1.0015447991761128</v>
      </c>
      <c r="J96" s="32">
        <v>-1.1483851232506725</v>
      </c>
      <c r="K96" s="32">
        <v>-1.8695926866691415</v>
      </c>
      <c r="L96" s="32">
        <v>-0.59390069244616983</v>
      </c>
      <c r="M96" s="32">
        <v>-1.7407970391910554</v>
      </c>
      <c r="N96" s="32">
        <v>-2.3379698135543081</v>
      </c>
      <c r="O96" s="32">
        <v>2.5702479338843176</v>
      </c>
      <c r="P96" s="32">
        <v>8.1701716219482634</v>
      </c>
      <c r="Q96" s="32">
        <v>10.00869025450033</v>
      </c>
      <c r="R96" s="32">
        <v>11.981447208053076</v>
      </c>
      <c r="S96" s="32">
        <v>11.286015177014775</v>
      </c>
      <c r="T96" s="32">
        <v>9.9431303654870185</v>
      </c>
      <c r="U96" s="32">
        <v>8.5447416974169688</v>
      </c>
      <c r="V96" s="32">
        <v>4.2851072225341902</v>
      </c>
      <c r="W96" s="32">
        <v>4.4131879006614305</v>
      </c>
      <c r="X96" s="32">
        <v>15.149762359401775</v>
      </c>
      <c r="Y96" s="32">
        <v>15.568923883243668</v>
      </c>
      <c r="Z96" s="32">
        <v>0.92009761308768923</v>
      </c>
      <c r="AA96" s="32">
        <v>2.614741976493784</v>
      </c>
      <c r="AB96" s="32">
        <v>1.5105462853412632</v>
      </c>
    </row>
    <row r="97" spans="2:28" x14ac:dyDescent="0.3">
      <c r="B97" s="12" t="s">
        <v>310</v>
      </c>
      <c r="C97" s="32">
        <v>4.2979413394634625</v>
      </c>
      <c r="D97" s="32">
        <v>5.5574141493653695</v>
      </c>
      <c r="E97" s="32">
        <v>4.0530211226905699</v>
      </c>
      <c r="F97" s="32">
        <v>4.1262788239299075</v>
      </c>
      <c r="G97" s="32">
        <v>4.7904191616766623</v>
      </c>
      <c r="H97" s="32">
        <v>5.3809523809523752</v>
      </c>
      <c r="I97" s="32">
        <v>2.0708353459962359</v>
      </c>
      <c r="J97" s="32">
        <v>1.7051873110859983</v>
      </c>
      <c r="K97" s="32">
        <v>-0.83454662804135493</v>
      </c>
      <c r="L97" s="32">
        <v>-1.3107905610970749</v>
      </c>
      <c r="M97" s="32">
        <v>-1.9999693256238293</v>
      </c>
      <c r="N97" s="32">
        <v>-1.2160195314333988</v>
      </c>
      <c r="O97" s="32">
        <v>0.22021546261090652</v>
      </c>
      <c r="P97" s="32">
        <v>1.7056861474256557</v>
      </c>
      <c r="Q97" s="32">
        <v>2.7557586496316455</v>
      </c>
      <c r="R97" s="32">
        <v>4.0840404773789363</v>
      </c>
      <c r="S97" s="32">
        <v>4.4891078461292588</v>
      </c>
      <c r="T97" s="32">
        <v>4.8289290681502228</v>
      </c>
      <c r="U97" s="32">
        <v>3.9895451891949207</v>
      </c>
      <c r="V97" s="32">
        <v>3.0964926829890604</v>
      </c>
      <c r="W97" s="32">
        <v>2.7745464445709578</v>
      </c>
      <c r="X97" s="32">
        <v>9.8123976495520626</v>
      </c>
      <c r="Y97" s="32">
        <v>14.255951401910139</v>
      </c>
      <c r="Z97" s="32">
        <v>5.9194994145760793</v>
      </c>
      <c r="AA97" s="32">
        <v>4.8049218056285703</v>
      </c>
      <c r="AB97" s="32">
        <v>2.7177377802230618</v>
      </c>
    </row>
    <row r="98" spans="2:28" x14ac:dyDescent="0.3">
      <c r="B98" s="12" t="s">
        <v>311</v>
      </c>
      <c r="C98" s="32">
        <v>7.7512714077432543</v>
      </c>
      <c r="D98" s="32">
        <v>6.1735992500487225</v>
      </c>
      <c r="E98" s="32">
        <v>4.3677292168233572</v>
      </c>
      <c r="F98" s="32">
        <v>3.0816384294005461</v>
      </c>
      <c r="G98" s="32">
        <v>3.2946511128899125</v>
      </c>
      <c r="H98" s="32">
        <v>2.4284977895670634</v>
      </c>
      <c r="I98" s="32">
        <v>-2.5536403396431151</v>
      </c>
      <c r="J98" s="32">
        <v>-6.9699441659631596</v>
      </c>
      <c r="K98" s="32">
        <v>-13.019172116430322</v>
      </c>
      <c r="L98" s="32">
        <v>-11.722435604624337</v>
      </c>
      <c r="M98" s="32">
        <v>-8.2543728108440906</v>
      </c>
      <c r="N98" s="32">
        <v>-2.6743858812033339</v>
      </c>
      <c r="O98" s="32">
        <v>2.0001355318148395</v>
      </c>
      <c r="P98" s="32">
        <v>10.163612374668563</v>
      </c>
      <c r="Q98" s="32">
        <v>9.241496147204753</v>
      </c>
      <c r="R98" s="32">
        <v>6.006991336414691</v>
      </c>
      <c r="S98" s="32">
        <v>5.6810139807712989</v>
      </c>
      <c r="T98" s="32">
        <v>6.8672014866333564</v>
      </c>
      <c r="U98" s="32">
        <v>6.1569415130081406</v>
      </c>
      <c r="V98" s="32">
        <v>4.820500922045956</v>
      </c>
      <c r="W98" s="32">
        <v>4.9882994814809845</v>
      </c>
      <c r="X98" s="32">
        <v>12.19329968767784</v>
      </c>
      <c r="Y98" s="32">
        <v>11.979288788796683</v>
      </c>
      <c r="Z98" s="32">
        <v>5.4937771841244265</v>
      </c>
      <c r="AA98" s="32">
        <v>7.2966134357931978</v>
      </c>
      <c r="AB98" s="32">
        <v>5.921789730179583</v>
      </c>
    </row>
    <row r="99" spans="2:28" x14ac:dyDescent="0.3">
      <c r="B99" s="12" t="s">
        <v>46</v>
      </c>
      <c r="C99" s="32">
        <v>1.0667804565820393</v>
      </c>
      <c r="D99" s="32">
        <v>6.0607979734008888</v>
      </c>
      <c r="E99" s="32">
        <v>1.2917736510021705</v>
      </c>
      <c r="F99" s="32">
        <v>4.0440165061898403</v>
      </c>
      <c r="G99" s="32">
        <v>3.4883281710357261</v>
      </c>
      <c r="H99" s="32">
        <v>7.9368555525139328</v>
      </c>
      <c r="I99" s="32">
        <v>8.9577979169484614</v>
      </c>
      <c r="J99" s="32">
        <v>5.5507277862263615</v>
      </c>
      <c r="K99" s="32">
        <v>0.10144224407884206</v>
      </c>
      <c r="L99" s="32">
        <v>-0.42151333568323235</v>
      </c>
      <c r="M99" s="32">
        <v>-3.6739871093346643</v>
      </c>
      <c r="N99" s="32">
        <v>-3.4297963558413636</v>
      </c>
      <c r="O99" s="32">
        <v>-0.62311717139686973</v>
      </c>
      <c r="P99" s="32">
        <v>-1.1184325988799704</v>
      </c>
      <c r="Q99" s="32">
        <v>0</v>
      </c>
      <c r="R99" s="32">
        <v>2.0491803278688492</v>
      </c>
      <c r="S99" s="32">
        <v>1.7060367454068137</v>
      </c>
      <c r="T99" s="32">
        <v>1.364943645549932</v>
      </c>
      <c r="U99" s="32">
        <v>2.032115086729136</v>
      </c>
      <c r="V99" s="32">
        <v>3.4481721981721947</v>
      </c>
      <c r="W99" s="32">
        <v>4.1469297608323297</v>
      </c>
      <c r="X99" s="32">
        <v>9.474580054690529</v>
      </c>
      <c r="Y99" s="32">
        <v>12.574712936648513</v>
      </c>
      <c r="Z99" s="32">
        <v>9.4686077840921978</v>
      </c>
      <c r="AA99" s="32">
        <v>6.2028170179321274</v>
      </c>
      <c r="AB99" s="32">
        <v>1.1958936417995059</v>
      </c>
    </row>
    <row r="100" spans="2:28" x14ac:dyDescent="0.3">
      <c r="B100" s="12" t="s">
        <v>47</v>
      </c>
      <c r="C100" s="32">
        <v>1.2588442738209693</v>
      </c>
      <c r="D100" s="32">
        <v>6.5157493332157701</v>
      </c>
      <c r="E100" s="32">
        <v>5.6929412495084986</v>
      </c>
      <c r="F100" s="32">
        <v>5.8307553745545748</v>
      </c>
      <c r="G100" s="32">
        <v>12.665581292089101</v>
      </c>
      <c r="H100" s="32">
        <v>18.054780124142013</v>
      </c>
      <c r="I100" s="32">
        <v>11.400275409288785</v>
      </c>
      <c r="J100" s="32">
        <v>4.2852326786450234</v>
      </c>
      <c r="K100" s="32">
        <v>-3.1225679769159909</v>
      </c>
      <c r="L100" s="32">
        <v>-6.2721688727398579</v>
      </c>
      <c r="M100" s="32">
        <v>-6.9582531184894103</v>
      </c>
      <c r="N100" s="32">
        <v>-5.7468006405804957</v>
      </c>
      <c r="O100" s="32">
        <v>-1.6254172555859592</v>
      </c>
      <c r="P100" s="32">
        <v>7.4894917844869902E-2</v>
      </c>
      <c r="Q100" s="32">
        <v>1.2585148303143168</v>
      </c>
      <c r="R100" s="32">
        <v>3.0166822528583159</v>
      </c>
      <c r="S100" s="32">
        <v>4.6546018917098531</v>
      </c>
      <c r="T100" s="32">
        <v>1.0352980679099621</v>
      </c>
      <c r="U100" s="32">
        <v>3.5587188612099752</v>
      </c>
      <c r="V100" s="32">
        <v>3.1917311832270423</v>
      </c>
      <c r="W100" s="32">
        <v>6.0331199626817433</v>
      </c>
      <c r="X100" s="32">
        <v>13.783453501160947</v>
      </c>
      <c r="Y100" s="32">
        <v>16.737372327057521</v>
      </c>
      <c r="Z100" s="32">
        <v>4.1290607490822806</v>
      </c>
      <c r="AA100" s="32">
        <v>6.264302312225567</v>
      </c>
      <c r="AB100" s="32">
        <v>4.2169127785995242</v>
      </c>
    </row>
    <row r="101" spans="2:28" x14ac:dyDescent="0.3">
      <c r="B101" s="12" t="s">
        <v>48</v>
      </c>
      <c r="C101" s="32">
        <v>2.5591181936641672</v>
      </c>
      <c r="D101" s="32">
        <v>6.3797879652579548</v>
      </c>
      <c r="E101" s="32">
        <v>3.5575831146963388</v>
      </c>
      <c r="F101" s="32">
        <v>3.824847327522618</v>
      </c>
      <c r="G101" s="32">
        <v>4.4924791492151561</v>
      </c>
      <c r="H101" s="32">
        <v>5.0121120231435334</v>
      </c>
      <c r="I101" s="32">
        <v>3.5597523939127518</v>
      </c>
      <c r="J101" s="32">
        <v>2.3765263933848368</v>
      </c>
      <c r="K101" s="32">
        <v>1.1411129373092299</v>
      </c>
      <c r="L101" s="32">
        <v>0.98894976320920147</v>
      </c>
      <c r="M101" s="32">
        <v>0.66203852696429255</v>
      </c>
      <c r="N101" s="32">
        <v>1.8725736469513699</v>
      </c>
      <c r="O101" s="32">
        <v>1.5332885003362273</v>
      </c>
      <c r="P101" s="32">
        <v>1.8471909450847201</v>
      </c>
      <c r="Q101" s="32">
        <v>0.86276663390947306</v>
      </c>
      <c r="R101" s="32">
        <v>2.2795982405112269</v>
      </c>
      <c r="S101" s="32">
        <v>3.1575703238820862</v>
      </c>
      <c r="T101" s="32">
        <v>2.9577120508432975</v>
      </c>
      <c r="U101" s="32">
        <v>2.7870106573810505</v>
      </c>
      <c r="V101" s="32">
        <v>3.4210627622579537</v>
      </c>
      <c r="W101" s="32">
        <v>3.0312054097648922</v>
      </c>
      <c r="X101" s="32">
        <v>8.1757749464100868</v>
      </c>
      <c r="Y101" s="32">
        <v>13.540472241085633</v>
      </c>
      <c r="Z101" s="32">
        <v>5.5495636827139982</v>
      </c>
      <c r="AA101" s="32">
        <v>6.4802601021829886</v>
      </c>
      <c r="AB101" s="32">
        <v>5.1215522094004928</v>
      </c>
    </row>
    <row r="102" spans="2:28" x14ac:dyDescent="0.3">
      <c r="B102" s="12" t="s">
        <v>312</v>
      </c>
      <c r="C102" s="32">
        <v>9.1153742647341662</v>
      </c>
      <c r="D102" s="32">
        <v>8.8172080896342653</v>
      </c>
      <c r="E102" s="32">
        <v>8.8490990626365793</v>
      </c>
      <c r="F102" s="32">
        <v>8.944746040008944</v>
      </c>
      <c r="G102" s="32">
        <v>10.15440483829131</v>
      </c>
      <c r="H102" s="32">
        <v>8.6333610123068283</v>
      </c>
      <c r="I102" s="32">
        <v>3.7808175418981627</v>
      </c>
      <c r="J102" s="32">
        <v>2.4888146250838128</v>
      </c>
      <c r="K102" s="32">
        <v>-1.5992534671943726</v>
      </c>
      <c r="L102" s="32">
        <v>-1.3788968824940184</v>
      </c>
      <c r="M102" s="32">
        <v>-2.6836142580823452</v>
      </c>
      <c r="N102" s="32">
        <v>-2.4032618942156025</v>
      </c>
      <c r="O102" s="32">
        <v>-0.4608348558727271</v>
      </c>
      <c r="P102" s="32">
        <v>0.81604021745482758</v>
      </c>
      <c r="Q102" s="32">
        <v>2.11983811301939</v>
      </c>
      <c r="R102" s="32">
        <v>2.2404923859597137</v>
      </c>
      <c r="S102" s="32">
        <v>3.134371459670815</v>
      </c>
      <c r="T102" s="32">
        <v>4.5446713190316013</v>
      </c>
      <c r="U102" s="32">
        <v>4.0730973670114023</v>
      </c>
      <c r="V102" s="32">
        <v>3.9671384737206994</v>
      </c>
      <c r="W102" s="32">
        <v>4.8630019611949793</v>
      </c>
      <c r="X102" s="32">
        <v>12.592377390009602</v>
      </c>
      <c r="Y102" s="32">
        <v>14.745677977035232</v>
      </c>
      <c r="Z102" s="32">
        <v>8.0251294772422312</v>
      </c>
      <c r="AA102" s="32">
        <v>6.0407356088548969</v>
      </c>
      <c r="AB102" s="32">
        <v>7.3382333721270454</v>
      </c>
    </row>
    <row r="103" spans="2:28" x14ac:dyDescent="0.3">
      <c r="B103" s="12" t="s">
        <v>313</v>
      </c>
      <c r="C103" s="32">
        <v>4.0622370014574027</v>
      </c>
      <c r="D103" s="32">
        <v>5.55665141234023</v>
      </c>
      <c r="E103" s="32">
        <v>3.5785696933455124</v>
      </c>
      <c r="F103" s="32">
        <v>2.6340477736883861</v>
      </c>
      <c r="G103" s="32">
        <v>4.0430319223738076</v>
      </c>
      <c r="H103" s="32">
        <v>4.9638440224369695</v>
      </c>
      <c r="I103" s="32">
        <v>5.173357370505105</v>
      </c>
      <c r="J103" s="32">
        <v>4.5255586164677064</v>
      </c>
      <c r="K103" s="32">
        <v>1.9956952721202903</v>
      </c>
      <c r="L103" s="32">
        <v>-0.73643410852712865</v>
      </c>
      <c r="M103" s="32">
        <v>-2.3905592433511202</v>
      </c>
      <c r="N103" s="32">
        <v>-2.4135478709218727</v>
      </c>
      <c r="O103" s="32">
        <v>0.13208836255977907</v>
      </c>
      <c r="P103" s="32">
        <v>1.1993571081999166</v>
      </c>
      <c r="Q103" s="32">
        <v>3.6842814976851379</v>
      </c>
      <c r="R103" s="32">
        <v>4.0634663738042143</v>
      </c>
      <c r="S103" s="32">
        <v>5.1573305190657504</v>
      </c>
      <c r="T103" s="32">
        <v>6.8930910627509112</v>
      </c>
      <c r="U103" s="32">
        <v>8.2559173790581752</v>
      </c>
      <c r="V103" s="32">
        <v>5.6966142118656693</v>
      </c>
      <c r="W103" s="32">
        <v>4.7320859829631967</v>
      </c>
      <c r="X103" s="32">
        <v>14.36921427540565</v>
      </c>
      <c r="Y103" s="32">
        <v>23.863175447293706</v>
      </c>
      <c r="Z103" s="32">
        <v>6.7639353805850622</v>
      </c>
      <c r="AA103" s="32">
        <v>5.4302559383839544</v>
      </c>
      <c r="AB103" s="32">
        <v>2.5827047748637755</v>
      </c>
    </row>
    <row r="104" spans="2:28" x14ac:dyDescent="0.3">
      <c r="B104" s="12" t="s">
        <v>49</v>
      </c>
      <c r="C104" s="32">
        <v>8.1934067626896692</v>
      </c>
      <c r="D104" s="32">
        <v>5.0848060939363338</v>
      </c>
      <c r="E104" s="32">
        <v>4.3916401327823484</v>
      </c>
      <c r="F104" s="32">
        <v>4.2377143598812506</v>
      </c>
      <c r="G104" s="32">
        <v>6.3829787234042534</v>
      </c>
      <c r="H104" s="32">
        <v>6.3277249451353379</v>
      </c>
      <c r="I104" s="32">
        <v>2.3364293085655241</v>
      </c>
      <c r="J104" s="32">
        <v>1.8608903768840834</v>
      </c>
      <c r="K104" s="32">
        <v>-0.10692081259818798</v>
      </c>
      <c r="L104" s="32">
        <v>-1.4244938950261576</v>
      </c>
      <c r="M104" s="32">
        <v>-1.1649105874152244</v>
      </c>
      <c r="N104" s="32">
        <v>-1.1542269663226135</v>
      </c>
      <c r="O104" s="32">
        <v>0.14544855786382538</v>
      </c>
      <c r="P104" s="32">
        <v>1.0481749424531284</v>
      </c>
      <c r="Q104" s="32">
        <v>2.0013830696009371</v>
      </c>
      <c r="R104" s="32">
        <v>2.8155533399800925</v>
      </c>
      <c r="S104" s="32">
        <v>4.7114800305134263</v>
      </c>
      <c r="T104" s="32">
        <v>6.1479002802918847</v>
      </c>
      <c r="U104" s="32">
        <v>6.5363050508340459</v>
      </c>
      <c r="V104" s="32">
        <v>5.2748812578478965</v>
      </c>
      <c r="W104" s="32">
        <v>5.253277464321271</v>
      </c>
      <c r="X104" s="32">
        <v>13.234004394911381</v>
      </c>
      <c r="Y104" s="32">
        <v>15.369285795093578</v>
      </c>
      <c r="Z104" s="32">
        <v>9.3730199438795569</v>
      </c>
      <c r="AA104" s="32">
        <v>5.115932633553566</v>
      </c>
      <c r="AB104" s="32">
        <v>5.2699689416261686</v>
      </c>
    </row>
    <row r="105" spans="2:28" x14ac:dyDescent="0.3">
      <c r="B105" s="12" t="s">
        <v>50</v>
      </c>
      <c r="C105" s="32">
        <v>5.4108308913449754</v>
      </c>
      <c r="D105" s="32">
        <v>6.838280360739013</v>
      </c>
      <c r="E105" s="32">
        <v>6.6157187346336688</v>
      </c>
      <c r="F105" s="32">
        <v>8.484347675692284</v>
      </c>
      <c r="G105" s="32">
        <v>17.919648550981382</v>
      </c>
      <c r="H105" s="32">
        <v>30.885710852061045</v>
      </c>
      <c r="I105" s="32">
        <v>13.903681939215872</v>
      </c>
      <c r="J105" s="32">
        <v>-3.4612361701699013</v>
      </c>
      <c r="K105" s="32">
        <v>-25.991837757157622</v>
      </c>
      <c r="L105" s="32">
        <v>-22.839009942881326</v>
      </c>
      <c r="M105" s="32">
        <v>-7.8868966021458098</v>
      </c>
      <c r="N105" s="32">
        <v>0.27779982538296277</v>
      </c>
      <c r="O105" s="32">
        <v>0.13851511793572246</v>
      </c>
      <c r="P105" s="32">
        <v>10.111449235268566</v>
      </c>
      <c r="Q105" s="32">
        <v>13.622741058449828</v>
      </c>
      <c r="R105" s="32">
        <v>8.7358246201471914</v>
      </c>
      <c r="S105" s="32">
        <v>7.5168857578618908</v>
      </c>
      <c r="T105" s="32">
        <v>6.4712239935152738</v>
      </c>
      <c r="U105" s="32">
        <v>5.043776170536729</v>
      </c>
      <c r="V105" s="32">
        <v>3.931871715890578</v>
      </c>
      <c r="W105" s="32">
        <v>5.7229195722919624</v>
      </c>
      <c r="X105" s="32">
        <v>14.429884349852685</v>
      </c>
      <c r="Y105" s="32">
        <v>13.507541550581204</v>
      </c>
      <c r="Z105" s="32">
        <v>6.1328819297503445</v>
      </c>
      <c r="AA105" s="32">
        <v>8.5457271364317791</v>
      </c>
      <c r="AB105" s="32">
        <v>8.0906318605156393</v>
      </c>
    </row>
    <row r="106" spans="2:28" x14ac:dyDescent="0.3">
      <c r="B106" s="12" t="s">
        <v>51</v>
      </c>
      <c r="C106" s="32">
        <v>0.39286649682135355</v>
      </c>
      <c r="D106" s="32">
        <v>4.7504980552129927</v>
      </c>
      <c r="E106" s="32">
        <v>2.6784703511671504</v>
      </c>
      <c r="F106" s="32">
        <v>5.0452039691290196</v>
      </c>
      <c r="G106" s="32">
        <v>4.9036483479575121</v>
      </c>
      <c r="H106" s="32">
        <v>9.2848281106175499</v>
      </c>
      <c r="I106" s="32">
        <v>15.168271871681238</v>
      </c>
      <c r="J106" s="32">
        <v>8.7506756971604815</v>
      </c>
      <c r="K106" s="32">
        <v>0.74120639747377037</v>
      </c>
      <c r="L106" s="32">
        <v>-2.0998708441567926</v>
      </c>
      <c r="M106" s="32">
        <v>-2.2694257507930526</v>
      </c>
      <c r="N106" s="32">
        <v>-1.1193520498703147</v>
      </c>
      <c r="O106" s="32">
        <v>-1.2593376589510985</v>
      </c>
      <c r="P106" s="32">
        <v>0.53750077673522245</v>
      </c>
      <c r="Q106" s="32">
        <v>0.2673135758212597</v>
      </c>
      <c r="R106" s="32">
        <v>1.1295865374242986</v>
      </c>
      <c r="S106" s="32">
        <v>1.2449713519444128</v>
      </c>
      <c r="T106" s="32">
        <v>2.9710570280399251</v>
      </c>
      <c r="U106" s="32">
        <v>2.563765256157291</v>
      </c>
      <c r="V106" s="32">
        <v>4.0188687312060711</v>
      </c>
      <c r="W106" s="32">
        <v>4.7541410349504654</v>
      </c>
      <c r="X106" s="32">
        <v>12.456349154448798</v>
      </c>
      <c r="Y106" s="32">
        <v>18.550178523661653</v>
      </c>
      <c r="Z106" s="32">
        <v>9.2354782062727523</v>
      </c>
      <c r="AA106" s="32">
        <v>6.1411623124107528</v>
      </c>
      <c r="AB106" s="32">
        <v>4.6578780014094212</v>
      </c>
    </row>
    <row r="107" spans="2:28" x14ac:dyDescent="0.3">
      <c r="B107" s="12" t="s">
        <v>531</v>
      </c>
      <c r="C107" s="32">
        <v>2.1917694275197963</v>
      </c>
      <c r="D107" s="32">
        <v>6.0639358606515703</v>
      </c>
      <c r="E107" s="32">
        <v>4.0673023425359389</v>
      </c>
      <c r="F107" s="32">
        <v>3.8382832807919876</v>
      </c>
      <c r="G107" s="32">
        <v>5.8517532179316545</v>
      </c>
      <c r="H107" s="32">
        <v>5.9106690595595479</v>
      </c>
      <c r="I107" s="32">
        <v>6.9538364082666781</v>
      </c>
      <c r="J107" s="32">
        <v>2.4801587301587213</v>
      </c>
      <c r="K107" s="32">
        <v>0.58516709771569975</v>
      </c>
      <c r="L107" s="32">
        <v>-1.0471730636635534</v>
      </c>
      <c r="M107" s="32">
        <v>1.6984336667295707</v>
      </c>
      <c r="N107" s="32">
        <v>-2.8548182194487737E-2</v>
      </c>
      <c r="O107" s="32">
        <v>1.0451618430258103</v>
      </c>
      <c r="P107" s="32">
        <v>-2.1096807924373628</v>
      </c>
      <c r="Q107" s="32">
        <v>-0.12414111669263317</v>
      </c>
      <c r="R107" s="32">
        <v>1.4886544298309046</v>
      </c>
      <c r="S107" s="32">
        <v>1.6633437767017867</v>
      </c>
      <c r="T107" s="32">
        <v>3.8689975906314844</v>
      </c>
      <c r="U107" s="32">
        <v>4.5354012137559074</v>
      </c>
      <c r="V107" s="32">
        <v>4.1102782759020906</v>
      </c>
      <c r="W107" s="32">
        <v>4.7794892130013977</v>
      </c>
      <c r="X107" s="32">
        <v>13.621741804248089</v>
      </c>
      <c r="Y107" s="32">
        <v>16.51539438349603</v>
      </c>
      <c r="Z107" s="32">
        <v>10.741372687397854</v>
      </c>
      <c r="AA107" s="32">
        <v>6.0186342919372082</v>
      </c>
      <c r="AB107" s="32">
        <v>5.780709292333408</v>
      </c>
    </row>
    <row r="108" spans="2:28" x14ac:dyDescent="0.3">
      <c r="B108" s="12" t="s">
        <v>314</v>
      </c>
      <c r="C108" s="32">
        <v>2.9706813770558727</v>
      </c>
      <c r="D108" s="32">
        <v>4.9266850532748485</v>
      </c>
      <c r="E108" s="32">
        <v>2.148178964487002</v>
      </c>
      <c r="F108" s="32">
        <v>3.1470991151097749</v>
      </c>
      <c r="G108" s="32">
        <v>2.2452349330557508</v>
      </c>
      <c r="H108" s="32">
        <v>4.1303164879144649</v>
      </c>
      <c r="I108" s="32">
        <v>2.9011159434948253</v>
      </c>
      <c r="J108" s="32">
        <v>1.5480890519797397</v>
      </c>
      <c r="K108" s="32">
        <v>-1.1824869329547738</v>
      </c>
      <c r="L108" s="32">
        <v>-3.1409680842380272</v>
      </c>
      <c r="M108" s="32">
        <v>-4.0636429522509125</v>
      </c>
      <c r="N108" s="32">
        <v>-3.7420941672522745</v>
      </c>
      <c r="O108" s="32">
        <v>0.48731520350429047</v>
      </c>
      <c r="P108" s="32">
        <v>1.4403254808652788</v>
      </c>
      <c r="Q108" s="32">
        <v>2.4279319606087757</v>
      </c>
      <c r="R108" s="32">
        <v>4.7792189630458282</v>
      </c>
      <c r="S108" s="32">
        <v>5.2852852852852683</v>
      </c>
      <c r="T108" s="32">
        <v>5.5618938961780051</v>
      </c>
      <c r="U108" s="32">
        <v>6.4366987901167683</v>
      </c>
      <c r="V108" s="32">
        <v>5.517163568668404</v>
      </c>
      <c r="W108" s="32">
        <v>5.4158090299125883</v>
      </c>
      <c r="X108" s="32">
        <v>13.334601242551036</v>
      </c>
      <c r="Y108" s="32">
        <v>16.301028113707794</v>
      </c>
      <c r="Z108" s="32">
        <v>5.5666711556590309</v>
      </c>
      <c r="AA108" s="32">
        <v>6.9324342794660376</v>
      </c>
      <c r="AB108" s="32">
        <v>5.3000521829883462</v>
      </c>
    </row>
    <row r="109" spans="2:28" x14ac:dyDescent="0.3">
      <c r="B109" s="12" t="s">
        <v>52</v>
      </c>
      <c r="C109" s="32">
        <v>4.8464276453810573</v>
      </c>
      <c r="D109" s="32">
        <v>5.9286404820252159</v>
      </c>
      <c r="E109" s="32">
        <v>1.9780966126156763</v>
      </c>
      <c r="F109" s="32">
        <v>3.4736097236097274</v>
      </c>
      <c r="G109" s="32">
        <v>5.0405293963835307</v>
      </c>
      <c r="H109" s="32">
        <v>2.6310246443138174</v>
      </c>
      <c r="I109" s="32">
        <v>6.869787488105672</v>
      </c>
      <c r="J109" s="32">
        <v>4.1062169381448577</v>
      </c>
      <c r="K109" s="32">
        <v>0.2045915714980806</v>
      </c>
      <c r="L109" s="32">
        <v>4.2307499205060495</v>
      </c>
      <c r="M109" s="32">
        <v>6.904192289785005E-2</v>
      </c>
      <c r="N109" s="32">
        <v>2.3875232655157008</v>
      </c>
      <c r="O109" s="32">
        <v>2.0215633423180668</v>
      </c>
      <c r="P109" s="32">
        <v>0.72655217965653662</v>
      </c>
      <c r="Q109" s="32">
        <v>1.1422035836827993</v>
      </c>
      <c r="R109" s="32">
        <v>-1.2800796091912425</v>
      </c>
      <c r="S109" s="32">
        <v>-4.8873615883937571E-2</v>
      </c>
      <c r="T109" s="32">
        <v>2.3822257537093439</v>
      </c>
      <c r="U109" s="32">
        <v>2.1685919823289046</v>
      </c>
      <c r="V109" s="32">
        <v>3.5950624497845141</v>
      </c>
      <c r="W109" s="32">
        <v>3.8256528851035032</v>
      </c>
      <c r="X109" s="32">
        <v>7.9710440179820319</v>
      </c>
      <c r="Y109" s="32">
        <v>12.743716823064744</v>
      </c>
      <c r="Z109" s="32">
        <v>2.9153510582512254</v>
      </c>
      <c r="AA109" s="32">
        <v>8.689100409791628</v>
      </c>
      <c r="AB109" s="32">
        <v>4.8840554216119436</v>
      </c>
    </row>
    <row r="110" spans="2:28" x14ac:dyDescent="0.3">
      <c r="B110" s="12" t="s">
        <v>419</v>
      </c>
      <c r="C110" s="32">
        <v>-2.843423011595958</v>
      </c>
      <c r="D110" s="32">
        <v>6.6108389268987544</v>
      </c>
      <c r="E110" s="32">
        <v>2.818041946716332</v>
      </c>
      <c r="F110" s="32">
        <v>4.6231393242498031</v>
      </c>
      <c r="G110" s="32">
        <v>2.7250828063836385</v>
      </c>
      <c r="H110" s="32">
        <v>3.7666715521031735</v>
      </c>
      <c r="I110" s="32">
        <v>8.8806497175141441</v>
      </c>
      <c r="J110" s="32">
        <v>4.8613588454678114</v>
      </c>
      <c r="K110" s="32">
        <v>5.3813323436629812</v>
      </c>
      <c r="L110" s="32">
        <v>1.9751129893760933</v>
      </c>
      <c r="M110" s="32">
        <v>-0.10648401300832333</v>
      </c>
      <c r="N110" s="32">
        <v>0.89167386920192548</v>
      </c>
      <c r="O110" s="32">
        <v>0.27127743114552239</v>
      </c>
      <c r="P110" s="32">
        <v>4.0111634794742779</v>
      </c>
      <c r="Q110" s="32">
        <v>5.4664184212688038</v>
      </c>
      <c r="R110" s="32">
        <v>4.4237334337154044</v>
      </c>
      <c r="S110" s="32">
        <v>2.0299078896664824</v>
      </c>
      <c r="T110" s="32">
        <v>-1.1488791423001854</v>
      </c>
      <c r="U110" s="32">
        <v>1.5184194633767634</v>
      </c>
      <c r="V110" s="32">
        <v>0.60095424249413387</v>
      </c>
      <c r="W110" s="32">
        <v>5.6984939177447513</v>
      </c>
      <c r="X110" s="32">
        <v>5.8605256547850093</v>
      </c>
      <c r="Y110" s="32">
        <v>5.4325434916252302</v>
      </c>
      <c r="Z110" s="32">
        <v>7.7202422357707023</v>
      </c>
      <c r="AA110" s="32">
        <v>3.4785333751175207</v>
      </c>
      <c r="AB110" s="32">
        <v>4.3864571642349803</v>
      </c>
    </row>
    <row r="111" spans="2:28" x14ac:dyDescent="0.3">
      <c r="B111" s="12" t="s">
        <v>53</v>
      </c>
      <c r="C111" s="32">
        <v>1.7964337135895514</v>
      </c>
      <c r="D111" s="32">
        <v>5.2920184524327674</v>
      </c>
      <c r="E111" s="32">
        <v>2.7734148962552663</v>
      </c>
      <c r="F111" s="32">
        <v>3.3078624572692616</v>
      </c>
      <c r="G111" s="32">
        <v>3.7197080291970774</v>
      </c>
      <c r="H111" s="32">
        <v>3.8997109935067442</v>
      </c>
      <c r="I111" s="32">
        <v>2.3264215013365952</v>
      </c>
      <c r="J111" s="32">
        <v>2.4076819882793421</v>
      </c>
      <c r="K111" s="32">
        <v>0.47573083287368867</v>
      </c>
      <c r="L111" s="32">
        <v>1.324366980031555</v>
      </c>
      <c r="M111" s="32">
        <v>0.44189353921171293</v>
      </c>
      <c r="N111" s="32">
        <v>-0.24778761061947652</v>
      </c>
      <c r="O111" s="32">
        <v>1.2403257967487979</v>
      </c>
      <c r="P111" s="32">
        <v>2.3601281880090808</v>
      </c>
      <c r="Q111" s="32">
        <v>-1.0599093369859425</v>
      </c>
      <c r="R111" s="32">
        <v>3.2500494429428484</v>
      </c>
      <c r="S111" s="32">
        <v>2.0511428936278886</v>
      </c>
      <c r="T111" s="32">
        <v>-0.25651854284954867</v>
      </c>
      <c r="U111" s="32">
        <v>1.6700904828364616</v>
      </c>
      <c r="V111" s="32">
        <v>2.8920011105284527</v>
      </c>
      <c r="W111" s="32">
        <v>5.6604056424170546</v>
      </c>
      <c r="X111" s="32">
        <v>11.981272611193861</v>
      </c>
      <c r="Y111" s="32">
        <v>13.892056252375529</v>
      </c>
      <c r="Z111" s="32">
        <v>9.1028422047944915</v>
      </c>
      <c r="AA111" s="32">
        <v>7.1769408022186454</v>
      </c>
      <c r="AB111" s="32">
        <v>7.5243494693996382</v>
      </c>
    </row>
    <row r="112" spans="2:28" x14ac:dyDescent="0.3">
      <c r="B112" t="s">
        <v>484</v>
      </c>
      <c r="C112" s="32">
        <v>1.6381068951448308</v>
      </c>
      <c r="D112" s="32">
        <v>4.3915460730987732</v>
      </c>
      <c r="E112" s="32">
        <v>2.2514468093287832</v>
      </c>
      <c r="F112" s="32">
        <v>4.3830619382498215</v>
      </c>
      <c r="G112" s="32">
        <v>9.9526237097616654</v>
      </c>
      <c r="H112" s="32">
        <v>17.649660867000883</v>
      </c>
      <c r="I112" s="32">
        <v>15.888930665218414</v>
      </c>
      <c r="J112" s="32">
        <v>5.6668388988356355</v>
      </c>
      <c r="K112" s="32">
        <v>-2.71216893912688</v>
      </c>
      <c r="L112" s="32">
        <v>-6.8706751449410852</v>
      </c>
      <c r="M112" s="32">
        <v>-5.9228857594698319</v>
      </c>
      <c r="N112" s="32">
        <v>-7.6859449002735003</v>
      </c>
      <c r="O112" s="32">
        <v>-1.2096424545480877</v>
      </c>
      <c r="P112" s="32">
        <v>3.7918574542475492</v>
      </c>
      <c r="Q112" s="32">
        <v>5.4179762928300734</v>
      </c>
      <c r="R112" s="32">
        <v>5.6261949647694154</v>
      </c>
      <c r="S112" s="32">
        <v>7.4707915089682331</v>
      </c>
      <c r="T112" s="32">
        <v>8.4319753130042585</v>
      </c>
      <c r="U112" s="32">
        <v>8.3269970237448643</v>
      </c>
      <c r="V112" s="32">
        <v>6.4575645756457689</v>
      </c>
      <c r="W112" s="32">
        <v>7.0388440961494991</v>
      </c>
      <c r="X112" s="32">
        <v>18.025184572469442</v>
      </c>
      <c r="Y112" s="32">
        <v>14.584902143522815</v>
      </c>
      <c r="Z112" s="32">
        <v>1.2967915308386591</v>
      </c>
      <c r="AA112" s="32">
        <v>3.1795991778006183</v>
      </c>
      <c r="AB112" s="32">
        <v>2.2143090001755406</v>
      </c>
    </row>
    <row r="113" spans="2:28" x14ac:dyDescent="0.3">
      <c r="B113" t="s">
        <v>532</v>
      </c>
      <c r="C113" s="32">
        <v>2.9223220292034391</v>
      </c>
      <c r="D113" s="32">
        <v>4.3810915242507464</v>
      </c>
      <c r="E113" s="32">
        <v>2.7496408707503139</v>
      </c>
      <c r="F113" s="32">
        <v>3.6349948916491792</v>
      </c>
      <c r="G113" s="32">
        <v>3.1979107213891522</v>
      </c>
      <c r="H113" s="32">
        <v>2.7988201380974909</v>
      </c>
      <c r="I113" s="32">
        <v>2.0965796080733012</v>
      </c>
      <c r="J113" s="32">
        <v>1.1608967807869242</v>
      </c>
      <c r="K113" s="32">
        <v>-0.59983267825289843</v>
      </c>
      <c r="L113" s="32">
        <v>-1.4054088389893749</v>
      </c>
      <c r="M113" s="32">
        <v>-0.67325967206778303</v>
      </c>
      <c r="N113" s="32">
        <v>0.63890510475450579</v>
      </c>
      <c r="O113" s="32">
        <v>0.92488157004286808</v>
      </c>
      <c r="P113" s="32">
        <v>0.49811609936778467</v>
      </c>
      <c r="Q113" s="32">
        <v>2.1541589883713685</v>
      </c>
      <c r="R113" s="32">
        <v>2.7587708385170329</v>
      </c>
      <c r="S113" s="32">
        <v>2.8299888011138474</v>
      </c>
      <c r="T113" s="32">
        <v>2.696179431329826</v>
      </c>
      <c r="U113" s="32">
        <v>4.8094009744912736</v>
      </c>
      <c r="V113" s="32">
        <v>4.7445854298840517</v>
      </c>
      <c r="W113" s="32">
        <v>4.3221157611675221</v>
      </c>
      <c r="X113" s="32">
        <v>12.643117234130429</v>
      </c>
      <c r="Y113" s="32">
        <v>13.463525177458591</v>
      </c>
      <c r="Z113" s="32">
        <v>6.2051477859037973</v>
      </c>
      <c r="AA113" s="32">
        <v>5.1982411342287538</v>
      </c>
      <c r="AB113" s="32">
        <v>6.0430065382765186</v>
      </c>
    </row>
    <row r="114" spans="2:28" x14ac:dyDescent="0.3">
      <c r="B114" t="s">
        <v>485</v>
      </c>
      <c r="C114" s="32">
        <v>2.1033588351969446</v>
      </c>
      <c r="D114" s="32">
        <v>3.2341388438220209</v>
      </c>
      <c r="E114" s="32">
        <v>4.6423623317272789</v>
      </c>
      <c r="F114" s="32">
        <v>4.4798830132005474</v>
      </c>
      <c r="G114" s="32">
        <v>9.2981029297724671</v>
      </c>
      <c r="H114" s="32">
        <v>9.157769048401887</v>
      </c>
      <c r="I114" s="32">
        <v>7.1307408170706577</v>
      </c>
      <c r="J114" s="32">
        <v>5.9176938899329734</v>
      </c>
      <c r="K114" s="32">
        <v>-1.1386498267575651</v>
      </c>
      <c r="L114" s="32">
        <v>-1.215358742810313</v>
      </c>
      <c r="M114" s="32">
        <v>0.44062316705053561</v>
      </c>
      <c r="N114" s="32">
        <v>0.87168311754903804</v>
      </c>
      <c r="O114" s="32">
        <v>0.3883029045057107</v>
      </c>
      <c r="P114" s="32">
        <v>1.7666254078992027</v>
      </c>
      <c r="Q114" s="32">
        <v>-1.3061145510835925</v>
      </c>
      <c r="R114" s="32">
        <v>2.0530200120436382</v>
      </c>
      <c r="S114" s="32">
        <v>2.4851453899249476</v>
      </c>
      <c r="T114" s="32">
        <v>3.8308071340581451</v>
      </c>
      <c r="U114" s="32">
        <v>2.0633180733767409</v>
      </c>
      <c r="V114" s="32">
        <v>0.99816791964115748</v>
      </c>
      <c r="W114" s="32">
        <v>4.4523675486332737</v>
      </c>
      <c r="X114" s="32">
        <v>9.3731286080436895</v>
      </c>
      <c r="Y114" s="32">
        <v>9.5871660096364266</v>
      </c>
      <c r="Z114" s="32">
        <v>3.9670247314513851</v>
      </c>
      <c r="AA114" s="32">
        <v>5.4351482531597162</v>
      </c>
      <c r="AB114" s="32">
        <v>6.4299450932300051</v>
      </c>
    </row>
    <row r="115" spans="2:28" x14ac:dyDescent="0.3">
      <c r="B115" t="s">
        <v>315</v>
      </c>
      <c r="C115" s="32">
        <v>2.2380860505498701</v>
      </c>
      <c r="D115" s="32">
        <v>6.4246922899498848</v>
      </c>
      <c r="E115" s="32">
        <v>5.1108265195547231</v>
      </c>
      <c r="F115" s="32">
        <v>6.2944010197004463</v>
      </c>
      <c r="G115" s="32">
        <v>7.8826247200522115</v>
      </c>
      <c r="H115" s="32">
        <v>7.2053222616342838</v>
      </c>
      <c r="I115" s="32">
        <v>3.5404436990165378</v>
      </c>
      <c r="J115" s="32">
        <v>2.4430471085455263</v>
      </c>
      <c r="K115" s="32">
        <v>1.1039875801397425</v>
      </c>
      <c r="L115" s="32">
        <v>0.5018909773367275</v>
      </c>
      <c r="M115" s="32">
        <v>0.14429810290434997</v>
      </c>
      <c r="N115" s="32">
        <v>0.46899942081395363</v>
      </c>
      <c r="O115" s="32">
        <v>1.815216321480273</v>
      </c>
      <c r="P115" s="32">
        <v>5.2270341932276532</v>
      </c>
      <c r="Q115" s="32">
        <v>7.7063401446251012</v>
      </c>
      <c r="R115" s="32">
        <v>6.7528543055234147</v>
      </c>
      <c r="S115" s="32">
        <v>5.8405907933935186</v>
      </c>
      <c r="T115" s="32">
        <v>2.6248813734794263</v>
      </c>
      <c r="U115" s="32">
        <v>2.4211344864546902</v>
      </c>
      <c r="V115" s="32">
        <v>2.0119836660989376</v>
      </c>
      <c r="W115" s="32">
        <v>2.4279119353898038</v>
      </c>
      <c r="X115" s="32">
        <v>7.3889690792509954</v>
      </c>
      <c r="Y115" s="32">
        <v>12.390505275862695</v>
      </c>
      <c r="Z115" s="32">
        <v>4.5038521929432029</v>
      </c>
      <c r="AA115" s="32">
        <v>3.9134936513744112</v>
      </c>
      <c r="AB115" s="32">
        <v>4.146868250539959</v>
      </c>
    </row>
    <row r="116" spans="2:28" x14ac:dyDescent="0.3">
      <c r="B116" t="s">
        <v>54</v>
      </c>
      <c r="C116" s="32">
        <v>3.1425205167790793</v>
      </c>
      <c r="D116" s="32">
        <v>4.598719842442156</v>
      </c>
      <c r="E116" s="32">
        <v>5.2193560534739225</v>
      </c>
      <c r="F116" s="32">
        <v>6.7535163379979002</v>
      </c>
      <c r="G116" s="32">
        <v>9.618479281212311</v>
      </c>
      <c r="H116" s="32">
        <v>14.669541548154253</v>
      </c>
      <c r="I116" s="32">
        <v>11.344633069732101</v>
      </c>
      <c r="J116" s="32">
        <v>4.52008527558867</v>
      </c>
      <c r="K116" s="32">
        <v>0.95796855663012881</v>
      </c>
      <c r="L116" s="32">
        <v>-0.98746935439933958</v>
      </c>
      <c r="M116" s="32">
        <v>-3.6660017882935603</v>
      </c>
      <c r="N116" s="32">
        <v>-4.7241658336903409</v>
      </c>
      <c r="O116" s="32">
        <v>-0.83680963205353676</v>
      </c>
      <c r="P116" s="32">
        <v>1.2166859791425289</v>
      </c>
      <c r="Q116" s="32">
        <v>-0.50521390707051195</v>
      </c>
      <c r="R116" s="32">
        <v>0.75541547851318835</v>
      </c>
      <c r="S116" s="32">
        <v>1.6298411122144918</v>
      </c>
      <c r="T116" s="32">
        <v>-1.8174489758528423</v>
      </c>
      <c r="U116" s="32">
        <v>-1.1992287118243627</v>
      </c>
      <c r="V116" s="32">
        <v>1.6192190982234012</v>
      </c>
      <c r="W116" s="32">
        <v>5.3142850062571911</v>
      </c>
      <c r="X116" s="32">
        <v>8.9804226081227512</v>
      </c>
      <c r="Y116" s="32">
        <v>14.773990866791165</v>
      </c>
      <c r="Z116" s="32">
        <v>6.8015501251011079</v>
      </c>
      <c r="AA116" s="32">
        <v>5.9377339380862315</v>
      </c>
      <c r="AB116" s="32">
        <v>11.441550626742746</v>
      </c>
    </row>
    <row r="117" spans="2:28" x14ac:dyDescent="0.3">
      <c r="B117" t="s">
        <v>55</v>
      </c>
      <c r="C117" s="32">
        <v>1.0367642043516812</v>
      </c>
      <c r="D117" s="32">
        <v>4.2800243029771146</v>
      </c>
      <c r="E117" s="32">
        <v>2.0003884249368831</v>
      </c>
      <c r="F117" s="32">
        <v>1.6353558432766313</v>
      </c>
      <c r="G117" s="32">
        <v>3.6531296184509232</v>
      </c>
      <c r="H117" s="32">
        <v>5.9743754518435166</v>
      </c>
      <c r="I117" s="32">
        <v>6.6722252752458688</v>
      </c>
      <c r="J117" s="32">
        <v>4.9154409152277312</v>
      </c>
      <c r="K117" s="32">
        <v>2.6431195922721473</v>
      </c>
      <c r="L117" s="32">
        <v>0.61860772022435118</v>
      </c>
      <c r="M117" s="32">
        <v>0.24756127551439633</v>
      </c>
      <c r="N117" s="32">
        <v>-0.20769960422595268</v>
      </c>
      <c r="O117" s="32">
        <v>-2.0501810911355611</v>
      </c>
      <c r="P117" s="32">
        <v>-2.0930932940703806</v>
      </c>
      <c r="Q117" s="32">
        <v>-1.4662405796606381</v>
      </c>
      <c r="R117" s="32">
        <v>-5.2030038675654477E-2</v>
      </c>
      <c r="S117" s="32">
        <v>0.12320186017458212</v>
      </c>
      <c r="T117" s="32">
        <v>2.2530329289427442E-2</v>
      </c>
      <c r="U117" s="32">
        <v>2.094848647618397</v>
      </c>
      <c r="V117" s="32">
        <v>4.3769729472862284</v>
      </c>
      <c r="W117" s="32">
        <v>6.9885042519633789</v>
      </c>
      <c r="X117" s="32">
        <v>12.933327254213589</v>
      </c>
      <c r="Y117" s="32">
        <v>19.932982545855825</v>
      </c>
      <c r="Z117" s="32">
        <v>11.644842405269218</v>
      </c>
      <c r="AA117" s="32">
        <v>7.2754500045226544</v>
      </c>
      <c r="AB117" s="32">
        <v>4.7893776375318442</v>
      </c>
    </row>
    <row r="118" spans="2:28" x14ac:dyDescent="0.3">
      <c r="B118" t="s">
        <v>462</v>
      </c>
      <c r="C118" s="32">
        <v>2.9426675777547651</v>
      </c>
      <c r="D118" s="32">
        <v>5.9804719283970575</v>
      </c>
      <c r="E118" s="32">
        <v>4.0812203252853951</v>
      </c>
      <c r="F118" s="32">
        <v>5.5323692128506297</v>
      </c>
      <c r="G118" s="32">
        <v>9.6459118918421627</v>
      </c>
      <c r="H118" s="32">
        <v>10.536999446392326</v>
      </c>
      <c r="I118" s="32">
        <v>7.2196084383062686</v>
      </c>
      <c r="J118" s="32">
        <v>0.69075827706768234</v>
      </c>
      <c r="K118" s="32">
        <v>-3.8138750263583265</v>
      </c>
      <c r="L118" s="32">
        <v>-5.518692818099435</v>
      </c>
      <c r="M118" s="32">
        <v>-6.0808093308170719</v>
      </c>
      <c r="N118" s="32">
        <v>-4.3877130857284063</v>
      </c>
      <c r="O118" s="32">
        <v>0.91126767842069079</v>
      </c>
      <c r="P118" s="32">
        <v>3.7214066234209531</v>
      </c>
      <c r="Q118" s="32">
        <v>4.1161948650427993</v>
      </c>
      <c r="R118" s="32">
        <v>4.6252825595548552</v>
      </c>
      <c r="S118" s="32">
        <v>5.5192107211385899</v>
      </c>
      <c r="T118" s="32">
        <v>6.9573310423825863</v>
      </c>
      <c r="U118" s="32">
        <v>6.4512242466431946</v>
      </c>
      <c r="V118" s="32">
        <v>5.2051107925249696</v>
      </c>
      <c r="W118" s="32">
        <v>4.9953978746548389</v>
      </c>
      <c r="X118" s="32">
        <v>17.64993852179062</v>
      </c>
      <c r="Y118" s="32">
        <v>23.070670318079344</v>
      </c>
      <c r="Z118" s="32">
        <v>10.01729831734548</v>
      </c>
      <c r="AA118" s="32">
        <v>5.2358490566037696</v>
      </c>
      <c r="AB118" s="32">
        <v>4.6258456677770399</v>
      </c>
    </row>
    <row r="119" spans="2:28" x14ac:dyDescent="0.3">
      <c r="B119" t="s">
        <v>56</v>
      </c>
      <c r="C119" s="32">
        <v>4.9212723911518985</v>
      </c>
      <c r="D119" s="32">
        <v>5.3304169957672398</v>
      </c>
      <c r="E119" s="32">
        <v>6.6892268645811548</v>
      </c>
      <c r="F119" s="32">
        <v>6.6717128027681705</v>
      </c>
      <c r="G119" s="32">
        <v>14.118939009967901</v>
      </c>
      <c r="H119" s="32">
        <v>24.384502642604389</v>
      </c>
      <c r="I119" s="32">
        <v>20.320645575947992</v>
      </c>
      <c r="J119" s="32">
        <v>2.0565628987743834</v>
      </c>
      <c r="K119" s="32">
        <v>-4.9025879616167556</v>
      </c>
      <c r="L119" s="32">
        <v>-9.9977576647097273</v>
      </c>
      <c r="M119" s="32">
        <v>-11.168363475759602</v>
      </c>
      <c r="N119" s="32">
        <v>-9.4924847974910964</v>
      </c>
      <c r="O119" s="32">
        <v>-1.1507852665680773</v>
      </c>
      <c r="P119" s="32">
        <v>6.1757245860526</v>
      </c>
      <c r="Q119" s="32">
        <v>7.5665664590938597</v>
      </c>
      <c r="R119" s="32">
        <v>7.1765439800374198</v>
      </c>
      <c r="S119" s="32">
        <v>5.5889269167190614</v>
      </c>
      <c r="T119" s="32">
        <v>7.7163930630739896</v>
      </c>
      <c r="U119" s="32">
        <v>6.7009887208040908</v>
      </c>
      <c r="V119" s="32">
        <v>4.5976460205853442</v>
      </c>
      <c r="W119" s="32">
        <v>6.7561123236917764</v>
      </c>
      <c r="X119" s="32">
        <v>20.882405999536125</v>
      </c>
      <c r="Y119" s="32">
        <v>21.38532383916769</v>
      </c>
      <c r="Z119" s="32">
        <v>4.1496156570712817</v>
      </c>
      <c r="AA119" s="32">
        <v>5.5941854647862055</v>
      </c>
      <c r="AB119" s="32">
        <v>2.8479257212716602</v>
      </c>
    </row>
    <row r="120" spans="2:28" x14ac:dyDescent="0.3">
      <c r="B120" t="s">
        <v>57</v>
      </c>
      <c r="C120" s="32">
        <v>6.085158379546951</v>
      </c>
      <c r="D120" s="32">
        <v>5.7077544655514734</v>
      </c>
      <c r="E120" s="32">
        <v>4.0014751982297536</v>
      </c>
      <c r="F120" s="32">
        <v>3.1157317859445532</v>
      </c>
      <c r="G120" s="32">
        <v>3.3467243993559714</v>
      </c>
      <c r="H120" s="32">
        <v>3.772272136007504</v>
      </c>
      <c r="I120" s="32">
        <v>-2.5274020522388141</v>
      </c>
      <c r="J120" s="32">
        <v>-5.266620809283129</v>
      </c>
      <c r="K120" s="32">
        <v>-10.869427958075518</v>
      </c>
      <c r="L120" s="32">
        <v>-11.490100237310941</v>
      </c>
      <c r="M120" s="32">
        <v>-9.1440233702829268</v>
      </c>
      <c r="N120" s="32">
        <v>-4.9374559548978176</v>
      </c>
      <c r="O120" s="32">
        <v>-0.80619005698928659</v>
      </c>
      <c r="P120" s="32">
        <v>6.399177915829779</v>
      </c>
      <c r="Q120" s="32">
        <v>8.3958909521928184</v>
      </c>
      <c r="R120" s="32">
        <v>6.7614361217423147</v>
      </c>
      <c r="S120" s="32">
        <v>5.6902241948332488</v>
      </c>
      <c r="T120" s="32">
        <v>7.3597501884354655</v>
      </c>
      <c r="U120" s="32">
        <v>6.5543352891028306</v>
      </c>
      <c r="V120" s="32">
        <v>5.2161772088353597</v>
      </c>
      <c r="W120" s="32">
        <v>5.6792258718632915</v>
      </c>
      <c r="X120" s="32">
        <v>14.424786252433751</v>
      </c>
      <c r="Y120" s="32">
        <v>12.458385736479993</v>
      </c>
      <c r="Z120" s="32">
        <v>5.653136855031482</v>
      </c>
      <c r="AA120" s="32">
        <v>5.4419792034204217</v>
      </c>
      <c r="AB120" s="32">
        <v>6.3551886416208125</v>
      </c>
    </row>
    <row r="121" spans="2:28" x14ac:dyDescent="0.3">
      <c r="B121" t="s">
        <v>58</v>
      </c>
      <c r="C121" s="32">
        <v>2.4768123778230677</v>
      </c>
      <c r="D121" s="32">
        <v>6.1590600077115143</v>
      </c>
      <c r="E121" s="32">
        <v>3.4963297140235605</v>
      </c>
      <c r="F121" s="32">
        <v>3.3800631683936322</v>
      </c>
      <c r="G121" s="32">
        <v>3.8180486323274643</v>
      </c>
      <c r="H121" s="32">
        <v>4.4761478626006657</v>
      </c>
      <c r="I121" s="32">
        <v>3.9928181982902045</v>
      </c>
      <c r="J121" s="32">
        <v>3.6906213865965487</v>
      </c>
      <c r="K121" s="32">
        <v>2.2165192551517832</v>
      </c>
      <c r="L121" s="32">
        <v>-0.67399946199601102</v>
      </c>
      <c r="M121" s="32">
        <v>-2.0567834735115698</v>
      </c>
      <c r="N121" s="32">
        <v>-3.0047929212240421</v>
      </c>
      <c r="O121" s="32">
        <v>1.1023123218245168</v>
      </c>
      <c r="P121" s="32">
        <v>-0.308603295945864</v>
      </c>
      <c r="Q121" s="32">
        <v>0.22627633998020258</v>
      </c>
      <c r="R121" s="32">
        <v>1.5709515074549874</v>
      </c>
      <c r="S121" s="32">
        <v>2.309176506907451</v>
      </c>
      <c r="T121" s="32">
        <v>1.4740272476275296</v>
      </c>
      <c r="U121" s="32">
        <v>2.1900740432364785</v>
      </c>
      <c r="V121" s="32">
        <v>1.7561216918130285</v>
      </c>
      <c r="W121" s="32">
        <v>6.0668020246503973</v>
      </c>
      <c r="X121" s="32">
        <v>9.7477790808967235</v>
      </c>
      <c r="Y121" s="32">
        <v>15.286444258831633</v>
      </c>
      <c r="Z121" s="32">
        <v>6.0634795486750992</v>
      </c>
      <c r="AA121" s="32">
        <v>5.4194961224735883</v>
      </c>
      <c r="AB121" s="32">
        <v>8.0868366911222225</v>
      </c>
    </row>
    <row r="122" spans="2:28" x14ac:dyDescent="0.3">
      <c r="B122" t="s">
        <v>316</v>
      </c>
      <c r="C122" s="32">
        <v>-1.0560177481974464</v>
      </c>
      <c r="D122" s="32">
        <v>5.3319581156528129</v>
      </c>
      <c r="E122" s="32">
        <v>1.6689018030099811</v>
      </c>
      <c r="F122" s="32">
        <v>3.0715437281463975</v>
      </c>
      <c r="G122" s="32">
        <v>2.8093767774437506</v>
      </c>
      <c r="H122" s="32">
        <v>3.6237181640354832</v>
      </c>
      <c r="I122" s="32">
        <v>6.9043760129659626</v>
      </c>
      <c r="J122" s="32">
        <v>5.2652231298826235</v>
      </c>
      <c r="K122" s="32">
        <v>3.8276458029753435</v>
      </c>
      <c r="L122" s="32">
        <v>1.6629404181013996</v>
      </c>
      <c r="M122" s="32">
        <v>-2.1012585077693435</v>
      </c>
      <c r="N122" s="32">
        <v>-0.52470198566906268</v>
      </c>
      <c r="O122" s="32">
        <v>0.86867654573323794</v>
      </c>
      <c r="P122" s="32">
        <v>0.58992711703762524</v>
      </c>
      <c r="Q122" s="32">
        <v>2.1427991227357834</v>
      </c>
      <c r="R122" s="32">
        <v>1.2135381874860851</v>
      </c>
      <c r="S122" s="32">
        <v>2.9008281345757947</v>
      </c>
      <c r="T122" s="32">
        <v>2.5472259975871436</v>
      </c>
      <c r="U122" s="32">
        <v>1.0781671159029615</v>
      </c>
      <c r="V122" s="32">
        <v>4.8500920810313097</v>
      </c>
      <c r="W122" s="32">
        <v>5.0163699467449474</v>
      </c>
      <c r="X122" s="32">
        <v>13.041733010423219</v>
      </c>
      <c r="Y122" s="32">
        <v>18.489891577103368</v>
      </c>
      <c r="Z122" s="32">
        <v>8.4741021926976643</v>
      </c>
      <c r="AA122" s="32">
        <v>8.3287287729767456</v>
      </c>
      <c r="AB122" s="32">
        <v>4.8764787752261674</v>
      </c>
    </row>
    <row r="123" spans="2:28" x14ac:dyDescent="0.3">
      <c r="B123" t="s">
        <v>59</v>
      </c>
      <c r="C123" s="32">
        <v>4.587473529890862</v>
      </c>
      <c r="D123" s="32">
        <v>4.2850189817969619</v>
      </c>
      <c r="E123" s="32">
        <v>3.8457230332673564</v>
      </c>
      <c r="F123" s="32">
        <v>3.5379139251429326</v>
      </c>
      <c r="G123" s="32">
        <v>5.1116435739833932</v>
      </c>
      <c r="H123" s="32">
        <v>4.7176979748257297</v>
      </c>
      <c r="I123" s="32">
        <v>3.2779127362210891</v>
      </c>
      <c r="J123" s="32">
        <v>1.9962732160312635</v>
      </c>
      <c r="K123" s="32">
        <v>-0.61097051468275154</v>
      </c>
      <c r="L123" s="32">
        <v>-1.8923927618990311</v>
      </c>
      <c r="M123" s="32">
        <v>-1.2593104507409913</v>
      </c>
      <c r="N123" s="32">
        <v>-2.0561474453690054</v>
      </c>
      <c r="O123" s="32">
        <v>0.8352786114684152</v>
      </c>
      <c r="P123" s="32">
        <v>-2.1527898077135177</v>
      </c>
      <c r="Q123" s="32">
        <v>-2.1792313139766928</v>
      </c>
      <c r="R123" s="32">
        <v>2.9467899568923039</v>
      </c>
      <c r="S123" s="32">
        <v>2.1863862296025216</v>
      </c>
      <c r="T123" s="32">
        <v>3.872562053271178</v>
      </c>
      <c r="U123" s="32">
        <v>4.4644873744598135</v>
      </c>
      <c r="V123" s="32">
        <v>4.6542131511430052</v>
      </c>
      <c r="W123" s="32">
        <v>4.0946465216852301</v>
      </c>
      <c r="X123" s="32">
        <v>11.140513363323645</v>
      </c>
      <c r="Y123" s="32">
        <v>15.767857142857157</v>
      </c>
      <c r="Z123" s="32">
        <v>11.331173839271912</v>
      </c>
      <c r="AA123" s="32">
        <v>8.781312347594783</v>
      </c>
      <c r="AB123" s="32">
        <v>7.1966231030851313</v>
      </c>
    </row>
    <row r="124" spans="2:28" x14ac:dyDescent="0.3">
      <c r="B124" t="s">
        <v>486</v>
      </c>
      <c r="C124" s="32">
        <v>10.530783048104064</v>
      </c>
      <c r="D124" s="32">
        <v>9.0827916279734069</v>
      </c>
      <c r="E124" s="32">
        <v>6.1032710127369993</v>
      </c>
      <c r="F124" s="32">
        <v>2.9378182379262485</v>
      </c>
      <c r="G124" s="32">
        <v>3.3726054501304059</v>
      </c>
      <c r="H124" s="32">
        <v>3.5409779015138199</v>
      </c>
      <c r="I124" s="32">
        <v>1.0601350026608447</v>
      </c>
      <c r="J124" s="32">
        <v>0.37553871097377733</v>
      </c>
      <c r="K124" s="32">
        <v>-1.0160974128171851</v>
      </c>
      <c r="L124" s="32">
        <v>-0.81592234093001981</v>
      </c>
      <c r="M124" s="32">
        <v>-1.8843249476185764</v>
      </c>
      <c r="N124" s="32">
        <v>-0.33823972023561133</v>
      </c>
      <c r="O124" s="32">
        <v>2.0463925679853778</v>
      </c>
      <c r="P124" s="32">
        <v>5.873731679819616</v>
      </c>
      <c r="Q124" s="32">
        <v>7.7068469811521823</v>
      </c>
      <c r="R124" s="32">
        <v>10.529177686052549</v>
      </c>
      <c r="S124" s="32">
        <v>10.939421722310438</v>
      </c>
      <c r="T124" s="32">
        <v>9.9332809256011743</v>
      </c>
      <c r="U124" s="32">
        <v>7.1554300592236997</v>
      </c>
      <c r="V124" s="32">
        <v>4.2829153940264764</v>
      </c>
      <c r="W124" s="32">
        <v>3.5294407206556855</v>
      </c>
      <c r="X124" s="32">
        <v>12.707720835875769</v>
      </c>
      <c r="Y124" s="32">
        <v>17.466444486630529</v>
      </c>
      <c r="Z124" s="32">
        <v>3.3387402809617495</v>
      </c>
      <c r="AA124" s="32">
        <v>2.8775478288067591</v>
      </c>
      <c r="AB124" s="32">
        <v>1.8647529358370774</v>
      </c>
    </row>
    <row r="125" spans="2:28" x14ac:dyDescent="0.3">
      <c r="B125" t="s">
        <v>317</v>
      </c>
      <c r="C125" s="32">
        <v>2.22250417644696</v>
      </c>
      <c r="D125" s="32">
        <v>5.9122879602813594</v>
      </c>
      <c r="E125" s="32">
        <v>2.5586936989726139</v>
      </c>
      <c r="F125" s="32">
        <v>3.3537746629085152</v>
      </c>
      <c r="G125" s="32">
        <v>4.0409810388988054</v>
      </c>
      <c r="H125" s="32">
        <v>4.3639970245474835</v>
      </c>
      <c r="I125" s="32">
        <v>5.6562468180429537</v>
      </c>
      <c r="J125" s="32">
        <v>3.8436210025859729</v>
      </c>
      <c r="K125" s="32">
        <v>0.87236280393492294</v>
      </c>
      <c r="L125" s="32">
        <v>1.3478287536800693</v>
      </c>
      <c r="M125" s="32">
        <v>-2.3753687873515505</v>
      </c>
      <c r="N125" s="32">
        <v>-0.88182874854708659</v>
      </c>
      <c r="O125" s="32">
        <v>0.63793858277565452</v>
      </c>
      <c r="P125" s="32">
        <v>-0.63234106021998748</v>
      </c>
      <c r="Q125" s="32">
        <v>0.6379286082836888</v>
      </c>
      <c r="R125" s="32">
        <v>1.3252544084518147</v>
      </c>
      <c r="S125" s="32">
        <v>2.4686436259928168</v>
      </c>
      <c r="T125" s="32">
        <v>3.4237146106422589</v>
      </c>
      <c r="U125" s="32">
        <v>2.883558076277537</v>
      </c>
      <c r="V125" s="32">
        <v>3.8940218537737881</v>
      </c>
      <c r="W125" s="32">
        <v>3.0929370042502624</v>
      </c>
      <c r="X125" s="32">
        <v>13.987106600317745</v>
      </c>
      <c r="Y125" s="32">
        <v>16.726179506081841</v>
      </c>
      <c r="Z125" s="32">
        <v>8.4046300956215347</v>
      </c>
      <c r="AA125" s="32">
        <v>5.211462486573093</v>
      </c>
      <c r="AB125" s="32">
        <v>5.9572189697091993</v>
      </c>
    </row>
    <row r="126" spans="2:28" x14ac:dyDescent="0.3">
      <c r="B126" t="s">
        <v>60</v>
      </c>
      <c r="C126" s="32">
        <v>2.7521758655347117</v>
      </c>
      <c r="D126" s="32">
        <v>4.5681581685744099</v>
      </c>
      <c r="E126" s="32">
        <v>2.6370783162503741</v>
      </c>
      <c r="F126" s="32">
        <v>1.8421562924180623</v>
      </c>
      <c r="G126" s="32">
        <v>1.9935262757045047</v>
      </c>
      <c r="H126" s="32">
        <v>2.7610282450015733</v>
      </c>
      <c r="I126" s="32">
        <v>0.67398176070920801</v>
      </c>
      <c r="J126" s="32">
        <v>0.74886767598389969</v>
      </c>
      <c r="K126" s="32">
        <v>-1.5367531164923176</v>
      </c>
      <c r="L126" s="32">
        <v>-1.0404918688834752</v>
      </c>
      <c r="M126" s="32">
        <v>-1.7903753538472844</v>
      </c>
      <c r="N126" s="32">
        <v>-0.58022010930596224</v>
      </c>
      <c r="O126" s="32">
        <v>0.3012161602469865</v>
      </c>
      <c r="P126" s="32">
        <v>1.3119861856676351</v>
      </c>
      <c r="Q126" s="32">
        <v>1.015247234933403</v>
      </c>
      <c r="R126" s="32">
        <v>4.0605226960110041</v>
      </c>
      <c r="S126" s="32">
        <v>3.9937256560742984</v>
      </c>
      <c r="T126" s="32">
        <v>4.855520718583195</v>
      </c>
      <c r="U126" s="32">
        <v>7.6531436883788384</v>
      </c>
      <c r="V126" s="32">
        <v>6.2427745664740186</v>
      </c>
      <c r="W126" s="32">
        <v>6.8029902632731565</v>
      </c>
      <c r="X126" s="32">
        <v>14.712147875676473</v>
      </c>
      <c r="Y126" s="32">
        <v>16.598228291962712</v>
      </c>
      <c r="Z126" s="32">
        <v>10.470292622123733</v>
      </c>
      <c r="AA126" s="32">
        <v>8.3406465478642602</v>
      </c>
      <c r="AB126" s="32">
        <v>5.1723266626238162</v>
      </c>
    </row>
    <row r="127" spans="2:28" x14ac:dyDescent="0.3">
      <c r="B127" t="s">
        <v>61</v>
      </c>
      <c r="C127" s="32">
        <v>3.7751996957017919</v>
      </c>
      <c r="D127" s="32">
        <v>8.6296160542472364</v>
      </c>
      <c r="E127" s="32">
        <v>13.165608722242151</v>
      </c>
      <c r="F127" s="32">
        <v>18.079833028959037</v>
      </c>
      <c r="G127" s="32">
        <v>25.705447888390886</v>
      </c>
      <c r="H127" s="32">
        <v>26.079696680560449</v>
      </c>
      <c r="I127" s="32">
        <v>12.472989793378142</v>
      </c>
      <c r="J127" s="32">
        <v>-6.128321130401682</v>
      </c>
      <c r="K127" s="32">
        <v>-21.709155042488369</v>
      </c>
      <c r="L127" s="32">
        <v>-17.130259845080776</v>
      </c>
      <c r="M127" s="32">
        <v>-6.4616010815368163</v>
      </c>
      <c r="N127" s="32">
        <v>-8.932956205513964</v>
      </c>
      <c r="O127" s="32">
        <v>-0.35666746305332842</v>
      </c>
      <c r="P127" s="32">
        <v>10.637277569405201</v>
      </c>
      <c r="Q127" s="32">
        <v>11.487616099071186</v>
      </c>
      <c r="R127" s="32">
        <v>5.8482942475111654</v>
      </c>
      <c r="S127" s="32">
        <v>5.4569543373604645</v>
      </c>
      <c r="T127" s="32">
        <v>7.8937220902317362</v>
      </c>
      <c r="U127" s="32">
        <v>7.0199103056295398</v>
      </c>
      <c r="V127" s="32">
        <v>4.4512431593915602</v>
      </c>
      <c r="W127" s="32">
        <v>5.1938943894389356</v>
      </c>
      <c r="X127" s="32">
        <v>16.124161731832622</v>
      </c>
      <c r="Y127" s="32">
        <v>16.960199929079224</v>
      </c>
      <c r="Z127" s="32">
        <v>3.3790514689958862</v>
      </c>
      <c r="AA127" s="32">
        <v>4.3669829831507245</v>
      </c>
      <c r="AB127" s="32">
        <v>3.9067264817098657</v>
      </c>
    </row>
    <row r="128" spans="2:28" x14ac:dyDescent="0.3">
      <c r="B128" t="s">
        <v>62</v>
      </c>
      <c r="C128" s="32">
        <v>2.794182636294229</v>
      </c>
      <c r="D128" s="32">
        <v>5.9347702890196086</v>
      </c>
      <c r="E128" s="32">
        <v>4.1523704113632043</v>
      </c>
      <c r="F128" s="32">
        <v>5.3736207293530125</v>
      </c>
      <c r="G128" s="32">
        <v>3.0019329355407853</v>
      </c>
      <c r="H128" s="32">
        <v>5.8827369005074903</v>
      </c>
      <c r="I128" s="32">
        <v>4.7714453040717864</v>
      </c>
      <c r="J128" s="32">
        <v>4.6527021858727258</v>
      </c>
      <c r="K128" s="32">
        <v>2.1168037107315962</v>
      </c>
      <c r="L128" s="32">
        <v>-0.21885452368169966</v>
      </c>
      <c r="M128" s="32">
        <v>-3.0651658113998836</v>
      </c>
      <c r="N128" s="32">
        <v>-1.0459655614059926</v>
      </c>
      <c r="O128" s="32">
        <v>0.78953045229019914</v>
      </c>
      <c r="P128" s="32">
        <v>0.71057588037211072</v>
      </c>
      <c r="Q128" s="32">
        <v>-1.5698053328043859</v>
      </c>
      <c r="R128" s="32">
        <v>1.9388548233871594</v>
      </c>
      <c r="S128" s="32">
        <v>0.55915618248822962</v>
      </c>
      <c r="T128" s="32">
        <v>0.82704972127440879</v>
      </c>
      <c r="U128" s="32">
        <v>3.2225719299223021</v>
      </c>
      <c r="V128" s="32">
        <v>3.7506745817593057</v>
      </c>
      <c r="W128" s="32">
        <v>5.8231469440832129</v>
      </c>
      <c r="X128" s="32">
        <v>12.870800462041343</v>
      </c>
      <c r="Y128" s="32">
        <v>17.450899272743104</v>
      </c>
      <c r="Z128" s="32">
        <v>7.7075666706834411</v>
      </c>
      <c r="AA128" s="32">
        <v>6.4959206857378993</v>
      </c>
      <c r="AB128" s="32">
        <v>5.108998524831998</v>
      </c>
    </row>
    <row r="129" spans="2:28" x14ac:dyDescent="0.3">
      <c r="B129" t="s">
        <v>63</v>
      </c>
      <c r="C129" s="32">
        <v>3.5528559249786928</v>
      </c>
      <c r="D129" s="32">
        <v>8.6813345133471831</v>
      </c>
      <c r="E129" s="32">
        <v>6.777767256888545</v>
      </c>
      <c r="F129" s="32">
        <v>7.8373297389330521</v>
      </c>
      <c r="G129" s="32">
        <v>14.625923063006763</v>
      </c>
      <c r="H129" s="32">
        <v>18.496039944903586</v>
      </c>
      <c r="I129" s="32">
        <v>16.020681221015408</v>
      </c>
      <c r="J129" s="32">
        <v>4.0253397065269647</v>
      </c>
      <c r="K129" s="32">
        <v>-7.3137697516930107</v>
      </c>
      <c r="L129" s="32">
        <v>-7.7577528819613555</v>
      </c>
      <c r="M129" s="32">
        <v>-8.4536130864371284</v>
      </c>
      <c r="N129" s="32">
        <v>-8.4190017176404393</v>
      </c>
      <c r="O129" s="32">
        <v>-7.1606528007166155</v>
      </c>
      <c r="P129" s="32">
        <v>1.6146540027137002</v>
      </c>
      <c r="Q129" s="32">
        <v>4.2981558137119569</v>
      </c>
      <c r="R129" s="32">
        <v>6.9290733733534449</v>
      </c>
      <c r="S129" s="32">
        <v>5.0313294044087131</v>
      </c>
      <c r="T129" s="32">
        <v>7.0233435928613863</v>
      </c>
      <c r="U129" s="32">
        <v>7.7648646089755857</v>
      </c>
      <c r="V129" s="32">
        <v>6.1170475636139976</v>
      </c>
      <c r="W129" s="32">
        <v>6.2974116965237359</v>
      </c>
      <c r="X129" s="32">
        <v>14.543578160292881</v>
      </c>
      <c r="Y129" s="32">
        <v>19.551211219719498</v>
      </c>
      <c r="Z129" s="32">
        <v>7.9536728948041979</v>
      </c>
      <c r="AA129" s="32">
        <v>5.8180045969744354</v>
      </c>
      <c r="AB129" s="32">
        <v>3.134590782765434</v>
      </c>
    </row>
    <row r="130" spans="2:28" x14ac:dyDescent="0.3">
      <c r="B130" t="s">
        <v>64</v>
      </c>
      <c r="C130" s="32">
        <v>6.5490211221376882</v>
      </c>
      <c r="D130" s="32">
        <v>7.5961294531221579</v>
      </c>
      <c r="E130" s="32">
        <v>4.4359863922664999</v>
      </c>
      <c r="F130" s="32">
        <v>3.5525382184093512</v>
      </c>
      <c r="G130" s="32">
        <v>4.5145215292377028</v>
      </c>
      <c r="H130" s="32">
        <v>6.0002384003337683</v>
      </c>
      <c r="I130" s="32">
        <v>5.6493442599907073</v>
      </c>
      <c r="J130" s="32">
        <v>3.3781266631186968</v>
      </c>
      <c r="K130" s="32">
        <v>-1.9382488835120171</v>
      </c>
      <c r="L130" s="32">
        <v>-6.1829826886984236</v>
      </c>
      <c r="M130" s="32">
        <v>-10.320080579726376</v>
      </c>
      <c r="N130" s="32">
        <v>-9.6887918259106023</v>
      </c>
      <c r="O130" s="32">
        <v>-5.1179742287629342</v>
      </c>
      <c r="P130" s="32">
        <v>4.2635306111303173</v>
      </c>
      <c r="Q130" s="32">
        <v>10.020428474150144</v>
      </c>
      <c r="R130" s="32">
        <v>8.5999492160223401</v>
      </c>
      <c r="S130" s="32">
        <v>6.0308924317926005</v>
      </c>
      <c r="T130" s="32">
        <v>7.0591802420132854</v>
      </c>
      <c r="U130" s="32">
        <v>7.2399588053553066</v>
      </c>
      <c r="V130" s="32">
        <v>5.5543551330068164</v>
      </c>
      <c r="W130" s="32">
        <v>6.6529437854681461</v>
      </c>
      <c r="X130" s="32">
        <v>16.623836384768786</v>
      </c>
      <c r="Y130" s="32">
        <v>25.386071262034736</v>
      </c>
      <c r="Z130" s="32">
        <v>6.5176175475440301</v>
      </c>
      <c r="AA130" s="32">
        <v>6.8129851992825508</v>
      </c>
      <c r="AB130" s="32">
        <v>5.4693535504314328</v>
      </c>
    </row>
    <row r="131" spans="2:28" x14ac:dyDescent="0.3">
      <c r="B131" t="s">
        <v>318</v>
      </c>
      <c r="C131" s="32">
        <v>3.0616191130972803</v>
      </c>
      <c r="D131" s="32">
        <v>5.0074006128958182</v>
      </c>
      <c r="E131" s="32">
        <v>4.8341307498362074</v>
      </c>
      <c r="F131" s="32">
        <v>5.4122637579063326</v>
      </c>
      <c r="G131" s="32">
        <v>12.2143575740155</v>
      </c>
      <c r="H131" s="32">
        <v>18.595008244880962</v>
      </c>
      <c r="I131" s="32">
        <v>12.619131186047138</v>
      </c>
      <c r="J131" s="32">
        <v>4.4374655383213835</v>
      </c>
      <c r="K131" s="32">
        <v>-0.88260949407766853</v>
      </c>
      <c r="L131" s="32">
        <v>-6.6154077745226409</v>
      </c>
      <c r="M131" s="32">
        <v>-4.3610346452396698</v>
      </c>
      <c r="N131" s="32">
        <v>-5.4454226036899307</v>
      </c>
      <c r="O131" s="32">
        <v>-2.9124216703917516</v>
      </c>
      <c r="P131" s="32">
        <v>-0.98439375750298819</v>
      </c>
      <c r="Q131" s="32">
        <v>-0.91715638728817606</v>
      </c>
      <c r="R131" s="32">
        <v>4.0408838983660766</v>
      </c>
      <c r="S131" s="32">
        <v>2.7354992251494403</v>
      </c>
      <c r="T131" s="32">
        <v>2.8700723242063741</v>
      </c>
      <c r="U131" s="32">
        <v>2.9615082482325139</v>
      </c>
      <c r="V131" s="32">
        <v>3.3862312759085578</v>
      </c>
      <c r="W131" s="32">
        <v>4.2592706475616415</v>
      </c>
      <c r="X131" s="32">
        <v>11.581021140052862</v>
      </c>
      <c r="Y131" s="32">
        <v>12.294761325791592</v>
      </c>
      <c r="Z131" s="32">
        <v>6.4661908976218152</v>
      </c>
      <c r="AA131" s="32">
        <v>7.2911692400204897</v>
      </c>
      <c r="AB131" s="32">
        <v>3.5239367217765771</v>
      </c>
    </row>
    <row r="132" spans="2:28" x14ac:dyDescent="0.3">
      <c r="B132" t="s">
        <v>65</v>
      </c>
      <c r="C132" s="32">
        <v>2.6842517373005803</v>
      </c>
      <c r="D132" s="32">
        <v>7.5419992851185613</v>
      </c>
      <c r="E132" s="32">
        <v>7.7996897850653779</v>
      </c>
      <c r="F132" s="32">
        <v>8.2425488180883697</v>
      </c>
      <c r="G132" s="32">
        <v>13.88909988606153</v>
      </c>
      <c r="H132" s="32">
        <v>16.653883349451437</v>
      </c>
      <c r="I132" s="32">
        <v>11.143192018524338</v>
      </c>
      <c r="J132" s="32">
        <v>5.3525039224259885</v>
      </c>
      <c r="K132" s="32">
        <v>1.0766601562499867</v>
      </c>
      <c r="L132" s="32">
        <v>-3.4105456389942335</v>
      </c>
      <c r="M132" s="32">
        <v>-1.7604841331366083</v>
      </c>
      <c r="N132" s="32">
        <v>-2.9031436935216925</v>
      </c>
      <c r="O132" s="32">
        <v>0.34080929098558865</v>
      </c>
      <c r="P132" s="32">
        <v>-1.308965499222714</v>
      </c>
      <c r="Q132" s="32">
        <v>-0.21708340503262535</v>
      </c>
      <c r="R132" s="32">
        <v>1.8226921189127498</v>
      </c>
      <c r="S132" s="32">
        <v>-1.4956290631473412</v>
      </c>
      <c r="T132" s="32">
        <v>4.7203375259558866</v>
      </c>
      <c r="U132" s="32">
        <v>1.6431331935638616</v>
      </c>
      <c r="V132" s="32">
        <v>3.0293616968401604</v>
      </c>
      <c r="W132" s="32">
        <v>7.0142431588214649</v>
      </c>
      <c r="X132" s="32">
        <v>11.82987163738407</v>
      </c>
      <c r="Y132" s="32">
        <v>13.429406429507207</v>
      </c>
      <c r="Z132" s="32">
        <v>8.9510998969401854</v>
      </c>
      <c r="AA132" s="32">
        <v>3.9908342914923622</v>
      </c>
      <c r="AB132" s="32">
        <v>3.7069514068877707</v>
      </c>
    </row>
    <row r="133" spans="2:28" x14ac:dyDescent="0.3">
      <c r="B133" t="s">
        <v>66</v>
      </c>
      <c r="C133" s="32">
        <v>3.7645957845034772</v>
      </c>
      <c r="D133" s="32">
        <v>4.0851046385307566</v>
      </c>
      <c r="E133" s="32">
        <v>2.5462780622292236</v>
      </c>
      <c r="F133" s="32">
        <v>3.4144374243850084</v>
      </c>
      <c r="G133" s="32">
        <v>3.008300681510101</v>
      </c>
      <c r="H133" s="32">
        <v>4.2021957419192013</v>
      </c>
      <c r="I133" s="32">
        <v>5.0967094564202009</v>
      </c>
      <c r="J133" s="32">
        <v>3.1770593270560532</v>
      </c>
      <c r="K133" s="32">
        <v>1.791697246242685</v>
      </c>
      <c r="L133" s="32">
        <v>0.80876475290354577</v>
      </c>
      <c r="M133" s="32">
        <v>-1.4879425346331354</v>
      </c>
      <c r="N133" s="32">
        <v>-2.9135101010101083</v>
      </c>
      <c r="O133" s="32">
        <v>1.0322853334200355</v>
      </c>
      <c r="P133" s="32">
        <v>0.87370673703519586</v>
      </c>
      <c r="Q133" s="32">
        <v>-3.0259044216167985</v>
      </c>
      <c r="R133" s="32">
        <v>1.6037503084135096</v>
      </c>
      <c r="S133" s="32">
        <v>2.5465436295936561</v>
      </c>
      <c r="T133" s="32">
        <v>-1.4034699966847142</v>
      </c>
      <c r="U133" s="32">
        <v>2.667563326608402</v>
      </c>
      <c r="V133" s="32">
        <v>3.0364940736119728</v>
      </c>
      <c r="W133" s="32">
        <v>3.6508392994989869</v>
      </c>
      <c r="X133" s="32">
        <v>13.555980665605505</v>
      </c>
      <c r="Y133" s="32">
        <v>20.017489262107468</v>
      </c>
      <c r="Z133" s="32">
        <v>9.2801731527515798</v>
      </c>
      <c r="AA133" s="32">
        <v>7.0537018698094922</v>
      </c>
      <c r="AB133" s="32">
        <v>2.6371901970739131</v>
      </c>
    </row>
    <row r="134" spans="2:28" x14ac:dyDescent="0.3">
      <c r="B134" t="s">
        <v>319</v>
      </c>
      <c r="C134" s="32">
        <v>0.98451327433628499</v>
      </c>
      <c r="D134" s="32">
        <v>3.9149961660641885</v>
      </c>
      <c r="E134" s="32">
        <v>4.0542249957834287</v>
      </c>
      <c r="F134" s="32">
        <v>4.8363894235639693</v>
      </c>
      <c r="G134" s="32">
        <v>8.5211240384987175</v>
      </c>
      <c r="H134" s="32">
        <v>9.8377589001086285</v>
      </c>
      <c r="I134" s="32">
        <v>6.5002026753141484</v>
      </c>
      <c r="J134" s="32">
        <v>3.9187625601364129</v>
      </c>
      <c r="K134" s="32">
        <v>1.7096897067010453</v>
      </c>
      <c r="L134" s="32">
        <v>0.36442203817068641</v>
      </c>
      <c r="M134" s="32">
        <v>0.28559947185624601</v>
      </c>
      <c r="N134" s="32">
        <v>1.4139130185897963</v>
      </c>
      <c r="O134" s="32">
        <v>3.3387426797431674</v>
      </c>
      <c r="P134" s="32">
        <v>7.323401291802667</v>
      </c>
      <c r="Q134" s="32">
        <v>7.9051836018016575</v>
      </c>
      <c r="R134" s="32">
        <v>4.9170469418797991</v>
      </c>
      <c r="S134" s="32">
        <v>4.6978432628656863</v>
      </c>
      <c r="T134" s="32">
        <v>2.3948817587513549</v>
      </c>
      <c r="U134" s="32">
        <v>-0.27676437287709188</v>
      </c>
      <c r="V134" s="32">
        <v>2.1592868256170794</v>
      </c>
      <c r="W134" s="32">
        <v>2.4727819053695477</v>
      </c>
      <c r="X134" s="32">
        <v>6.7010775147869461</v>
      </c>
      <c r="Y134" s="32">
        <v>10.693244489619214</v>
      </c>
      <c r="Z134" s="32">
        <v>1.1920146918786623</v>
      </c>
      <c r="AA134" s="32">
        <v>7.3392259994286668</v>
      </c>
      <c r="AB134" s="32">
        <v>5.4340872013051378</v>
      </c>
    </row>
    <row r="135" spans="2:28" x14ac:dyDescent="0.3">
      <c r="B135" t="s">
        <v>320</v>
      </c>
      <c r="C135" s="32">
        <v>2.0287763677263371</v>
      </c>
      <c r="D135" s="32">
        <v>3.3362452681060084</v>
      </c>
      <c r="E135" s="32">
        <v>2.8038323738979853</v>
      </c>
      <c r="F135" s="32">
        <v>2.4806656877141453</v>
      </c>
      <c r="G135" s="32">
        <v>4.386534713996415</v>
      </c>
      <c r="H135" s="32">
        <v>5.6297814707712668</v>
      </c>
      <c r="I135" s="32">
        <v>4.6834390269258952</v>
      </c>
      <c r="J135" s="32">
        <v>1.7958521608156586</v>
      </c>
      <c r="K135" s="32">
        <v>1.5901921888719084</v>
      </c>
      <c r="L135" s="32">
        <v>0.14084507042253502</v>
      </c>
      <c r="M135" s="32">
        <v>-0.4746835443038</v>
      </c>
      <c r="N135" s="32">
        <v>1.2365306482953642</v>
      </c>
      <c r="O135" s="32">
        <v>2.7458320775368472</v>
      </c>
      <c r="P135" s="32">
        <v>4.3444698326437381</v>
      </c>
      <c r="Q135" s="32">
        <v>6.0101204391441954</v>
      </c>
      <c r="R135" s="32">
        <v>3.4557838320678824</v>
      </c>
      <c r="S135" s="32">
        <v>2.981490475419557</v>
      </c>
      <c r="T135" s="32">
        <v>4.4567296355490393</v>
      </c>
      <c r="U135" s="32">
        <v>5.5357680345138993</v>
      </c>
      <c r="V135" s="32">
        <v>4.3553178847296481</v>
      </c>
      <c r="W135" s="32">
        <v>3.9355463189660211</v>
      </c>
      <c r="X135" s="32">
        <v>11.665260597561122</v>
      </c>
      <c r="Y135" s="32">
        <v>16.611393473184322</v>
      </c>
      <c r="Z135" s="32">
        <v>6.8086968228325384</v>
      </c>
      <c r="AA135" s="32">
        <v>5.576650386009141</v>
      </c>
      <c r="AB135" s="32">
        <v>8.0111981235576621</v>
      </c>
    </row>
    <row r="136" spans="2:28" x14ac:dyDescent="0.3">
      <c r="B136" t="s">
        <v>67</v>
      </c>
      <c r="C136" s="32">
        <v>4.6944319580980221</v>
      </c>
      <c r="D136" s="32">
        <v>6.6325673430528864</v>
      </c>
      <c r="E136" s="32">
        <v>6.0904730226532644</v>
      </c>
      <c r="F136" s="32">
        <v>5.7787825283411198</v>
      </c>
      <c r="G136" s="32">
        <v>8.3178634385286276</v>
      </c>
      <c r="H136" s="32">
        <v>10.199467127529328</v>
      </c>
      <c r="I136" s="32">
        <v>12.636407595697685</v>
      </c>
      <c r="J136" s="32">
        <v>13.634464994314644</v>
      </c>
      <c r="K136" s="32">
        <v>3.3368389883292382</v>
      </c>
      <c r="L136" s="32">
        <v>-4.9256459661083944</v>
      </c>
      <c r="M136" s="32">
        <v>-10.728538765329453</v>
      </c>
      <c r="N136" s="32">
        <v>-10.712830483020364</v>
      </c>
      <c r="O136" s="32">
        <v>-1.3834017862963677</v>
      </c>
      <c r="P136" s="32">
        <v>3.6002326995795642</v>
      </c>
      <c r="Q136" s="32">
        <v>1.3515065661013015</v>
      </c>
      <c r="R136" s="32">
        <v>5.5127430240757613</v>
      </c>
      <c r="S136" s="32">
        <v>5.3249636012125068</v>
      </c>
      <c r="T136" s="32">
        <v>5.8919506889050011</v>
      </c>
      <c r="U136" s="32">
        <v>9.6334103749357922</v>
      </c>
      <c r="V136" s="32">
        <v>6.6602250656360162</v>
      </c>
      <c r="W136" s="32">
        <v>6.4868277774219552</v>
      </c>
      <c r="X136" s="32">
        <v>17.029010414876389</v>
      </c>
      <c r="Y136" s="32">
        <v>14.485751418983916</v>
      </c>
      <c r="Z136" s="32">
        <v>5.9384159520770696</v>
      </c>
      <c r="AA136" s="32">
        <v>6.0359858575095737</v>
      </c>
      <c r="AB136" s="32">
        <v>5.3801373850273393</v>
      </c>
    </row>
    <row r="137" spans="2:28" x14ac:dyDescent="0.3">
      <c r="B137" t="s">
        <v>533</v>
      </c>
      <c r="C137" s="32">
        <v>5.9382053078060437</v>
      </c>
      <c r="D137" s="32">
        <v>5.225168968557159</v>
      </c>
      <c r="E137" s="32">
        <v>4.0301607526224803</v>
      </c>
      <c r="F137" s="32">
        <v>3.348880910036578</v>
      </c>
      <c r="G137" s="32">
        <v>4.005000162342931</v>
      </c>
      <c r="H137" s="32">
        <v>3.7134160618122358</v>
      </c>
      <c r="I137" s="32">
        <v>-0.99482270784422289</v>
      </c>
      <c r="J137" s="32">
        <v>-2.0446011887569671</v>
      </c>
      <c r="K137" s="32">
        <v>-5.2717340699587218</v>
      </c>
      <c r="L137" s="32">
        <v>-5.3603315804131473</v>
      </c>
      <c r="M137" s="32">
        <v>-4.0419602208797372</v>
      </c>
      <c r="N137" s="32">
        <v>-3.0973770610094653</v>
      </c>
      <c r="O137" s="32">
        <v>0.46354040620286696</v>
      </c>
      <c r="P137" s="32">
        <v>4.3527406144609593</v>
      </c>
      <c r="Q137" s="32">
        <v>6.9271064547633765</v>
      </c>
      <c r="R137" s="32">
        <v>7.1476019662548351</v>
      </c>
      <c r="S137" s="32">
        <v>7.8502789832610054</v>
      </c>
      <c r="T137" s="32">
        <v>8.6915283466264306</v>
      </c>
      <c r="U137" s="32">
        <v>7.9277564026284608</v>
      </c>
      <c r="V137" s="32">
        <v>6.4278626468534439</v>
      </c>
      <c r="W137" s="32">
        <v>5.9556148993968439</v>
      </c>
      <c r="X137" s="32">
        <v>15.048343291689292</v>
      </c>
      <c r="Y137" s="32">
        <v>16.215935487526203</v>
      </c>
      <c r="Z137" s="32">
        <v>7.7505586024781525</v>
      </c>
      <c r="AA137" s="32">
        <v>7.5640580934139834</v>
      </c>
      <c r="AB137" s="32">
        <v>5.3372726301925688</v>
      </c>
    </row>
    <row r="138" spans="2:28" x14ac:dyDescent="0.3">
      <c r="B138" t="s">
        <v>321</v>
      </c>
      <c r="C138" s="32">
        <v>4.6062967385156917</v>
      </c>
      <c r="D138" s="32">
        <v>7.9338379590692565</v>
      </c>
      <c r="E138" s="32">
        <v>7.7829313543599232</v>
      </c>
      <c r="F138" s="32">
        <v>11.462260091229881</v>
      </c>
      <c r="G138" s="32">
        <v>20.923803934892039</v>
      </c>
      <c r="H138" s="32">
        <v>24.660613258751262</v>
      </c>
      <c r="I138" s="32">
        <v>10.500650528105893</v>
      </c>
      <c r="J138" s="32">
        <v>-2.6765433930078131</v>
      </c>
      <c r="K138" s="32">
        <v>-9.4754991617131523</v>
      </c>
      <c r="L138" s="32">
        <v>-10.272653611002946</v>
      </c>
      <c r="M138" s="32">
        <v>-11.662190530920524</v>
      </c>
      <c r="N138" s="32">
        <v>-7.9670220251450541</v>
      </c>
      <c r="O138" s="32">
        <v>-2.5028129598107296</v>
      </c>
      <c r="P138" s="32">
        <v>4.7953008714693546</v>
      </c>
      <c r="Q138" s="32">
        <v>9.5470717795222306</v>
      </c>
      <c r="R138" s="32">
        <v>6.9970357004768724</v>
      </c>
      <c r="S138" s="32">
        <v>7.7379876895650179</v>
      </c>
      <c r="T138" s="32">
        <v>9.925874579341043</v>
      </c>
      <c r="U138" s="32">
        <v>7.2039543942799433</v>
      </c>
      <c r="V138" s="32">
        <v>4.1089522219270647</v>
      </c>
      <c r="W138" s="32">
        <v>6.8947919989064577</v>
      </c>
      <c r="X138" s="32">
        <v>17.209571955908288</v>
      </c>
      <c r="Y138" s="32">
        <v>10.668567438612818</v>
      </c>
      <c r="Z138" s="32">
        <v>2.5631588632735181E-2</v>
      </c>
      <c r="AA138" s="32">
        <v>1.4284306317553064</v>
      </c>
      <c r="AB138" s="32">
        <v>4.4187750919362001</v>
      </c>
    </row>
    <row r="139" spans="2:28" x14ac:dyDescent="0.3">
      <c r="B139" t="s">
        <v>68</v>
      </c>
      <c r="C139" s="32">
        <v>3.0412283678316943</v>
      </c>
      <c r="D139" s="32">
        <v>4.6453710945540072</v>
      </c>
      <c r="E139" s="32">
        <v>3.2197155950671741</v>
      </c>
      <c r="F139" s="32">
        <v>3.8014481707316916</v>
      </c>
      <c r="G139" s="32">
        <v>5.2574575493345765</v>
      </c>
      <c r="H139" s="32">
        <v>8.9555102112000462</v>
      </c>
      <c r="I139" s="32">
        <v>8.6980183756442777</v>
      </c>
      <c r="J139" s="32">
        <v>6.9638334216881592</v>
      </c>
      <c r="K139" s="32">
        <v>2.7809518564918756</v>
      </c>
      <c r="L139" s="32">
        <v>0.75143656991307761</v>
      </c>
      <c r="M139" s="32">
        <v>-2.3332181126858198</v>
      </c>
      <c r="N139" s="32">
        <v>7.0783932047446818E-2</v>
      </c>
      <c r="O139" s="32">
        <v>2.338298306468034</v>
      </c>
      <c r="P139" s="32">
        <v>3.0039609750910579</v>
      </c>
      <c r="Q139" s="32">
        <v>1.5007613492657557</v>
      </c>
      <c r="R139" s="32">
        <v>2.5846396379216152</v>
      </c>
      <c r="S139" s="32">
        <v>2.429049448506615</v>
      </c>
      <c r="T139" s="32">
        <v>3.9491833030852908</v>
      </c>
      <c r="U139" s="32">
        <v>4.4847172754149511</v>
      </c>
      <c r="V139" s="32">
        <v>2.5399088751991261</v>
      </c>
      <c r="W139" s="32">
        <v>5.6992623333731673</v>
      </c>
      <c r="X139" s="32">
        <v>13.743023650211207</v>
      </c>
      <c r="Y139" s="32">
        <v>20.743873346345708</v>
      </c>
      <c r="Z139" s="32">
        <v>10.717706930100279</v>
      </c>
      <c r="AA139" s="32">
        <v>5.1926105677263301</v>
      </c>
      <c r="AB139" s="32">
        <v>6.4881257752177124</v>
      </c>
    </row>
    <row r="140" spans="2:28" x14ac:dyDescent="0.3">
      <c r="B140" t="s">
        <v>69</v>
      </c>
      <c r="C140" s="32">
        <v>7.3478781884236843</v>
      </c>
      <c r="D140" s="32">
        <v>9.8252888227372992</v>
      </c>
      <c r="E140" s="32">
        <v>6.6068633936206211</v>
      </c>
      <c r="F140" s="32">
        <v>2.931472849446104</v>
      </c>
      <c r="G140" s="32">
        <v>2.1804654992428008</v>
      </c>
      <c r="H140" s="32">
        <v>2.7627489351905066</v>
      </c>
      <c r="I140" s="32">
        <v>-0.51809118404838594</v>
      </c>
      <c r="J140" s="32">
        <v>-3.3020859724685492</v>
      </c>
      <c r="K140" s="32">
        <v>-5.812227074235798</v>
      </c>
      <c r="L140" s="32">
        <v>-1.7246974824980388</v>
      </c>
      <c r="M140" s="32">
        <v>-3.5240835967353834</v>
      </c>
      <c r="N140" s="32">
        <v>-0.98125509372454234</v>
      </c>
      <c r="O140" s="32">
        <v>2.1465727266741341</v>
      </c>
      <c r="P140" s="32">
        <v>6.5638496744665709</v>
      </c>
      <c r="Q140" s="32">
        <v>10.973156899810977</v>
      </c>
      <c r="R140" s="32">
        <v>11.771439473433155</v>
      </c>
      <c r="S140" s="32">
        <v>11.291286165400717</v>
      </c>
      <c r="T140" s="32">
        <v>10.53680981595091</v>
      </c>
      <c r="U140" s="32">
        <v>9.7861206366825826</v>
      </c>
      <c r="V140" s="32">
        <v>5.4715993211280844</v>
      </c>
      <c r="W140" s="32">
        <v>4.2984430768704174</v>
      </c>
      <c r="X140" s="32">
        <v>13.496368634852907</v>
      </c>
      <c r="Y140" s="32">
        <v>15.104012263107292</v>
      </c>
      <c r="Z140" s="32">
        <v>2.1697342797914354</v>
      </c>
      <c r="AA140" s="32">
        <v>2.6720936523941807</v>
      </c>
      <c r="AB140" s="32">
        <v>2.6961154890564831</v>
      </c>
    </row>
    <row r="141" spans="2:28" x14ac:dyDescent="0.3">
      <c r="B141" t="s">
        <v>70</v>
      </c>
      <c r="C141" s="32">
        <v>4.9753063837570943</v>
      </c>
      <c r="D141" s="32">
        <v>4.8421134150355316</v>
      </c>
      <c r="E141" s="32">
        <v>4.2879302703501265</v>
      </c>
      <c r="F141" s="32">
        <v>3.8212274675071489</v>
      </c>
      <c r="G141" s="32">
        <v>5.7221312593805473</v>
      </c>
      <c r="H141" s="32">
        <v>4.4380273283107785</v>
      </c>
      <c r="I141" s="32">
        <v>1.3423337143563252</v>
      </c>
      <c r="J141" s="32">
        <v>0.61578794945662541</v>
      </c>
      <c r="K141" s="32">
        <v>-1.6012482768023584</v>
      </c>
      <c r="L141" s="32">
        <v>-2.9313052313945209</v>
      </c>
      <c r="M141" s="32">
        <v>-3.0626486915146578</v>
      </c>
      <c r="N141" s="32">
        <v>-2.3576956429261053</v>
      </c>
      <c r="O141" s="32">
        <v>6.8702034250489596E-2</v>
      </c>
      <c r="P141" s="32">
        <v>-0.43369781811484209</v>
      </c>
      <c r="Q141" s="32">
        <v>0.86781029263369724</v>
      </c>
      <c r="R141" s="32">
        <v>3.2979858610110657</v>
      </c>
      <c r="S141" s="32">
        <v>4.1837492333021364</v>
      </c>
      <c r="T141" s="32">
        <v>5.8036129272146963</v>
      </c>
      <c r="U141" s="32">
        <v>5.3549464066069197</v>
      </c>
      <c r="V141" s="32">
        <v>4.7839441826849516</v>
      </c>
      <c r="W141" s="32">
        <v>4.3148386412171336</v>
      </c>
      <c r="X141" s="32">
        <v>12.387467575403077</v>
      </c>
      <c r="Y141" s="32">
        <v>17.231235716063644</v>
      </c>
      <c r="Z141" s="32">
        <v>10.831338789376144</v>
      </c>
      <c r="AA141" s="32">
        <v>8.2524229573576857</v>
      </c>
      <c r="AB141" s="32">
        <v>6.5049344119111563</v>
      </c>
    </row>
    <row r="142" spans="2:28" x14ac:dyDescent="0.3">
      <c r="B142" t="s">
        <v>322</v>
      </c>
      <c r="C142" s="32">
        <v>3.6168479963246902</v>
      </c>
      <c r="D142" s="32">
        <v>4.4801386565629819</v>
      </c>
      <c r="E142" s="32">
        <v>2.7159446009027421</v>
      </c>
      <c r="F142" s="32">
        <v>2.4920187793427306</v>
      </c>
      <c r="G142" s="32">
        <v>2.6384740824889841</v>
      </c>
      <c r="H142" s="32">
        <v>3.5542781655568678</v>
      </c>
      <c r="I142" s="32">
        <v>2.8030616466694136</v>
      </c>
      <c r="J142" s="32">
        <v>2.4650367240165005</v>
      </c>
      <c r="K142" s="32">
        <v>0.26348520555119492</v>
      </c>
      <c r="L142" s="32">
        <v>-1.2290867542642525</v>
      </c>
      <c r="M142" s="32">
        <v>-3.123347435219459</v>
      </c>
      <c r="N142" s="32">
        <v>-3.2359864897137602</v>
      </c>
      <c r="O142" s="32">
        <v>-0.91141472014104608</v>
      </c>
      <c r="P142" s="32">
        <v>0.82016794762311829</v>
      </c>
      <c r="Q142" s="32">
        <v>0.46939243678203457</v>
      </c>
      <c r="R142" s="32">
        <v>2.3289716343198652</v>
      </c>
      <c r="S142" s="32">
        <v>3.5306637373199612</v>
      </c>
      <c r="T142" s="32">
        <v>3.4003116814218082</v>
      </c>
      <c r="U142" s="32">
        <v>4.9287306193781966</v>
      </c>
      <c r="V142" s="32">
        <v>4.9539293736534207</v>
      </c>
      <c r="W142" s="32">
        <v>5.7858338793040476</v>
      </c>
      <c r="X142" s="32">
        <v>14.144152823463042</v>
      </c>
      <c r="Y142" s="32">
        <v>20.081749782965154</v>
      </c>
      <c r="Z142" s="32">
        <v>8.4565874426404175</v>
      </c>
      <c r="AA142" s="32">
        <v>7.3185635062446019</v>
      </c>
      <c r="AB142" s="32">
        <v>5.1076166212773444</v>
      </c>
    </row>
    <row r="143" spans="2:28" x14ac:dyDescent="0.3">
      <c r="B143" t="s">
        <v>71</v>
      </c>
      <c r="C143" s="32">
        <v>2.9401796305710937</v>
      </c>
      <c r="D143" s="32">
        <v>4.7719976952835808</v>
      </c>
      <c r="E143" s="32">
        <v>2.4609643523519242</v>
      </c>
      <c r="F143" s="32">
        <v>2.7449777641466167</v>
      </c>
      <c r="G143" s="32">
        <v>3.7388059701492393</v>
      </c>
      <c r="H143" s="32">
        <v>4.7874253650816767</v>
      </c>
      <c r="I143" s="32">
        <v>3.7448941063398689</v>
      </c>
      <c r="J143" s="32">
        <v>3.7007014293276796</v>
      </c>
      <c r="K143" s="32">
        <v>0.4769881151790667</v>
      </c>
      <c r="L143" s="32">
        <v>-1.5861171091070769</v>
      </c>
      <c r="M143" s="32">
        <v>-2.2828103573445113</v>
      </c>
      <c r="N143" s="32">
        <v>-1.8127786032689497</v>
      </c>
      <c r="O143" s="32">
        <v>-1.4679176755447942</v>
      </c>
      <c r="P143" s="32">
        <v>-1.0085496339528155</v>
      </c>
      <c r="Q143" s="32">
        <v>0.71369466280515326</v>
      </c>
      <c r="R143" s="32">
        <v>0</v>
      </c>
      <c r="S143" s="32">
        <v>1.0304337407141206</v>
      </c>
      <c r="T143" s="32">
        <v>3.5883708322038466</v>
      </c>
      <c r="U143" s="32">
        <v>2.8392921396094284</v>
      </c>
      <c r="V143" s="32">
        <v>4.2622220808550049</v>
      </c>
      <c r="W143" s="32">
        <v>5.0001525366850652</v>
      </c>
      <c r="X143" s="32">
        <v>13.825614504038587</v>
      </c>
      <c r="Y143" s="32">
        <v>19.541051395607045</v>
      </c>
      <c r="Z143" s="32">
        <v>6.371711650153733</v>
      </c>
      <c r="AA143" s="32">
        <v>6.3674321503131681</v>
      </c>
      <c r="AB143" s="32">
        <v>4.4104669454782641</v>
      </c>
    </row>
    <row r="144" spans="2:28" x14ac:dyDescent="0.3">
      <c r="B144" t="s">
        <v>487</v>
      </c>
      <c r="C144" s="32">
        <v>3.4059834292477831</v>
      </c>
      <c r="D144" s="32">
        <v>5.4390085058514615</v>
      </c>
      <c r="E144" s="32">
        <v>3.2811125460909141</v>
      </c>
      <c r="F144" s="32">
        <v>2.9865893439652069</v>
      </c>
      <c r="G144" s="32">
        <v>1.6699514323924802</v>
      </c>
      <c r="H144" s="32">
        <v>4.2352493206639474</v>
      </c>
      <c r="I144" s="32">
        <v>4.0963735387885336</v>
      </c>
      <c r="J144" s="32">
        <v>4.7997320189500758</v>
      </c>
      <c r="K144" s="32">
        <v>2.5753424657534163</v>
      </c>
      <c r="L144" s="32">
        <v>-0.57573599240265949</v>
      </c>
      <c r="M144" s="32">
        <v>-2.9296758402483469</v>
      </c>
      <c r="N144" s="32">
        <v>-2.8966344305899283</v>
      </c>
      <c r="O144" s="32">
        <v>5.8584163275643419E-2</v>
      </c>
      <c r="P144" s="32">
        <v>1.2786023989619144</v>
      </c>
      <c r="Q144" s="32">
        <v>2.6405424830473923</v>
      </c>
      <c r="R144" s="32">
        <v>4.9945198806551794</v>
      </c>
      <c r="S144" s="32">
        <v>5.8805619590274416</v>
      </c>
      <c r="T144" s="32">
        <v>6.1167481411494196</v>
      </c>
      <c r="U144" s="32">
        <v>7.1306906162898809</v>
      </c>
      <c r="V144" s="32">
        <v>6.1164510611644962</v>
      </c>
      <c r="W144" s="32">
        <v>5.5164585698070479</v>
      </c>
      <c r="X144" s="32">
        <v>13.360585197934594</v>
      </c>
      <c r="Y144" s="32">
        <v>20.974568229265511</v>
      </c>
      <c r="Z144" s="32">
        <v>8.5030945302511096</v>
      </c>
      <c r="AA144" s="32">
        <v>7.3371745841255498</v>
      </c>
      <c r="AB144" s="32">
        <v>5.1494108319435794</v>
      </c>
    </row>
    <row r="145" spans="2:28" x14ac:dyDescent="0.3">
      <c r="B145" t="s">
        <v>463</v>
      </c>
      <c r="C145" s="32">
        <v>4.644179761785594</v>
      </c>
      <c r="D145" s="32">
        <v>5.245337159253971</v>
      </c>
      <c r="E145" s="32">
        <v>2.1520620898994869</v>
      </c>
      <c r="F145" s="32">
        <v>3.720574367004148</v>
      </c>
      <c r="G145" s="32">
        <v>4.6044054072600149</v>
      </c>
      <c r="H145" s="32">
        <v>9.5266990291261955</v>
      </c>
      <c r="I145" s="32">
        <v>17.788425544658249</v>
      </c>
      <c r="J145" s="32">
        <v>7.8128773914701632</v>
      </c>
      <c r="K145" s="32">
        <v>-2.2673945596679679</v>
      </c>
      <c r="L145" s="32">
        <v>-4.2599652543190754</v>
      </c>
      <c r="M145" s="32">
        <v>-7.1978527414090721</v>
      </c>
      <c r="N145" s="32">
        <v>-6.6073732093149706</v>
      </c>
      <c r="O145" s="32">
        <v>-1.8886578752235317</v>
      </c>
      <c r="P145" s="32">
        <v>-1.3841138114997098</v>
      </c>
      <c r="Q145" s="32">
        <v>0.56802813091696436</v>
      </c>
      <c r="R145" s="32">
        <v>3.5637439483593214</v>
      </c>
      <c r="S145" s="32">
        <v>2.8625431040701921</v>
      </c>
      <c r="T145" s="32">
        <v>2.5500399758742187</v>
      </c>
      <c r="U145" s="32">
        <v>4.0486383717908359</v>
      </c>
      <c r="V145" s="32">
        <v>5.4528006730554468</v>
      </c>
      <c r="W145" s="32">
        <v>5.297996733940824</v>
      </c>
      <c r="X145" s="32">
        <v>11.69896648474591</v>
      </c>
      <c r="Y145" s="32">
        <v>16.092039300060424</v>
      </c>
      <c r="Z145" s="32">
        <v>6.2546789124837687</v>
      </c>
      <c r="AA145" s="32">
        <v>4.63118099411437</v>
      </c>
      <c r="AB145" s="32">
        <v>3.8734581963071335</v>
      </c>
    </row>
    <row r="146" spans="2:28" x14ac:dyDescent="0.3">
      <c r="B146" t="s">
        <v>323</v>
      </c>
      <c r="C146" s="32">
        <v>2.7289173696026348</v>
      </c>
      <c r="D146" s="32">
        <v>6.3334111306783347</v>
      </c>
      <c r="E146" s="32">
        <v>7.5125708356612808</v>
      </c>
      <c r="F146" s="32">
        <v>8.858410200256106</v>
      </c>
      <c r="G146" s="32">
        <v>17.581068639819964</v>
      </c>
      <c r="H146" s="32">
        <v>22.667691326160732</v>
      </c>
      <c r="I146" s="32">
        <v>12.67272662797434</v>
      </c>
      <c r="J146" s="32">
        <v>-0.64309693663450185</v>
      </c>
      <c r="K146" s="32">
        <v>-8.8219455795242148</v>
      </c>
      <c r="L146" s="32">
        <v>-12.513896609227338</v>
      </c>
      <c r="M146" s="32">
        <v>-8.1486776268763439</v>
      </c>
      <c r="N146" s="32">
        <v>-7.4160541864821905</v>
      </c>
      <c r="O146" s="32">
        <v>-0.34711412738933634</v>
      </c>
      <c r="P146" s="32">
        <v>2.0696334015401163</v>
      </c>
      <c r="Q146" s="32">
        <v>2.8065987206561838</v>
      </c>
      <c r="R146" s="32">
        <v>3.0157785055076047</v>
      </c>
      <c r="S146" s="32">
        <v>2.5301274455971745</v>
      </c>
      <c r="T146" s="32">
        <v>3.2780416308468396</v>
      </c>
      <c r="U146" s="32">
        <v>5.1799189443663574</v>
      </c>
      <c r="V146" s="32">
        <v>2.4533271059562267</v>
      </c>
      <c r="W146" s="32">
        <v>4.8638723565911146</v>
      </c>
      <c r="X146" s="32">
        <v>13.94742244387821</v>
      </c>
      <c r="Y146" s="32">
        <v>14.393658397007258</v>
      </c>
      <c r="Z146" s="32">
        <v>6.0346664443270859</v>
      </c>
      <c r="AA146" s="32">
        <v>8.4092716041832318</v>
      </c>
      <c r="AB146" s="32">
        <v>6.0309912273509791</v>
      </c>
    </row>
    <row r="147" spans="2:28" x14ac:dyDescent="0.3">
      <c r="B147" t="s">
        <v>324</v>
      </c>
      <c r="C147" s="32">
        <v>3.787222904544274</v>
      </c>
      <c r="D147" s="32">
        <v>6.1864669822301543</v>
      </c>
      <c r="E147" s="32">
        <v>3.2519136964027862</v>
      </c>
      <c r="F147" s="32">
        <v>4.6693915105189499</v>
      </c>
      <c r="G147" s="32">
        <v>3.4130096693488543</v>
      </c>
      <c r="H147" s="32">
        <v>8.2844299141806133</v>
      </c>
      <c r="I147" s="32">
        <v>18.456289721178099</v>
      </c>
      <c r="J147" s="32">
        <v>6.8664058417974072</v>
      </c>
      <c r="K147" s="32">
        <v>-0.29097153487483984</v>
      </c>
      <c r="L147" s="32">
        <v>-1.7724516522550471</v>
      </c>
      <c r="M147" s="32">
        <v>-4.1044185508516957</v>
      </c>
      <c r="N147" s="32">
        <v>-3.4065515490096288</v>
      </c>
      <c r="O147" s="32">
        <v>-0.4994939337776283</v>
      </c>
      <c r="P147" s="32">
        <v>0.32630091020779961</v>
      </c>
      <c r="Q147" s="32">
        <v>2.1068155482972806E-2</v>
      </c>
      <c r="R147" s="32">
        <v>3.8888888888889195</v>
      </c>
      <c r="S147" s="32">
        <v>2.7105456572977804</v>
      </c>
      <c r="T147" s="32">
        <v>2.2725870726561626</v>
      </c>
      <c r="U147" s="32">
        <v>1.4114240907171949</v>
      </c>
      <c r="V147" s="32">
        <v>3.3414619639564602</v>
      </c>
      <c r="W147" s="32">
        <v>3.3692474157975827</v>
      </c>
      <c r="X147" s="32">
        <v>8.1769690760681968</v>
      </c>
      <c r="Y147" s="32">
        <v>14.461006341101879</v>
      </c>
      <c r="Z147" s="32">
        <v>1.8904237714943539</v>
      </c>
      <c r="AA147" s="32">
        <v>4.1529118929510833</v>
      </c>
      <c r="AB147" s="32">
        <v>4.1966104633522461</v>
      </c>
    </row>
    <row r="148" spans="2:28" x14ac:dyDescent="0.3">
      <c r="B148" t="s">
        <v>325</v>
      </c>
      <c r="C148" s="32">
        <v>0.9090691610248669</v>
      </c>
      <c r="D148" s="32">
        <v>6.4436594675327807</v>
      </c>
      <c r="E148" s="32">
        <v>6.0803135927303575</v>
      </c>
      <c r="F148" s="32">
        <v>10.619580507673865</v>
      </c>
      <c r="G148" s="32">
        <v>25.133334598667624</v>
      </c>
      <c r="H148" s="32">
        <v>28.242503299003463</v>
      </c>
      <c r="I148" s="32">
        <v>12.707424097269037</v>
      </c>
      <c r="J148" s="32">
        <v>-1.9560723243050249</v>
      </c>
      <c r="K148" s="32">
        <v>-15.891211508204107</v>
      </c>
      <c r="L148" s="32">
        <v>-14.125372222646405</v>
      </c>
      <c r="M148" s="32">
        <v>-5.5466642956640166</v>
      </c>
      <c r="N148" s="32">
        <v>-9.5577276079009685</v>
      </c>
      <c r="O148" s="32">
        <v>-1.288878866202936</v>
      </c>
      <c r="P148" s="32">
        <v>4.7747082806129715</v>
      </c>
      <c r="Q148" s="32">
        <v>8.9817346237063944</v>
      </c>
      <c r="R148" s="32">
        <v>5.4081507017975872</v>
      </c>
      <c r="S148" s="32">
        <v>7.72959556139583</v>
      </c>
      <c r="T148" s="32">
        <v>6.5759514257833551</v>
      </c>
      <c r="U148" s="32">
        <v>4.8641843430489828</v>
      </c>
      <c r="V148" s="32">
        <v>3.6684008197814588</v>
      </c>
      <c r="W148" s="32">
        <v>6.0536228154317806</v>
      </c>
      <c r="X148" s="32">
        <v>15.69142189033872</v>
      </c>
      <c r="Y148" s="32">
        <v>15.082898738642548</v>
      </c>
      <c r="Z148" s="32">
        <v>4.9980531369349102</v>
      </c>
      <c r="AA148" s="32">
        <v>2.6187470411866753</v>
      </c>
      <c r="AB148" s="32">
        <v>6.4315174763564409</v>
      </c>
    </row>
    <row r="149" spans="2:28" x14ac:dyDescent="0.3">
      <c r="B149" t="s">
        <v>326</v>
      </c>
      <c r="C149" s="32">
        <v>1.7499337982169516</v>
      </c>
      <c r="D149" s="32">
        <v>4.6238261510767931</v>
      </c>
      <c r="E149" s="32">
        <v>3.6027445533882041</v>
      </c>
      <c r="F149" s="32">
        <v>4.7640008803697453</v>
      </c>
      <c r="G149" s="32">
        <v>6.5718105423987705</v>
      </c>
      <c r="H149" s="32">
        <v>8.6288776186806757</v>
      </c>
      <c r="I149" s="32">
        <v>8.025933746865487</v>
      </c>
      <c r="J149" s="32">
        <v>5.0793359905926927</v>
      </c>
      <c r="K149" s="32">
        <v>1.430087055096152</v>
      </c>
      <c r="L149" s="32">
        <v>-1.05887578627617</v>
      </c>
      <c r="M149" s="32">
        <v>-2.3286798354862914</v>
      </c>
      <c r="N149" s="32">
        <v>-1.1891346895202104</v>
      </c>
      <c r="O149" s="32">
        <v>-0.72926982983704258</v>
      </c>
      <c r="P149" s="32">
        <v>-0.66811778221174123</v>
      </c>
      <c r="Q149" s="32">
        <v>-0.14608759168517338</v>
      </c>
      <c r="R149" s="32">
        <v>2.4718827151086531</v>
      </c>
      <c r="S149" s="32">
        <v>1.8560380725758607</v>
      </c>
      <c r="T149" s="32">
        <v>1.9915897675505168</v>
      </c>
      <c r="U149" s="32">
        <v>3.3699822481818575</v>
      </c>
      <c r="V149" s="32">
        <v>3.4567764451707728</v>
      </c>
      <c r="W149" s="32">
        <v>4.9530133062033244</v>
      </c>
      <c r="X149" s="32">
        <v>11.138746460549465</v>
      </c>
      <c r="Y149" s="32">
        <v>14.604923394732317</v>
      </c>
      <c r="Z149" s="32">
        <v>7.6776719640300195</v>
      </c>
      <c r="AA149" s="32">
        <v>6.8568186890856309</v>
      </c>
      <c r="AB149" s="32">
        <v>5.513802189251793</v>
      </c>
    </row>
    <row r="150" spans="2:28" x14ac:dyDescent="0.3">
      <c r="B150" t="s">
        <v>73</v>
      </c>
      <c r="C150" s="32">
        <v>3.2048325096101005</v>
      </c>
      <c r="D150" s="32">
        <v>5.2698791077813611</v>
      </c>
      <c r="E150" s="32">
        <v>3.8212697128993112</v>
      </c>
      <c r="F150" s="32">
        <v>5.4975657254138222</v>
      </c>
      <c r="G150" s="32">
        <v>10.621527329112279</v>
      </c>
      <c r="H150" s="32">
        <v>18.330635606654756</v>
      </c>
      <c r="I150" s="32">
        <v>12.832806859205803</v>
      </c>
      <c r="J150" s="32">
        <v>3.5982102684597228</v>
      </c>
      <c r="K150" s="32">
        <v>-0.32210975859865432</v>
      </c>
      <c r="L150" s="32">
        <v>-3.3428543764523533</v>
      </c>
      <c r="M150" s="32">
        <v>-5.1338559014299623</v>
      </c>
      <c r="N150" s="32">
        <v>-3.2509701433436233</v>
      </c>
      <c r="O150" s="32">
        <v>-1.0450347208010968</v>
      </c>
      <c r="P150" s="32">
        <v>-6.6176774709447717E-2</v>
      </c>
      <c r="Q150" s="32">
        <v>1.4540939504725126</v>
      </c>
      <c r="R150" s="32">
        <v>2.9181794693971641</v>
      </c>
      <c r="S150" s="32">
        <v>1.5313470304551879</v>
      </c>
      <c r="T150" s="32">
        <v>3.517516006454624</v>
      </c>
      <c r="U150" s="32">
        <v>2.6889763284599022</v>
      </c>
      <c r="V150" s="32">
        <v>3.8929559532845159</v>
      </c>
      <c r="W150" s="32">
        <v>3.8295666108924875</v>
      </c>
      <c r="X150" s="32">
        <v>10.845930364519486</v>
      </c>
      <c r="Y150" s="32">
        <v>15.56520225650897</v>
      </c>
      <c r="Z150" s="32">
        <v>6.1102448704773327</v>
      </c>
      <c r="AA150" s="32">
        <v>6.5048049226453353</v>
      </c>
      <c r="AB150" s="32">
        <v>5.1968080478951073</v>
      </c>
    </row>
    <row r="151" spans="2:28" x14ac:dyDescent="0.3">
      <c r="B151" t="s">
        <v>426</v>
      </c>
      <c r="C151" s="32">
        <v>6.8174223014370039</v>
      </c>
      <c r="D151" s="32">
        <v>7.7442903326728318</v>
      </c>
      <c r="E151" s="32">
        <v>8.3917302257153104</v>
      </c>
      <c r="F151" s="32">
        <v>7.6884610576321677</v>
      </c>
      <c r="G151" s="32">
        <v>10.978805267173076</v>
      </c>
      <c r="H151" s="32">
        <v>10.771391852715272</v>
      </c>
      <c r="I151" s="32">
        <v>5.1668780185090135</v>
      </c>
      <c r="J151" s="32">
        <v>1.2006773051464803</v>
      </c>
      <c r="K151" s="32">
        <v>-2.8722810931399834</v>
      </c>
      <c r="L151" s="32">
        <v>-3.8968496332837388</v>
      </c>
      <c r="M151" s="32">
        <v>-2.6208582292232552</v>
      </c>
      <c r="N151" s="32">
        <v>-2.6328266629479735</v>
      </c>
      <c r="O151" s="32">
        <v>-1.8733350519893555</v>
      </c>
      <c r="P151" s="32">
        <v>-0.83048719969641693</v>
      </c>
      <c r="Q151" s="32">
        <v>-0.17661343733901269</v>
      </c>
      <c r="R151" s="32">
        <v>1.0453372650202741</v>
      </c>
      <c r="S151" s="32">
        <v>0.103598214025169</v>
      </c>
      <c r="T151" s="32">
        <v>0.67050506522847719</v>
      </c>
      <c r="U151" s="32">
        <v>0.38948816332440295</v>
      </c>
      <c r="V151" s="32">
        <v>2.8672801223065258</v>
      </c>
      <c r="W151" s="32">
        <v>4.2006673957544649</v>
      </c>
      <c r="X151" s="32">
        <v>12.38730859280388</v>
      </c>
      <c r="Y151" s="32">
        <v>13.787653847995784</v>
      </c>
      <c r="Z151" s="32">
        <v>9.140361952861964</v>
      </c>
      <c r="AA151" s="32">
        <v>10.224917331070982</v>
      </c>
      <c r="AB151" s="32">
        <v>7.7952256253965846</v>
      </c>
    </row>
    <row r="152" spans="2:28" x14ac:dyDescent="0.3">
      <c r="B152" t="s">
        <v>74</v>
      </c>
      <c r="C152" s="32">
        <v>2.940353961088249</v>
      </c>
      <c r="D152" s="32">
        <v>5.2276167190592471</v>
      </c>
      <c r="E152" s="32">
        <v>2.9800103267684674</v>
      </c>
      <c r="F152" s="32">
        <v>3.2465439438435384</v>
      </c>
      <c r="G152" s="32">
        <v>3.8659659711743677</v>
      </c>
      <c r="H152" s="32">
        <v>4.6822295695154059</v>
      </c>
      <c r="I152" s="32">
        <v>12.469293348221422</v>
      </c>
      <c r="J152" s="32">
        <v>5.5044180010495269</v>
      </c>
      <c r="K152" s="32">
        <v>0.63316663978059129</v>
      </c>
      <c r="L152" s="32">
        <v>-2.0331556659853645</v>
      </c>
      <c r="M152" s="32">
        <v>-2.5607810518565199</v>
      </c>
      <c r="N152" s="32">
        <v>-2.5175275332707914</v>
      </c>
      <c r="O152" s="32">
        <v>-0.24260694803333038</v>
      </c>
      <c r="P152" s="32">
        <v>0.81593299851780987</v>
      </c>
      <c r="Q152" s="32">
        <v>0.2926146906848448</v>
      </c>
      <c r="R152" s="32">
        <v>2.9916172096267069</v>
      </c>
      <c r="S152" s="32">
        <v>2.7803496165273334</v>
      </c>
      <c r="T152" s="32">
        <v>2.5599311615150055</v>
      </c>
      <c r="U152" s="32">
        <v>2.4514623562879256</v>
      </c>
      <c r="V152" s="32">
        <v>2.1983084029635114</v>
      </c>
      <c r="W152" s="32">
        <v>4.6889281197961541</v>
      </c>
      <c r="X152" s="32">
        <v>10.390604444231833</v>
      </c>
      <c r="Y152" s="32">
        <v>15.255357413707182</v>
      </c>
      <c r="Z152" s="32">
        <v>4.0372991925401669</v>
      </c>
      <c r="AA152" s="32">
        <v>8.2509622508538207</v>
      </c>
      <c r="AB152" s="32">
        <v>5.839829069934388</v>
      </c>
    </row>
    <row r="153" spans="2:28" x14ac:dyDescent="0.3">
      <c r="B153" t="s">
        <v>534</v>
      </c>
      <c r="C153" s="32">
        <v>1.5667733796934424</v>
      </c>
      <c r="D153" s="32">
        <v>5.8802655199766241</v>
      </c>
      <c r="E153" s="32">
        <v>3.5940303215503899</v>
      </c>
      <c r="F153" s="32">
        <v>4.2610284322307956</v>
      </c>
      <c r="G153" s="32">
        <v>6.133065620151501</v>
      </c>
      <c r="H153" s="32">
        <v>13.022615874107846</v>
      </c>
      <c r="I153" s="32">
        <v>13.999421763014141</v>
      </c>
      <c r="J153" s="32">
        <v>11.890492144640064</v>
      </c>
      <c r="K153" s="32">
        <v>1.6594094840441276</v>
      </c>
      <c r="L153" s="32">
        <v>-1.0080266616597888</v>
      </c>
      <c r="M153" s="32">
        <v>-3.6286259587230307</v>
      </c>
      <c r="N153" s="32">
        <v>-1.90907301712262</v>
      </c>
      <c r="O153" s="32">
        <v>1.5110854735152612</v>
      </c>
      <c r="P153" s="32">
        <v>1.8233702701700993</v>
      </c>
      <c r="Q153" s="32">
        <v>3.0063694267516095</v>
      </c>
      <c r="R153" s="32">
        <v>3.2672579296373572</v>
      </c>
      <c r="S153" s="32">
        <v>3.3965578201809121</v>
      </c>
      <c r="T153" s="32">
        <v>3.6666482819480484</v>
      </c>
      <c r="U153" s="32">
        <v>6.4290958618414606</v>
      </c>
      <c r="V153" s="32">
        <v>5.6668099699062946</v>
      </c>
      <c r="W153" s="32">
        <v>5.5540311669142639</v>
      </c>
      <c r="X153" s="32">
        <v>20.643784903055785</v>
      </c>
      <c r="Y153" s="32">
        <v>22.796811032105136</v>
      </c>
      <c r="Z153" s="32">
        <v>6.6188260493371454</v>
      </c>
      <c r="AA153" s="32">
        <v>5.1767777084161137</v>
      </c>
      <c r="AB153" s="32">
        <v>4.4965291955900266</v>
      </c>
    </row>
    <row r="154" spans="2:28" x14ac:dyDescent="0.3">
      <c r="B154" t="s">
        <v>327</v>
      </c>
      <c r="C154" s="32">
        <v>4.6681415929203496</v>
      </c>
      <c r="D154" s="32">
        <v>6.6966430314559622</v>
      </c>
      <c r="E154" s="32">
        <v>2.7554659078629751</v>
      </c>
      <c r="F154" s="32">
        <v>2.5098149186763896</v>
      </c>
      <c r="G154" s="32">
        <v>1.2617972917521536</v>
      </c>
      <c r="H154" s="32">
        <v>3.1236281362915008</v>
      </c>
      <c r="I154" s="32">
        <v>4.0294059859846687</v>
      </c>
      <c r="J154" s="32">
        <v>4.8821946267529226</v>
      </c>
      <c r="K154" s="32">
        <v>1.515628986029216</v>
      </c>
      <c r="L154" s="32">
        <v>-1.0051885467634358</v>
      </c>
      <c r="M154" s="32">
        <v>-2.7669518732547971</v>
      </c>
      <c r="N154" s="32">
        <v>-3.9299096996129879</v>
      </c>
      <c r="O154" s="32">
        <v>-1.2500599453298622</v>
      </c>
      <c r="P154" s="32">
        <v>-0.85309591258599937</v>
      </c>
      <c r="Q154" s="32">
        <v>0.41144200626959115</v>
      </c>
      <c r="R154" s="32">
        <v>2.7105691056910741</v>
      </c>
      <c r="S154" s="32">
        <v>3.3530166067725187</v>
      </c>
      <c r="T154" s="32">
        <v>4.077506318449875</v>
      </c>
      <c r="U154" s="32">
        <v>5.8236566735838213</v>
      </c>
      <c r="V154" s="32">
        <v>6.9815309301290762</v>
      </c>
      <c r="W154" s="32">
        <v>6.873017523789704</v>
      </c>
      <c r="X154" s="32">
        <v>14.895816861490573</v>
      </c>
      <c r="Y154" s="32">
        <v>21.322930010480956</v>
      </c>
      <c r="Z154" s="32">
        <v>8.3788547793155246</v>
      </c>
      <c r="AA154" s="32">
        <v>7.1384863123993503</v>
      </c>
      <c r="AB154" s="32">
        <v>6.8761160027091872</v>
      </c>
    </row>
    <row r="155" spans="2:28" x14ac:dyDescent="0.3">
      <c r="B155" t="s">
        <v>488</v>
      </c>
      <c r="C155" s="32">
        <v>8.4663754800813109</v>
      </c>
      <c r="D155" s="32">
        <v>9.0708694218318833</v>
      </c>
      <c r="E155" s="32">
        <v>4.3460271487452129</v>
      </c>
      <c r="F155" s="32">
        <v>4.5447613237761031</v>
      </c>
      <c r="G155" s="32">
        <v>8.7644055433989898</v>
      </c>
      <c r="H155" s="32">
        <v>13.306419163604154</v>
      </c>
      <c r="I155" s="32">
        <v>13.833023591661831</v>
      </c>
      <c r="J155" s="32">
        <v>3.8173971819268848</v>
      </c>
      <c r="K155" s="32">
        <v>-3.6620056893304942</v>
      </c>
      <c r="L155" s="32">
        <v>-5.9804533166978535</v>
      </c>
      <c r="M155" s="32">
        <v>-9.6131729110452433</v>
      </c>
      <c r="N155" s="32">
        <v>-6.9492873310087582</v>
      </c>
      <c r="O155" s="32">
        <v>-2.8913286437446617</v>
      </c>
      <c r="P155" s="32">
        <v>-1.830589254766013</v>
      </c>
      <c r="Q155" s="32">
        <v>3.4453271543638753</v>
      </c>
      <c r="R155" s="32">
        <v>6.4971600757313119</v>
      </c>
      <c r="S155" s="32">
        <v>4.6723004694835701</v>
      </c>
      <c r="T155" s="32">
        <v>5.0821103496118569</v>
      </c>
      <c r="U155" s="32">
        <v>6.0587780003642289</v>
      </c>
      <c r="V155" s="32">
        <v>5.0322497558462631</v>
      </c>
      <c r="W155" s="32">
        <v>5.3490415661912039</v>
      </c>
      <c r="X155" s="32">
        <v>16.04705973638012</v>
      </c>
      <c r="Y155" s="32">
        <v>22.807736025675318</v>
      </c>
      <c r="Z155" s="32">
        <v>14.436799444659943</v>
      </c>
      <c r="AA155" s="32">
        <v>4.1177520071364659</v>
      </c>
      <c r="AB155" s="32">
        <v>6.4855359590923145</v>
      </c>
    </row>
    <row r="156" spans="2:28" x14ac:dyDescent="0.3">
      <c r="B156" t="s">
        <v>75</v>
      </c>
      <c r="C156" s="32">
        <v>8.3631462876745832</v>
      </c>
      <c r="D156" s="32">
        <v>3.7107387558510174</v>
      </c>
      <c r="E156" s="32">
        <v>4.3410954125239876</v>
      </c>
      <c r="F156" s="32">
        <v>4.2837739003238839</v>
      </c>
      <c r="G156" s="32">
        <v>8.4420398757639745</v>
      </c>
      <c r="H156" s="32">
        <v>11.295687202039995</v>
      </c>
      <c r="I156" s="32">
        <v>9.7275489365941112</v>
      </c>
      <c r="J156" s="32">
        <v>7.1039491602360227</v>
      </c>
      <c r="K156" s="32">
        <v>2.1586494313767135</v>
      </c>
      <c r="L156" s="32">
        <v>-0.92514485638822697</v>
      </c>
      <c r="M156" s="32">
        <v>-6.1624141588967678</v>
      </c>
      <c r="N156" s="32">
        <v>-6.2086302042273385</v>
      </c>
      <c r="O156" s="32">
        <v>-3.175005947188958</v>
      </c>
      <c r="P156" s="32">
        <v>2.1538663128756852</v>
      </c>
      <c r="Q156" s="32">
        <v>-0.20202668034887683</v>
      </c>
      <c r="R156" s="32">
        <v>-0.59766717007808667</v>
      </c>
      <c r="S156" s="32">
        <v>-4.1958946177468981</v>
      </c>
      <c r="T156" s="32">
        <v>6.9710159597800025</v>
      </c>
      <c r="U156" s="32">
        <v>3.2489038892218325</v>
      </c>
      <c r="V156" s="32">
        <v>2.0331164268475366</v>
      </c>
      <c r="W156" s="32">
        <v>6.2487836280072484</v>
      </c>
      <c r="X156" s="32">
        <v>16.027673274999632</v>
      </c>
      <c r="Y156" s="32">
        <v>19.939037718893449</v>
      </c>
      <c r="Z156" s="32">
        <v>17.571001873133206</v>
      </c>
      <c r="AA156" s="32">
        <v>0.95333235732311117</v>
      </c>
      <c r="AB156" s="32">
        <v>8.4166830937831172</v>
      </c>
    </row>
    <row r="157" spans="2:28" x14ac:dyDescent="0.3">
      <c r="B157" t="s">
        <v>328</v>
      </c>
      <c r="C157" s="32">
        <v>3.3522764964730278</v>
      </c>
      <c r="D157" s="32">
        <v>8.5474657138578269</v>
      </c>
      <c r="E157" s="32">
        <v>7.1510229826152294</v>
      </c>
      <c r="F157" s="32">
        <v>7.6928736985393931</v>
      </c>
      <c r="G157" s="32">
        <v>16.727589505329334</v>
      </c>
      <c r="H157" s="32">
        <v>25.981532698245459</v>
      </c>
      <c r="I157" s="32">
        <v>17.282674348371518</v>
      </c>
      <c r="J157" s="32">
        <v>-1.8886611007120857</v>
      </c>
      <c r="K157" s="32">
        <v>-15.550553177743677</v>
      </c>
      <c r="L157" s="32">
        <v>-12.296345880299786</v>
      </c>
      <c r="M157" s="32">
        <v>-10.768413018590195</v>
      </c>
      <c r="N157" s="32">
        <v>-8.1639199034687202</v>
      </c>
      <c r="O157" s="32">
        <v>-6.0356584505870892</v>
      </c>
      <c r="P157" s="32">
        <v>-0.18585057613678124</v>
      </c>
      <c r="Q157" s="32">
        <v>2.8142289686480249</v>
      </c>
      <c r="R157" s="32">
        <v>8.6997016161023843</v>
      </c>
      <c r="S157" s="32">
        <v>9.275978610983282</v>
      </c>
      <c r="T157" s="32">
        <v>10.785694579564108</v>
      </c>
      <c r="U157" s="32">
        <v>11.82615305975332</v>
      </c>
      <c r="V157" s="32">
        <v>7.1917487107360456</v>
      </c>
      <c r="W157" s="32">
        <v>7.4352694191742508</v>
      </c>
      <c r="X157" s="32">
        <v>20.113784399934854</v>
      </c>
      <c r="Y157" s="32">
        <v>27.182911226158502</v>
      </c>
      <c r="Z157" s="32">
        <v>6.5709526982011823</v>
      </c>
      <c r="AA157" s="32">
        <v>3.6070841382069618</v>
      </c>
      <c r="AB157" s="32">
        <v>1.9256887854093963</v>
      </c>
    </row>
    <row r="158" spans="2:28" x14ac:dyDescent="0.3">
      <c r="B158" t="s">
        <v>76</v>
      </c>
      <c r="C158" s="32">
        <v>2.13349783034118</v>
      </c>
      <c r="D158" s="32">
        <v>6.5208788920129157</v>
      </c>
      <c r="E158" s="32">
        <v>3.0637782035740635</v>
      </c>
      <c r="F158" s="32">
        <v>4.6060744028987299</v>
      </c>
      <c r="G158" s="32">
        <v>5.9229974066484337</v>
      </c>
      <c r="H158" s="32">
        <v>8.2027839128871562</v>
      </c>
      <c r="I158" s="32">
        <v>8.1015222000696099</v>
      </c>
      <c r="J158" s="32">
        <v>7.4709446997863083</v>
      </c>
      <c r="K158" s="32">
        <v>1.6207676173354058</v>
      </c>
      <c r="L158" s="32">
        <v>-2.0599903500777339</v>
      </c>
      <c r="M158" s="32">
        <v>-4.4940130003421235</v>
      </c>
      <c r="N158" s="32">
        <v>-0.66627502113453252</v>
      </c>
      <c r="O158" s="32">
        <v>0.48466664743387344</v>
      </c>
      <c r="P158" s="32">
        <v>-2.5839051419707104E-2</v>
      </c>
      <c r="Q158" s="32">
        <v>-0.38768594566653825</v>
      </c>
      <c r="R158" s="32">
        <v>3.3124801798944947</v>
      </c>
      <c r="S158" s="32">
        <v>-0.50368344681326338</v>
      </c>
      <c r="T158" s="32">
        <v>4.7762617268023</v>
      </c>
      <c r="U158" s="32">
        <v>3.5333324410776745</v>
      </c>
      <c r="V158" s="32">
        <v>5.011828276691177</v>
      </c>
      <c r="W158" s="32">
        <v>5.0766920255065573</v>
      </c>
      <c r="X158" s="32">
        <v>13.06497340612478</v>
      </c>
      <c r="Y158" s="32">
        <v>19.136877007563989</v>
      </c>
      <c r="Z158" s="32">
        <v>8.9964254342097316</v>
      </c>
      <c r="AA158" s="32">
        <v>4.1819937282063124</v>
      </c>
      <c r="AB158" s="32">
        <v>2.0111333364345452</v>
      </c>
    </row>
    <row r="159" spans="2:28" x14ac:dyDescent="0.3">
      <c r="B159" t="s">
        <v>489</v>
      </c>
      <c r="C159" s="32">
        <v>3.6073191983735375</v>
      </c>
      <c r="D159" s="32">
        <v>5.4795544591462741</v>
      </c>
      <c r="E159" s="32">
        <v>4.1920623671155122</v>
      </c>
      <c r="F159" s="32">
        <v>5.0249974492398763</v>
      </c>
      <c r="G159" s="32">
        <v>5.1812632567477923</v>
      </c>
      <c r="H159" s="32">
        <v>6.6501439325133527</v>
      </c>
      <c r="I159" s="32">
        <v>9.2377419494522162</v>
      </c>
      <c r="J159" s="32">
        <v>8.9361927035847888</v>
      </c>
      <c r="K159" s="32">
        <v>5.0021833001795191</v>
      </c>
      <c r="L159" s="32">
        <v>0.75316514185379546</v>
      </c>
      <c r="M159" s="32">
        <v>0.11350607658793255</v>
      </c>
      <c r="N159" s="32">
        <v>-0.92076180441827971</v>
      </c>
      <c r="O159" s="32">
        <v>1.0287233427729303</v>
      </c>
      <c r="P159" s="32">
        <v>1.6086036267948023</v>
      </c>
      <c r="Q159" s="32">
        <v>2.4332571415702997</v>
      </c>
      <c r="R159" s="32">
        <v>1.8203403244954508</v>
      </c>
      <c r="S159" s="32">
        <v>1.5848339594938921</v>
      </c>
      <c r="T159" s="32">
        <v>-3.400782179903139E-2</v>
      </c>
      <c r="U159" s="32">
        <v>0.86962068378977353</v>
      </c>
      <c r="V159" s="32">
        <v>1.9930018338567779</v>
      </c>
      <c r="W159" s="32">
        <v>3.1010715798828192</v>
      </c>
      <c r="X159" s="32">
        <v>4.3909234870807889</v>
      </c>
      <c r="Y159" s="32">
        <v>9.2842398348615074</v>
      </c>
      <c r="Z159" s="32">
        <v>2.0812650999341153</v>
      </c>
      <c r="AA159" s="32">
        <v>0.86751467373529234</v>
      </c>
      <c r="AB159" s="32">
        <v>1.5170433792863314</v>
      </c>
    </row>
    <row r="160" spans="2:28" x14ac:dyDescent="0.3">
      <c r="B160" t="s">
        <v>535</v>
      </c>
      <c r="C160" s="32">
        <v>6.7132260264065824</v>
      </c>
      <c r="D160" s="32">
        <v>6.6510475157805393</v>
      </c>
      <c r="E160" s="32">
        <v>4.170222036636928</v>
      </c>
      <c r="F160" s="32">
        <v>3.767994701802091</v>
      </c>
      <c r="G160" s="32">
        <v>3.8310379576755205</v>
      </c>
      <c r="H160" s="32">
        <v>4.6634638714999621</v>
      </c>
      <c r="I160" s="32">
        <v>5.7909866468842885</v>
      </c>
      <c r="J160" s="32">
        <v>4.766913558603969</v>
      </c>
      <c r="K160" s="32">
        <v>2.7135566277156631</v>
      </c>
      <c r="L160" s="32">
        <v>0.71409177301113846</v>
      </c>
      <c r="M160" s="32">
        <v>-0.98401315612111073</v>
      </c>
      <c r="N160" s="32">
        <v>-1.3994772380744869</v>
      </c>
      <c r="O160" s="32">
        <v>3.0098856795714113</v>
      </c>
      <c r="P160" s="32">
        <v>6.0221423975981292</v>
      </c>
      <c r="Q160" s="32">
        <v>10.567502307176913</v>
      </c>
      <c r="R160" s="32">
        <v>8.0436771095357962</v>
      </c>
      <c r="S160" s="32">
        <v>4.0478332186888233</v>
      </c>
      <c r="T160" s="32">
        <v>4.0703824247355413</v>
      </c>
      <c r="U160" s="32">
        <v>4.4662926838803241</v>
      </c>
      <c r="V160" s="32">
        <v>3.9226508999737897</v>
      </c>
      <c r="W160" s="32">
        <v>4.4902552099743476</v>
      </c>
      <c r="X160" s="32">
        <v>9.6921764751492603</v>
      </c>
      <c r="Y160" s="32">
        <v>15.485811675816619</v>
      </c>
      <c r="Z160" s="32">
        <v>4.7211643090315558</v>
      </c>
      <c r="AA160" s="32">
        <v>3.6192541985426985</v>
      </c>
      <c r="AB160" s="32">
        <v>2.7923520439485428</v>
      </c>
    </row>
    <row r="161" spans="2:28" x14ac:dyDescent="0.3">
      <c r="B161" t="s">
        <v>329</v>
      </c>
      <c r="C161" s="32">
        <v>2.5523093865388535</v>
      </c>
      <c r="D161" s="32">
        <v>5.1439159455077377</v>
      </c>
      <c r="E161" s="32">
        <v>3.7828420378084093</v>
      </c>
      <c r="F161" s="32">
        <v>3.3400868306801668</v>
      </c>
      <c r="G161" s="32">
        <v>4.2068115617297952</v>
      </c>
      <c r="H161" s="32">
        <v>5.5080721747388317</v>
      </c>
      <c r="I161" s="32">
        <v>4.4749757994667405</v>
      </c>
      <c r="J161" s="32">
        <v>3.8574075880229985</v>
      </c>
      <c r="K161" s="32">
        <v>1.9642829193470268</v>
      </c>
      <c r="L161" s="32">
        <v>0.51883461762807226</v>
      </c>
      <c r="M161" s="32">
        <v>-0.11300470343899027</v>
      </c>
      <c r="N161" s="32">
        <v>0.52285583244153777</v>
      </c>
      <c r="O161" s="32">
        <v>1.1011071906557923</v>
      </c>
      <c r="P161" s="32">
        <v>-0.19405499729224784</v>
      </c>
      <c r="Q161" s="32">
        <v>-0.17936003135032852</v>
      </c>
      <c r="R161" s="32">
        <v>2.7042942562058414</v>
      </c>
      <c r="S161" s="32">
        <v>0.87622576044927847</v>
      </c>
      <c r="T161" s="32">
        <v>0.97937768709466244</v>
      </c>
      <c r="U161" s="32">
        <v>4.7627982161158045E-2</v>
      </c>
      <c r="V161" s="32">
        <v>2.8678592036930128</v>
      </c>
      <c r="W161" s="32">
        <v>4.6516519885567043</v>
      </c>
      <c r="X161" s="32">
        <v>8.1782244556113604</v>
      </c>
      <c r="Y161" s="32">
        <v>10.53537805965712</v>
      </c>
      <c r="Z161" s="32">
        <v>5.9294207299989798</v>
      </c>
      <c r="AA161" s="32">
        <v>6.203715458507908</v>
      </c>
      <c r="AB161" s="32">
        <v>6.610749812597505</v>
      </c>
    </row>
    <row r="162" spans="2:28" x14ac:dyDescent="0.3">
      <c r="B162" t="s">
        <v>77</v>
      </c>
      <c r="C162" s="32">
        <v>2.3262979510090931</v>
      </c>
      <c r="D162" s="32">
        <v>4.6393082978448907</v>
      </c>
      <c r="E162" s="32">
        <v>3.0667406630901839</v>
      </c>
      <c r="F162" s="32">
        <v>3.3803322497656607</v>
      </c>
      <c r="G162" s="32">
        <v>2.4962382807978578</v>
      </c>
      <c r="H162" s="32">
        <v>5.744184295716348</v>
      </c>
      <c r="I162" s="32">
        <v>8.1500071194646075</v>
      </c>
      <c r="J162" s="32">
        <v>6.1320211312805739</v>
      </c>
      <c r="K162" s="32">
        <v>2.645412395912472</v>
      </c>
      <c r="L162" s="32">
        <v>0.23717803459475384</v>
      </c>
      <c r="M162" s="32">
        <v>-0.75657101519169823</v>
      </c>
      <c r="N162" s="32">
        <v>-2.680334092634773</v>
      </c>
      <c r="O162" s="32">
        <v>-0.27619567761566488</v>
      </c>
      <c r="P162" s="32">
        <v>-1.6617637854415723</v>
      </c>
      <c r="Q162" s="32">
        <v>0.12093052859369902</v>
      </c>
      <c r="R162" s="32">
        <v>1.6385366008709212</v>
      </c>
      <c r="S162" s="32">
        <v>2.6754022485262707</v>
      </c>
      <c r="T162" s="32">
        <v>2.1046539961013799</v>
      </c>
      <c r="U162" s="32">
        <v>4.8131133848402285</v>
      </c>
      <c r="V162" s="32">
        <v>6.3367153814409827</v>
      </c>
      <c r="W162" s="32">
        <v>8.6221663142681102</v>
      </c>
      <c r="X162" s="32">
        <v>18.12145030738337</v>
      </c>
      <c r="Y162" s="32">
        <v>19.560274515530175</v>
      </c>
      <c r="Z162" s="32">
        <v>4.9357945425360983</v>
      </c>
      <c r="AA162" s="32">
        <v>5.0320059855349486</v>
      </c>
      <c r="AB162" s="32">
        <v>2.5611138353202278</v>
      </c>
    </row>
    <row r="163" spans="2:28" x14ac:dyDescent="0.3">
      <c r="B163" t="s">
        <v>78</v>
      </c>
      <c r="C163" s="32">
        <v>1.0487005232646673</v>
      </c>
      <c r="D163" s="32">
        <v>5.9282337773957972</v>
      </c>
      <c r="E163" s="32">
        <v>2.3955861173654558</v>
      </c>
      <c r="F163" s="32">
        <v>3.8351822503961852</v>
      </c>
      <c r="G163" s="32">
        <v>5.8474511599511558</v>
      </c>
      <c r="H163" s="32">
        <v>8.1847839801013187</v>
      </c>
      <c r="I163" s="32">
        <v>10.597780813701618</v>
      </c>
      <c r="J163" s="32">
        <v>9.2132021752557201</v>
      </c>
      <c r="K163" s="32">
        <v>1.3627774176195429</v>
      </c>
      <c r="L163" s="32">
        <v>-2.7419815749724519</v>
      </c>
      <c r="M163" s="32">
        <v>-6.3549361987911279</v>
      </c>
      <c r="N163" s="32">
        <v>-5.0754519647392637</v>
      </c>
      <c r="O163" s="32">
        <v>-0.80115845308738054</v>
      </c>
      <c r="P163" s="32">
        <v>0.25069814673774893</v>
      </c>
      <c r="Q163" s="32">
        <v>1.4592763761831051</v>
      </c>
      <c r="R163" s="32">
        <v>4.8265318856857586</v>
      </c>
      <c r="S163" s="32">
        <v>7.6222506622220854</v>
      </c>
      <c r="T163" s="32">
        <v>8.3365597345132834</v>
      </c>
      <c r="U163" s="32">
        <v>11.425799946393699</v>
      </c>
      <c r="V163" s="32">
        <v>11.522204785741286</v>
      </c>
      <c r="W163" s="32">
        <v>12.237058340180763</v>
      </c>
      <c r="X163" s="32">
        <v>26.463751670113655</v>
      </c>
      <c r="Y163" s="32">
        <v>19.125564432094478</v>
      </c>
      <c r="Z163" s="32">
        <v>-2.0228159055290296</v>
      </c>
      <c r="AA163" s="32">
        <v>3.7701807901197704</v>
      </c>
      <c r="AB163" s="32">
        <v>5.0384203275677386</v>
      </c>
    </row>
    <row r="164" spans="2:28" x14ac:dyDescent="0.3">
      <c r="B164" t="s">
        <v>536</v>
      </c>
      <c r="C164" s="32">
        <v>3.1788023851516023</v>
      </c>
      <c r="D164" s="32">
        <v>5.2399169752960661</v>
      </c>
      <c r="E164" s="32">
        <v>3.2426474853529896</v>
      </c>
      <c r="F164" s="32">
        <v>2.45345919017117</v>
      </c>
      <c r="G164" s="32">
        <v>2.1186750511845709</v>
      </c>
      <c r="H164" s="32">
        <v>3.1272935574530702</v>
      </c>
      <c r="I164" s="32">
        <v>0.3853497656656657</v>
      </c>
      <c r="J164" s="32">
        <v>0.89915617651128432</v>
      </c>
      <c r="K164" s="32">
        <v>-0.98025774609268312</v>
      </c>
      <c r="L164" s="32">
        <v>-1.3880235375562489</v>
      </c>
      <c r="M164" s="32">
        <v>-1.8586120958966501</v>
      </c>
      <c r="N164" s="32">
        <v>-1.7453817128346372</v>
      </c>
      <c r="O164" s="32">
        <v>0.23478878110041457</v>
      </c>
      <c r="P164" s="32">
        <v>1.0912986635676969</v>
      </c>
      <c r="Q164" s="32">
        <v>3.0014549242900479</v>
      </c>
      <c r="R164" s="32">
        <v>4.2463030133928381</v>
      </c>
      <c r="S164" s="32">
        <v>4.0164606299871286</v>
      </c>
      <c r="T164" s="32">
        <v>5.3216468317787369</v>
      </c>
      <c r="U164" s="32">
        <v>7.4852265265922258</v>
      </c>
      <c r="V164" s="32">
        <v>6.3402991859754732</v>
      </c>
      <c r="W164" s="32">
        <v>6.4632484569962845</v>
      </c>
      <c r="X164" s="32">
        <v>13.99262159313357</v>
      </c>
      <c r="Y164" s="32">
        <v>17.106436379247715</v>
      </c>
      <c r="Z164" s="32">
        <v>6.3985787202842648</v>
      </c>
      <c r="AA164" s="32">
        <v>5.0181111405600998</v>
      </c>
      <c r="AB164" s="32">
        <v>5.3713058960837445</v>
      </c>
    </row>
    <row r="165" spans="2:28" x14ac:dyDescent="0.3">
      <c r="B165" t="s">
        <v>79</v>
      </c>
      <c r="C165" s="32">
        <v>4.3496528238468057</v>
      </c>
      <c r="D165" s="32">
        <v>4.5370743181673445</v>
      </c>
      <c r="E165" s="32">
        <v>3.7887695114534825</v>
      </c>
      <c r="F165" s="32">
        <v>4.060626184105165</v>
      </c>
      <c r="G165" s="32">
        <v>5.7809977852021133</v>
      </c>
      <c r="H165" s="32">
        <v>5.7454132510025291</v>
      </c>
      <c r="I165" s="32">
        <v>2.5421169205986693</v>
      </c>
      <c r="J165" s="32">
        <v>1.8310942383531703</v>
      </c>
      <c r="K165" s="32">
        <v>0.64277679575768243</v>
      </c>
      <c r="L165" s="32">
        <v>0.76480919687051951</v>
      </c>
      <c r="M165" s="32">
        <v>-0.53241217575940025</v>
      </c>
      <c r="N165" s="32">
        <v>-0.49862201902091119</v>
      </c>
      <c r="O165" s="32">
        <v>1.0918988152417652</v>
      </c>
      <c r="P165" s="32">
        <v>2.9362389534699496</v>
      </c>
      <c r="Q165" s="32">
        <v>1.4308572835251221</v>
      </c>
      <c r="R165" s="32">
        <v>3.5251645784667662</v>
      </c>
      <c r="S165" s="32">
        <v>2.8673992673992732</v>
      </c>
      <c r="T165" s="32">
        <v>3.2190522312590009</v>
      </c>
      <c r="U165" s="32">
        <v>3.5740405977893408</v>
      </c>
      <c r="V165" s="32">
        <v>2.5553912359939757</v>
      </c>
      <c r="W165" s="32">
        <v>2.0084443000974339</v>
      </c>
      <c r="X165" s="32">
        <v>6.9217152099438461</v>
      </c>
      <c r="Y165" s="32">
        <v>11.64062127781218</v>
      </c>
      <c r="Z165" s="32">
        <v>6.202989469641218</v>
      </c>
      <c r="AA165" s="32">
        <v>2.6350421425916259</v>
      </c>
      <c r="AB165" s="32">
        <v>4.9498235716181505</v>
      </c>
    </row>
    <row r="166" spans="2:28" x14ac:dyDescent="0.3">
      <c r="B166" t="s">
        <v>80</v>
      </c>
      <c r="C166" s="32">
        <v>2.5206639797800356</v>
      </c>
      <c r="D166" s="32">
        <v>6.3499466950959649</v>
      </c>
      <c r="E166" s="32">
        <v>4.8660276089635079</v>
      </c>
      <c r="F166" s="32">
        <v>7.7987772090892804</v>
      </c>
      <c r="G166" s="32">
        <v>10.112878493968115</v>
      </c>
      <c r="H166" s="32">
        <v>12.078251094743564</v>
      </c>
      <c r="I166" s="32">
        <v>7.737792281668221</v>
      </c>
      <c r="J166" s="32">
        <v>2.1244667991274113</v>
      </c>
      <c r="K166" s="32">
        <v>4.1034013605442343</v>
      </c>
      <c r="L166" s="32">
        <v>0.25615557530449529</v>
      </c>
      <c r="M166" s="32">
        <v>-0.9698612994055722</v>
      </c>
      <c r="N166" s="32">
        <v>1.5809288121314324</v>
      </c>
      <c r="O166" s="32">
        <v>0.34469800049241606</v>
      </c>
      <c r="P166" s="32">
        <v>1.7769742364563967</v>
      </c>
      <c r="Q166" s="32">
        <v>5.3050970042253009</v>
      </c>
      <c r="R166" s="32">
        <v>0.39401388085600342</v>
      </c>
      <c r="S166" s="32">
        <v>4.5667854871037861</v>
      </c>
      <c r="T166" s="32">
        <v>4.3925898719067158</v>
      </c>
      <c r="U166" s="32">
        <v>-0.84990819232334536</v>
      </c>
      <c r="V166" s="32">
        <v>1.4737519128834142</v>
      </c>
      <c r="W166" s="32">
        <v>4.8531806309899839</v>
      </c>
      <c r="X166" s="32">
        <v>11.79805728102723</v>
      </c>
      <c r="Y166" s="32">
        <v>10.103044088948533</v>
      </c>
      <c r="Z166" s="32">
        <v>9.5945427245735626</v>
      </c>
      <c r="AA166" s="32">
        <v>10.629881718519417</v>
      </c>
      <c r="AB166" s="32">
        <v>5.4442739671788143</v>
      </c>
    </row>
    <row r="167" spans="2:28" x14ac:dyDescent="0.3">
      <c r="B167" t="s">
        <v>81</v>
      </c>
      <c r="C167" s="32">
        <v>7.8633385792189481</v>
      </c>
      <c r="D167" s="32">
        <v>5.7954294827206043</v>
      </c>
      <c r="E167" s="32">
        <v>4.8445292580060473</v>
      </c>
      <c r="F167" s="32">
        <v>4.0318140104007361</v>
      </c>
      <c r="G167" s="32">
        <v>4.782698188661505</v>
      </c>
      <c r="H167" s="32">
        <v>3.8291543307749532</v>
      </c>
      <c r="I167" s="32">
        <v>-1.2743587664531542</v>
      </c>
      <c r="J167" s="32">
        <v>-4.1051262747245136</v>
      </c>
      <c r="K167" s="32">
        <v>-7.1214457005824077</v>
      </c>
      <c r="L167" s="32">
        <v>-7.2340817926137557</v>
      </c>
      <c r="M167" s="32">
        <v>-7.3243870112657428</v>
      </c>
      <c r="N167" s="32">
        <v>-6.305082321814826</v>
      </c>
      <c r="O167" s="32">
        <v>-1.217278485842932</v>
      </c>
      <c r="P167" s="32">
        <v>3.4573337968864637</v>
      </c>
      <c r="Q167" s="32">
        <v>5.8976178030020199</v>
      </c>
      <c r="R167" s="32">
        <v>6.2196992401671203</v>
      </c>
      <c r="S167" s="32">
        <v>3.5468290982722195</v>
      </c>
      <c r="T167" s="32">
        <v>8.4727832275437684</v>
      </c>
      <c r="U167" s="32">
        <v>5.5590034577533309</v>
      </c>
      <c r="V167" s="32">
        <v>6.0795677249566138</v>
      </c>
      <c r="W167" s="32">
        <v>5.4131091727259717</v>
      </c>
      <c r="X167" s="32">
        <v>12.189381705286607</v>
      </c>
      <c r="Y167" s="32">
        <v>13.887835033140661</v>
      </c>
      <c r="Z167" s="32">
        <v>4.0974290641166311</v>
      </c>
      <c r="AA167" s="32">
        <v>8.3918453400598558</v>
      </c>
      <c r="AB167" s="32">
        <v>7.1924273445186149</v>
      </c>
    </row>
    <row r="168" spans="2:28" x14ac:dyDescent="0.3">
      <c r="B168" t="s">
        <v>82</v>
      </c>
      <c r="C168" s="32">
        <v>2.8173519877153996</v>
      </c>
      <c r="D168" s="32">
        <v>4.7542989898151866</v>
      </c>
      <c r="E168" s="32">
        <v>3.0098413892794218</v>
      </c>
      <c r="F168" s="32">
        <v>3.512043213317706</v>
      </c>
      <c r="G168" s="32">
        <v>4.6074134601099326</v>
      </c>
      <c r="H168" s="32">
        <v>5.7181913401622708</v>
      </c>
      <c r="I168" s="32">
        <v>6.1612090680100762</v>
      </c>
      <c r="J168" s="32">
        <v>2.9880257517518549</v>
      </c>
      <c r="K168" s="32">
        <v>0.28875099834122508</v>
      </c>
      <c r="L168" s="32">
        <v>-0.75349179122765619</v>
      </c>
      <c r="M168" s="32">
        <v>-2.354792914017656</v>
      </c>
      <c r="N168" s="32">
        <v>-0.50728531243087183</v>
      </c>
      <c r="O168" s="32">
        <v>-0.78625093317660211</v>
      </c>
      <c r="P168" s="32">
        <v>0.24174698216514745</v>
      </c>
      <c r="Q168" s="32">
        <v>0.68356411607812806</v>
      </c>
      <c r="R168" s="32">
        <v>2.7505908852968775</v>
      </c>
      <c r="S168" s="32">
        <v>2.09340023157083</v>
      </c>
      <c r="T168" s="32">
        <v>1.7374604950779471</v>
      </c>
      <c r="U168" s="32">
        <v>1.4803804994054648</v>
      </c>
      <c r="V168" s="32">
        <v>2.8560548362528637</v>
      </c>
      <c r="W168" s="32">
        <v>3.0914476119955347</v>
      </c>
      <c r="X168" s="32">
        <v>9.2959653024296429</v>
      </c>
      <c r="Y168" s="32">
        <v>11.736828137045507</v>
      </c>
      <c r="Z168" s="32">
        <v>3.6758884339584297</v>
      </c>
      <c r="AA168" s="32">
        <v>4.6965002618257978</v>
      </c>
      <c r="AB168" s="32">
        <v>3.1856786537429294</v>
      </c>
    </row>
    <row r="169" spans="2:28" x14ac:dyDescent="0.3">
      <c r="B169" t="s">
        <v>83</v>
      </c>
      <c r="C169" s="32">
        <v>1.7849183946346159</v>
      </c>
      <c r="D169" s="32">
        <v>3.5447683389632667</v>
      </c>
      <c r="E169" s="32">
        <v>2.1950138950420861</v>
      </c>
      <c r="F169" s="32">
        <v>1.8542602664144425</v>
      </c>
      <c r="G169" s="32">
        <v>1.5631952639826752</v>
      </c>
      <c r="H169" s="32">
        <v>4.0707088024077631</v>
      </c>
      <c r="I169" s="32">
        <v>4.7955485595050584</v>
      </c>
      <c r="J169" s="32">
        <v>1.6173542459915424</v>
      </c>
      <c r="K169" s="32">
        <v>-0.8181505672052225</v>
      </c>
      <c r="L169" s="32">
        <v>-1.0033966449466192</v>
      </c>
      <c r="M169" s="32">
        <v>-2.3177242888402394</v>
      </c>
      <c r="N169" s="32">
        <v>-2.6092722352646369</v>
      </c>
      <c r="O169" s="32">
        <v>9.200478424880032E-2</v>
      </c>
      <c r="P169" s="32">
        <v>-0.19854766063057694</v>
      </c>
      <c r="Q169" s="32">
        <v>0.40525355978411337</v>
      </c>
      <c r="R169" s="32">
        <v>1.667675711376515</v>
      </c>
      <c r="S169" s="32">
        <v>3.0099610220875039</v>
      </c>
      <c r="T169" s="32">
        <v>3.9765958937705737</v>
      </c>
      <c r="U169" s="32">
        <v>4.2288641035145069</v>
      </c>
      <c r="V169" s="32">
        <v>4.8962239751713543</v>
      </c>
      <c r="W169" s="32">
        <v>5.3580509454024261</v>
      </c>
      <c r="X169" s="32">
        <v>17.317536931402632</v>
      </c>
      <c r="Y169" s="32">
        <v>23.631716743548203</v>
      </c>
      <c r="Z169" s="32">
        <v>7.1607926183633541</v>
      </c>
      <c r="AA169" s="32">
        <v>8.4599025087986668</v>
      </c>
      <c r="AB169" s="32">
        <v>2.8930706220943181</v>
      </c>
    </row>
    <row r="170" spans="2:28" x14ac:dyDescent="0.3">
      <c r="B170" t="s">
        <v>84</v>
      </c>
      <c r="C170" s="32">
        <v>7.0767854601638591</v>
      </c>
      <c r="D170" s="32">
        <v>8.9101955572431955</v>
      </c>
      <c r="E170" s="32">
        <v>7.9859839966529123</v>
      </c>
      <c r="F170" s="32">
        <v>8.1283094407852197</v>
      </c>
      <c r="G170" s="32">
        <v>12.881649472222655</v>
      </c>
      <c r="H170" s="32">
        <v>18.520771886201004</v>
      </c>
      <c r="I170" s="32">
        <v>15.876576274969301</v>
      </c>
      <c r="J170" s="32">
        <v>1.9578762868726951</v>
      </c>
      <c r="K170" s="32">
        <v>-9.2745820345706882</v>
      </c>
      <c r="L170" s="32">
        <v>-11.00457048859459</v>
      </c>
      <c r="M170" s="32">
        <v>-10.798890981621668</v>
      </c>
      <c r="N170" s="32">
        <v>-8.2124590163934137</v>
      </c>
      <c r="O170" s="32">
        <v>-3.1305366634280296</v>
      </c>
      <c r="P170" s="32">
        <v>4.7583226396448186</v>
      </c>
      <c r="Q170" s="32">
        <v>6.8625656477479202</v>
      </c>
      <c r="R170" s="32">
        <v>7.1794669091004959</v>
      </c>
      <c r="S170" s="32">
        <v>8.2966587170850481</v>
      </c>
      <c r="T170" s="32">
        <v>7.8585617798967</v>
      </c>
      <c r="U170" s="32">
        <v>8.0647877244311559</v>
      </c>
      <c r="V170" s="32">
        <v>5.899825673688408</v>
      </c>
      <c r="W170" s="32">
        <v>6.0631420189628749</v>
      </c>
      <c r="X170" s="32">
        <v>17.668990392952487</v>
      </c>
      <c r="Y170" s="32">
        <v>23.111045611966684</v>
      </c>
      <c r="Z170" s="32">
        <v>5.1067191783281674</v>
      </c>
      <c r="AA170" s="32">
        <v>3.1257474118196349</v>
      </c>
      <c r="AB170" s="32">
        <v>2.4900403955982808</v>
      </c>
    </row>
    <row r="171" spans="2:28" x14ac:dyDescent="0.3">
      <c r="B171" t="s">
        <v>85</v>
      </c>
      <c r="C171" s="32">
        <v>3.2309914749028446</v>
      </c>
      <c r="D171" s="32">
        <v>5.8478033782052741</v>
      </c>
      <c r="E171" s="32">
        <v>2.0873677938328505</v>
      </c>
      <c r="F171" s="32">
        <v>5.867761057911558</v>
      </c>
      <c r="G171" s="32">
        <v>6.9897660314944154</v>
      </c>
      <c r="H171" s="32">
        <v>11.531586660010618</v>
      </c>
      <c r="I171" s="32">
        <v>13.473866589662142</v>
      </c>
      <c r="J171" s="32">
        <v>8.984375</v>
      </c>
      <c r="K171" s="32">
        <v>0.77755595250603715</v>
      </c>
      <c r="L171" s="32">
        <v>0.4089482037558545</v>
      </c>
      <c r="M171" s="32">
        <v>-1.8725770721801704</v>
      </c>
      <c r="N171" s="32">
        <v>-3.9671248339192666</v>
      </c>
      <c r="O171" s="32">
        <v>-4.1616161616161662</v>
      </c>
      <c r="P171" s="32">
        <v>-1.0462977157749576</v>
      </c>
      <c r="Q171" s="32">
        <v>-6.5326568289502447</v>
      </c>
      <c r="R171" s="32">
        <v>-2.175504509855386</v>
      </c>
      <c r="S171" s="32">
        <v>3.483380870351005</v>
      </c>
      <c r="T171" s="32">
        <v>1.4217686146624997</v>
      </c>
      <c r="U171" s="32">
        <v>4.7799706717251311</v>
      </c>
      <c r="V171" s="32">
        <v>7.8616917467002168</v>
      </c>
      <c r="W171" s="32">
        <v>5.5888199792874405</v>
      </c>
      <c r="X171" s="32">
        <v>15.564474307230958</v>
      </c>
      <c r="Y171" s="32">
        <v>18.858040348070414</v>
      </c>
      <c r="Z171" s="32">
        <v>10.857771321169718</v>
      </c>
      <c r="AA171" s="32">
        <v>7.5835875262830532</v>
      </c>
      <c r="AB171" s="32">
        <v>6.7832441967910828</v>
      </c>
    </row>
    <row r="172" spans="2:28" x14ac:dyDescent="0.3">
      <c r="B172" t="s">
        <v>330</v>
      </c>
      <c r="C172" s="32">
        <v>3.4350989046918468</v>
      </c>
      <c r="D172" s="32">
        <v>4.1547306240986348</v>
      </c>
      <c r="E172" s="32">
        <v>2.6232928679817746</v>
      </c>
      <c r="F172" s="32">
        <v>3.0756150305897956</v>
      </c>
      <c r="G172" s="32">
        <v>6.3711513977800394</v>
      </c>
      <c r="H172" s="32">
        <v>5.8142279163857058</v>
      </c>
      <c r="I172" s="32">
        <v>4.4623938568401744</v>
      </c>
      <c r="J172" s="32">
        <v>2.2693304865029518</v>
      </c>
      <c r="K172" s="32">
        <v>-2.6454710847326202</v>
      </c>
      <c r="L172" s="32">
        <v>-4.4329391581398152</v>
      </c>
      <c r="M172" s="32">
        <v>-4.4622535662766527</v>
      </c>
      <c r="N172" s="32">
        <v>-4.7813978458544408</v>
      </c>
      <c r="O172" s="32">
        <v>0.27486080766792043</v>
      </c>
      <c r="P172" s="32">
        <v>0.38656170930559952</v>
      </c>
      <c r="Q172" s="32">
        <v>1.7765875516348117</v>
      </c>
      <c r="R172" s="32">
        <v>3.9314152062875252</v>
      </c>
      <c r="S172" s="32">
        <v>5.3232505419224418</v>
      </c>
      <c r="T172" s="32">
        <v>7.0809112333071411</v>
      </c>
      <c r="U172" s="32">
        <v>6.909048226887915</v>
      </c>
      <c r="V172" s="32">
        <v>6.9785633903329369</v>
      </c>
      <c r="W172" s="32">
        <v>5.0788315736808975</v>
      </c>
      <c r="X172" s="32">
        <v>13.538029544622155</v>
      </c>
      <c r="Y172" s="32">
        <v>15.956085549306987</v>
      </c>
      <c r="Z172" s="32">
        <v>8.4830950128897076</v>
      </c>
      <c r="AA172" s="32">
        <v>8.5967551672849751</v>
      </c>
      <c r="AB172" s="32">
        <v>7.1149228681330001</v>
      </c>
    </row>
    <row r="173" spans="2:28" x14ac:dyDescent="0.3">
      <c r="B173" t="s">
        <v>86</v>
      </c>
      <c r="C173" s="32">
        <v>4.0496570019274314</v>
      </c>
      <c r="D173" s="32">
        <v>3.6729409421372372</v>
      </c>
      <c r="E173" s="32">
        <v>3.1739322561432415</v>
      </c>
      <c r="F173" s="32">
        <v>2.7001359378782563</v>
      </c>
      <c r="G173" s="32">
        <v>4.9663650704429685</v>
      </c>
      <c r="H173" s="32">
        <v>4.7141129728796027</v>
      </c>
      <c r="I173" s="32">
        <v>3.4791072106105103</v>
      </c>
      <c r="J173" s="32">
        <v>1.6978064022446171</v>
      </c>
      <c r="K173" s="32">
        <v>1.1255153386735106</v>
      </c>
      <c r="L173" s="32">
        <v>0.34567748135976295</v>
      </c>
      <c r="M173" s="32">
        <v>7.4149596811556862E-2</v>
      </c>
      <c r="N173" s="32">
        <v>-0.45074249019787516</v>
      </c>
      <c r="O173" s="32">
        <v>1.5506280043417364</v>
      </c>
      <c r="P173" s="32">
        <v>0.44892349977094792</v>
      </c>
      <c r="Q173" s="32">
        <v>0.36635048035997819</v>
      </c>
      <c r="R173" s="32">
        <v>2.0265051117001054</v>
      </c>
      <c r="S173" s="32">
        <v>2.5889583302406427</v>
      </c>
      <c r="T173" s="32">
        <v>1.594628619387306</v>
      </c>
      <c r="U173" s="32">
        <v>4.2102864305146426</v>
      </c>
      <c r="V173" s="32">
        <v>3.744960021868371</v>
      </c>
      <c r="W173" s="32">
        <v>3.4266517357222748</v>
      </c>
      <c r="X173" s="32">
        <v>12.709856571472255</v>
      </c>
      <c r="Y173" s="32">
        <v>16.699064237602258</v>
      </c>
      <c r="Z173" s="32">
        <v>9.5797017238040016</v>
      </c>
      <c r="AA173" s="32">
        <v>8.5672369909502333</v>
      </c>
      <c r="AB173" s="32">
        <v>7.2081572326522014</v>
      </c>
    </row>
    <row r="174" spans="2:28" x14ac:dyDescent="0.3">
      <c r="B174" t="s">
        <v>87</v>
      </c>
      <c r="C174" s="32">
        <v>1.7833388759560975</v>
      </c>
      <c r="D174" s="32">
        <v>5.319583418419449</v>
      </c>
      <c r="E174" s="32">
        <v>4.0407174018419756</v>
      </c>
      <c r="F174" s="32">
        <v>3.7924672468737652</v>
      </c>
      <c r="G174" s="32">
        <v>4.7312098251158341</v>
      </c>
      <c r="H174" s="32">
        <v>6.3433283615354163</v>
      </c>
      <c r="I174" s="32">
        <v>7.5287365587064281</v>
      </c>
      <c r="J174" s="32">
        <v>5.1260138832666335</v>
      </c>
      <c r="K174" s="32">
        <v>2.2533443623605764</v>
      </c>
      <c r="L174" s="32">
        <v>-0.1603949900973678</v>
      </c>
      <c r="M174" s="32">
        <v>-0.59092242571558984</v>
      </c>
      <c r="N174" s="32">
        <v>-3.3445756042720709</v>
      </c>
      <c r="O174" s="32">
        <v>1.3477755161384053</v>
      </c>
      <c r="P174" s="32">
        <v>-0.31417217783005214</v>
      </c>
      <c r="Q174" s="32">
        <v>1.5585424821551896</v>
      </c>
      <c r="R174" s="32">
        <v>1.5204545776593914</v>
      </c>
      <c r="S174" s="32">
        <v>1.3050639271955822</v>
      </c>
      <c r="T174" s="32">
        <v>4.0907149450942981</v>
      </c>
      <c r="U174" s="32">
        <v>4.5189813098956977</v>
      </c>
      <c r="V174" s="32">
        <v>4.8833616169803085</v>
      </c>
      <c r="W174" s="32">
        <v>5.8284430920814367</v>
      </c>
      <c r="X174" s="32">
        <v>14.66940498602316</v>
      </c>
      <c r="Y174" s="32">
        <v>23.162723129887965</v>
      </c>
      <c r="Z174" s="32">
        <v>11.540543379032343</v>
      </c>
      <c r="AA174" s="32">
        <v>7.4029811829125158</v>
      </c>
      <c r="AB174" s="32">
        <v>5.4392699854575843</v>
      </c>
    </row>
    <row r="175" spans="2:28" x14ac:dyDescent="0.3">
      <c r="B175" t="s">
        <v>88</v>
      </c>
      <c r="C175" s="32">
        <v>2.8076637991060638</v>
      </c>
      <c r="D175" s="32">
        <v>5.9688449017937018</v>
      </c>
      <c r="E175" s="32">
        <v>4.1296414654763636</v>
      </c>
      <c r="F175" s="32">
        <v>5.335999683205972</v>
      </c>
      <c r="G175" s="32">
        <v>5.9002650326121842</v>
      </c>
      <c r="H175" s="32">
        <v>3.0049698260560476</v>
      </c>
      <c r="I175" s="32">
        <v>6.4583943618286233</v>
      </c>
      <c r="J175" s="32">
        <v>2.9572198572376696</v>
      </c>
      <c r="K175" s="32">
        <v>2.6789083134196812</v>
      </c>
      <c r="L175" s="32">
        <v>0.93857177853993168</v>
      </c>
      <c r="M175" s="32">
        <v>-0.9586651497914378</v>
      </c>
      <c r="N175" s="32">
        <v>-0.71370591028133701</v>
      </c>
      <c r="O175" s="32">
        <v>1.7492711370262537</v>
      </c>
      <c r="P175" s="32">
        <v>-2.0512120798653721</v>
      </c>
      <c r="Q175" s="32">
        <v>3.0955918771669033E-2</v>
      </c>
      <c r="R175" s="32">
        <v>8.3555115429856386E-2</v>
      </c>
      <c r="S175" s="32">
        <v>2.756562876843649</v>
      </c>
      <c r="T175" s="32">
        <v>1.108854284209726</v>
      </c>
      <c r="U175" s="32">
        <v>-1.4820987470610891</v>
      </c>
      <c r="V175" s="32">
        <v>4.7684499894269372</v>
      </c>
      <c r="W175" s="32">
        <v>4.7806467424995835</v>
      </c>
      <c r="X175" s="32">
        <v>7.20703366859754</v>
      </c>
      <c r="Y175" s="32">
        <v>10.352041274689739</v>
      </c>
      <c r="Z175" s="32">
        <v>5.8883732830908642</v>
      </c>
      <c r="AA175" s="32">
        <v>12.444258946027276</v>
      </c>
      <c r="AB175" s="32">
        <v>11.388138813881366</v>
      </c>
    </row>
    <row r="176" spans="2:28" x14ac:dyDescent="0.3">
      <c r="B176" t="s">
        <v>89</v>
      </c>
      <c r="C176" s="32">
        <v>1.9906445996685784</v>
      </c>
      <c r="D176" s="32">
        <v>5.7258031343836002</v>
      </c>
      <c r="E176" s="32">
        <v>2.8129012177566803</v>
      </c>
      <c r="F176" s="32">
        <v>2.9156890940740254</v>
      </c>
      <c r="G176" s="32">
        <v>2.2098431783501571</v>
      </c>
      <c r="H176" s="32">
        <v>1.7033905926791881</v>
      </c>
      <c r="I176" s="32">
        <v>3.1198047469138013</v>
      </c>
      <c r="J176" s="32">
        <v>0.7837958357630459</v>
      </c>
      <c r="K176" s="32">
        <v>1.1231557272433301</v>
      </c>
      <c r="L176" s="32">
        <v>1.2082863537687283</v>
      </c>
      <c r="M176" s="32">
        <v>-0.58529123227082369</v>
      </c>
      <c r="N176" s="32">
        <v>0.40977437321247923</v>
      </c>
      <c r="O176" s="32">
        <v>2.5302328680414377</v>
      </c>
      <c r="P176" s="32">
        <v>1.4572807174305202</v>
      </c>
      <c r="Q176" s="32">
        <v>0.23538831064853216</v>
      </c>
      <c r="R176" s="32">
        <v>2.4553892359058693</v>
      </c>
      <c r="S176" s="32">
        <v>2.6444631552686504</v>
      </c>
      <c r="T176" s="32">
        <v>3.341941364119716</v>
      </c>
      <c r="U176" s="32">
        <v>3.2794355431427169</v>
      </c>
      <c r="V176" s="32">
        <v>2.5576066381064688</v>
      </c>
      <c r="W176" s="32">
        <v>4.3076410669183218</v>
      </c>
      <c r="X176" s="32">
        <v>10.386897634442938</v>
      </c>
      <c r="Y176" s="32">
        <v>14.721160915522669</v>
      </c>
      <c r="Z176" s="32">
        <v>1.9047518989735446</v>
      </c>
      <c r="AA176" s="32">
        <v>5.6404387809806611</v>
      </c>
      <c r="AB176" s="32">
        <v>3.313134104456994</v>
      </c>
    </row>
    <row r="177" spans="2:28" x14ac:dyDescent="0.3">
      <c r="B177" t="s">
        <v>537</v>
      </c>
      <c r="C177" s="32">
        <v>2.2974812797821542</v>
      </c>
      <c r="D177" s="32">
        <v>6.5546498086840765</v>
      </c>
      <c r="E177" s="32">
        <v>3.4660421545667397</v>
      </c>
      <c r="F177" s="32">
        <v>4.0063377093707553</v>
      </c>
      <c r="G177" s="32">
        <v>3.4620964816829858</v>
      </c>
      <c r="H177" s="32">
        <v>4.7134919104629303</v>
      </c>
      <c r="I177" s="32">
        <v>3.8719073286685113</v>
      </c>
      <c r="J177" s="32">
        <v>1.5148829188893265</v>
      </c>
      <c r="K177" s="32">
        <v>4.4450794557948647E-2</v>
      </c>
      <c r="L177" s="32">
        <v>2.2215522302793111E-2</v>
      </c>
      <c r="M177" s="32">
        <v>-2.100487046467725</v>
      </c>
      <c r="N177" s="32">
        <v>0.82970069195740237</v>
      </c>
      <c r="O177" s="32">
        <v>3.1050609922695038</v>
      </c>
      <c r="P177" s="32">
        <v>-0.52218914158338459</v>
      </c>
      <c r="Q177" s="32">
        <v>0.97621360744615249</v>
      </c>
      <c r="R177" s="32">
        <v>2.0685588367654217</v>
      </c>
      <c r="S177" s="32">
        <v>1.0703317420257097</v>
      </c>
      <c r="T177" s="32">
        <v>1.6606997803784607</v>
      </c>
      <c r="U177" s="32">
        <v>4.3635879376165532</v>
      </c>
      <c r="V177" s="32">
        <v>4.054954558988233</v>
      </c>
      <c r="W177" s="32">
        <v>5.2404245752204037</v>
      </c>
      <c r="X177" s="32">
        <v>13.744707847275262</v>
      </c>
      <c r="Y177" s="32">
        <v>17.814986397732579</v>
      </c>
      <c r="Z177" s="32">
        <v>6.9659143607976315</v>
      </c>
      <c r="AA177" s="32">
        <v>8.3250537420741733</v>
      </c>
      <c r="AB177" s="32">
        <v>4.6059279218592097</v>
      </c>
    </row>
    <row r="178" spans="2:28" x14ac:dyDescent="0.3">
      <c r="B178" t="s">
        <v>490</v>
      </c>
      <c r="C178" s="32">
        <v>7.5896774193548344</v>
      </c>
      <c r="D178" s="32">
        <v>12.628624883068307</v>
      </c>
      <c r="E178" s="32">
        <v>10.005111167901859</v>
      </c>
      <c r="F178" s="32">
        <v>14.54485615828396</v>
      </c>
      <c r="G178" s="32">
        <v>26.212246691567962</v>
      </c>
      <c r="H178" s="32">
        <v>22.849375970860763</v>
      </c>
      <c r="I178" s="32">
        <v>14.338503798820579</v>
      </c>
      <c r="J178" s="32">
        <v>0.62825927373608703</v>
      </c>
      <c r="K178" s="32">
        <v>-9.2371532514779471</v>
      </c>
      <c r="L178" s="32">
        <v>-12.959019644683822</v>
      </c>
      <c r="M178" s="32">
        <v>-11.892741074747871</v>
      </c>
      <c r="N178" s="32">
        <v>-6.7061385599564316</v>
      </c>
      <c r="O178" s="32">
        <v>0.77615511430779716</v>
      </c>
      <c r="P178" s="32">
        <v>9.6894679695982653</v>
      </c>
      <c r="Q178" s="32">
        <v>10.174479991553165</v>
      </c>
      <c r="R178" s="32">
        <v>8.4095020185200653</v>
      </c>
      <c r="S178" s="32">
        <v>4.4288760953401729</v>
      </c>
      <c r="T178" s="32">
        <v>7.7085868472567487</v>
      </c>
      <c r="U178" s="32">
        <v>4.0897927104823539</v>
      </c>
      <c r="V178" s="32">
        <v>5.3080139307051466</v>
      </c>
      <c r="W178" s="32">
        <v>3.3178880952167589</v>
      </c>
      <c r="X178" s="32">
        <v>12.400350454115671</v>
      </c>
      <c r="Y178" s="32">
        <v>20.552734344853143</v>
      </c>
      <c r="Z178" s="32">
        <v>8.3531257002016588</v>
      </c>
      <c r="AA178" s="32">
        <v>4.2468966576663325</v>
      </c>
      <c r="AB178" s="32">
        <v>3.3298097251585723</v>
      </c>
    </row>
    <row r="179" spans="2:28" x14ac:dyDescent="0.3">
      <c r="B179" t="s">
        <v>331</v>
      </c>
      <c r="C179" s="32">
        <v>4.582086574905242</v>
      </c>
      <c r="D179" s="32">
        <v>5.3655559158448884</v>
      </c>
      <c r="E179" s="32">
        <v>4.5854453294713826</v>
      </c>
      <c r="F179" s="32">
        <v>3.6487632631160061</v>
      </c>
      <c r="G179" s="32">
        <v>3.8442911775020683</v>
      </c>
      <c r="H179" s="32">
        <v>3.5910136210861587</v>
      </c>
      <c r="I179" s="32">
        <v>0.23907103825135945</v>
      </c>
      <c r="J179" s="32">
        <v>-1.3613133033916758</v>
      </c>
      <c r="K179" s="32">
        <v>-4.3773845598279237</v>
      </c>
      <c r="L179" s="32">
        <v>-2.7272876541385327</v>
      </c>
      <c r="M179" s="32">
        <v>-3.7034536308700239</v>
      </c>
      <c r="N179" s="32">
        <v>-2.2787827794138127</v>
      </c>
      <c r="O179" s="32">
        <v>0.14350290593383441</v>
      </c>
      <c r="P179" s="32">
        <v>2.5094934441498795</v>
      </c>
      <c r="Q179" s="32">
        <v>3.2937846196858356</v>
      </c>
      <c r="R179" s="32">
        <v>5.1070812328720905</v>
      </c>
      <c r="S179" s="32">
        <v>3.8610722160526523</v>
      </c>
      <c r="T179" s="32">
        <v>5.4500092977127768</v>
      </c>
      <c r="U179" s="32">
        <v>6.8244941145351179</v>
      </c>
      <c r="V179" s="32">
        <v>5.1435488974178822</v>
      </c>
      <c r="W179" s="32">
        <v>5.2020096294745688</v>
      </c>
      <c r="X179" s="32">
        <v>13.396676947567411</v>
      </c>
      <c r="Y179" s="32">
        <v>15.787453388901085</v>
      </c>
      <c r="Z179" s="32">
        <v>4.9907648591049014</v>
      </c>
      <c r="AA179" s="32">
        <v>6.3503662805383998</v>
      </c>
      <c r="AB179" s="32">
        <v>4.608176515430551</v>
      </c>
    </row>
    <row r="180" spans="2:28" x14ac:dyDescent="0.3">
      <c r="B180" t="s">
        <v>90</v>
      </c>
      <c r="C180" s="32">
        <v>2.3291856706372016</v>
      </c>
      <c r="D180" s="32">
        <v>3.1308148340473352</v>
      </c>
      <c r="E180" s="32">
        <v>2.5658239798594495</v>
      </c>
      <c r="F180" s="32">
        <v>3.5734740631647943</v>
      </c>
      <c r="G180" s="32">
        <v>5.7529376913202368</v>
      </c>
      <c r="H180" s="32">
        <v>8.0656607156196269</v>
      </c>
      <c r="I180" s="32">
        <v>6.5166675307170019</v>
      </c>
      <c r="J180" s="32">
        <v>3.5448911385833393</v>
      </c>
      <c r="K180" s="32">
        <v>-0.53115647963901669</v>
      </c>
      <c r="L180" s="32">
        <v>-2.4683384789868201</v>
      </c>
      <c r="M180" s="32">
        <v>-3.6452024484390333</v>
      </c>
      <c r="N180" s="32">
        <v>-3.6389540730808023</v>
      </c>
      <c r="O180" s="32">
        <v>-4.687853328462821</v>
      </c>
      <c r="P180" s="32">
        <v>-0.43617914370188693</v>
      </c>
      <c r="Q180" s="32">
        <v>-1.5983869489505809</v>
      </c>
      <c r="R180" s="32">
        <v>2.073282044595115</v>
      </c>
      <c r="S180" s="32">
        <v>2.2519891962917038</v>
      </c>
      <c r="T180" s="32">
        <v>1.3974656434053268</v>
      </c>
      <c r="U180" s="32">
        <v>3.3390245190361156</v>
      </c>
      <c r="V180" s="32">
        <v>4.7436552546414656</v>
      </c>
      <c r="W180" s="32">
        <v>3.7303845841125227</v>
      </c>
      <c r="X180" s="32">
        <v>10.909404442772264</v>
      </c>
      <c r="Y180" s="32">
        <v>13.453383841239329</v>
      </c>
      <c r="Z180" s="32">
        <v>6.0835222883911078</v>
      </c>
      <c r="AA180" s="32">
        <v>8.5027422518173967</v>
      </c>
      <c r="AB180" s="32">
        <v>3.7401553180504976</v>
      </c>
    </row>
    <row r="181" spans="2:28" x14ac:dyDescent="0.3">
      <c r="B181" t="s">
        <v>332</v>
      </c>
      <c r="C181" s="32">
        <v>6.8388302419434943</v>
      </c>
      <c r="D181" s="32">
        <v>6.235462682123516</v>
      </c>
      <c r="E181" s="32">
        <v>5.2984656344146286</v>
      </c>
      <c r="F181" s="32">
        <v>4.1236255967530111</v>
      </c>
      <c r="G181" s="32">
        <v>4.7351268451658157</v>
      </c>
      <c r="H181" s="32">
        <v>4.8596705308114663</v>
      </c>
      <c r="I181" s="32">
        <v>2.3739563029121502</v>
      </c>
      <c r="J181" s="32">
        <v>1.0102588877205942</v>
      </c>
      <c r="K181" s="32">
        <v>-2.5967449253752273</v>
      </c>
      <c r="L181" s="32">
        <v>-2.0940744912843368</v>
      </c>
      <c r="M181" s="32">
        <v>-2.5784373017863071</v>
      </c>
      <c r="N181" s="32">
        <v>-3.3598304186539529</v>
      </c>
      <c r="O181" s="32">
        <v>-1.0340613543070032</v>
      </c>
      <c r="P181" s="32">
        <v>1.2253427476806911</v>
      </c>
      <c r="Q181" s="32">
        <v>3.081013450109471</v>
      </c>
      <c r="R181" s="32">
        <v>5.0796540737369167</v>
      </c>
      <c r="S181" s="32">
        <v>5.6022408963585679</v>
      </c>
      <c r="T181" s="32">
        <v>6.7871694604719757</v>
      </c>
      <c r="U181" s="32">
        <v>7.6694578884023645</v>
      </c>
      <c r="V181" s="32">
        <v>5.5510631213433026</v>
      </c>
      <c r="W181" s="32">
        <v>6.2595763857593356</v>
      </c>
      <c r="X181" s="32">
        <v>13.439925357309491</v>
      </c>
      <c r="Y181" s="32">
        <v>15.551630028413332</v>
      </c>
      <c r="Z181" s="32">
        <v>7.3897323486827871</v>
      </c>
      <c r="AA181" s="32">
        <v>5.8207235231646504</v>
      </c>
      <c r="AB181" s="32">
        <v>4.4032728976678648</v>
      </c>
    </row>
    <row r="182" spans="2:28" x14ac:dyDescent="0.3">
      <c r="B182" t="s">
        <v>333</v>
      </c>
      <c r="C182" s="32">
        <v>3.2983258317258457</v>
      </c>
      <c r="D182" s="32">
        <v>6.4782368129841394</v>
      </c>
      <c r="E182" s="32">
        <v>6.9068548910925287</v>
      </c>
      <c r="F182" s="32">
        <v>3.6576474400518588</v>
      </c>
      <c r="G182" s="32">
        <v>3.4113555546871899</v>
      </c>
      <c r="H182" s="32">
        <v>4.3001813784764087</v>
      </c>
      <c r="I182" s="32">
        <v>4.0413738134917665</v>
      </c>
      <c r="J182" s="32">
        <v>2.4758422564638227</v>
      </c>
      <c r="K182" s="32">
        <v>2.4602001461168754</v>
      </c>
      <c r="L182" s="32">
        <v>1.4609070557996651</v>
      </c>
      <c r="M182" s="32">
        <v>2.0968849083123464</v>
      </c>
      <c r="N182" s="32">
        <v>-0.38419055851701689</v>
      </c>
      <c r="O182" s="32">
        <v>1.2903951533850933</v>
      </c>
      <c r="P182" s="32">
        <v>0.47118923721283235</v>
      </c>
      <c r="Q182" s="32">
        <v>1.7938069446857163</v>
      </c>
      <c r="R182" s="32">
        <v>4.8677576979756276</v>
      </c>
      <c r="S182" s="32">
        <v>7.4168306140260265</v>
      </c>
      <c r="T182" s="32">
        <v>9.4385612184474397</v>
      </c>
      <c r="U182" s="32">
        <v>9.5116457575719728</v>
      </c>
      <c r="V182" s="32">
        <v>8.8831437435366922</v>
      </c>
      <c r="W182" s="32">
        <v>7.6740431190046587</v>
      </c>
      <c r="X182" s="32">
        <v>15.691001930747905</v>
      </c>
      <c r="Y182" s="32">
        <v>17.645264861109933</v>
      </c>
      <c r="Z182" s="32">
        <v>1.5481882596923846</v>
      </c>
      <c r="AA182" s="32">
        <v>3.0442058685878903</v>
      </c>
      <c r="AB182" s="32">
        <v>2.1853805576488305</v>
      </c>
    </row>
    <row r="183" spans="2:28" x14ac:dyDescent="0.3">
      <c r="B183" t="s">
        <v>538</v>
      </c>
      <c r="C183" s="32">
        <v>5.405736700171615</v>
      </c>
      <c r="D183" s="32">
        <v>5.6014265224638482</v>
      </c>
      <c r="E183" s="32">
        <v>5.486014242713444</v>
      </c>
      <c r="F183" s="32">
        <v>5.7018078054042798</v>
      </c>
      <c r="G183" s="32">
        <v>8.984362139917712</v>
      </c>
      <c r="H183" s="32">
        <v>8.3690792653455794</v>
      </c>
      <c r="I183" s="32">
        <v>3.8091123221229539</v>
      </c>
      <c r="J183" s="32">
        <v>1.2741333476544492</v>
      </c>
      <c r="K183" s="32">
        <v>-3.0889156977900289</v>
      </c>
      <c r="L183" s="32">
        <v>-4.9985636311404846</v>
      </c>
      <c r="M183" s="32">
        <v>-6.3040880095612266</v>
      </c>
      <c r="N183" s="32">
        <v>-6.9357143954878797</v>
      </c>
      <c r="O183" s="32">
        <v>-4.7493229407490567</v>
      </c>
      <c r="P183" s="32">
        <v>-1.204923717059625</v>
      </c>
      <c r="Q183" s="32">
        <v>2.2655084671404646</v>
      </c>
      <c r="R183" s="32">
        <v>4.523302903425086</v>
      </c>
      <c r="S183" s="32">
        <v>4.6279879169949911</v>
      </c>
      <c r="T183" s="32">
        <v>7.0860334844894846</v>
      </c>
      <c r="U183" s="32">
        <v>7.3893357949800231</v>
      </c>
      <c r="V183" s="32">
        <v>5.8288988948014708</v>
      </c>
      <c r="W183" s="32">
        <v>4.6968876511694013</v>
      </c>
      <c r="X183" s="32">
        <v>11.490671756665227</v>
      </c>
      <c r="Y183" s="32">
        <v>12.359724308562337</v>
      </c>
      <c r="Z183" s="32">
        <v>6.759333896938835</v>
      </c>
      <c r="AA183" s="32">
        <v>8.8386954199738419</v>
      </c>
      <c r="AB183" s="32">
        <v>7.5932297159454487</v>
      </c>
    </row>
    <row r="184" spans="2:28" x14ac:dyDescent="0.3">
      <c r="B184" t="s">
        <v>334</v>
      </c>
      <c r="C184" s="32">
        <v>2.6852019561673712</v>
      </c>
      <c r="D184" s="32">
        <v>5.5232173567932197</v>
      </c>
      <c r="E184" s="32">
        <v>3.2052487515409789</v>
      </c>
      <c r="F184" s="32">
        <v>3.8871904925799283</v>
      </c>
      <c r="G184" s="32">
        <v>3.2467405920526993</v>
      </c>
      <c r="H184" s="32">
        <v>6.0363540270673255</v>
      </c>
      <c r="I184" s="32">
        <v>3.7506452818769187</v>
      </c>
      <c r="J184" s="32">
        <v>5.5555555555555802</v>
      </c>
      <c r="K184" s="32">
        <v>-6.5017392152411091E-2</v>
      </c>
      <c r="L184" s="32">
        <v>1.32071175303341</v>
      </c>
      <c r="M184" s="32">
        <v>-0.96156933251997367</v>
      </c>
      <c r="N184" s="32">
        <v>-0.57054866682875183</v>
      </c>
      <c r="O184" s="32">
        <v>0.87377532888837095</v>
      </c>
      <c r="P184" s="32">
        <v>-0.31674720018098901</v>
      </c>
      <c r="Q184" s="32">
        <v>0.94029149036203297</v>
      </c>
      <c r="R184" s="32">
        <v>2.7769301190112561</v>
      </c>
      <c r="S184" s="32">
        <v>4.453681710213786</v>
      </c>
      <c r="T184" s="32">
        <v>3.9166990814158753</v>
      </c>
      <c r="U184" s="32">
        <v>6.1071120069104534</v>
      </c>
      <c r="V184" s="32">
        <v>6.8953352690564795</v>
      </c>
      <c r="W184" s="32">
        <v>6.1687652315191022</v>
      </c>
      <c r="X184" s="32">
        <v>18.141169719286477</v>
      </c>
      <c r="Y184" s="32">
        <v>23.932886721042724</v>
      </c>
      <c r="Z184" s="32">
        <v>3.6605480615344632</v>
      </c>
      <c r="AA184" s="32">
        <v>1.8944317098723351</v>
      </c>
      <c r="AB184" s="32">
        <v>1.3189829641059969</v>
      </c>
    </row>
    <row r="185" spans="2:28" x14ac:dyDescent="0.3">
      <c r="B185" t="s">
        <v>491</v>
      </c>
      <c r="C185" s="32">
        <v>2.4694356732248401</v>
      </c>
      <c r="D185" s="32">
        <v>5.525047408343875</v>
      </c>
      <c r="E185" s="32">
        <v>3.1747814529866414</v>
      </c>
      <c r="F185" s="32">
        <v>4.4904475933015497</v>
      </c>
      <c r="G185" s="32">
        <v>4.6447423253229481</v>
      </c>
      <c r="H185" s="32">
        <v>7.2245175635090586</v>
      </c>
      <c r="I185" s="32">
        <v>6.8414292567431589</v>
      </c>
      <c r="J185" s="32">
        <v>5.0563425161495923</v>
      </c>
      <c r="K185" s="32">
        <v>2.6250120634745633</v>
      </c>
      <c r="L185" s="32">
        <v>-0.47825678090197554</v>
      </c>
      <c r="M185" s="32">
        <v>-1.2108367867604386</v>
      </c>
      <c r="N185" s="32">
        <v>-1.2625710537822354</v>
      </c>
      <c r="O185" s="32">
        <v>-0.49543315804041477</v>
      </c>
      <c r="P185" s="32">
        <v>1.5771466718589311</v>
      </c>
      <c r="Q185" s="32">
        <v>-0.58190481406428241</v>
      </c>
      <c r="R185" s="32">
        <v>3.0243351558303599</v>
      </c>
      <c r="S185" s="32">
        <v>1.5239215581429599</v>
      </c>
      <c r="T185" s="32">
        <v>2.3792908212305841</v>
      </c>
      <c r="U185" s="32">
        <v>3.4004681431180517</v>
      </c>
      <c r="V185" s="32">
        <v>4.7003656807383276</v>
      </c>
      <c r="W185" s="32">
        <v>5.1498627891229276</v>
      </c>
      <c r="X185" s="32">
        <v>14.698571945046979</v>
      </c>
      <c r="Y185" s="32">
        <v>22.689663324205611</v>
      </c>
      <c r="Z185" s="32">
        <v>10.036368891350932</v>
      </c>
      <c r="AA185" s="32">
        <v>8.4570036043135168</v>
      </c>
      <c r="AB185" s="32">
        <v>5.3123203678865361</v>
      </c>
    </row>
    <row r="186" spans="2:28" x14ac:dyDescent="0.3">
      <c r="B186" t="s">
        <v>91</v>
      </c>
      <c r="C186" s="32">
        <v>9.2361562493447735</v>
      </c>
      <c r="D186" s="32">
        <v>10.643402817766523</v>
      </c>
      <c r="E186" s="32">
        <v>12.808146696042865</v>
      </c>
      <c r="F186" s="32">
        <v>13.014794082367054</v>
      </c>
      <c r="G186" s="32">
        <v>17.312795112193658</v>
      </c>
      <c r="H186" s="32">
        <v>14.972393634296877</v>
      </c>
      <c r="I186" s="32">
        <v>6.9067796610169596</v>
      </c>
      <c r="J186" s="32">
        <v>4.0579053658706954E-2</v>
      </c>
      <c r="K186" s="32">
        <v>-3.7411917856031041</v>
      </c>
      <c r="L186" s="32">
        <v>-4.360906676597109</v>
      </c>
      <c r="M186" s="32">
        <v>-3.4418452143084033</v>
      </c>
      <c r="N186" s="32">
        <v>-3.9115393594668646</v>
      </c>
      <c r="O186" s="32">
        <v>-3.3750055219331276</v>
      </c>
      <c r="P186" s="32">
        <v>-2.3533580213048078</v>
      </c>
      <c r="Q186" s="32">
        <v>0.38275607786220078</v>
      </c>
      <c r="R186" s="32">
        <v>2.2294776119403004</v>
      </c>
      <c r="S186" s="32">
        <v>0.36613742129756321</v>
      </c>
      <c r="T186" s="32">
        <v>5.0413101042128261</v>
      </c>
      <c r="U186" s="32">
        <v>6.7532917158034778</v>
      </c>
      <c r="V186" s="32">
        <v>6.4547840804288992</v>
      </c>
      <c r="W186" s="32">
        <v>7.4466869763899268</v>
      </c>
      <c r="X186" s="32">
        <v>20.004961811770137</v>
      </c>
      <c r="Y186" s="32">
        <v>16.569698759598349</v>
      </c>
      <c r="Z186" s="32">
        <v>6.1134264830696283</v>
      </c>
      <c r="AA186" s="32">
        <v>9.8123366003318715</v>
      </c>
      <c r="AB186" s="32">
        <v>4.6632038642228535</v>
      </c>
    </row>
    <row r="187" spans="2:28" x14ac:dyDescent="0.3">
      <c r="B187" t="s">
        <v>539</v>
      </c>
      <c r="C187" s="32">
        <v>9.1335708699052951</v>
      </c>
      <c r="D187" s="32">
        <v>10.525163242554548</v>
      </c>
      <c r="E187" s="32">
        <v>13.919559069867971</v>
      </c>
      <c r="F187" s="32">
        <v>13.069394595791106</v>
      </c>
      <c r="G187" s="32">
        <v>15.334274887083478</v>
      </c>
      <c r="H187" s="32">
        <v>14.349107045429733</v>
      </c>
      <c r="I187" s="32">
        <v>5.7043493012702173</v>
      </c>
      <c r="J187" s="32">
        <v>-1.4163339819848741</v>
      </c>
      <c r="K187" s="32">
        <v>-5.7518162023564852</v>
      </c>
      <c r="L187" s="32">
        <v>-7.1327554005764959</v>
      </c>
      <c r="M187" s="32">
        <v>-5.2288949338541224</v>
      </c>
      <c r="N187" s="32">
        <v>-4.9470094696040352</v>
      </c>
      <c r="O187" s="32">
        <v>-4.5876295311713662</v>
      </c>
      <c r="P187" s="32">
        <v>-2.0111988747024467</v>
      </c>
      <c r="Q187" s="32">
        <v>0.32988723101770034</v>
      </c>
      <c r="R187" s="32">
        <v>1.7141756548535891</v>
      </c>
      <c r="S187" s="32">
        <v>1.0969242838207327</v>
      </c>
      <c r="T187" s="32">
        <v>3.5962271723861017</v>
      </c>
      <c r="U187" s="32">
        <v>6.4352407888109697</v>
      </c>
      <c r="V187" s="32">
        <v>5.1227916909338145</v>
      </c>
      <c r="W187" s="32">
        <v>5.6268611925482936</v>
      </c>
      <c r="X187" s="32">
        <v>15.903751379585419</v>
      </c>
      <c r="Y187" s="32">
        <v>15.533577832879208</v>
      </c>
      <c r="Z187" s="32">
        <v>6.9926474788441606</v>
      </c>
      <c r="AA187" s="32">
        <v>6.8635975349319533</v>
      </c>
      <c r="AB187" s="32">
        <v>7.3023208646017412</v>
      </c>
    </row>
    <row r="188" spans="2:28" x14ac:dyDescent="0.3">
      <c r="B188" t="s">
        <v>92</v>
      </c>
      <c r="C188" s="32">
        <v>3.1710945802338131</v>
      </c>
      <c r="D188" s="32">
        <v>5.4385892629063237</v>
      </c>
      <c r="E188" s="32">
        <v>3.3722793169473686</v>
      </c>
      <c r="F188" s="32">
        <v>4.5607469569819203</v>
      </c>
      <c r="G188" s="32">
        <v>5.6054662786283682</v>
      </c>
      <c r="H188" s="32">
        <v>7.9730238608743287</v>
      </c>
      <c r="I188" s="32">
        <v>8.0326569435637207</v>
      </c>
      <c r="J188" s="32">
        <v>5.5336258382614023</v>
      </c>
      <c r="K188" s="32">
        <v>0.77588364526264275</v>
      </c>
      <c r="L188" s="32">
        <v>-1.0293062531044672</v>
      </c>
      <c r="M188" s="32">
        <v>-2.5874808308936403</v>
      </c>
      <c r="N188" s="32">
        <v>-2.1610327160317189</v>
      </c>
      <c r="O188" s="32">
        <v>-0.13018547773682165</v>
      </c>
      <c r="P188" s="32">
        <v>1.0047601611131496</v>
      </c>
      <c r="Q188" s="32">
        <v>1.9242760400806302</v>
      </c>
      <c r="R188" s="32">
        <v>2.7102777145458612</v>
      </c>
      <c r="S188" s="32">
        <v>3.6347014253459431</v>
      </c>
      <c r="T188" s="32">
        <v>4.9828247590788077</v>
      </c>
      <c r="U188" s="32">
        <v>6.3135782035775634</v>
      </c>
      <c r="V188" s="32">
        <v>5.9625886185093124</v>
      </c>
      <c r="W188" s="32">
        <v>7.1053196659245366</v>
      </c>
      <c r="X188" s="32">
        <v>18.111216629735139</v>
      </c>
      <c r="Y188" s="32">
        <v>24.322368538603122</v>
      </c>
      <c r="Z188" s="32">
        <v>10.790534568371424</v>
      </c>
      <c r="AA188" s="32">
        <v>8.2938219555699799</v>
      </c>
      <c r="AB188" s="32">
        <v>4.867178402238781</v>
      </c>
    </row>
    <row r="189" spans="2:28" x14ac:dyDescent="0.3">
      <c r="B189" t="s">
        <v>93</v>
      </c>
      <c r="C189" s="32">
        <v>3.1746031746031633</v>
      </c>
      <c r="D189" s="32">
        <v>3.9566074950690533</v>
      </c>
      <c r="E189" s="32">
        <v>2.2217584335749052</v>
      </c>
      <c r="F189" s="32">
        <v>1.7168736195408041</v>
      </c>
      <c r="G189" s="32">
        <v>2.1659793438195685</v>
      </c>
      <c r="H189" s="32">
        <v>1.2984693421922433</v>
      </c>
      <c r="I189" s="32">
        <v>-2.6482826715565455</v>
      </c>
      <c r="J189" s="32">
        <v>-2.2983301336617412</v>
      </c>
      <c r="K189" s="32">
        <v>-2.7324126425062545</v>
      </c>
      <c r="L189" s="32">
        <v>-3.4781117188542376</v>
      </c>
      <c r="M189" s="32">
        <v>-5.939264700075042</v>
      </c>
      <c r="N189" s="32">
        <v>-0.4177337419706828</v>
      </c>
      <c r="O189" s="32">
        <v>-1.1699234806804459</v>
      </c>
      <c r="P189" s="32">
        <v>3.0735432130364337</v>
      </c>
      <c r="Q189" s="32">
        <v>1.6182100362131413</v>
      </c>
      <c r="R189" s="32">
        <v>3.885393121143621</v>
      </c>
      <c r="S189" s="32">
        <v>3.010879153190249</v>
      </c>
      <c r="T189" s="32">
        <v>4.5879241118151892</v>
      </c>
      <c r="U189" s="32">
        <v>5.9186346930606648</v>
      </c>
      <c r="V189" s="32">
        <v>4.5331959117065779</v>
      </c>
      <c r="W189" s="32">
        <v>5.46718375127353</v>
      </c>
      <c r="X189" s="32">
        <v>12.590953709041619</v>
      </c>
      <c r="Y189" s="32">
        <v>13.496720267913975</v>
      </c>
      <c r="Z189" s="32">
        <v>8.9739681765530719</v>
      </c>
      <c r="AA189" s="32">
        <v>9.4366433566433372</v>
      </c>
      <c r="AB189" s="32">
        <v>7.1396567713163384</v>
      </c>
    </row>
    <row r="190" spans="2:28" x14ac:dyDescent="0.3">
      <c r="B190" t="s">
        <v>335</v>
      </c>
      <c r="C190" s="32">
        <v>5.4984952917192631</v>
      </c>
      <c r="D190" s="32">
        <v>5.4346025728325031</v>
      </c>
      <c r="E190" s="32">
        <v>4.7355559434456351</v>
      </c>
      <c r="F190" s="32">
        <v>4.2381214272619872</v>
      </c>
      <c r="G190" s="32">
        <v>7.0460141335976667</v>
      </c>
      <c r="H190" s="32">
        <v>6.5299538482218811</v>
      </c>
      <c r="I190" s="32">
        <v>3.1405538030143676</v>
      </c>
      <c r="J190" s="32">
        <v>1.8867668048664354</v>
      </c>
      <c r="K190" s="32">
        <v>0.6750897228930075</v>
      </c>
      <c r="L190" s="32">
        <v>-0.49695861328666879</v>
      </c>
      <c r="M190" s="32">
        <v>-0.26503649246177874</v>
      </c>
      <c r="N190" s="32">
        <v>-0.47673098751418452</v>
      </c>
      <c r="O190" s="32">
        <v>0.89094031773293558</v>
      </c>
      <c r="P190" s="32">
        <v>1.1038408341312866</v>
      </c>
      <c r="Q190" s="32">
        <v>2.1007076898792443</v>
      </c>
      <c r="R190" s="32">
        <v>2.5315966451513239</v>
      </c>
      <c r="S190" s="32">
        <v>4.4732609569762882</v>
      </c>
      <c r="T190" s="32">
        <v>5.0454632926007825</v>
      </c>
      <c r="U190" s="32">
        <v>5.0527255865077558</v>
      </c>
      <c r="V190" s="32">
        <v>4.6756473973319501</v>
      </c>
      <c r="W190" s="32">
        <v>3.922242352304206</v>
      </c>
      <c r="X190" s="32">
        <v>10.443947940566467</v>
      </c>
      <c r="Y190" s="32">
        <v>14.912049930601556</v>
      </c>
      <c r="Z190" s="32">
        <v>7.3608008147089565</v>
      </c>
      <c r="AA190" s="32">
        <v>6.9274605684032764</v>
      </c>
      <c r="AB190" s="32">
        <v>4.5312521698073871</v>
      </c>
    </row>
    <row r="191" spans="2:28" x14ac:dyDescent="0.3">
      <c r="B191" t="s">
        <v>94</v>
      </c>
      <c r="C191" s="32">
        <v>2.2832508382564454</v>
      </c>
      <c r="D191" s="32">
        <v>3.988448329690919</v>
      </c>
      <c r="E191" s="32">
        <v>4.6948885386174144</v>
      </c>
      <c r="F191" s="32">
        <v>4.6868838943255442</v>
      </c>
      <c r="G191" s="32">
        <v>5.5607868650379144</v>
      </c>
      <c r="H191" s="32">
        <v>7.7477009909661332</v>
      </c>
      <c r="I191" s="32">
        <v>9.3491284583195444</v>
      </c>
      <c r="J191" s="32">
        <v>5.6314956294307938</v>
      </c>
      <c r="K191" s="32">
        <v>1.6863010842368631</v>
      </c>
      <c r="L191" s="32">
        <v>0.99961553248750779</v>
      </c>
      <c r="M191" s="32">
        <v>-1.1686334221545525</v>
      </c>
      <c r="N191" s="32">
        <v>-1.3275302032379477</v>
      </c>
      <c r="O191" s="32">
        <v>1.5314553379741191</v>
      </c>
      <c r="P191" s="32">
        <v>2.0363440639737496</v>
      </c>
      <c r="Q191" s="32">
        <v>2.9627861996206928</v>
      </c>
      <c r="R191" s="32">
        <v>2.4908514271773763</v>
      </c>
      <c r="S191" s="32">
        <v>1.3020399419199746</v>
      </c>
      <c r="T191" s="32">
        <v>1.3064523708820941</v>
      </c>
      <c r="U191" s="32">
        <v>0.25281811012665134</v>
      </c>
      <c r="V191" s="32">
        <v>1.9121763875714182</v>
      </c>
      <c r="W191" s="32">
        <v>3.1475953189026074</v>
      </c>
      <c r="X191" s="32">
        <v>5.720133814596351</v>
      </c>
      <c r="Y191" s="32">
        <v>11.174143853440199</v>
      </c>
      <c r="Z191" s="32">
        <v>-0.26496886849866064</v>
      </c>
      <c r="AA191" s="32">
        <v>3.4255834475507507</v>
      </c>
      <c r="AB191" s="32">
        <v>3.1729841488628452</v>
      </c>
    </row>
    <row r="192" spans="2:28" x14ac:dyDescent="0.3">
      <c r="B192" t="s">
        <v>336</v>
      </c>
      <c r="C192" s="32">
        <v>2.2161140697474657</v>
      </c>
      <c r="D192" s="32">
        <v>3.6134453781512477</v>
      </c>
      <c r="E192" s="32">
        <v>1.8998377939983824</v>
      </c>
      <c r="F192" s="32">
        <v>1.5122271524364628</v>
      </c>
      <c r="G192" s="32">
        <v>1.5367426544093288</v>
      </c>
      <c r="H192" s="32">
        <v>0.61002683345883213</v>
      </c>
      <c r="I192" s="32">
        <v>0.13239442024675085</v>
      </c>
      <c r="J192" s="32">
        <v>0.54803970413521697</v>
      </c>
      <c r="K192" s="32">
        <v>-0.16580271382833356</v>
      </c>
      <c r="L192" s="32">
        <v>0.41996754796218561</v>
      </c>
      <c r="M192" s="32">
        <v>-1.1957038304343581</v>
      </c>
      <c r="N192" s="32">
        <v>-1.6796213637063184</v>
      </c>
      <c r="O192" s="32">
        <v>0.97841613995264254</v>
      </c>
      <c r="P192" s="32">
        <v>1.1607852256651841</v>
      </c>
      <c r="Q192" s="32">
        <v>1.3696793226313231</v>
      </c>
      <c r="R192" s="32">
        <v>5.3461080560122554</v>
      </c>
      <c r="S192" s="32">
        <v>2.8486348796326277</v>
      </c>
      <c r="T192" s="32">
        <v>5.3650538947221493</v>
      </c>
      <c r="U192" s="32">
        <v>5.7871213375268793</v>
      </c>
      <c r="V192" s="32">
        <v>6.1621756955528406</v>
      </c>
      <c r="W192" s="32">
        <v>5.4979069630328503</v>
      </c>
      <c r="X192" s="32">
        <v>14.151786961745882</v>
      </c>
      <c r="Y192" s="32">
        <v>15.195280467057515</v>
      </c>
      <c r="Z192" s="32">
        <v>8.2672814976943556</v>
      </c>
      <c r="AA192" s="32">
        <v>9.7243348806171035</v>
      </c>
      <c r="AB192" s="32">
        <v>5.8461510407644024</v>
      </c>
    </row>
    <row r="193" spans="2:28" x14ac:dyDescent="0.3">
      <c r="B193" t="s">
        <v>95</v>
      </c>
      <c r="C193" s="32">
        <v>0.95343634348799</v>
      </c>
      <c r="D193" s="32">
        <v>5.3579934966758724</v>
      </c>
      <c r="E193" s="32">
        <v>2.0758796933359358</v>
      </c>
      <c r="F193" s="32">
        <v>4.0692523976428197</v>
      </c>
      <c r="G193" s="32">
        <v>3.6788245526378827</v>
      </c>
      <c r="H193" s="32">
        <v>5.5830224713084631</v>
      </c>
      <c r="I193" s="32">
        <v>11.113177246217564</v>
      </c>
      <c r="J193" s="32">
        <v>5.6443883217453417</v>
      </c>
      <c r="K193" s="32">
        <v>2.4827546479644136</v>
      </c>
      <c r="L193" s="32">
        <v>1.4979694504166252</v>
      </c>
      <c r="M193" s="32">
        <v>-0.74346868986139292</v>
      </c>
      <c r="N193" s="32">
        <v>-2.7897115438269005E-2</v>
      </c>
      <c r="O193" s="32">
        <v>0.40880678647170487</v>
      </c>
      <c r="P193" s="32">
        <v>2.5609671368026277</v>
      </c>
      <c r="Q193" s="32">
        <v>5.3056579232603429</v>
      </c>
      <c r="R193" s="32">
        <v>4.252225824713074</v>
      </c>
      <c r="S193" s="32">
        <v>5.7288131409742205</v>
      </c>
      <c r="T193" s="32">
        <v>2.6963616626396236</v>
      </c>
      <c r="U193" s="32">
        <v>2.8778940907695949</v>
      </c>
      <c r="V193" s="32">
        <v>2.2184658557334425</v>
      </c>
      <c r="W193" s="32">
        <v>2.1335696760735434</v>
      </c>
      <c r="X193" s="32">
        <v>5.872268373988021</v>
      </c>
      <c r="Y193" s="32">
        <v>8.4802686817800232</v>
      </c>
      <c r="Z193" s="32">
        <v>-0.76938670204923509</v>
      </c>
      <c r="AA193" s="32">
        <v>0.52092522262356944</v>
      </c>
      <c r="AB193" s="32">
        <v>-0.1566401606943546</v>
      </c>
    </row>
    <row r="194" spans="2:28" x14ac:dyDescent="0.3">
      <c r="B194" t="s">
        <v>337</v>
      </c>
      <c r="C194" s="32">
        <v>3.5976970978733203</v>
      </c>
      <c r="D194" s="32">
        <v>7.1972961938030267</v>
      </c>
      <c r="E194" s="32">
        <v>8.654436192048065</v>
      </c>
      <c r="F194" s="32">
        <v>13.266081131083363</v>
      </c>
      <c r="G194" s="32">
        <v>23.532951634256637</v>
      </c>
      <c r="H194" s="32">
        <v>24.853858144972719</v>
      </c>
      <c r="I194" s="32">
        <v>14.354829719636575</v>
      </c>
      <c r="J194" s="32">
        <v>-3.802811409409057</v>
      </c>
      <c r="K194" s="32">
        <v>-16.404373688957353</v>
      </c>
      <c r="L194" s="32">
        <v>-15.711636138823904</v>
      </c>
      <c r="M194" s="32">
        <v>-13.405338549157209</v>
      </c>
      <c r="N194" s="32">
        <v>-6.1168225075152405</v>
      </c>
      <c r="O194" s="32">
        <v>2.8534531559581078</v>
      </c>
      <c r="P194" s="32">
        <v>7.3665743623260838</v>
      </c>
      <c r="Q194" s="32">
        <v>8.2676534666153998</v>
      </c>
      <c r="R194" s="32">
        <v>7.9766220315158565</v>
      </c>
      <c r="S194" s="32">
        <v>5.5634729226046842</v>
      </c>
      <c r="T194" s="32">
        <v>7.9002025027259837</v>
      </c>
      <c r="U194" s="32">
        <v>10.306537378792635</v>
      </c>
      <c r="V194" s="32">
        <v>7.9344305205640842</v>
      </c>
      <c r="W194" s="32">
        <v>8.4899559435754455</v>
      </c>
      <c r="X194" s="32">
        <v>23.127433265652051</v>
      </c>
      <c r="Y194" s="32">
        <v>18.810563023366655</v>
      </c>
      <c r="Z194" s="32">
        <v>0.11396628126114638</v>
      </c>
      <c r="AA194" s="32">
        <v>3.1174678682039714</v>
      </c>
      <c r="AB194" s="32">
        <v>2.4762839588238661</v>
      </c>
    </row>
    <row r="195" spans="2:28" x14ac:dyDescent="0.3">
      <c r="B195" t="s">
        <v>338</v>
      </c>
      <c r="C195" s="32">
        <v>2.8297033098953817</v>
      </c>
      <c r="D195" s="32">
        <v>6.9629753168779285</v>
      </c>
      <c r="E195" s="32">
        <v>6.0419427769548673</v>
      </c>
      <c r="F195" s="32">
        <v>6.3501690927804555</v>
      </c>
      <c r="G195" s="32">
        <v>11.008762075937994</v>
      </c>
      <c r="H195" s="32">
        <v>24.140239440785869</v>
      </c>
      <c r="I195" s="32">
        <v>22.47206511242932</v>
      </c>
      <c r="J195" s="32">
        <v>1.9138217043150441</v>
      </c>
      <c r="K195" s="32">
        <v>-12.679976287841487</v>
      </c>
      <c r="L195" s="32">
        <v>-14.546584279747321</v>
      </c>
      <c r="M195" s="32">
        <v>-14.333804618595558</v>
      </c>
      <c r="N195" s="32">
        <v>-11.133291417793156</v>
      </c>
      <c r="O195" s="32">
        <v>-1.9880786033924736</v>
      </c>
      <c r="P195" s="32">
        <v>6.0040062801147931</v>
      </c>
      <c r="Q195" s="32">
        <v>9.366700715015309</v>
      </c>
      <c r="R195" s="32">
        <v>7.6149559478223106</v>
      </c>
      <c r="S195" s="32">
        <v>8.7164058205803308</v>
      </c>
      <c r="T195" s="32">
        <v>9.4864289515699696</v>
      </c>
      <c r="U195" s="32">
        <v>10.498237938996247</v>
      </c>
      <c r="V195" s="32">
        <v>7.1088431633472338</v>
      </c>
      <c r="W195" s="32">
        <v>7.979012865401014</v>
      </c>
      <c r="X195" s="32">
        <v>17.65052679624204</v>
      </c>
      <c r="Y195" s="32">
        <v>24.768439939867125</v>
      </c>
      <c r="Z195" s="32">
        <v>7.5972818728906155</v>
      </c>
      <c r="AA195" s="32">
        <v>2.8880366528395873</v>
      </c>
      <c r="AB195" s="32">
        <v>-0.54375940556810054</v>
      </c>
    </row>
    <row r="196" spans="2:28" x14ac:dyDescent="0.3">
      <c r="B196" t="s">
        <v>96</v>
      </c>
      <c r="C196" s="32">
        <v>1.5595505617977512</v>
      </c>
      <c r="D196" s="32">
        <v>4.5714032836217111</v>
      </c>
      <c r="E196" s="32">
        <v>4.073212018620409</v>
      </c>
      <c r="F196" s="32">
        <v>5.4264511538070437</v>
      </c>
      <c r="G196" s="32">
        <v>9.1506923284606856</v>
      </c>
      <c r="H196" s="32">
        <v>10.696302054806605</v>
      </c>
      <c r="I196" s="32">
        <v>9.037077234928903</v>
      </c>
      <c r="J196" s="32">
        <v>3.7224621239844824</v>
      </c>
      <c r="K196" s="32">
        <v>0.32035902791496262</v>
      </c>
      <c r="L196" s="32">
        <v>-1.3364282197369182</v>
      </c>
      <c r="M196" s="32">
        <v>-2.2157268125757579</v>
      </c>
      <c r="N196" s="32">
        <v>-2.4263279917178027</v>
      </c>
      <c r="O196" s="32">
        <v>-1.3001180566971082</v>
      </c>
      <c r="P196" s="32">
        <v>0.36489166805455664</v>
      </c>
      <c r="Q196" s="32">
        <v>1.1827178373159608</v>
      </c>
      <c r="R196" s="32">
        <v>2.6493916984732691</v>
      </c>
      <c r="S196" s="32">
        <v>2.7945213438103522</v>
      </c>
      <c r="T196" s="32">
        <v>4.1626043830274462</v>
      </c>
      <c r="U196" s="32">
        <v>4.9932853131485766</v>
      </c>
      <c r="V196" s="32">
        <v>4.2751937984496058</v>
      </c>
      <c r="W196" s="32">
        <v>5.4541624849768988</v>
      </c>
      <c r="X196" s="32">
        <v>12.723384756376955</v>
      </c>
      <c r="Y196" s="32">
        <v>16.191369606003736</v>
      </c>
      <c r="Z196" s="32">
        <v>8.5670201123132053</v>
      </c>
      <c r="AA196" s="32">
        <v>7.2787215758857604</v>
      </c>
      <c r="AB196" s="32">
        <v>5.4258828322716557</v>
      </c>
    </row>
    <row r="197" spans="2:28" x14ac:dyDescent="0.3">
      <c r="B197" t="s">
        <v>339</v>
      </c>
      <c r="C197" s="32">
        <v>7.131197514110954</v>
      </c>
      <c r="D197" s="32">
        <v>5.742294347658472</v>
      </c>
      <c r="E197" s="32">
        <v>5.3835870905019068</v>
      </c>
      <c r="F197" s="32">
        <v>4.6851833547494337</v>
      </c>
      <c r="G197" s="32">
        <v>5.2151197557674722</v>
      </c>
      <c r="H197" s="32">
        <v>4.5513012264433161</v>
      </c>
      <c r="I197" s="32">
        <v>-0.73530463642473842</v>
      </c>
      <c r="J197" s="32">
        <v>-3.1532375448558247</v>
      </c>
      <c r="K197" s="32">
        <v>-6.8942426451987338</v>
      </c>
      <c r="L197" s="32">
        <v>-8.7153177343050494</v>
      </c>
      <c r="M197" s="32">
        <v>-6.3310864046222655</v>
      </c>
      <c r="N197" s="32">
        <v>-4.258023514458209</v>
      </c>
      <c r="O197" s="32">
        <v>-1.6106674996583581</v>
      </c>
      <c r="P197" s="32">
        <v>2.1549329311850052</v>
      </c>
      <c r="Q197" s="32">
        <v>5.1124664931432529</v>
      </c>
      <c r="R197" s="32">
        <v>5.2795949292234967</v>
      </c>
      <c r="S197" s="32">
        <v>4.2354882308542896</v>
      </c>
      <c r="T197" s="32">
        <v>6.7459248282365714</v>
      </c>
      <c r="U197" s="32">
        <v>6.1839406846505574</v>
      </c>
      <c r="V197" s="32">
        <v>5.2458772842074008</v>
      </c>
      <c r="W197" s="32">
        <v>5.2300221623071463</v>
      </c>
      <c r="X197" s="32">
        <v>11.984546454538126</v>
      </c>
      <c r="Y197" s="32">
        <v>11.409918543363684</v>
      </c>
      <c r="Z197" s="32">
        <v>6.4792215472286419</v>
      </c>
      <c r="AA197" s="32">
        <v>8.1752178610738024</v>
      </c>
      <c r="AB197" s="32">
        <v>6.2520784835384147</v>
      </c>
    </row>
    <row r="198" spans="2:28" x14ac:dyDescent="0.3">
      <c r="B198" t="s">
        <v>97</v>
      </c>
      <c r="C198" s="32">
        <v>2.9221082089552208</v>
      </c>
      <c r="D198" s="32">
        <v>6.0498946366664308</v>
      </c>
      <c r="E198" s="32">
        <v>3.1899664551417573</v>
      </c>
      <c r="F198" s="32">
        <v>3.9879079012754559</v>
      </c>
      <c r="G198" s="32">
        <v>4.7767910477480191</v>
      </c>
      <c r="H198" s="32">
        <v>4.5419129244977929</v>
      </c>
      <c r="I198" s="32">
        <v>9.8543927578120805</v>
      </c>
      <c r="J198" s="32">
        <v>4.0011914217633171</v>
      </c>
      <c r="K198" s="32">
        <v>-0.94988066825776318</v>
      </c>
      <c r="L198" s="32">
        <v>-1.3396944725555304</v>
      </c>
      <c r="M198" s="32">
        <v>-2.7401944023836333</v>
      </c>
      <c r="N198" s="32">
        <v>-0.29295567162181957</v>
      </c>
      <c r="O198" s="32">
        <v>6.0442235691171575E-2</v>
      </c>
      <c r="P198" s="32">
        <v>-0.37250197157575604</v>
      </c>
      <c r="Q198" s="32">
        <v>6.0799999999999965</v>
      </c>
      <c r="R198" s="32">
        <v>4.1565452091767874</v>
      </c>
      <c r="S198" s="32">
        <v>2.8809658094904211</v>
      </c>
      <c r="T198" s="32">
        <v>2.3661713066540413</v>
      </c>
      <c r="U198" s="32">
        <v>4.6779562888985327</v>
      </c>
      <c r="V198" s="32">
        <v>4.7896905505931731</v>
      </c>
      <c r="W198" s="32">
        <v>3.4227957670282416</v>
      </c>
      <c r="X198" s="32">
        <v>7.6907374330186018</v>
      </c>
      <c r="Y198" s="32">
        <v>16.692730546867619</v>
      </c>
      <c r="Z198" s="32">
        <v>7.6976182257507686</v>
      </c>
      <c r="AA198" s="32">
        <v>1.9457013574660786</v>
      </c>
      <c r="AB198" s="32">
        <v>4.807229256961576</v>
      </c>
    </row>
    <row r="199" spans="2:28" x14ac:dyDescent="0.3">
      <c r="B199" t="s">
        <v>98</v>
      </c>
      <c r="C199" s="32">
        <v>0.38378876266502715</v>
      </c>
      <c r="D199" s="32">
        <v>3.9564808948507002</v>
      </c>
      <c r="E199" s="32">
        <v>4.6423167451244085</v>
      </c>
      <c r="F199" s="32">
        <v>5.4786817424135936</v>
      </c>
      <c r="G199" s="32">
        <v>8.6651053864168492</v>
      </c>
      <c r="H199" s="32">
        <v>13.773829548640325</v>
      </c>
      <c r="I199" s="32">
        <v>11.699752052115242</v>
      </c>
      <c r="J199" s="32">
        <v>6.3656418033916973</v>
      </c>
      <c r="K199" s="32">
        <v>-1.7887928240890694</v>
      </c>
      <c r="L199" s="32">
        <v>-2.9023189515224312</v>
      </c>
      <c r="M199" s="32">
        <v>-4.5413766855154414</v>
      </c>
      <c r="N199" s="32">
        <v>-5.6004100986799976</v>
      </c>
      <c r="O199" s="32">
        <v>-2.9912209249705723</v>
      </c>
      <c r="P199" s="32">
        <v>-1.3761253906796722</v>
      </c>
      <c r="Q199" s="32">
        <v>-1.9376911676599495</v>
      </c>
      <c r="R199" s="32">
        <v>1.4373683618180921</v>
      </c>
      <c r="S199" s="32">
        <v>2.5106592065429423</v>
      </c>
      <c r="T199" s="32">
        <v>1.719366061074612</v>
      </c>
      <c r="U199" s="32">
        <v>4.4476872330399653</v>
      </c>
      <c r="V199" s="32">
        <v>4.1622400419134786</v>
      </c>
      <c r="W199" s="32">
        <v>5.3441940396518284</v>
      </c>
      <c r="X199" s="32">
        <v>14.203294517095944</v>
      </c>
      <c r="Y199" s="32">
        <v>18.921806589475885</v>
      </c>
      <c r="Z199" s="32">
        <v>7.9169921874999938</v>
      </c>
      <c r="AA199" s="32">
        <v>3.1789841367515281</v>
      </c>
      <c r="AB199" s="32">
        <v>3.7043268805015961</v>
      </c>
    </row>
    <row r="200" spans="2:28" x14ac:dyDescent="0.3">
      <c r="B200" t="s">
        <v>492</v>
      </c>
      <c r="C200" s="32">
        <v>3.6669772394515965</v>
      </c>
      <c r="D200" s="32">
        <v>6.740707453296535</v>
      </c>
      <c r="E200" s="32">
        <v>5.8439085022353066</v>
      </c>
      <c r="F200" s="32">
        <v>8.2733540419728904</v>
      </c>
      <c r="G200" s="32">
        <v>33.195717584493735</v>
      </c>
      <c r="H200" s="32">
        <v>21.988442343052284</v>
      </c>
      <c r="I200" s="32">
        <v>9.8705884886199691</v>
      </c>
      <c r="J200" s="32">
        <v>-3.3816756491915734</v>
      </c>
      <c r="K200" s="32">
        <v>-25.363340398989852</v>
      </c>
      <c r="L200" s="32">
        <v>-26.493728852712973</v>
      </c>
      <c r="M200" s="32">
        <v>-12.498613524605307</v>
      </c>
      <c r="N200" s="32">
        <v>-12.397270403312699</v>
      </c>
      <c r="O200" s="32">
        <v>-0.61497648619316392</v>
      </c>
      <c r="P200" s="32">
        <v>19.878670225673378</v>
      </c>
      <c r="Q200" s="32">
        <v>18.398040565159278</v>
      </c>
      <c r="R200" s="32">
        <v>9.0937067241114065</v>
      </c>
      <c r="S200" s="32">
        <v>7.632032596771654</v>
      </c>
      <c r="T200" s="32">
        <v>10.224228305183459</v>
      </c>
      <c r="U200" s="32">
        <v>15.394573459089589</v>
      </c>
      <c r="V200" s="32">
        <v>6.5261687806218216</v>
      </c>
      <c r="W200" s="32">
        <v>4.3177837239541494</v>
      </c>
      <c r="X200" s="32">
        <v>16.274014936904457</v>
      </c>
      <c r="Y200" s="32">
        <v>20.536355018472086</v>
      </c>
      <c r="Z200" s="32">
        <v>0.40278420909498625</v>
      </c>
      <c r="AA200" s="32">
        <v>7.2137100021229417</v>
      </c>
      <c r="AB200" s="32">
        <v>5.3295288468230062</v>
      </c>
    </row>
    <row r="201" spans="2:28" x14ac:dyDescent="0.3">
      <c r="B201" t="s">
        <v>99</v>
      </c>
      <c r="C201" s="32">
        <v>6.5016770198662366</v>
      </c>
      <c r="D201" s="32">
        <v>5.6202597693010059</v>
      </c>
      <c r="E201" s="32">
        <v>5.4147038585719676</v>
      </c>
      <c r="F201" s="32">
        <v>4.4871794871794712</v>
      </c>
      <c r="G201" s="32">
        <v>6.5466369796088442</v>
      </c>
      <c r="H201" s="32">
        <v>6.3037464670154364</v>
      </c>
      <c r="I201" s="32">
        <v>2.585243745492094</v>
      </c>
      <c r="J201" s="32">
        <v>1.5564470546066245</v>
      </c>
      <c r="K201" s="32">
        <v>-0.52941655580595048</v>
      </c>
      <c r="L201" s="32">
        <v>-2.0375020470549843</v>
      </c>
      <c r="M201" s="32">
        <v>-1.6772773497903404</v>
      </c>
      <c r="N201" s="32">
        <v>-1.5372844613836811</v>
      </c>
      <c r="O201" s="32">
        <v>0.46191038075227286</v>
      </c>
      <c r="P201" s="32">
        <v>0.751987395258924</v>
      </c>
      <c r="Q201" s="32">
        <v>0.74495308501565383</v>
      </c>
      <c r="R201" s="32">
        <v>2.2677240912169605</v>
      </c>
      <c r="S201" s="32">
        <v>4.6570352278842542</v>
      </c>
      <c r="T201" s="32">
        <v>3.39767423463333</v>
      </c>
      <c r="U201" s="32">
        <v>4.6070668043813656</v>
      </c>
      <c r="V201" s="32">
        <v>4.6296747769271951</v>
      </c>
      <c r="W201" s="32">
        <v>4.9013211547871416</v>
      </c>
      <c r="X201" s="32">
        <v>12.419897602203456</v>
      </c>
      <c r="Y201" s="32">
        <v>13.364419505255665</v>
      </c>
      <c r="Z201" s="32">
        <v>7.7994283324037905</v>
      </c>
      <c r="AA201" s="32">
        <v>4.3774554978901037</v>
      </c>
      <c r="AB201" s="32">
        <v>6.4274488032590726</v>
      </c>
    </row>
    <row r="202" spans="2:28" x14ac:dyDescent="0.3">
      <c r="B202" t="s">
        <v>100</v>
      </c>
      <c r="C202" s="32">
        <v>0.8040714833492224</v>
      </c>
      <c r="D202" s="32">
        <v>2.3399497429513083</v>
      </c>
      <c r="E202" s="32">
        <v>3.5254099837808583</v>
      </c>
      <c r="F202" s="32">
        <v>3.4336444937659083</v>
      </c>
      <c r="G202" s="32">
        <v>6.763437467129485</v>
      </c>
      <c r="H202" s="32">
        <v>8.7093596059113487</v>
      </c>
      <c r="I202" s="32">
        <v>9.3492840311763423</v>
      </c>
      <c r="J202" s="32">
        <v>2.5344781859170107</v>
      </c>
      <c r="K202" s="32">
        <v>1.0233279984480204</v>
      </c>
      <c r="L202" s="32">
        <v>0.71051368218915112</v>
      </c>
      <c r="M202" s="32">
        <v>0.64512028474272842</v>
      </c>
      <c r="N202" s="32">
        <v>-0.66624565835176064</v>
      </c>
      <c r="O202" s="32">
        <v>-1.6974474713118637</v>
      </c>
      <c r="P202" s="32">
        <v>-0.56588520614390125</v>
      </c>
      <c r="Q202" s="32">
        <v>-1.3707317073170633</v>
      </c>
      <c r="R202" s="32">
        <v>1.8134757736132379E-2</v>
      </c>
      <c r="S202" s="32">
        <v>-2.3834640996901246</v>
      </c>
      <c r="T202" s="32">
        <v>1.8810577150383256</v>
      </c>
      <c r="U202" s="32">
        <v>-0.12927605409707166</v>
      </c>
      <c r="V202" s="32">
        <v>0.56092137143617382</v>
      </c>
      <c r="W202" s="32">
        <v>4.7857944418773446</v>
      </c>
      <c r="X202" s="32">
        <v>8.8068539750535422</v>
      </c>
      <c r="Y202" s="32">
        <v>12.869094488188981</v>
      </c>
      <c r="Z202" s="32">
        <v>3.9908180407545624</v>
      </c>
      <c r="AA202" s="32">
        <v>4.7600843496812262</v>
      </c>
      <c r="AB202" s="32">
        <v>4.184238038741217</v>
      </c>
    </row>
    <row r="203" spans="2:28" x14ac:dyDescent="0.3">
      <c r="B203" t="s">
        <v>101</v>
      </c>
      <c r="C203" s="32">
        <v>0.69467563308698299</v>
      </c>
      <c r="D203" s="32">
        <v>4.4941591359929367</v>
      </c>
      <c r="E203" s="32">
        <v>4.0076778670716573</v>
      </c>
      <c r="F203" s="32">
        <v>4.4961366079214748</v>
      </c>
      <c r="G203" s="32">
        <v>7.2992275744284463</v>
      </c>
      <c r="H203" s="32">
        <v>8.7886845008772418</v>
      </c>
      <c r="I203" s="32">
        <v>8.7670002992717535</v>
      </c>
      <c r="J203" s="32">
        <v>5.4219722099084322</v>
      </c>
      <c r="K203" s="32">
        <v>0.91204361569467984</v>
      </c>
      <c r="L203" s="32">
        <v>-0.41094906243265283</v>
      </c>
      <c r="M203" s="32">
        <v>-1.7688900431401366</v>
      </c>
      <c r="N203" s="32">
        <v>-1.0590015128592922</v>
      </c>
      <c r="O203" s="32">
        <v>-1.9150262759419445</v>
      </c>
      <c r="P203" s="32">
        <v>-0.48432013560962828</v>
      </c>
      <c r="Q203" s="32">
        <v>1.0281056089548546</v>
      </c>
      <c r="R203" s="32">
        <v>-0.50430541337990187</v>
      </c>
      <c r="S203" s="32">
        <v>1.6340610957287671</v>
      </c>
      <c r="T203" s="32">
        <v>3.8586932249564665</v>
      </c>
      <c r="U203" s="32">
        <v>3.2638142334981524</v>
      </c>
      <c r="V203" s="32">
        <v>4.2461341994947333</v>
      </c>
      <c r="W203" s="32">
        <v>5.1730336480206862</v>
      </c>
      <c r="X203" s="32">
        <v>13.588484035145454</v>
      </c>
      <c r="Y203" s="32">
        <v>14.293516423500051</v>
      </c>
      <c r="Z203" s="32">
        <v>10.345903669680023</v>
      </c>
      <c r="AA203" s="32">
        <v>5.9919400452488558</v>
      </c>
      <c r="AB203" s="32">
        <v>7.1042659205296621</v>
      </c>
    </row>
    <row r="204" spans="2:28" x14ac:dyDescent="0.3">
      <c r="B204" t="s">
        <v>340</v>
      </c>
      <c r="C204" s="32">
        <v>-1.0910879577874177</v>
      </c>
      <c r="D204" s="32">
        <v>4.7402685474026818</v>
      </c>
      <c r="E204" s="32">
        <v>0.34531131973669638</v>
      </c>
      <c r="F204" s="32">
        <v>5.2564791913108921</v>
      </c>
      <c r="G204" s="32">
        <v>8.4084268170579577</v>
      </c>
      <c r="H204" s="32">
        <v>13.750141365401291</v>
      </c>
      <c r="I204" s="32">
        <v>13.995260899103545</v>
      </c>
      <c r="J204" s="32">
        <v>10.49058797877751</v>
      </c>
      <c r="K204" s="32">
        <v>1.6563174235646905</v>
      </c>
      <c r="L204" s="32">
        <v>-6.0824889026922513E-2</v>
      </c>
      <c r="M204" s="32">
        <v>-3.5235160053869174</v>
      </c>
      <c r="N204" s="32">
        <v>-4.2374132585265123</v>
      </c>
      <c r="O204" s="32">
        <v>1.5501920219773924</v>
      </c>
      <c r="P204" s="32">
        <v>0.40164522718488804</v>
      </c>
      <c r="Q204" s="32">
        <v>4.6657410335015026</v>
      </c>
      <c r="R204" s="32">
        <v>2.4928746864205431</v>
      </c>
      <c r="S204" s="32">
        <v>3.4779265714102614</v>
      </c>
      <c r="T204" s="32">
        <v>5.4997585109413327</v>
      </c>
      <c r="U204" s="32">
        <v>5.5088625425519178</v>
      </c>
      <c r="V204" s="32">
        <v>7.7033476853242799</v>
      </c>
      <c r="W204" s="32">
        <v>6.6255539372152894</v>
      </c>
      <c r="X204" s="32">
        <v>20.001743831197128</v>
      </c>
      <c r="Y204" s="32">
        <v>18.751564177706737</v>
      </c>
      <c r="Z204" s="32">
        <v>1.6955144329476646</v>
      </c>
      <c r="AA204" s="32">
        <v>7.3669010883225861</v>
      </c>
      <c r="AB204" s="32">
        <v>4.4979863554940325</v>
      </c>
    </row>
    <row r="205" spans="2:28" x14ac:dyDescent="0.3">
      <c r="B205" t="s">
        <v>341</v>
      </c>
      <c r="C205" s="32">
        <v>3.1857427496125856</v>
      </c>
      <c r="D205" s="32">
        <v>9.7320260035615558</v>
      </c>
      <c r="E205" s="32">
        <v>8.3488122006061261</v>
      </c>
      <c r="F205" s="32">
        <v>8.3334837137958964</v>
      </c>
      <c r="G205" s="32">
        <v>11.805173821065074</v>
      </c>
      <c r="H205" s="32">
        <v>13.241954707985704</v>
      </c>
      <c r="I205" s="32">
        <v>5.7572887064519351</v>
      </c>
      <c r="J205" s="32">
        <v>1.0437400477707026</v>
      </c>
      <c r="K205" s="32">
        <v>-2.3700183445575784</v>
      </c>
      <c r="L205" s="32">
        <v>-5.9484476279351384</v>
      </c>
      <c r="M205" s="32">
        <v>-3.0450114640457882</v>
      </c>
      <c r="N205" s="32">
        <v>-3.2001106347669728</v>
      </c>
      <c r="O205" s="32">
        <v>-2.0158294759700546</v>
      </c>
      <c r="P205" s="32">
        <v>0.56280527812204717</v>
      </c>
      <c r="Q205" s="32">
        <v>0.22183236432702369</v>
      </c>
      <c r="R205" s="32">
        <v>1.0010994734100942</v>
      </c>
      <c r="S205" s="32">
        <v>4.2167984416179527</v>
      </c>
      <c r="T205" s="32">
        <v>5.0247388675096483</v>
      </c>
      <c r="U205" s="32">
        <v>5.5616624790619573</v>
      </c>
      <c r="V205" s="32">
        <v>5.9839337515186219</v>
      </c>
      <c r="W205" s="32">
        <v>6.7771630425882856</v>
      </c>
      <c r="X205" s="32">
        <v>19.134159299790788</v>
      </c>
      <c r="Y205" s="32">
        <v>18.914246832300407</v>
      </c>
      <c r="Z205" s="32">
        <v>8.7748600414462974</v>
      </c>
      <c r="AA205" s="32">
        <v>7.0419131028207405</v>
      </c>
      <c r="AB205" s="32">
        <v>8.5154693841478668</v>
      </c>
    </row>
    <row r="206" spans="2:28" x14ac:dyDescent="0.3">
      <c r="B206" t="s">
        <v>540</v>
      </c>
      <c r="C206" s="32">
        <v>2.7045374912403775</v>
      </c>
      <c r="D206" s="32">
        <v>6.6248747308044864</v>
      </c>
      <c r="E206" s="32">
        <v>7.7190737111546559</v>
      </c>
      <c r="F206" s="32">
        <v>10.826866669141966</v>
      </c>
      <c r="G206" s="32">
        <v>20.139703172635603</v>
      </c>
      <c r="H206" s="32">
        <v>22.414634486412609</v>
      </c>
      <c r="I206" s="32">
        <v>13.255578208822616</v>
      </c>
      <c r="J206" s="32">
        <v>0.76834112736965388</v>
      </c>
      <c r="K206" s="32">
        <v>-6.9391910098903109</v>
      </c>
      <c r="L206" s="32">
        <v>-7.9166934774682058</v>
      </c>
      <c r="M206" s="32">
        <v>-6.0293021522407342</v>
      </c>
      <c r="N206" s="32">
        <v>-4.2348829427293229</v>
      </c>
      <c r="O206" s="32">
        <v>-1.0780380484017082</v>
      </c>
      <c r="P206" s="32">
        <v>1.0086738098041614</v>
      </c>
      <c r="Q206" s="32">
        <v>0.99860118122474528</v>
      </c>
      <c r="R206" s="32">
        <v>0.71557727080366895</v>
      </c>
      <c r="S206" s="32">
        <v>1.5865133631282058</v>
      </c>
      <c r="T206" s="32">
        <v>2.1119787423385716</v>
      </c>
      <c r="U206" s="32">
        <v>2.042519762360695</v>
      </c>
      <c r="V206" s="32">
        <v>2.5297117836693417</v>
      </c>
      <c r="W206" s="32">
        <v>4.9967736258579309</v>
      </c>
      <c r="X206" s="32">
        <v>10.585067155340022</v>
      </c>
      <c r="Y206" s="32">
        <v>9.1252639768811825</v>
      </c>
      <c r="Z206" s="32">
        <v>4.9167577177355204</v>
      </c>
      <c r="AA206" s="32">
        <v>6.8891869947399709</v>
      </c>
      <c r="AB206" s="32">
        <v>4.4171717761232854</v>
      </c>
    </row>
    <row r="207" spans="2:28" x14ac:dyDescent="0.3">
      <c r="B207" t="s">
        <v>342</v>
      </c>
      <c r="C207" s="32">
        <v>5.5746052604562335</v>
      </c>
      <c r="D207" s="32">
        <v>4.7162472285969814</v>
      </c>
      <c r="E207" s="32">
        <v>3.3411956986052038</v>
      </c>
      <c r="F207" s="32">
        <v>4.2989108946479115</v>
      </c>
      <c r="G207" s="32">
        <v>5.8258951649033275</v>
      </c>
      <c r="H207" s="32">
        <v>5.6614833509728957</v>
      </c>
      <c r="I207" s="32">
        <v>3.8063243543117853</v>
      </c>
      <c r="J207" s="32">
        <v>1.7739972091090017</v>
      </c>
      <c r="K207" s="32">
        <v>0.56303513864375265</v>
      </c>
      <c r="L207" s="32">
        <v>-0.68027210884354927</v>
      </c>
      <c r="M207" s="32">
        <v>-1.2004556473990124</v>
      </c>
      <c r="N207" s="32">
        <v>-1.2179979897120607</v>
      </c>
      <c r="O207" s="32">
        <v>0.17058717902675991</v>
      </c>
      <c r="P207" s="32">
        <v>0.4108033820322099</v>
      </c>
      <c r="Q207" s="32">
        <v>1.071157594061023</v>
      </c>
      <c r="R207" s="32">
        <v>3.4016809691331584</v>
      </c>
      <c r="S207" s="32">
        <v>4.2136430930417745</v>
      </c>
      <c r="T207" s="32">
        <v>5.4666156704185509</v>
      </c>
      <c r="U207" s="32">
        <v>5.1327548245045929</v>
      </c>
      <c r="V207" s="32">
        <v>4.3388811550638673</v>
      </c>
      <c r="W207" s="32">
        <v>4.9802231536690611</v>
      </c>
      <c r="X207" s="32">
        <v>12.214186901802893</v>
      </c>
      <c r="Y207" s="32">
        <v>16.397221693243647</v>
      </c>
      <c r="Z207" s="32">
        <v>8.9087511732238056</v>
      </c>
      <c r="AA207" s="32">
        <v>6.7141580815787583</v>
      </c>
      <c r="AB207" s="32">
        <v>5.1083498409268069</v>
      </c>
    </row>
    <row r="208" spans="2:28" x14ac:dyDescent="0.3">
      <c r="B208" t="s">
        <v>102</v>
      </c>
      <c r="C208" s="32">
        <v>4.3313459134960208</v>
      </c>
      <c r="D208" s="32">
        <v>5.622434751870542</v>
      </c>
      <c r="E208" s="32">
        <v>3.1012940651494736</v>
      </c>
      <c r="F208" s="32">
        <v>2.8078338022073046</v>
      </c>
      <c r="G208" s="32">
        <v>4.1905664017962252</v>
      </c>
      <c r="H208" s="32">
        <v>4.9260917876022825</v>
      </c>
      <c r="I208" s="32">
        <v>0.25351389512866529</v>
      </c>
      <c r="J208" s="32">
        <v>-4.9614288915200699E-2</v>
      </c>
      <c r="K208" s="32">
        <v>-0.29623224608092968</v>
      </c>
      <c r="L208" s="32">
        <v>-1.620467028554895</v>
      </c>
      <c r="M208" s="32">
        <v>-2.4715542713485972</v>
      </c>
      <c r="N208" s="32">
        <v>-1.9801483018931143</v>
      </c>
      <c r="O208" s="32">
        <v>1.8203551912568505</v>
      </c>
      <c r="P208" s="32">
        <v>-1.9102404991111266</v>
      </c>
      <c r="Q208" s="32">
        <v>5.6422794809107835E-2</v>
      </c>
      <c r="R208" s="32">
        <v>4.2412850307587124</v>
      </c>
      <c r="S208" s="32">
        <v>2.4671322251729633</v>
      </c>
      <c r="T208" s="32">
        <v>3.3916201385444822</v>
      </c>
      <c r="U208" s="32">
        <v>4.1530629613010017</v>
      </c>
      <c r="V208" s="32">
        <v>4.4509812660634918</v>
      </c>
      <c r="W208" s="32">
        <v>6.5342000085339969</v>
      </c>
      <c r="X208" s="32">
        <v>13.884994859881727</v>
      </c>
      <c r="Y208" s="32">
        <v>12.104195730413458</v>
      </c>
      <c r="Z208" s="32">
        <v>8.2404367013155344</v>
      </c>
      <c r="AA208" s="32">
        <v>5.1098487044229257</v>
      </c>
      <c r="AB208" s="32">
        <v>6.7625152851372938</v>
      </c>
    </row>
    <row r="209" spans="2:28" x14ac:dyDescent="0.3">
      <c r="B209" t="s">
        <v>103</v>
      </c>
      <c r="C209" s="32">
        <v>3.6507484542791957</v>
      </c>
      <c r="D209" s="32">
        <v>3.8773227635735763</v>
      </c>
      <c r="E209" s="32">
        <v>3.2924686903794909</v>
      </c>
      <c r="F209" s="32">
        <v>2.8016531948356072</v>
      </c>
      <c r="G209" s="32">
        <v>4.4775322873305434</v>
      </c>
      <c r="H209" s="32">
        <v>4.827093017316253</v>
      </c>
      <c r="I209" s="32">
        <v>1.489458467335858</v>
      </c>
      <c r="J209" s="32">
        <v>0.28807835731319287</v>
      </c>
      <c r="K209" s="32">
        <v>-0.30001755421860121</v>
      </c>
      <c r="L209" s="32">
        <v>-1.0772308923569507</v>
      </c>
      <c r="M209" s="32">
        <v>-0.98702307368692122</v>
      </c>
      <c r="N209" s="32">
        <v>0.63733821414564407</v>
      </c>
      <c r="O209" s="32">
        <v>1.2357507063752271</v>
      </c>
      <c r="P209" s="32">
        <v>2.1991241999903766</v>
      </c>
      <c r="Q209" s="32">
        <v>2.7984430423454887</v>
      </c>
      <c r="R209" s="32">
        <v>4.7681573201826088</v>
      </c>
      <c r="S209" s="32">
        <v>4.3136111920722753</v>
      </c>
      <c r="T209" s="32">
        <v>6.9586476669460939</v>
      </c>
      <c r="U209" s="32">
        <v>5.9050952834994286</v>
      </c>
      <c r="V209" s="32">
        <v>4.27961816432747</v>
      </c>
      <c r="W209" s="32">
        <v>3.8094900179771019</v>
      </c>
      <c r="X209" s="32">
        <v>12.779556355599087</v>
      </c>
      <c r="Y209" s="32">
        <v>14.324679260531381</v>
      </c>
      <c r="Z209" s="32">
        <v>7.3199611204382675</v>
      </c>
      <c r="AA209" s="32">
        <v>5.3831080079701055</v>
      </c>
      <c r="AB209" s="32">
        <v>4.9403138196769669</v>
      </c>
    </row>
    <row r="210" spans="2:28" x14ac:dyDescent="0.3">
      <c r="B210" t="s">
        <v>343</v>
      </c>
      <c r="C210" s="32">
        <v>2.7137911876575993</v>
      </c>
      <c r="D210" s="32">
        <v>4.6642256802862603</v>
      </c>
      <c r="E210" s="32">
        <v>3.2677400119260458</v>
      </c>
      <c r="F210" s="32">
        <v>4.113254032413316</v>
      </c>
      <c r="G210" s="32">
        <v>5.1561257880238909</v>
      </c>
      <c r="H210" s="32">
        <v>6.5066807313642672</v>
      </c>
      <c r="I210" s="32">
        <v>5.4868688202571514</v>
      </c>
      <c r="J210" s="32">
        <v>3.1922384789922598</v>
      </c>
      <c r="K210" s="32">
        <v>0.46705587989990249</v>
      </c>
      <c r="L210" s="32">
        <v>-6.7921452613450839E-2</v>
      </c>
      <c r="M210" s="32">
        <v>-0.99383760270662647</v>
      </c>
      <c r="N210" s="32">
        <v>-0.96109839816932441</v>
      </c>
      <c r="O210" s="32">
        <v>0.72550831792974613</v>
      </c>
      <c r="P210" s="32">
        <v>0.95425976051750627</v>
      </c>
      <c r="Q210" s="32">
        <v>0.26509126713625264</v>
      </c>
      <c r="R210" s="32">
        <v>1.9277836531198078</v>
      </c>
      <c r="S210" s="32">
        <v>2.017312424035822</v>
      </c>
      <c r="T210" s="32">
        <v>2.4903017711072728</v>
      </c>
      <c r="U210" s="32">
        <v>1.6983031145007876</v>
      </c>
      <c r="V210" s="32">
        <v>3.1544905839222537</v>
      </c>
      <c r="W210" s="32">
        <v>3.8580038377341141</v>
      </c>
      <c r="X210" s="32">
        <v>10.71470393067646</v>
      </c>
      <c r="Y210" s="32">
        <v>14.443190899261982</v>
      </c>
      <c r="Z210" s="32">
        <v>7.0865252305354121</v>
      </c>
      <c r="AA210" s="32">
        <v>4.4935416127269256</v>
      </c>
      <c r="AB210" s="32">
        <v>3.0307232870126377</v>
      </c>
    </row>
    <row r="211" spans="2:28" x14ac:dyDescent="0.3">
      <c r="B211" t="s">
        <v>344</v>
      </c>
      <c r="C211" s="32">
        <v>1.8821833326658988</v>
      </c>
      <c r="D211" s="32">
        <v>4.4789906057152162</v>
      </c>
      <c r="E211" s="32">
        <v>1.3223979985327317</v>
      </c>
      <c r="F211" s="32">
        <v>1.9122233773949393</v>
      </c>
      <c r="G211" s="32">
        <v>3.8929573359565595</v>
      </c>
      <c r="H211" s="32">
        <v>5.9634234013080878</v>
      </c>
      <c r="I211" s="32">
        <v>6.6339025681757757</v>
      </c>
      <c r="J211" s="32">
        <v>8.5054546018838995</v>
      </c>
      <c r="K211" s="32">
        <v>3.039100712222198</v>
      </c>
      <c r="L211" s="32">
        <v>-1.3352394964398218</v>
      </c>
      <c r="M211" s="32">
        <v>-2.610958711401834</v>
      </c>
      <c r="N211" s="32">
        <v>-4.1962183478022279</v>
      </c>
      <c r="O211" s="32">
        <v>0.94234364634220302</v>
      </c>
      <c r="P211" s="32">
        <v>1.7595483128948874</v>
      </c>
      <c r="Q211" s="32">
        <v>1.4942680581854662</v>
      </c>
      <c r="R211" s="32">
        <v>4.756670764335813</v>
      </c>
      <c r="S211" s="32">
        <v>6.0910622083551802</v>
      </c>
      <c r="T211" s="32">
        <v>8.7551726830284125</v>
      </c>
      <c r="U211" s="32">
        <v>8.6857156531935829</v>
      </c>
      <c r="V211" s="32">
        <v>8.3317736945823562</v>
      </c>
      <c r="W211" s="32">
        <v>7.5802075182162643</v>
      </c>
      <c r="X211" s="32">
        <v>24.292461741923297</v>
      </c>
      <c r="Y211" s="32">
        <v>23.173679090411635</v>
      </c>
      <c r="Z211" s="32">
        <v>0.60962441459393446</v>
      </c>
      <c r="AA211" s="32">
        <v>3.0805556407347279</v>
      </c>
      <c r="AB211" s="32">
        <v>3.9372361435741299</v>
      </c>
    </row>
    <row r="212" spans="2:28" x14ac:dyDescent="0.3">
      <c r="B212" t="s">
        <v>104</v>
      </c>
      <c r="C212" s="32">
        <v>2.0518684732890202</v>
      </c>
      <c r="D212" s="32">
        <v>4.0444829700416518</v>
      </c>
      <c r="E212" s="32">
        <v>4.313988458099649</v>
      </c>
      <c r="F212" s="32">
        <v>3.7342943410928031</v>
      </c>
      <c r="G212" s="32">
        <v>6.2983549913618209</v>
      </c>
      <c r="H212" s="32">
        <v>5.8792354167402916</v>
      </c>
      <c r="I212" s="32">
        <v>8.4192611873060486</v>
      </c>
      <c r="J212" s="32">
        <v>6.7928593413357774</v>
      </c>
      <c r="K212" s="32">
        <v>4.6012623569761324</v>
      </c>
      <c r="L212" s="32">
        <v>1.6834970449253639</v>
      </c>
      <c r="M212" s="32">
        <v>0.22625967022993354</v>
      </c>
      <c r="N212" s="32">
        <v>-1.7208283767708443</v>
      </c>
      <c r="O212" s="32">
        <v>1.4373547171368406</v>
      </c>
      <c r="P212" s="32">
        <v>1.4997016868254054</v>
      </c>
      <c r="Q212" s="32">
        <v>1.6512143639618726</v>
      </c>
      <c r="R212" s="32">
        <v>2.2959653042449624</v>
      </c>
      <c r="S212" s="32">
        <v>1.5031411796446292</v>
      </c>
      <c r="T212" s="32">
        <v>-0.36072753047197148</v>
      </c>
      <c r="U212" s="32">
        <v>3.7664185361144353</v>
      </c>
      <c r="V212" s="32">
        <v>4.4217562157993218</v>
      </c>
      <c r="W212" s="32">
        <v>4.4560897548623135</v>
      </c>
      <c r="X212" s="32">
        <v>12.157126823793508</v>
      </c>
      <c r="Y212" s="32">
        <v>18.457551134771634</v>
      </c>
      <c r="Z212" s="32">
        <v>8.1139072623905193</v>
      </c>
      <c r="AA212" s="32">
        <v>5.5210889031269916</v>
      </c>
      <c r="AB212" s="32">
        <v>4.965015435476694</v>
      </c>
    </row>
    <row r="213" spans="2:28" x14ac:dyDescent="0.3">
      <c r="B213" t="s">
        <v>493</v>
      </c>
      <c r="C213" s="32">
        <v>-0.79300362865413199</v>
      </c>
      <c r="D213" s="32">
        <v>4.8474262817219893</v>
      </c>
      <c r="E213" s="32">
        <v>2.4184697397303001</v>
      </c>
      <c r="F213" s="32">
        <v>2.0781507137663358</v>
      </c>
      <c r="G213" s="32">
        <v>5.1589682063587272</v>
      </c>
      <c r="H213" s="32">
        <v>11.918853394181394</v>
      </c>
      <c r="I213" s="32">
        <v>17.847472205409186</v>
      </c>
      <c r="J213" s="32">
        <v>8.1041264005838887</v>
      </c>
      <c r="K213" s="32">
        <v>-1.5415775852368641</v>
      </c>
      <c r="L213" s="32">
        <v>-9.2063492063492181</v>
      </c>
      <c r="M213" s="32">
        <v>-6.6923076923076756</v>
      </c>
      <c r="N213" s="32">
        <v>-6.9129880836393598</v>
      </c>
      <c r="O213" s="32">
        <v>-3.0385005555287226</v>
      </c>
      <c r="P213" s="32">
        <v>0.95157433240335987</v>
      </c>
      <c r="Q213" s="32">
        <v>6.3728635114905563</v>
      </c>
      <c r="R213" s="32">
        <v>9.0329864064457421</v>
      </c>
      <c r="S213" s="32">
        <v>9.0505503233859095</v>
      </c>
      <c r="T213" s="32">
        <v>9.6117578201209586</v>
      </c>
      <c r="U213" s="32">
        <v>11.177692079501632</v>
      </c>
      <c r="V213" s="32">
        <v>9.0570468007897809</v>
      </c>
      <c r="W213" s="32">
        <v>8.0699934430080056</v>
      </c>
      <c r="X213" s="32">
        <v>18.173091725755476</v>
      </c>
      <c r="Y213" s="32">
        <v>14.972987470784327</v>
      </c>
      <c r="Z213" s="32">
        <v>0.31259581161602323</v>
      </c>
      <c r="AA213" s="32">
        <v>2.305601881690067</v>
      </c>
      <c r="AB213" s="32">
        <v>5.2737113874945951</v>
      </c>
    </row>
    <row r="214" spans="2:28" x14ac:dyDescent="0.3">
      <c r="B214" t="s">
        <v>345</v>
      </c>
      <c r="C214" s="32">
        <v>8.6407335362937765</v>
      </c>
      <c r="D214" s="32">
        <v>9.9204918542598275</v>
      </c>
      <c r="E214" s="32">
        <v>13.190990912835243</v>
      </c>
      <c r="F214" s="32">
        <v>14.522284221031612</v>
      </c>
      <c r="G214" s="32">
        <v>26.108572276032337</v>
      </c>
      <c r="H214" s="32">
        <v>23.540451709942257</v>
      </c>
      <c r="I214" s="32">
        <v>14.995426073939178</v>
      </c>
      <c r="J214" s="32">
        <v>-2.2721653035122302</v>
      </c>
      <c r="K214" s="32">
        <v>-18.393191294152722</v>
      </c>
      <c r="L214" s="32">
        <v>-12.202179603800689</v>
      </c>
      <c r="M214" s="32">
        <v>-0.95757845282657961</v>
      </c>
      <c r="N214" s="32">
        <v>-3.983074914591056</v>
      </c>
      <c r="O214" s="32">
        <v>-0.11650960102527197</v>
      </c>
      <c r="P214" s="32">
        <v>11.028603955326544</v>
      </c>
      <c r="Q214" s="32">
        <v>11.041349604476736</v>
      </c>
      <c r="R214" s="32">
        <v>6.2958874671142917</v>
      </c>
      <c r="S214" s="32">
        <v>6.5298194715862623</v>
      </c>
      <c r="T214" s="32">
        <v>6.5498754237113932</v>
      </c>
      <c r="U214" s="32">
        <v>6.3354317593788734</v>
      </c>
      <c r="V214" s="32">
        <v>3.0601633374597315</v>
      </c>
      <c r="W214" s="32">
        <v>4.1951595796591246</v>
      </c>
      <c r="X214" s="32">
        <v>12.325158209130871</v>
      </c>
      <c r="Y214" s="32">
        <v>15.645431942216192</v>
      </c>
      <c r="Z214" s="32">
        <v>2.9064137783522126</v>
      </c>
      <c r="AA214" s="32">
        <v>6.7980751405084083</v>
      </c>
      <c r="AB214" s="32">
        <v>4.2380003455729787</v>
      </c>
    </row>
    <row r="215" spans="2:28" x14ac:dyDescent="0.3">
      <c r="B215" t="s">
        <v>346</v>
      </c>
      <c r="C215" s="32">
        <v>4.9472041507063302</v>
      </c>
      <c r="D215" s="32">
        <v>5.1291954733304834</v>
      </c>
      <c r="E215" s="32">
        <v>3.6022631250229642</v>
      </c>
      <c r="F215" s="32">
        <v>3.572758382240826</v>
      </c>
      <c r="G215" s="32">
        <v>4.2763721025781631</v>
      </c>
      <c r="H215" s="32">
        <v>4.7970843183609002</v>
      </c>
      <c r="I215" s="32">
        <v>2.6380925525582022</v>
      </c>
      <c r="J215" s="32">
        <v>2.0238713025428234</v>
      </c>
      <c r="K215" s="32">
        <v>0.3351086110944923</v>
      </c>
      <c r="L215" s="32">
        <v>-1.2360589252698895</v>
      </c>
      <c r="M215" s="32">
        <v>-1.4251422877760711</v>
      </c>
      <c r="N215" s="32">
        <v>-1.5789876713377837</v>
      </c>
      <c r="O215" s="32">
        <v>0.23963649943983256</v>
      </c>
      <c r="P215" s="32">
        <v>1.1565090502654529</v>
      </c>
      <c r="Q215" s="32">
        <v>1.8952473029173023</v>
      </c>
      <c r="R215" s="32">
        <v>4.3736257116178345</v>
      </c>
      <c r="S215" s="32">
        <v>4.3303223572191074</v>
      </c>
      <c r="T215" s="32">
        <v>5.4077977400661226</v>
      </c>
      <c r="U215" s="32">
        <v>4.6002650466455908</v>
      </c>
      <c r="V215" s="32">
        <v>4.4493784417767301</v>
      </c>
      <c r="W215" s="32">
        <v>5.2530444599236059</v>
      </c>
      <c r="X215" s="32">
        <v>11.640803286170719</v>
      </c>
      <c r="Y215" s="32">
        <v>13.360315610882822</v>
      </c>
      <c r="Z215" s="32">
        <v>5.664749265196467</v>
      </c>
      <c r="AA215" s="32">
        <v>5.9182402279921664</v>
      </c>
      <c r="AB215" s="32">
        <v>5.9903793360594815</v>
      </c>
    </row>
    <row r="216" spans="2:28" x14ac:dyDescent="0.3">
      <c r="B216" t="s">
        <v>105</v>
      </c>
      <c r="C216" s="32">
        <v>3.3162168887280297</v>
      </c>
      <c r="D216" s="32">
        <v>4.1819017800450942</v>
      </c>
      <c r="E216" s="32">
        <v>5.0711388521110567</v>
      </c>
      <c r="F216" s="32">
        <v>5.0544043523481852</v>
      </c>
      <c r="G216" s="32">
        <v>3.6993317213411148</v>
      </c>
      <c r="H216" s="32">
        <v>3.9786288693864025</v>
      </c>
      <c r="I216" s="32">
        <v>4.1830734730634145</v>
      </c>
      <c r="J216" s="32">
        <v>1.6389274939832443</v>
      </c>
      <c r="K216" s="32">
        <v>2.5346428988310743</v>
      </c>
      <c r="L216" s="32">
        <v>1.5986599229130372</v>
      </c>
      <c r="M216" s="32">
        <v>0.23050326546292244</v>
      </c>
      <c r="N216" s="32">
        <v>-0.1373450875175708</v>
      </c>
      <c r="O216" s="32">
        <v>1.3177674716136289</v>
      </c>
      <c r="P216" s="32">
        <v>2.4876093064368554</v>
      </c>
      <c r="Q216" s="32">
        <v>4.5187124595718497</v>
      </c>
      <c r="R216" s="32">
        <v>4.0728515855239955</v>
      </c>
      <c r="S216" s="32">
        <v>3.8001925581922169</v>
      </c>
      <c r="T216" s="32">
        <v>2.88629419467481</v>
      </c>
      <c r="U216" s="32">
        <v>3.529193402980324</v>
      </c>
      <c r="V216" s="32">
        <v>3.8276347803816169</v>
      </c>
      <c r="W216" s="32">
        <v>4.1638402052319279</v>
      </c>
      <c r="X216" s="32">
        <v>11.326742051980364</v>
      </c>
      <c r="Y216" s="32">
        <v>15.529509364929117</v>
      </c>
      <c r="Z216" s="32">
        <v>3.4072287381929911</v>
      </c>
      <c r="AA216" s="32">
        <v>0.88138671509843114</v>
      </c>
      <c r="AB216" s="32">
        <v>1.7142050517437557</v>
      </c>
    </row>
    <row r="217" spans="2:28" x14ac:dyDescent="0.3">
      <c r="B217" t="s">
        <v>106</v>
      </c>
      <c r="C217" s="32">
        <v>2.5790007991878472</v>
      </c>
      <c r="D217" s="32">
        <v>6.3590996188751747</v>
      </c>
      <c r="E217" s="32">
        <v>3.2388984577616853</v>
      </c>
      <c r="F217" s="32">
        <v>4.6234682723838461</v>
      </c>
      <c r="G217" s="32">
        <v>5.1523149675574365</v>
      </c>
      <c r="H217" s="32">
        <v>9.9147623280865904</v>
      </c>
      <c r="I217" s="32">
        <v>10.271658975212915</v>
      </c>
      <c r="J217" s="32">
        <v>6.9980153593925287</v>
      </c>
      <c r="K217" s="32">
        <v>0.98387096774195104</v>
      </c>
      <c r="L217" s="32">
        <v>-0.95831336847149728</v>
      </c>
      <c r="M217" s="32">
        <v>-3.0425200236520955</v>
      </c>
      <c r="N217" s="32">
        <v>-2.9494927094306123</v>
      </c>
      <c r="O217" s="32">
        <v>-0.46986575264209574</v>
      </c>
      <c r="P217" s="32">
        <v>0.48212825185460773</v>
      </c>
      <c r="Q217" s="32">
        <v>-9.853342282263311E-2</v>
      </c>
      <c r="R217" s="32">
        <v>2.445753166185427</v>
      </c>
      <c r="S217" s="32">
        <v>1.4483249382578167</v>
      </c>
      <c r="T217" s="32">
        <v>2.5128254500942138</v>
      </c>
      <c r="U217" s="32">
        <v>3.3984490299729275</v>
      </c>
      <c r="V217" s="32">
        <v>4.0082006565715478</v>
      </c>
      <c r="W217" s="32">
        <v>4.9116722391336909</v>
      </c>
      <c r="X217" s="32">
        <v>12.055700236642753</v>
      </c>
      <c r="Y217" s="32">
        <v>17.335059587609191</v>
      </c>
      <c r="Z217" s="32">
        <v>7.7030913662427869</v>
      </c>
      <c r="AA217" s="32">
        <v>6.5248608113668505</v>
      </c>
      <c r="AB217" s="32">
        <v>6.0242419361333566</v>
      </c>
    </row>
    <row r="218" spans="2:28" x14ac:dyDescent="0.3">
      <c r="B218" t="s">
        <v>494</v>
      </c>
      <c r="C218" s="32">
        <v>2.7369090523637896</v>
      </c>
      <c r="D218" s="32">
        <v>6.3184829037782997</v>
      </c>
      <c r="E218" s="32">
        <v>2.8336859266735015</v>
      </c>
      <c r="F218" s="32">
        <v>4.2768435158447193</v>
      </c>
      <c r="G218" s="32">
        <v>4.018172274611298</v>
      </c>
      <c r="H218" s="32">
        <v>3.2835093702691998</v>
      </c>
      <c r="I218" s="32">
        <v>3.8985106813127723</v>
      </c>
      <c r="J218" s="32">
        <v>3.2219880006485901</v>
      </c>
      <c r="K218" s="32">
        <v>-1.1279199459603761</v>
      </c>
      <c r="L218" s="32">
        <v>-1.665104307345211</v>
      </c>
      <c r="M218" s="32">
        <v>-4.7179719183726103</v>
      </c>
      <c r="N218" s="32">
        <v>-6.2284851876346021</v>
      </c>
      <c r="O218" s="32">
        <v>-3.0218091070201569</v>
      </c>
      <c r="P218" s="32">
        <v>-0.57060808920877948</v>
      </c>
      <c r="Q218" s="32">
        <v>0.5251214343316768</v>
      </c>
      <c r="R218" s="32">
        <v>1.6212384097311627</v>
      </c>
      <c r="S218" s="32">
        <v>2.4839361116210767</v>
      </c>
      <c r="T218" s="32">
        <v>1.8307865933396616</v>
      </c>
      <c r="U218" s="32">
        <v>5.1684404960858465</v>
      </c>
      <c r="V218" s="32">
        <v>4.1249184550792073</v>
      </c>
      <c r="W218" s="32">
        <v>5.44426416488617</v>
      </c>
      <c r="X218" s="32">
        <v>11.630457966421904</v>
      </c>
      <c r="Y218" s="32">
        <v>17.567420024020098</v>
      </c>
      <c r="Z218" s="32">
        <v>6.839710252600284</v>
      </c>
      <c r="AA218" s="32">
        <v>7.2439045590855899</v>
      </c>
      <c r="AB218" s="32">
        <v>8.1875894690981443</v>
      </c>
    </row>
    <row r="219" spans="2:28" x14ac:dyDescent="0.3">
      <c r="B219" t="s">
        <v>107</v>
      </c>
      <c r="C219" s="32">
        <v>7.000188233325666</v>
      </c>
      <c r="D219" s="32">
        <v>4.1966379984362812</v>
      </c>
      <c r="E219" s="32">
        <v>5.5827564860149614</v>
      </c>
      <c r="F219" s="32">
        <v>5.2786809516194744</v>
      </c>
      <c r="G219" s="32">
        <v>8.8297836432983612</v>
      </c>
      <c r="H219" s="32">
        <v>8.6623453152622218</v>
      </c>
      <c r="I219" s="32">
        <v>3.3993606576093072</v>
      </c>
      <c r="J219" s="32">
        <v>1.4353934910425803</v>
      </c>
      <c r="K219" s="32">
        <v>-1.0749176803548588</v>
      </c>
      <c r="L219" s="32">
        <v>-1.9269916373239382</v>
      </c>
      <c r="M219" s="32">
        <v>-2.0139405074120376</v>
      </c>
      <c r="N219" s="32">
        <v>-1.9122046173443819</v>
      </c>
      <c r="O219" s="32">
        <v>-0.4187885774320943</v>
      </c>
      <c r="P219" s="32">
        <v>0.85428755641521192</v>
      </c>
      <c r="Q219" s="32">
        <v>2.3885974980748736</v>
      </c>
      <c r="R219" s="32">
        <v>3.6610804444381584</v>
      </c>
      <c r="S219" s="32">
        <v>4.8445606494093241</v>
      </c>
      <c r="T219" s="32">
        <v>5.9472515994255071</v>
      </c>
      <c r="U219" s="32">
        <v>5.2745085957237148</v>
      </c>
      <c r="V219" s="32">
        <v>3.8665496049165915</v>
      </c>
      <c r="W219" s="32">
        <v>3.9885943557839587</v>
      </c>
      <c r="X219" s="32">
        <v>10.947576056444873</v>
      </c>
      <c r="Y219" s="32">
        <v>15.086745858080652</v>
      </c>
      <c r="Z219" s="32">
        <v>8.4244389366108674</v>
      </c>
      <c r="AA219" s="32">
        <v>7.4645560800707722</v>
      </c>
      <c r="AB219" s="32">
        <v>5.1219368085200667</v>
      </c>
    </row>
    <row r="220" spans="2:28" x14ac:dyDescent="0.3">
      <c r="B220" t="s">
        <v>347</v>
      </c>
      <c r="C220" s="32">
        <v>13.250814076660511</v>
      </c>
      <c r="D220" s="32">
        <v>13.060121594235552</v>
      </c>
      <c r="E220" s="32">
        <v>12.518192820921371</v>
      </c>
      <c r="F220" s="32">
        <v>9.3254724688197843</v>
      </c>
      <c r="G220" s="32">
        <v>11.025867759331454</v>
      </c>
      <c r="H220" s="32">
        <v>10.061023489556442</v>
      </c>
      <c r="I220" s="32">
        <v>2.4410130968761212</v>
      </c>
      <c r="J220" s="32">
        <v>-2.371903293204658</v>
      </c>
      <c r="K220" s="32">
        <v>-5.356378533721939</v>
      </c>
      <c r="L220" s="32">
        <v>-6.0794659201033774</v>
      </c>
      <c r="M220" s="32">
        <v>-3.6847656608272938</v>
      </c>
      <c r="N220" s="32">
        <v>-3.1329603618616919</v>
      </c>
      <c r="O220" s="32">
        <v>-2.0890166875568328</v>
      </c>
      <c r="P220" s="32">
        <v>0.66894249353648405</v>
      </c>
      <c r="Q220" s="32">
        <v>3.1678946777873307</v>
      </c>
      <c r="R220" s="32">
        <v>4.4059358081979916</v>
      </c>
      <c r="S220" s="32">
        <v>4.2431537767077865</v>
      </c>
      <c r="T220" s="32">
        <v>5.0819417303251013</v>
      </c>
      <c r="U220" s="32">
        <v>6.1252522691011224</v>
      </c>
      <c r="V220" s="32">
        <v>4.7611461797327559</v>
      </c>
      <c r="W220" s="32">
        <v>6.8190458087816319</v>
      </c>
      <c r="X220" s="32">
        <v>15.834334267538575</v>
      </c>
      <c r="Y220" s="32">
        <v>15.929550202777442</v>
      </c>
      <c r="Z220" s="32">
        <v>7.8704838634872765</v>
      </c>
      <c r="AA220" s="32">
        <v>8.2623917449788244</v>
      </c>
      <c r="AB220" s="32">
        <v>6.0773704464569978</v>
      </c>
    </row>
    <row r="221" spans="2:28" x14ac:dyDescent="0.3">
      <c r="B221" t="s">
        <v>348</v>
      </c>
      <c r="C221" s="32">
        <v>6.4838494766929378</v>
      </c>
      <c r="D221" s="32">
        <v>4.9426818438685904</v>
      </c>
      <c r="E221" s="32">
        <v>4.1560090005192674</v>
      </c>
      <c r="F221" s="32">
        <v>4.3151519627755874</v>
      </c>
      <c r="G221" s="32">
        <v>8.8981325781042564</v>
      </c>
      <c r="H221" s="32">
        <v>10.675855791424226</v>
      </c>
      <c r="I221" s="32">
        <v>13.053311793214849</v>
      </c>
      <c r="J221" s="32">
        <v>4.0050404011535701</v>
      </c>
      <c r="K221" s="32">
        <v>-1.0017361761656685</v>
      </c>
      <c r="L221" s="32">
        <v>-0.4024779520306665</v>
      </c>
      <c r="M221" s="32">
        <v>-0.59792247276412303</v>
      </c>
      <c r="N221" s="32">
        <v>-0.99148697558241183</v>
      </c>
      <c r="O221" s="32">
        <v>1.3039001158450247</v>
      </c>
      <c r="P221" s="32">
        <v>0.62259380201519221</v>
      </c>
      <c r="Q221" s="32">
        <v>1.4862424709254585</v>
      </c>
      <c r="R221" s="32">
        <v>3.3109369167599656</v>
      </c>
      <c r="S221" s="32">
        <v>2.7700497404583801</v>
      </c>
      <c r="T221" s="32">
        <v>0.86721121280659563</v>
      </c>
      <c r="U221" s="32">
        <v>0.85046066619418603</v>
      </c>
      <c r="V221" s="32">
        <v>2.0022349457968103</v>
      </c>
      <c r="W221" s="32">
        <v>3.4695790650659086</v>
      </c>
      <c r="X221" s="32">
        <v>7.4607315555652365</v>
      </c>
      <c r="Y221" s="32">
        <v>12.241995774418978</v>
      </c>
      <c r="Z221" s="32">
        <v>4.9049773755656112</v>
      </c>
      <c r="AA221" s="32">
        <v>6.5579710144927583</v>
      </c>
      <c r="AB221" s="32">
        <v>3.247729794140608</v>
      </c>
    </row>
    <row r="222" spans="2:28" x14ac:dyDescent="0.3">
      <c r="B222" t="s">
        <v>495</v>
      </c>
      <c r="C222" s="32">
        <v>5.9038320334980687</v>
      </c>
      <c r="D222" s="32">
        <v>7.7521268223213147</v>
      </c>
      <c r="E222" s="32">
        <v>6.0327287271968455</v>
      </c>
      <c r="F222" s="32">
        <v>5.5172866233681006</v>
      </c>
      <c r="G222" s="32">
        <v>7.4825913951753309</v>
      </c>
      <c r="H222" s="32">
        <v>7.7454808387563245</v>
      </c>
      <c r="I222" s="32">
        <v>2.5340241054411461</v>
      </c>
      <c r="J222" s="32">
        <v>1.0812367463413519</v>
      </c>
      <c r="K222" s="32">
        <v>-2.5524475524475565</v>
      </c>
      <c r="L222" s="32">
        <v>-2.2352456511050223</v>
      </c>
      <c r="M222" s="32">
        <v>-3.2106787010480087</v>
      </c>
      <c r="N222" s="32">
        <v>-2.7203145846499521</v>
      </c>
      <c r="O222" s="32">
        <v>1.7555003753537024</v>
      </c>
      <c r="P222" s="32">
        <v>1.8131774587140326</v>
      </c>
      <c r="Q222" s="32">
        <v>2.584933530280642</v>
      </c>
      <c r="R222" s="32">
        <v>3.6173709876794691</v>
      </c>
      <c r="S222" s="32">
        <v>3.5605663345569027</v>
      </c>
      <c r="T222" s="32">
        <v>5.4141981872499745</v>
      </c>
      <c r="U222" s="32">
        <v>4.5488933988207414</v>
      </c>
      <c r="V222" s="32">
        <v>3.8249043773905811</v>
      </c>
      <c r="W222" s="32">
        <v>3.6862076976690306</v>
      </c>
      <c r="X222" s="32">
        <v>9.5387471591818596</v>
      </c>
      <c r="Y222" s="32">
        <v>13.217030478361224</v>
      </c>
      <c r="Z222" s="32">
        <v>5.4786977768600753</v>
      </c>
      <c r="AA222" s="32">
        <v>3.2340946166394824</v>
      </c>
      <c r="AB222" s="32">
        <v>4.8167924286993236</v>
      </c>
    </row>
    <row r="223" spans="2:28" x14ac:dyDescent="0.3">
      <c r="B223" t="s">
        <v>108</v>
      </c>
      <c r="C223" s="32">
        <v>2.6088669950738996</v>
      </c>
      <c r="D223" s="32">
        <v>6.4273917886084941</v>
      </c>
      <c r="E223" s="32">
        <v>3.6141534797279107</v>
      </c>
      <c r="F223" s="32">
        <v>4.2247144051267727</v>
      </c>
      <c r="G223" s="32">
        <v>2.8320802005012524</v>
      </c>
      <c r="H223" s="32">
        <v>2.3738727760175493</v>
      </c>
      <c r="I223" s="32">
        <v>-0.91578579817794825</v>
      </c>
      <c r="J223" s="32">
        <v>-1.3263066843934634</v>
      </c>
      <c r="K223" s="32">
        <v>-5.1443970065420892</v>
      </c>
      <c r="L223" s="32">
        <v>-2.5773548740416263</v>
      </c>
      <c r="M223" s="32">
        <v>-6.0710395952640166</v>
      </c>
      <c r="N223" s="32">
        <v>-3.0652702449971869</v>
      </c>
      <c r="O223" s="32">
        <v>-1.7904342960776476</v>
      </c>
      <c r="P223" s="32">
        <v>-1.6934168909494618</v>
      </c>
      <c r="Q223" s="32">
        <v>2.2861253771907064</v>
      </c>
      <c r="R223" s="32">
        <v>3.9367002051382105</v>
      </c>
      <c r="S223" s="32">
        <v>2.6842105263157778</v>
      </c>
      <c r="T223" s="32">
        <v>5.2280881599179763</v>
      </c>
      <c r="U223" s="32">
        <v>6.2365179876139765</v>
      </c>
      <c r="V223" s="32">
        <v>7.1345527190554758</v>
      </c>
      <c r="W223" s="32">
        <v>6.3415156054168031</v>
      </c>
      <c r="X223" s="32">
        <v>14.072583542939277</v>
      </c>
      <c r="Y223" s="32">
        <v>13.998437618123628</v>
      </c>
      <c r="Z223" s="32">
        <v>10.542022193730926</v>
      </c>
      <c r="AA223" s="32">
        <v>9.9886015957766148</v>
      </c>
      <c r="AB223" s="32">
        <v>9.4680177327422399</v>
      </c>
    </row>
    <row r="224" spans="2:28" x14ac:dyDescent="0.3">
      <c r="B224" t="s">
        <v>350</v>
      </c>
      <c r="C224" s="32">
        <v>2.3629467335736232</v>
      </c>
      <c r="D224" s="32">
        <v>4.701956271576524</v>
      </c>
      <c r="E224" s="32">
        <v>3.8753214780295808</v>
      </c>
      <c r="F224" s="32">
        <v>4.2005248010834606</v>
      </c>
      <c r="G224" s="32">
        <v>4.5470238216120729</v>
      </c>
      <c r="H224" s="32">
        <v>4.1083916083916261</v>
      </c>
      <c r="I224" s="32">
        <v>5.4426718910346006</v>
      </c>
      <c r="J224" s="32">
        <v>4.0982446206115464</v>
      </c>
      <c r="K224" s="32">
        <v>1.6998708098192594E-2</v>
      </c>
      <c r="L224" s="32">
        <v>-3.3991638057040419E-2</v>
      </c>
      <c r="M224" s="32">
        <v>-2.1932061613791687</v>
      </c>
      <c r="N224" s="32">
        <v>-0.79439577249338367</v>
      </c>
      <c r="O224" s="32">
        <v>0.61327118851957074</v>
      </c>
      <c r="P224" s="32">
        <v>-0.42667316835305336</v>
      </c>
      <c r="Q224" s="32">
        <v>3.7935497411501151</v>
      </c>
      <c r="R224" s="32">
        <v>2.5461285702249592</v>
      </c>
      <c r="S224" s="32">
        <v>4.2345865650059267</v>
      </c>
      <c r="T224" s="32">
        <v>2.8754749105355248</v>
      </c>
      <c r="U224" s="32">
        <v>3.9076267680095533</v>
      </c>
      <c r="V224" s="32">
        <v>3.945020425619794</v>
      </c>
      <c r="W224" s="32">
        <v>4.6409012230072877</v>
      </c>
      <c r="X224" s="32">
        <v>10.769731400756587</v>
      </c>
      <c r="Y224" s="32">
        <v>19.772081864473169</v>
      </c>
      <c r="Z224" s="32">
        <v>8.4150067961859421</v>
      </c>
      <c r="AA224" s="32">
        <v>6.4685199325057008</v>
      </c>
      <c r="AB224" s="32">
        <v>5.718513439138162</v>
      </c>
    </row>
    <row r="225" spans="2:28" x14ac:dyDescent="0.3">
      <c r="B225" t="s">
        <v>109</v>
      </c>
      <c r="C225" s="32">
        <v>7.3374062646860638</v>
      </c>
      <c r="D225" s="32">
        <v>8.8384222949821059</v>
      </c>
      <c r="E225" s="32">
        <v>6.8404022737210246</v>
      </c>
      <c r="F225" s="32">
        <v>9.3769439806174582</v>
      </c>
      <c r="G225" s="32">
        <v>19.09330379860512</v>
      </c>
      <c r="H225" s="32">
        <v>24.688642847268483</v>
      </c>
      <c r="I225" s="32">
        <v>10.103209159812931</v>
      </c>
      <c r="J225" s="32">
        <v>-2.6638593921640585</v>
      </c>
      <c r="K225" s="32">
        <v>-10.809743252139569</v>
      </c>
      <c r="L225" s="32">
        <v>-12.464675861487184</v>
      </c>
      <c r="M225" s="32">
        <v>-10.753478287056561</v>
      </c>
      <c r="N225" s="32">
        <v>-9.1728754994061195</v>
      </c>
      <c r="O225" s="32">
        <v>-1.824882601200728</v>
      </c>
      <c r="P225" s="32">
        <v>8.4433276822475136</v>
      </c>
      <c r="Q225" s="32">
        <v>9.7861589570363847</v>
      </c>
      <c r="R225" s="32">
        <v>7.1402235134069958</v>
      </c>
      <c r="S225" s="32">
        <v>8.3945460370954841</v>
      </c>
      <c r="T225" s="32">
        <v>8.3695521276945239</v>
      </c>
      <c r="U225" s="32">
        <v>6.5058390916070685</v>
      </c>
      <c r="V225" s="32">
        <v>4.3878286603179495</v>
      </c>
      <c r="W225" s="32">
        <v>5.2219819361404518</v>
      </c>
      <c r="X225" s="32">
        <v>16.813326309790067</v>
      </c>
      <c r="Y225" s="32">
        <v>10.612030664370021</v>
      </c>
      <c r="Z225" s="32">
        <v>-0.91361127076842186</v>
      </c>
      <c r="AA225" s="32">
        <v>2.8099474568154204</v>
      </c>
      <c r="AB225" s="32">
        <v>3.6256952021075373</v>
      </c>
    </row>
    <row r="226" spans="2:28" x14ac:dyDescent="0.3">
      <c r="B226" t="s">
        <v>351</v>
      </c>
      <c r="C226" s="32">
        <v>2.4673262489312453</v>
      </c>
      <c r="D226" s="32">
        <v>4.2496125879127433</v>
      </c>
      <c r="E226" s="32">
        <v>1.9076477426485994</v>
      </c>
      <c r="F226" s="32">
        <v>2.5919138272805231</v>
      </c>
      <c r="G226" s="32">
        <v>2.8326649653664049</v>
      </c>
      <c r="H226" s="32">
        <v>4.3960718970468493</v>
      </c>
      <c r="I226" s="32">
        <v>4.1277549495704058</v>
      </c>
      <c r="J226" s="32">
        <v>2.0970240521809957</v>
      </c>
      <c r="K226" s="32">
        <v>-2.1673507850058393</v>
      </c>
      <c r="L226" s="32">
        <v>-2.9483788813791656</v>
      </c>
      <c r="M226" s="32">
        <v>-4.0169559951554472</v>
      </c>
      <c r="N226" s="32">
        <v>-4.2691903259726383</v>
      </c>
      <c r="O226" s="32">
        <v>-0.7212946690099642</v>
      </c>
      <c r="P226" s="32">
        <v>0.75235109717868287</v>
      </c>
      <c r="Q226" s="32">
        <v>3.5707749185548421</v>
      </c>
      <c r="R226" s="32">
        <v>3.5324886462033467</v>
      </c>
      <c r="S226" s="32">
        <v>3.7721035024236738</v>
      </c>
      <c r="T226" s="32">
        <v>5.7945985065298355</v>
      </c>
      <c r="U226" s="32">
        <v>5.8379067489622294</v>
      </c>
      <c r="V226" s="32">
        <v>5.7465185968623045</v>
      </c>
      <c r="W226" s="32">
        <v>6.4455186975606926</v>
      </c>
      <c r="X226" s="32">
        <v>14.129299994779988</v>
      </c>
      <c r="Y226" s="32">
        <v>17.518723915156365</v>
      </c>
      <c r="Z226" s="32">
        <v>3.989258192574141</v>
      </c>
      <c r="AA226" s="32">
        <v>2.2605636438489451</v>
      </c>
      <c r="AB226" s="32">
        <v>1.8725902478076373</v>
      </c>
    </row>
    <row r="227" spans="2:28" x14ac:dyDescent="0.3">
      <c r="B227" t="s">
        <v>110</v>
      </c>
      <c r="C227" s="32">
        <v>13.036322755615304</v>
      </c>
      <c r="D227" s="32">
        <v>17.803752691479559</v>
      </c>
      <c r="E227" s="32">
        <v>11.346110327780391</v>
      </c>
      <c r="F227" s="32">
        <v>12.824200734776836</v>
      </c>
      <c r="G227" s="32">
        <v>20.528489081033129</v>
      </c>
      <c r="H227" s="32">
        <v>31.049745352540125</v>
      </c>
      <c r="I227" s="32">
        <v>11.058767797457714</v>
      </c>
      <c r="J227" s="32">
        <v>-13.806014360529872</v>
      </c>
      <c r="K227" s="32">
        <v>-38.965716328045531</v>
      </c>
      <c r="L227" s="32">
        <v>-26.265765765765771</v>
      </c>
      <c r="M227" s="32">
        <v>-2.0811696906754551</v>
      </c>
      <c r="N227" s="32">
        <v>-4.7873557242383402</v>
      </c>
      <c r="O227" s="32">
        <v>3.6956949085905411</v>
      </c>
      <c r="P227" s="32">
        <v>18.317008952080037</v>
      </c>
      <c r="Q227" s="32">
        <v>20.403767068416066</v>
      </c>
      <c r="R227" s="32">
        <v>8.6113082564466481</v>
      </c>
      <c r="S227" s="32">
        <v>7.9026900457416893</v>
      </c>
      <c r="T227" s="32">
        <v>9.4296059852891023</v>
      </c>
      <c r="U227" s="32">
        <v>8.4752406756211549</v>
      </c>
      <c r="V227" s="32">
        <v>4.8827668303466965</v>
      </c>
      <c r="W227" s="32">
        <v>4.4132549655452102</v>
      </c>
      <c r="X227" s="32">
        <v>17.954093269277415</v>
      </c>
      <c r="Y227" s="32">
        <v>15.50594895255648</v>
      </c>
      <c r="Z227" s="32">
        <v>2.4932504149477452E-2</v>
      </c>
      <c r="AA227" s="32">
        <v>6.6211346446935604</v>
      </c>
      <c r="AB227" s="32">
        <v>3.9740076938319602</v>
      </c>
    </row>
    <row r="228" spans="2:28" x14ac:dyDescent="0.3">
      <c r="B228" t="s">
        <v>427</v>
      </c>
      <c r="C228" s="32">
        <v>7.4636291902111518</v>
      </c>
      <c r="D228" s="32">
        <v>11.433684036031</v>
      </c>
      <c r="E228" s="32">
        <v>13.594467880001403</v>
      </c>
      <c r="F228" s="32">
        <v>13.588911841416905</v>
      </c>
      <c r="G228" s="32">
        <v>20.143965696137233</v>
      </c>
      <c r="H228" s="32">
        <v>27.063005812263221</v>
      </c>
      <c r="I228" s="32">
        <v>17.965869077556974</v>
      </c>
      <c r="J228" s="32">
        <v>-1.5292190654040638</v>
      </c>
      <c r="K228" s="32">
        <v>-20.620563252525169</v>
      </c>
      <c r="L228" s="32">
        <v>-20.716852570691046</v>
      </c>
      <c r="M228" s="32">
        <v>-6.1143149741111236</v>
      </c>
      <c r="N228" s="32">
        <v>-6.5980885014177098</v>
      </c>
      <c r="O228" s="32">
        <v>0.74865719007404241</v>
      </c>
      <c r="P228" s="32">
        <v>11.713794646846964</v>
      </c>
      <c r="Q228" s="32">
        <v>12.417076918390624</v>
      </c>
      <c r="R228" s="32">
        <v>9.7041370292689564</v>
      </c>
      <c r="S228" s="32">
        <v>9.1311574019043107</v>
      </c>
      <c r="T228" s="32">
        <v>7.9550939389822162</v>
      </c>
      <c r="U228" s="32">
        <v>7.0497833757841022</v>
      </c>
      <c r="V228" s="32">
        <v>4.7842313974280737</v>
      </c>
      <c r="W228" s="32">
        <v>5.7512261629545813</v>
      </c>
      <c r="X228" s="32">
        <v>15.717656905739762</v>
      </c>
      <c r="Y228" s="32">
        <v>24.76060375508078</v>
      </c>
      <c r="Z228" s="32">
        <v>9.8228206664589877</v>
      </c>
      <c r="AA228" s="32">
        <v>8.5951791665359156</v>
      </c>
      <c r="AB228" s="32">
        <v>3.6972835376226865</v>
      </c>
    </row>
    <row r="229" spans="2:28" x14ac:dyDescent="0.3">
      <c r="B229" t="s">
        <v>352</v>
      </c>
      <c r="C229" s="32">
        <v>2.4724712431945628</v>
      </c>
      <c r="D229" s="32">
        <v>6.9288539128350424</v>
      </c>
      <c r="E229" s="32">
        <v>3.0111142243392397</v>
      </c>
      <c r="F229" s="32">
        <v>3.8696574609679457</v>
      </c>
      <c r="G229" s="32">
        <v>3.9873605558562231</v>
      </c>
      <c r="H229" s="32">
        <v>4.5060018467220742</v>
      </c>
      <c r="I229" s="32">
        <v>3.6273675079117718</v>
      </c>
      <c r="J229" s="32">
        <v>1.3750445688065049</v>
      </c>
      <c r="K229" s="32">
        <v>0.1727987277120091</v>
      </c>
      <c r="L229" s="32">
        <v>-1.9005602454699622</v>
      </c>
      <c r="M229" s="32">
        <v>-2.426006037782813</v>
      </c>
      <c r="N229" s="32">
        <v>-4.0763599827759345</v>
      </c>
      <c r="O229" s="32">
        <v>-1.1555023525695485</v>
      </c>
      <c r="P229" s="32">
        <v>1.0260378120164226</v>
      </c>
      <c r="Q229" s="32">
        <v>2.0229096600179686</v>
      </c>
      <c r="R229" s="32">
        <v>3.5412960817272188</v>
      </c>
      <c r="S229" s="32">
        <v>2.7582076378710019</v>
      </c>
      <c r="T229" s="32">
        <v>1.9433409512707556</v>
      </c>
      <c r="U229" s="32">
        <v>7.0745064997592699</v>
      </c>
      <c r="V229" s="32">
        <v>6.1616502262316519</v>
      </c>
      <c r="W229" s="32">
        <v>5.8172625114161214</v>
      </c>
      <c r="X229" s="32">
        <v>12.622270032271787</v>
      </c>
      <c r="Y229" s="32">
        <v>16.676477448160188</v>
      </c>
      <c r="Z229" s="32">
        <v>7.7304572973384555</v>
      </c>
      <c r="AA229" s="32">
        <v>5.6320853913919278</v>
      </c>
      <c r="AB229" s="32">
        <v>9.7666217373243889</v>
      </c>
    </row>
    <row r="230" spans="2:28" x14ac:dyDescent="0.3">
      <c r="B230" t="s">
        <v>353</v>
      </c>
      <c r="C230" s="32">
        <v>6.3341872572514557</v>
      </c>
      <c r="D230" s="32">
        <v>4.7095395375947424</v>
      </c>
      <c r="E230" s="32">
        <v>4.3270122833710456</v>
      </c>
      <c r="F230" s="32">
        <v>3.5286166542169095</v>
      </c>
      <c r="G230" s="32">
        <v>3.0046383782855068</v>
      </c>
      <c r="H230" s="32">
        <v>1.1157624376657571</v>
      </c>
      <c r="I230" s="32">
        <v>0.84614369598206007</v>
      </c>
      <c r="J230" s="32">
        <v>-1.8563647961269858</v>
      </c>
      <c r="K230" s="32">
        <v>-2.1697830216978242</v>
      </c>
      <c r="L230" s="32">
        <v>-2.9657263559552782</v>
      </c>
      <c r="M230" s="32">
        <v>-2.5507785755666146</v>
      </c>
      <c r="N230" s="32">
        <v>-0.47919293820934961</v>
      </c>
      <c r="O230" s="32">
        <v>0.34754905510101519</v>
      </c>
      <c r="P230" s="32">
        <v>-0.30665993217404708</v>
      </c>
      <c r="Q230" s="32">
        <v>0.62425360981435141</v>
      </c>
      <c r="R230" s="32">
        <v>2.312492132851407</v>
      </c>
      <c r="S230" s="32">
        <v>0.60635885899078534</v>
      </c>
      <c r="T230" s="32">
        <v>2.9803291289612677</v>
      </c>
      <c r="U230" s="32">
        <v>3.5522833683924837</v>
      </c>
      <c r="V230" s="32">
        <v>5.8025621703089447</v>
      </c>
      <c r="W230" s="32">
        <v>4.621887774061717</v>
      </c>
      <c r="X230" s="32">
        <v>12.186061655492896</v>
      </c>
      <c r="Y230" s="32">
        <v>15.982217062649241</v>
      </c>
      <c r="Z230" s="32">
        <v>7.8220614663663923</v>
      </c>
      <c r="AA230" s="32">
        <v>7.2672609314837322</v>
      </c>
      <c r="AB230" s="32">
        <v>6.2094014109101314</v>
      </c>
    </row>
    <row r="231" spans="2:28" x14ac:dyDescent="0.3">
      <c r="B231" t="s">
        <v>111</v>
      </c>
      <c r="C231" s="32">
        <v>0.66727871201770483</v>
      </c>
      <c r="D231" s="32">
        <v>4.4954067219788119</v>
      </c>
      <c r="E231" s="32">
        <v>2.7885393162756955</v>
      </c>
      <c r="F231" s="32">
        <v>3.9947813121272491</v>
      </c>
      <c r="G231" s="32">
        <v>5.0600394288786488</v>
      </c>
      <c r="H231" s="32">
        <v>10.09894234049813</v>
      </c>
      <c r="I231" s="32">
        <v>19.266260372551059</v>
      </c>
      <c r="J231" s="32">
        <v>16.773243645077017</v>
      </c>
      <c r="K231" s="32">
        <v>7.3785183628564566</v>
      </c>
      <c r="L231" s="32">
        <v>0.49962010452879735</v>
      </c>
      <c r="M231" s="32">
        <v>-0.38831615120274998</v>
      </c>
      <c r="N231" s="32">
        <v>3.6269132139694849</v>
      </c>
      <c r="O231" s="32">
        <v>8.7754535870831809</v>
      </c>
      <c r="P231" s="32">
        <v>9.6589575915856365</v>
      </c>
      <c r="Q231" s="32">
        <v>8.4034942460299078</v>
      </c>
      <c r="R231" s="32">
        <v>1.7301156843225529</v>
      </c>
      <c r="S231" s="32">
        <v>-0.23789438164334431</v>
      </c>
      <c r="T231" s="32">
        <v>4.9282078168073395</v>
      </c>
      <c r="U231" s="32">
        <v>9.3596376706477802</v>
      </c>
      <c r="V231" s="32">
        <v>8.7914517317612138</v>
      </c>
      <c r="W231" s="32">
        <v>1.0634694845221171</v>
      </c>
      <c r="X231" s="32">
        <v>3.3639410187667584</v>
      </c>
      <c r="Y231" s="32">
        <v>5.6452188122086078</v>
      </c>
      <c r="Z231" s="32">
        <v>4.9967776584318058</v>
      </c>
      <c r="AA231" s="32">
        <v>4.9817029684449343</v>
      </c>
      <c r="AB231" s="32">
        <v>4.5959071386463934</v>
      </c>
    </row>
    <row r="232" spans="2:28" x14ac:dyDescent="0.3">
      <c r="B232" t="s">
        <v>496</v>
      </c>
      <c r="C232" s="32">
        <v>6.1138748380084262</v>
      </c>
      <c r="D232" s="32">
        <v>5.6119132507337577</v>
      </c>
      <c r="E232" s="32">
        <v>5.6046702476872712</v>
      </c>
      <c r="F232" s="32">
        <v>5.5315165751222972</v>
      </c>
      <c r="G232" s="32">
        <v>9.6011915719712793</v>
      </c>
      <c r="H232" s="32">
        <v>9.3983814322797343</v>
      </c>
      <c r="I232" s="32">
        <v>4.0770465489566865</v>
      </c>
      <c r="J232" s="32">
        <v>0.78453987071853692</v>
      </c>
      <c r="K232" s="32">
        <v>-2.395177708879459</v>
      </c>
      <c r="L232" s="32">
        <v>-3.7600032719390275</v>
      </c>
      <c r="M232" s="32">
        <v>-3.6292550252857936</v>
      </c>
      <c r="N232" s="32">
        <v>-4.0731431259279027</v>
      </c>
      <c r="O232" s="32">
        <v>-1.607416487894564</v>
      </c>
      <c r="P232" s="32">
        <v>9.9671395866751666E-2</v>
      </c>
      <c r="Q232" s="32">
        <v>1.935433683391663</v>
      </c>
      <c r="R232" s="32">
        <v>3.2784383156031272</v>
      </c>
      <c r="S232" s="32">
        <v>3.6975187314348235</v>
      </c>
      <c r="T232" s="32">
        <v>4.6801294018726125</v>
      </c>
      <c r="U232" s="32">
        <v>5.1025826038419098</v>
      </c>
      <c r="V232" s="32">
        <v>4.4455382702296431</v>
      </c>
      <c r="W232" s="32">
        <v>4.5068396314164261</v>
      </c>
      <c r="X232" s="32">
        <v>11.010241256957043</v>
      </c>
      <c r="Y232" s="32">
        <v>14.220963172804524</v>
      </c>
      <c r="Z232" s="32">
        <v>8.6375037436358113</v>
      </c>
      <c r="AA232" s="32">
        <v>7.3571853166432666</v>
      </c>
      <c r="AB232" s="32">
        <v>6.6948578332530762</v>
      </c>
    </row>
    <row r="233" spans="2:28" x14ac:dyDescent="0.3">
      <c r="B233" t="s">
        <v>354</v>
      </c>
      <c r="C233" s="32">
        <v>11.389998463665684</v>
      </c>
      <c r="D233" s="32">
        <v>10.904608382325055</v>
      </c>
      <c r="E233" s="32">
        <v>9.6210048501430343</v>
      </c>
      <c r="F233" s="32">
        <v>7.7754300381468244</v>
      </c>
      <c r="G233" s="32">
        <v>9.7026315789473738</v>
      </c>
      <c r="H233" s="32">
        <v>8.2903543070981236</v>
      </c>
      <c r="I233" s="32">
        <v>2.5463527014154996</v>
      </c>
      <c r="J233" s="32">
        <v>-1.6320138251336491</v>
      </c>
      <c r="K233" s="32">
        <v>-6.6198915167885559</v>
      </c>
      <c r="L233" s="32">
        <v>-6.8352048915280132</v>
      </c>
      <c r="M233" s="32">
        <v>-5.8019487075928851</v>
      </c>
      <c r="N233" s="32">
        <v>-6.167347759094266</v>
      </c>
      <c r="O233" s="32">
        <v>-0.5426090929860572</v>
      </c>
      <c r="P233" s="32">
        <v>5.7557571929018669</v>
      </c>
      <c r="Q233" s="32">
        <v>5.9257951969155842</v>
      </c>
      <c r="R233" s="32">
        <v>4.3562402276164258</v>
      </c>
      <c r="S233" s="32">
        <v>4.980042984341404</v>
      </c>
      <c r="T233" s="32">
        <v>6.2716424894712297</v>
      </c>
      <c r="U233" s="32">
        <v>5.9312425006329716</v>
      </c>
      <c r="V233" s="32">
        <v>4.452919598042171</v>
      </c>
      <c r="W233" s="32">
        <v>4.6640269017251379</v>
      </c>
      <c r="X233" s="32">
        <v>11.417083325412047</v>
      </c>
      <c r="Y233" s="32">
        <v>10.991101669610037</v>
      </c>
      <c r="Z233" s="32">
        <v>2.9193826097650977</v>
      </c>
      <c r="AA233" s="32">
        <v>3.5864191076523166</v>
      </c>
      <c r="AB233" s="32">
        <v>3.6926038544834228</v>
      </c>
    </row>
    <row r="234" spans="2:28" x14ac:dyDescent="0.3">
      <c r="B234" t="s">
        <v>541</v>
      </c>
      <c r="C234" s="32">
        <v>2.6844285234523646</v>
      </c>
      <c r="D234" s="32">
        <v>2.7145473574045065</v>
      </c>
      <c r="E234" s="32">
        <v>3.8188032010868289</v>
      </c>
      <c r="F234" s="32">
        <v>3.6476650036803671</v>
      </c>
      <c r="G234" s="32">
        <v>6.6677187721928544</v>
      </c>
      <c r="H234" s="32">
        <v>12.422325787838439</v>
      </c>
      <c r="I234" s="32">
        <v>7.9669019065949254</v>
      </c>
      <c r="J234" s="32">
        <v>4.6836908824963386</v>
      </c>
      <c r="K234" s="32">
        <v>8.6528105260093913</v>
      </c>
      <c r="L234" s="32">
        <v>6.6924756533736973</v>
      </c>
      <c r="M234" s="32">
        <v>5.5042876693409459</v>
      </c>
      <c r="N234" s="32">
        <v>8.2552867394175991</v>
      </c>
      <c r="O234" s="32">
        <v>12.202093043707695</v>
      </c>
      <c r="P234" s="32">
        <v>7.5008817650977777</v>
      </c>
      <c r="Q234" s="32">
        <v>1.2914221136669957</v>
      </c>
      <c r="R234" s="32">
        <v>0.79178700929452006</v>
      </c>
      <c r="S234" s="32">
        <v>-1.5264994956302957</v>
      </c>
      <c r="T234" s="32">
        <v>8.2494039579006362E-2</v>
      </c>
      <c r="U234" s="32">
        <v>-0.19836597163095382</v>
      </c>
      <c r="V234" s="32">
        <v>1.444868990679149</v>
      </c>
      <c r="W234" s="32">
        <v>3.02751062402149</v>
      </c>
      <c r="X234" s="32">
        <v>4.868051997672751</v>
      </c>
      <c r="Y234" s="32">
        <v>9.1549703970521321</v>
      </c>
      <c r="Z234" s="32">
        <v>2.0436804454525337</v>
      </c>
      <c r="AA234" s="32">
        <v>6.0312976248002137</v>
      </c>
      <c r="AB234" s="32">
        <v>5.8586655027244472</v>
      </c>
    </row>
    <row r="235" spans="2:28" x14ac:dyDescent="0.3">
      <c r="B235" t="s">
        <v>112</v>
      </c>
      <c r="C235" s="32">
        <v>4.4738474260905603</v>
      </c>
      <c r="D235" s="32">
        <v>6.4966161396287525</v>
      </c>
      <c r="E235" s="32">
        <v>7.8804095360202053</v>
      </c>
      <c r="F235" s="32">
        <v>8.9083330462641044</v>
      </c>
      <c r="G235" s="32">
        <v>12.484580104380827</v>
      </c>
      <c r="H235" s="32">
        <v>10.528091783364246</v>
      </c>
      <c r="I235" s="32">
        <v>9.4082328397700152</v>
      </c>
      <c r="J235" s="32">
        <v>5.479722816482191</v>
      </c>
      <c r="K235" s="32">
        <v>0.38910505836575737</v>
      </c>
      <c r="L235" s="32">
        <v>-2.111469793794063</v>
      </c>
      <c r="M235" s="32">
        <v>-3.7879552669067063</v>
      </c>
      <c r="N235" s="32">
        <v>-3.5791731760207113</v>
      </c>
      <c r="O235" s="32">
        <v>1.7230121880441152</v>
      </c>
      <c r="P235" s="32">
        <v>2.2738889086997505</v>
      </c>
      <c r="Q235" s="32">
        <v>2.8067687873364111</v>
      </c>
      <c r="R235" s="32">
        <v>4.417965791288414</v>
      </c>
      <c r="S235" s="32">
        <v>5.3299409949656429</v>
      </c>
      <c r="T235" s="32">
        <v>5.8331962832003814</v>
      </c>
      <c r="U235" s="32">
        <v>5.7612928916212836</v>
      </c>
      <c r="V235" s="32">
        <v>6.0314982322420718</v>
      </c>
      <c r="W235" s="32">
        <v>6.972796480257748</v>
      </c>
      <c r="X235" s="32">
        <v>22.901857279336735</v>
      </c>
      <c r="Y235" s="32">
        <v>23.317369450794146</v>
      </c>
      <c r="Z235" s="32">
        <v>5.1437790135525852</v>
      </c>
      <c r="AA235" s="32">
        <v>6.2313921941206774</v>
      </c>
      <c r="AB235" s="32">
        <v>4.5556032213404096</v>
      </c>
    </row>
    <row r="236" spans="2:28" x14ac:dyDescent="0.3">
      <c r="B236" t="s">
        <v>113</v>
      </c>
      <c r="C236" s="32">
        <v>2.9225169006760199</v>
      </c>
      <c r="D236" s="32">
        <v>6.2489894907033161</v>
      </c>
      <c r="E236" s="32">
        <v>2.2026934489842276</v>
      </c>
      <c r="F236" s="32">
        <v>4.0107947143123157</v>
      </c>
      <c r="G236" s="32">
        <v>2.4228326026661806</v>
      </c>
      <c r="H236" s="32">
        <v>5.8491587903352737</v>
      </c>
      <c r="I236" s="32">
        <v>14.59223925924702</v>
      </c>
      <c r="J236" s="32">
        <v>8.1062395575272284</v>
      </c>
      <c r="K236" s="32">
        <v>1.0858558942656193</v>
      </c>
      <c r="L236" s="32">
        <v>-1.9098206165728659</v>
      </c>
      <c r="M236" s="32">
        <v>-6.2750262019295455</v>
      </c>
      <c r="N236" s="32">
        <v>-5.9238444775776999</v>
      </c>
      <c r="O236" s="32">
        <v>-3.434928375495272</v>
      </c>
      <c r="P236" s="32">
        <v>-1.6254773853486393</v>
      </c>
      <c r="Q236" s="32">
        <v>1.1470097535934531</v>
      </c>
      <c r="R236" s="32">
        <v>3.5241312588222273</v>
      </c>
      <c r="S236" s="32">
        <v>2.0605763485668005</v>
      </c>
      <c r="T236" s="32">
        <v>3.1012639226635441</v>
      </c>
      <c r="U236" s="32">
        <v>5.1511269000058313</v>
      </c>
      <c r="V236" s="32">
        <v>5.103708011409247</v>
      </c>
      <c r="W236" s="32">
        <v>5.9835590451599252</v>
      </c>
      <c r="X236" s="32">
        <v>14.647607209446868</v>
      </c>
      <c r="Y236" s="32">
        <v>15.067111911008935</v>
      </c>
      <c r="Z236" s="32">
        <v>6.7972599900123276</v>
      </c>
      <c r="AA236" s="32">
        <v>4.4377784639816564</v>
      </c>
      <c r="AB236" s="32">
        <v>4.9792887712483358</v>
      </c>
    </row>
    <row r="237" spans="2:28" x14ac:dyDescent="0.3">
      <c r="B237" t="s">
        <v>114</v>
      </c>
      <c r="C237" s="32">
        <v>9.8290986773328584</v>
      </c>
      <c r="D237" s="32">
        <v>19.504624743931952</v>
      </c>
      <c r="E237" s="32">
        <v>12.221010163974167</v>
      </c>
      <c r="F237" s="32">
        <v>13.175232599404429</v>
      </c>
      <c r="G237" s="32">
        <v>20.294478527607374</v>
      </c>
      <c r="H237" s="32">
        <v>27.972709551656894</v>
      </c>
      <c r="I237" s="32">
        <v>9.0136205033741525</v>
      </c>
      <c r="J237" s="32">
        <v>-11.67544030675246</v>
      </c>
      <c r="K237" s="32">
        <v>-32.668959935248886</v>
      </c>
      <c r="L237" s="32">
        <v>-20.846936684652697</v>
      </c>
      <c r="M237" s="32">
        <v>-6.9101201159740171</v>
      </c>
      <c r="N237" s="32">
        <v>-8.0608083055246702</v>
      </c>
      <c r="O237" s="32">
        <v>1.3812711727698046</v>
      </c>
      <c r="P237" s="32">
        <v>20.269705829703444</v>
      </c>
      <c r="Q237" s="32">
        <v>20.607594099358352</v>
      </c>
      <c r="R237" s="32">
        <v>8.3163076416789004</v>
      </c>
      <c r="S237" s="32">
        <v>8.6880016203762409</v>
      </c>
      <c r="T237" s="32">
        <v>8.3312950603910974</v>
      </c>
      <c r="U237" s="32">
        <v>8.4324266207934642</v>
      </c>
      <c r="V237" s="32">
        <v>4.3389884287031721</v>
      </c>
      <c r="W237" s="32">
        <v>6.0040483136778011</v>
      </c>
      <c r="X237" s="32">
        <v>17.496660600464374</v>
      </c>
      <c r="Y237" s="32">
        <v>12.383263138619306</v>
      </c>
      <c r="Z237" s="32">
        <v>0.84932176463399234</v>
      </c>
      <c r="AA237" s="32">
        <v>4.1125584839610818</v>
      </c>
      <c r="AB237" s="32">
        <v>2.7106743406026812</v>
      </c>
    </row>
    <row r="238" spans="2:28" x14ac:dyDescent="0.3">
      <c r="B238" t="s">
        <v>115</v>
      </c>
      <c r="C238" s="32">
        <v>5.1484742985869358</v>
      </c>
      <c r="D238" s="32">
        <v>5.7358211280772675</v>
      </c>
      <c r="E238" s="32">
        <v>4.8775995137136263</v>
      </c>
      <c r="F238" s="32">
        <v>4.9475736340165666</v>
      </c>
      <c r="G238" s="32">
        <v>3.5093884928205643</v>
      </c>
      <c r="H238" s="32">
        <v>3.2368110459006338</v>
      </c>
      <c r="I238" s="32">
        <v>4.2676146774623058</v>
      </c>
      <c r="J238" s="32">
        <v>3.2863708732614461</v>
      </c>
      <c r="K238" s="32">
        <v>2.3354564755838636</v>
      </c>
      <c r="L238" s="32">
        <v>0.83129653839595363</v>
      </c>
      <c r="M238" s="32">
        <v>0.58345194977238446</v>
      </c>
      <c r="N238" s="32">
        <v>0.19755923274156206</v>
      </c>
      <c r="O238" s="32">
        <v>2.0765745609128805</v>
      </c>
      <c r="P238" s="32">
        <v>1.4589640670164439</v>
      </c>
      <c r="Q238" s="32">
        <v>2.7679511760416942</v>
      </c>
      <c r="R238" s="32">
        <v>3.3332457431154205</v>
      </c>
      <c r="S238" s="32">
        <v>2.2110897786367101</v>
      </c>
      <c r="T238" s="32">
        <v>2.0898641588296796</v>
      </c>
      <c r="U238" s="32">
        <v>1.3574109275235502</v>
      </c>
      <c r="V238" s="32">
        <v>1.3332211295713048</v>
      </c>
      <c r="W238" s="32">
        <v>2.6396649701628805</v>
      </c>
      <c r="X238" s="32">
        <v>6.4739470155809498</v>
      </c>
      <c r="Y238" s="32">
        <v>9.1134101197390294</v>
      </c>
      <c r="Z238" s="32">
        <v>3.7657195160776924</v>
      </c>
      <c r="AA238" s="32">
        <v>1.3921781067528283</v>
      </c>
      <c r="AB238" s="32">
        <v>2.5975984467190738</v>
      </c>
    </row>
    <row r="239" spans="2:28" x14ac:dyDescent="0.3">
      <c r="B239" t="s">
        <v>116</v>
      </c>
      <c r="C239" s="32">
        <v>6.9449870700079908</v>
      </c>
      <c r="D239" s="32">
        <v>6.1651937930554679</v>
      </c>
      <c r="E239" s="32">
        <v>3.5999868912630406</v>
      </c>
      <c r="F239" s="32">
        <v>3.4306049822063978</v>
      </c>
      <c r="G239" s="32">
        <v>4.8658898369881021</v>
      </c>
      <c r="H239" s="32">
        <v>3.7170438637424086</v>
      </c>
      <c r="I239" s="32">
        <v>-1.81370826010544</v>
      </c>
      <c r="J239" s="32">
        <v>-5.4041669649888995</v>
      </c>
      <c r="K239" s="32">
        <v>-9.875720924599996</v>
      </c>
      <c r="L239" s="32">
        <v>-7.0645145035860164</v>
      </c>
      <c r="M239" s="32">
        <v>-5.364081617899541</v>
      </c>
      <c r="N239" s="32">
        <v>-4.4592555812310248</v>
      </c>
      <c r="O239" s="32">
        <v>-1.998880626852273E-3</v>
      </c>
      <c r="P239" s="32">
        <v>3.0043776360765051</v>
      </c>
      <c r="Q239" s="32">
        <v>6.1401125557927649</v>
      </c>
      <c r="R239" s="32">
        <v>6.0628222474128801</v>
      </c>
      <c r="S239" s="32">
        <v>4.3509739700051453</v>
      </c>
      <c r="T239" s="32">
        <v>4.9988436250702373</v>
      </c>
      <c r="U239" s="32">
        <v>5.8653241032095682</v>
      </c>
      <c r="V239" s="32">
        <v>4.1924265842349318</v>
      </c>
      <c r="W239" s="32">
        <v>5.0464277054300899</v>
      </c>
      <c r="X239" s="32">
        <v>11.521175336402024</v>
      </c>
      <c r="Y239" s="32">
        <v>11.228266692641121</v>
      </c>
      <c r="Z239" s="32">
        <v>4.8043873284147498</v>
      </c>
      <c r="AA239" s="32">
        <v>6.3660006475669384</v>
      </c>
      <c r="AB239" s="32">
        <v>7.2506768164154023</v>
      </c>
    </row>
    <row r="240" spans="2:28" x14ac:dyDescent="0.3">
      <c r="B240" t="s">
        <v>117</v>
      </c>
      <c r="C240" s="32">
        <v>0.82871713707906025</v>
      </c>
      <c r="D240" s="32">
        <v>4.5717151017026669</v>
      </c>
      <c r="E240" s="32">
        <v>1.7366467914773143</v>
      </c>
      <c r="F240" s="32">
        <v>3.1250640381975003</v>
      </c>
      <c r="G240" s="32">
        <v>2.9608139257610855</v>
      </c>
      <c r="H240" s="32">
        <v>7.2239163160535913</v>
      </c>
      <c r="I240" s="32">
        <v>6.8650215094407274</v>
      </c>
      <c r="J240" s="32">
        <v>4.3287126711694324</v>
      </c>
      <c r="K240" s="32">
        <v>0.44235643596326479</v>
      </c>
      <c r="L240" s="32">
        <v>-2.3579522623161542</v>
      </c>
      <c r="M240" s="32">
        <v>-3.8272864950286589</v>
      </c>
      <c r="N240" s="32">
        <v>-2.3757766633003885</v>
      </c>
      <c r="O240" s="32">
        <v>-2.6527570789865895</v>
      </c>
      <c r="P240" s="32">
        <v>-0.72043514282629229</v>
      </c>
      <c r="Q240" s="32">
        <v>-5.0796415224407809E-2</v>
      </c>
      <c r="R240" s="32">
        <v>1.6517225106182476</v>
      </c>
      <c r="S240" s="32">
        <v>1.2266980929933391</v>
      </c>
      <c r="T240" s="32">
        <v>0.83787550052036863</v>
      </c>
      <c r="U240" s="32">
        <v>0.90438372459153982</v>
      </c>
      <c r="V240" s="32">
        <v>3.2539916439852545</v>
      </c>
      <c r="W240" s="32">
        <v>4.4761584956346523</v>
      </c>
      <c r="X240" s="32">
        <v>8.9769549705910769</v>
      </c>
      <c r="Y240" s="32">
        <v>15.193476080929624</v>
      </c>
      <c r="Z240" s="32">
        <v>5.3843691992575105</v>
      </c>
      <c r="AA240" s="32">
        <v>4.9792883954276501</v>
      </c>
      <c r="AB240" s="32">
        <v>6.1760530052058726</v>
      </c>
    </row>
    <row r="241" spans="2:28" x14ac:dyDescent="0.3">
      <c r="B241" t="s">
        <v>118</v>
      </c>
      <c r="C241" s="32">
        <v>3.6374687331977462</v>
      </c>
      <c r="D241" s="32">
        <v>5.8421491890916499</v>
      </c>
      <c r="E241" s="32">
        <v>3.4993499989344201</v>
      </c>
      <c r="F241" s="32">
        <v>4.5691341501081117</v>
      </c>
      <c r="G241" s="32">
        <v>9.4124133585381067</v>
      </c>
      <c r="H241" s="32">
        <v>14.08105967892881</v>
      </c>
      <c r="I241" s="32">
        <v>6.7000063103426433</v>
      </c>
      <c r="J241" s="32">
        <v>4.1176905448362833</v>
      </c>
      <c r="K241" s="32">
        <v>1.3433683612610103</v>
      </c>
      <c r="L241" s="32">
        <v>-9.5283468318252407E-2</v>
      </c>
      <c r="M241" s="32">
        <v>0.81348705433532675</v>
      </c>
      <c r="N241" s="32">
        <v>0.74988174406633856</v>
      </c>
      <c r="O241" s="32">
        <v>0.8713423643619711</v>
      </c>
      <c r="P241" s="32">
        <v>2.6790603438834548</v>
      </c>
      <c r="Q241" s="32">
        <v>2.1251916538897575</v>
      </c>
      <c r="R241" s="32">
        <v>3.0352876669408113</v>
      </c>
      <c r="S241" s="32">
        <v>3.2309563630834814</v>
      </c>
      <c r="T241" s="32">
        <v>1.5956010506419149</v>
      </c>
      <c r="U241" s="32">
        <v>1.6744388334501314</v>
      </c>
      <c r="V241" s="32">
        <v>3.7963403041824995</v>
      </c>
      <c r="W241" s="32">
        <v>1.6347089462537934</v>
      </c>
      <c r="X241" s="32">
        <v>7.6996722345494151</v>
      </c>
      <c r="Y241" s="32">
        <v>12.408621717441083</v>
      </c>
      <c r="Z241" s="32">
        <v>3.8024264076513825</v>
      </c>
      <c r="AA241" s="32">
        <v>2.4405983633740025</v>
      </c>
      <c r="AB241" s="32">
        <v>6.7962282526893514</v>
      </c>
    </row>
    <row r="242" spans="2:28" x14ac:dyDescent="0.3">
      <c r="B242" t="s">
        <v>119</v>
      </c>
      <c r="C242" s="32">
        <v>4.2605641036175701</v>
      </c>
      <c r="D242" s="32">
        <v>5.1327015151813926</v>
      </c>
      <c r="E242" s="32">
        <v>1.8947486787360912</v>
      </c>
      <c r="F242" s="32">
        <v>3.866173738711387</v>
      </c>
      <c r="G242" s="32">
        <v>3.2919551628269206</v>
      </c>
      <c r="H242" s="32">
        <v>8.1673238470769896</v>
      </c>
      <c r="I242" s="32">
        <v>8.9913462452848147</v>
      </c>
      <c r="J242" s="32">
        <v>5.1870810126950273</v>
      </c>
      <c r="K242" s="32">
        <v>0.45068709044158162</v>
      </c>
      <c r="L242" s="32">
        <v>-2.1538673272777475</v>
      </c>
      <c r="M242" s="32">
        <v>-4.9426823264645865</v>
      </c>
      <c r="N242" s="32">
        <v>-2.6057619745194494</v>
      </c>
      <c r="O242" s="32">
        <v>0.36615010635063783</v>
      </c>
      <c r="P242" s="32">
        <v>-0.46774950424608441</v>
      </c>
      <c r="Q242" s="32">
        <v>0.8014965324248946</v>
      </c>
      <c r="R242" s="32">
        <v>2.1801777335204164</v>
      </c>
      <c r="S242" s="32">
        <v>2.9059122320004738</v>
      </c>
      <c r="T242" s="32">
        <v>4.7982551799345519</v>
      </c>
      <c r="U242" s="32">
        <v>5.1960676926447347</v>
      </c>
      <c r="V242" s="32">
        <v>8.0032799260715048</v>
      </c>
      <c r="W242" s="32">
        <v>6.5786936611231583</v>
      </c>
      <c r="X242" s="32">
        <v>17.085222582797186</v>
      </c>
      <c r="Y242" s="32">
        <v>22.006006818028201</v>
      </c>
      <c r="Z242" s="32">
        <v>8.0183004052684979</v>
      </c>
      <c r="AA242" s="32">
        <v>11.249688567115612</v>
      </c>
      <c r="AB242" s="32">
        <v>4.3895335243859135</v>
      </c>
    </row>
    <row r="243" spans="2:28" x14ac:dyDescent="0.3">
      <c r="B243" t="s">
        <v>355</v>
      </c>
      <c r="C243" s="32">
        <v>3.942960226784642</v>
      </c>
      <c r="D243" s="32">
        <v>6.3966942148760308</v>
      </c>
      <c r="E243" s="32">
        <v>4.046916265340994</v>
      </c>
      <c r="F243" s="32">
        <v>4.7704367301231621</v>
      </c>
      <c r="G243" s="32">
        <v>9.2810317799629338</v>
      </c>
      <c r="H243" s="32">
        <v>18.390767124180883</v>
      </c>
      <c r="I243" s="32">
        <v>16.061298672688217</v>
      </c>
      <c r="J243" s="32">
        <v>6.3991078737261731</v>
      </c>
      <c r="K243" s="32">
        <v>-2.4708151683075719</v>
      </c>
      <c r="L243" s="32">
        <v>-6.8982862891701195</v>
      </c>
      <c r="M243" s="32">
        <v>-7.5064160025541167</v>
      </c>
      <c r="N243" s="32">
        <v>-7.6058095693271817</v>
      </c>
      <c r="O243" s="32">
        <v>-3.842230045261863</v>
      </c>
      <c r="P243" s="32">
        <v>2.0397184740216012</v>
      </c>
      <c r="Q243" s="32">
        <v>4.1077233986468675</v>
      </c>
      <c r="R243" s="32">
        <v>8.7746690861009391</v>
      </c>
      <c r="S243" s="32">
        <v>9.0923198282662163</v>
      </c>
      <c r="T243" s="32">
        <v>10.252489331436699</v>
      </c>
      <c r="U243" s="32">
        <v>10.379640679934221</v>
      </c>
      <c r="V243" s="32">
        <v>7.1817499975648236</v>
      </c>
      <c r="W243" s="32">
        <v>7.52481006216148</v>
      </c>
      <c r="X243" s="32">
        <v>17.173501470637966</v>
      </c>
      <c r="Y243" s="32">
        <v>17.616042125004515</v>
      </c>
      <c r="Z243" s="32">
        <v>1.5503780886438667</v>
      </c>
      <c r="AA243" s="32">
        <v>6.1521273062173254</v>
      </c>
      <c r="AB243" s="32">
        <v>5.0318939011518626</v>
      </c>
    </row>
    <row r="244" spans="2:28" x14ac:dyDescent="0.3">
      <c r="B244" t="s">
        <v>120</v>
      </c>
      <c r="C244" s="32">
        <v>2.6658803912398055</v>
      </c>
      <c r="D244" s="32">
        <v>6.0747108223736301</v>
      </c>
      <c r="E244" s="32">
        <v>2.9931845766034915</v>
      </c>
      <c r="F244" s="32">
        <v>3.6622067515138523</v>
      </c>
      <c r="G244" s="32">
        <v>3.2582461786001771</v>
      </c>
      <c r="H244" s="32">
        <v>1.6683321759455083</v>
      </c>
      <c r="I244" s="32">
        <v>-2.9337287175557059</v>
      </c>
      <c r="J244" s="32">
        <v>0.47884664893160789</v>
      </c>
      <c r="K244" s="32">
        <v>-3.955998906805136</v>
      </c>
      <c r="L244" s="32">
        <v>-0.30056199758128344</v>
      </c>
      <c r="M244" s="32">
        <v>-2.3885549153570329</v>
      </c>
      <c r="N244" s="32">
        <v>-1.8804824561403644</v>
      </c>
      <c r="O244" s="32">
        <v>-0.31290160362070774</v>
      </c>
      <c r="P244" s="32">
        <v>1.4348971470208971</v>
      </c>
      <c r="Q244" s="32">
        <v>0.80860547788768056</v>
      </c>
      <c r="R244" s="32">
        <v>0.37822035446739566</v>
      </c>
      <c r="S244" s="32">
        <v>3.6587363707519582</v>
      </c>
      <c r="T244" s="32">
        <v>3.2275624703671735</v>
      </c>
      <c r="U244" s="32">
        <v>4.4297014544526503</v>
      </c>
      <c r="V244" s="32">
        <v>4.8836110703872171</v>
      </c>
      <c r="W244" s="32">
        <v>5.8940469349402891</v>
      </c>
      <c r="X244" s="32">
        <v>14.830893784283239</v>
      </c>
      <c r="Y244" s="32">
        <v>13.702199402253035</v>
      </c>
      <c r="Z244" s="32">
        <v>8.4597065893823995</v>
      </c>
      <c r="AA244" s="32">
        <v>7.2167617785050764</v>
      </c>
      <c r="AB244" s="32">
        <v>6.1896253828634284</v>
      </c>
    </row>
    <row r="245" spans="2:28" x14ac:dyDescent="0.3">
      <c r="B245" t="s">
        <v>497</v>
      </c>
      <c r="C245" s="32">
        <v>6.9839696548043451</v>
      </c>
      <c r="D245" s="32">
        <v>5.1597270475885137</v>
      </c>
      <c r="E245" s="32">
        <v>3.8476526099995079</v>
      </c>
      <c r="F245" s="32">
        <v>3.5435768590726724</v>
      </c>
      <c r="G245" s="32">
        <v>3.4380613241735691</v>
      </c>
      <c r="H245" s="32">
        <v>3.1090056056544135</v>
      </c>
      <c r="I245" s="32">
        <v>-1.1907400020682912</v>
      </c>
      <c r="J245" s="32">
        <v>-1.2873226380395675</v>
      </c>
      <c r="K245" s="32">
        <v>-5.1922086577201654</v>
      </c>
      <c r="L245" s="32">
        <v>-4.8007796274403214</v>
      </c>
      <c r="M245" s="32">
        <v>-6.6706942556512105</v>
      </c>
      <c r="N245" s="32">
        <v>-5.3116121839824393</v>
      </c>
      <c r="O245" s="32">
        <v>0.15381693885303527</v>
      </c>
      <c r="P245" s="32">
        <v>2.4914203371191102</v>
      </c>
      <c r="Q245" s="32">
        <v>5.0152622329109331</v>
      </c>
      <c r="R245" s="32">
        <v>7.0112391220096715</v>
      </c>
      <c r="S245" s="32">
        <v>5.9625325124287976</v>
      </c>
      <c r="T245" s="32">
        <v>8.8739746457867206</v>
      </c>
      <c r="U245" s="32">
        <v>8.0722031963470045</v>
      </c>
      <c r="V245" s="32">
        <v>7.7201367891519324</v>
      </c>
      <c r="W245" s="32">
        <v>6.6471366934693021</v>
      </c>
      <c r="X245" s="32">
        <v>16.148126012849563</v>
      </c>
      <c r="Y245" s="32">
        <v>17.073532758740107</v>
      </c>
      <c r="Z245" s="32">
        <v>10.378578492278812</v>
      </c>
      <c r="AA245" s="32">
        <v>8.7464583811930563</v>
      </c>
      <c r="AB245" s="32">
        <v>8.3999482416539539</v>
      </c>
    </row>
    <row r="246" spans="2:28" x14ac:dyDescent="0.3">
      <c r="B246" t="s">
        <v>542</v>
      </c>
      <c r="C246" s="32">
        <v>3.2024277756703246</v>
      </c>
      <c r="D246" s="32">
        <v>5.741811920837292</v>
      </c>
      <c r="E246" s="32">
        <v>3.6992992919738565</v>
      </c>
      <c r="F246" s="32">
        <v>3.8584358074134295</v>
      </c>
      <c r="G246" s="32">
        <v>7.6646055581980121</v>
      </c>
      <c r="H246" s="32">
        <v>14.818554749132229</v>
      </c>
      <c r="I246" s="32">
        <v>19.328862749409105</v>
      </c>
      <c r="J246" s="32">
        <v>5.6979663281052195</v>
      </c>
      <c r="K246" s="32">
        <v>-4.9179613448674058</v>
      </c>
      <c r="L246" s="32">
        <v>-7.6931891099092597</v>
      </c>
      <c r="M246" s="32">
        <v>-10.090866208197813</v>
      </c>
      <c r="N246" s="32">
        <v>-8.5490618398707632</v>
      </c>
      <c r="O246" s="32">
        <v>-3.3968929752253296</v>
      </c>
      <c r="P246" s="32">
        <v>-1.8753809367533236E-2</v>
      </c>
      <c r="Q246" s="32">
        <v>4.7878077373974204</v>
      </c>
      <c r="R246" s="32">
        <v>4.7540201079984579</v>
      </c>
      <c r="S246" s="32">
        <v>4.0583837664649236</v>
      </c>
      <c r="T246" s="32">
        <v>4.5378036264112298</v>
      </c>
      <c r="U246" s="32">
        <v>5.118404000471255</v>
      </c>
      <c r="V246" s="32">
        <v>5.3623242549905692</v>
      </c>
      <c r="W246" s="32">
        <v>5.7761178153107995</v>
      </c>
      <c r="X246" s="32">
        <v>15.059110107940189</v>
      </c>
      <c r="Y246" s="32">
        <v>23.737751405735573</v>
      </c>
      <c r="Z246" s="32">
        <v>8.6419074826942222</v>
      </c>
      <c r="AA246" s="32">
        <v>4.0917464330865183</v>
      </c>
      <c r="AB246" s="32">
        <v>3.6391294985516964</v>
      </c>
    </row>
    <row r="247" spans="2:28" x14ac:dyDescent="0.3">
      <c r="B247" t="s">
        <v>121</v>
      </c>
      <c r="C247" s="32">
        <v>20.696300901460994</v>
      </c>
      <c r="D247" s="32">
        <v>15.840802170255142</v>
      </c>
      <c r="E247" s="32">
        <v>11.833758226122004</v>
      </c>
      <c r="F247" s="32">
        <v>13.277315379314004</v>
      </c>
      <c r="G247" s="32">
        <v>18.131508131508124</v>
      </c>
      <c r="H247" s="32">
        <v>19.353848287064103</v>
      </c>
      <c r="I247" s="32">
        <v>5.6850997444152895</v>
      </c>
      <c r="J247" s="32">
        <v>-4.8108103863880647</v>
      </c>
      <c r="K247" s="32">
        <v>-16.772799260921222</v>
      </c>
      <c r="L247" s="32">
        <v>-14.542409165692071</v>
      </c>
      <c r="M247" s="32">
        <v>-7.3864888373441628</v>
      </c>
      <c r="N247" s="32">
        <v>-6.7972350230414698</v>
      </c>
      <c r="O247" s="32">
        <v>1.3946364271510747</v>
      </c>
      <c r="P247" s="32">
        <v>15.868073039514474</v>
      </c>
      <c r="Q247" s="32">
        <v>14.485195731979283</v>
      </c>
      <c r="R247" s="32">
        <v>7.9195261070654333</v>
      </c>
      <c r="S247" s="32">
        <v>8.8878604156060739</v>
      </c>
      <c r="T247" s="32">
        <v>6.5634111716551535</v>
      </c>
      <c r="U247" s="32">
        <v>5.0200226551157634</v>
      </c>
      <c r="V247" s="32">
        <v>2.5233382199907117</v>
      </c>
      <c r="W247" s="32">
        <v>2.893171226837965</v>
      </c>
      <c r="X247" s="32">
        <v>12.568585377093555</v>
      </c>
      <c r="Y247" s="32">
        <v>10.272943012671654</v>
      </c>
      <c r="Z247" s="32">
        <v>-0.15661888823791381</v>
      </c>
      <c r="AA247" s="32">
        <v>4.3428246079838306</v>
      </c>
      <c r="AB247" s="32">
        <v>1.401685172060807</v>
      </c>
    </row>
    <row r="248" spans="2:28" x14ac:dyDescent="0.3">
      <c r="B248" t="s">
        <v>498</v>
      </c>
      <c r="C248" s="32">
        <v>11.956323930846224</v>
      </c>
      <c r="D248" s="32">
        <v>13.188123103597738</v>
      </c>
      <c r="E248" s="32">
        <v>11.710547311313203</v>
      </c>
      <c r="F248" s="32">
        <v>9.7815995086346206</v>
      </c>
      <c r="G248" s="32">
        <v>18.684049598605192</v>
      </c>
      <c r="H248" s="32">
        <v>34.788471447208316</v>
      </c>
      <c r="I248" s="32">
        <v>19.765758438389589</v>
      </c>
      <c r="J248" s="32">
        <v>-8.1085486105451956</v>
      </c>
      <c r="K248" s="32">
        <v>-27.314650585313938</v>
      </c>
      <c r="L248" s="32">
        <v>-20.165324548560282</v>
      </c>
      <c r="M248" s="32">
        <v>-6.0520383601421308</v>
      </c>
      <c r="N248" s="32">
        <v>-6.2900755080184894</v>
      </c>
      <c r="O248" s="32">
        <v>2.3738915329755583</v>
      </c>
      <c r="P248" s="32">
        <v>9.6032104906172311</v>
      </c>
      <c r="Q248" s="32">
        <v>13.11948842246402</v>
      </c>
      <c r="R248" s="32">
        <v>14.745839981764309</v>
      </c>
      <c r="S248" s="32">
        <v>9.6118317805280249</v>
      </c>
      <c r="T248" s="32">
        <v>4.4356848353042544</v>
      </c>
      <c r="U248" s="32">
        <v>5.469848156182211</v>
      </c>
      <c r="V248" s="32">
        <v>3.9036148543034388</v>
      </c>
      <c r="W248" s="32">
        <v>4.3626632039841962</v>
      </c>
      <c r="X248" s="32">
        <v>20.739099757983183</v>
      </c>
      <c r="Y248" s="32">
        <v>26.487165792202049</v>
      </c>
      <c r="Z248" s="32">
        <v>10.670250077000244</v>
      </c>
      <c r="AA248" s="32">
        <v>2.4778141370070061</v>
      </c>
      <c r="AB248" s="32">
        <v>0.87360026920877409</v>
      </c>
    </row>
    <row r="249" spans="2:28" x14ac:dyDescent="0.3">
      <c r="B249" t="s">
        <v>464</v>
      </c>
      <c r="C249" s="32">
        <v>2.9338004060348144</v>
      </c>
      <c r="D249" s="32">
        <v>4.6252610410704609</v>
      </c>
      <c r="E249" s="32">
        <v>2.7925630221039333</v>
      </c>
      <c r="F249" s="32">
        <v>2.9306531940523906</v>
      </c>
      <c r="G249" s="32">
        <v>4.3529144613879689</v>
      </c>
      <c r="H249" s="32">
        <v>6.9550225138514721</v>
      </c>
      <c r="I249" s="32">
        <v>8.7172905972204831</v>
      </c>
      <c r="J249" s="32">
        <v>5.3508191057495491</v>
      </c>
      <c r="K249" s="32">
        <v>0.67092084227211579</v>
      </c>
      <c r="L249" s="32">
        <v>-2.7499524934169295</v>
      </c>
      <c r="M249" s="32">
        <v>-2.8626060741402393</v>
      </c>
      <c r="N249" s="32">
        <v>-2.4426340215813913</v>
      </c>
      <c r="O249" s="32">
        <v>0.41091653534028882</v>
      </c>
      <c r="P249" s="32">
        <v>3.7007157944144664</v>
      </c>
      <c r="Q249" s="32">
        <v>6.8982588155419355</v>
      </c>
      <c r="R249" s="32">
        <v>8.072668572033459</v>
      </c>
      <c r="S249" s="32">
        <v>9.3012720839404039</v>
      </c>
      <c r="T249" s="32">
        <v>9.4361180186840485</v>
      </c>
      <c r="U249" s="32">
        <v>8.3215623656574209</v>
      </c>
      <c r="V249" s="32">
        <v>5.7196583134898171</v>
      </c>
      <c r="W249" s="32">
        <v>5.9250453606957354</v>
      </c>
      <c r="X249" s="32">
        <v>16.441650493629247</v>
      </c>
      <c r="Y249" s="32">
        <v>23.922605891517801</v>
      </c>
      <c r="Z249" s="32">
        <v>4.3910483196594408</v>
      </c>
      <c r="AA249" s="32">
        <v>4.4752291111160858</v>
      </c>
      <c r="AB249" s="32">
        <v>3.3644139548010266</v>
      </c>
    </row>
    <row r="250" spans="2:28" x14ac:dyDescent="0.3">
      <c r="B250" t="s">
        <v>543</v>
      </c>
      <c r="C250" s="32">
        <v>7.196878356752956</v>
      </c>
      <c r="D250" s="32">
        <v>9.8036809815950967</v>
      </c>
      <c r="E250" s="32">
        <v>10.569151115580876</v>
      </c>
      <c r="F250" s="32">
        <v>10.198925365089506</v>
      </c>
      <c r="G250" s="32">
        <v>13.317742724382487</v>
      </c>
      <c r="H250" s="32">
        <v>12.93955784561016</v>
      </c>
      <c r="I250" s="32">
        <v>6.3979457780962701</v>
      </c>
      <c r="J250" s="32">
        <v>0.22225464994889421</v>
      </c>
      <c r="K250" s="32">
        <v>-5.2886823094584701</v>
      </c>
      <c r="L250" s="32">
        <v>-5.6431299741021572</v>
      </c>
      <c r="M250" s="32">
        <v>-3.5630584903059148</v>
      </c>
      <c r="N250" s="32">
        <v>-3.6570151270988283</v>
      </c>
      <c r="O250" s="32">
        <v>-2.1272290716810027</v>
      </c>
      <c r="P250" s="32">
        <v>-0.19984288214781598</v>
      </c>
      <c r="Q250" s="32">
        <v>-0.95011876484560887</v>
      </c>
      <c r="R250" s="32">
        <v>1.6242819697730226</v>
      </c>
      <c r="S250" s="32">
        <v>0.59405397247866976</v>
      </c>
      <c r="T250" s="32">
        <v>0.50598728894466483</v>
      </c>
      <c r="U250" s="32">
        <v>1.4316149430746661</v>
      </c>
      <c r="V250" s="32">
        <v>3.4261786268529049</v>
      </c>
      <c r="W250" s="32">
        <v>4.5169385194479217</v>
      </c>
      <c r="X250" s="32">
        <v>14.471355552530296</v>
      </c>
      <c r="Y250" s="32">
        <v>14.297143598503691</v>
      </c>
      <c r="Z250" s="32">
        <v>8.2795739609148775</v>
      </c>
      <c r="AA250" s="32">
        <v>8.5733504555738804</v>
      </c>
      <c r="AB250" s="32">
        <v>7.8884331419196041</v>
      </c>
    </row>
    <row r="251" spans="2:28" x14ac:dyDescent="0.3">
      <c r="B251" t="s">
        <v>356</v>
      </c>
      <c r="C251" s="32">
        <v>4.5779907276289444</v>
      </c>
      <c r="D251" s="32">
        <v>6.8909869970877891</v>
      </c>
      <c r="E251" s="32">
        <v>4.666296463401931</v>
      </c>
      <c r="F251" s="32">
        <v>6.3765232529221727</v>
      </c>
      <c r="G251" s="32">
        <v>7.9019965399541592</v>
      </c>
      <c r="H251" s="32">
        <v>8.1495283904609259</v>
      </c>
      <c r="I251" s="32">
        <v>9.2222830659917321</v>
      </c>
      <c r="J251" s="32">
        <v>3.1683337817016932</v>
      </c>
      <c r="K251" s="32">
        <v>-2.1204470836444611</v>
      </c>
      <c r="L251" s="32">
        <v>-2.0465003632840983</v>
      </c>
      <c r="M251" s="32">
        <v>-2.9323773025095701</v>
      </c>
      <c r="N251" s="32">
        <v>-0.90297766117325429</v>
      </c>
      <c r="O251" s="32">
        <v>1.8699636288861399</v>
      </c>
      <c r="P251" s="32">
        <v>2.2406136455389358</v>
      </c>
      <c r="Q251" s="32">
        <v>2.6505429417571502</v>
      </c>
      <c r="R251" s="32">
        <v>5.8518055488772314</v>
      </c>
      <c r="S251" s="32">
        <v>5.4692468429181629</v>
      </c>
      <c r="T251" s="32">
        <v>2.7607890429838911</v>
      </c>
      <c r="U251" s="32">
        <v>2.6342260782094895</v>
      </c>
      <c r="V251" s="32">
        <v>4.2654415518121436</v>
      </c>
      <c r="W251" s="32">
        <v>4.831192229359238</v>
      </c>
      <c r="X251" s="32">
        <v>8.9312734677103212</v>
      </c>
      <c r="Y251" s="32">
        <v>10.047674578131428</v>
      </c>
      <c r="Z251" s="32">
        <v>-0.53684686228983036</v>
      </c>
      <c r="AA251" s="32">
        <v>-0.4136213014970247</v>
      </c>
      <c r="AB251" s="32">
        <v>1.2633125809815793</v>
      </c>
    </row>
    <row r="252" spans="2:28" x14ac:dyDescent="0.3">
      <c r="B252" t="s">
        <v>544</v>
      </c>
      <c r="C252" s="32">
        <v>11.795532160969646</v>
      </c>
      <c r="D252" s="32">
        <v>10.731653640095784</v>
      </c>
      <c r="E252" s="32">
        <v>12.414303644516011</v>
      </c>
      <c r="F252" s="32">
        <v>10.829326739874844</v>
      </c>
      <c r="G252" s="32">
        <v>14.949473158751946</v>
      </c>
      <c r="H252" s="32">
        <v>15.579939200580849</v>
      </c>
      <c r="I252" s="32">
        <v>8.3233382834583267</v>
      </c>
      <c r="J252" s="32">
        <v>8.3037061949720048E-2</v>
      </c>
      <c r="K252" s="32">
        <v>-5.0716381154292778</v>
      </c>
      <c r="L252" s="32">
        <v>-6.3596944989902653</v>
      </c>
      <c r="M252" s="32">
        <v>-3.4266782654531203</v>
      </c>
      <c r="N252" s="32">
        <v>-2.7287399113503752</v>
      </c>
      <c r="O252" s="32">
        <v>-1.774232703550005</v>
      </c>
      <c r="P252" s="32">
        <v>0.77949872179516877</v>
      </c>
      <c r="Q252" s="32">
        <v>2.8474621833228131</v>
      </c>
      <c r="R252" s="32">
        <v>3.9135612812628784</v>
      </c>
      <c r="S252" s="32">
        <v>3.7903242540481941</v>
      </c>
      <c r="T252" s="32">
        <v>4.2672090908410398</v>
      </c>
      <c r="U252" s="32">
        <v>4.1316022075863712</v>
      </c>
      <c r="V252" s="32">
        <v>3.3764769696573937</v>
      </c>
      <c r="W252" s="32">
        <v>4.0175981322333465</v>
      </c>
      <c r="X252" s="32">
        <v>9.8377677879197378</v>
      </c>
      <c r="Y252" s="32">
        <v>12.089457011391968</v>
      </c>
      <c r="Z252" s="32">
        <v>5.8334239191175419</v>
      </c>
      <c r="AA252" s="32">
        <v>8.6247637364296637</v>
      </c>
      <c r="AB252" s="32">
        <v>7.3701358659492122</v>
      </c>
    </row>
    <row r="253" spans="2:28" x14ac:dyDescent="0.3">
      <c r="B253" t="s">
        <v>499</v>
      </c>
      <c r="C253" s="32">
        <v>5.8035355564483693</v>
      </c>
      <c r="D253" s="32">
        <v>6.5351535058573162</v>
      </c>
      <c r="E253" s="32">
        <v>5.1701092477410615</v>
      </c>
      <c r="F253" s="32">
        <v>4.2347319189317556</v>
      </c>
      <c r="G253" s="32">
        <v>5.3340052998650744</v>
      </c>
      <c r="H253" s="32">
        <v>6.9638226941597825</v>
      </c>
      <c r="I253" s="32">
        <v>2.9406672053561067</v>
      </c>
      <c r="J253" s="32">
        <v>2.7347144739424012</v>
      </c>
      <c r="K253" s="32">
        <v>-1.723220498546929</v>
      </c>
      <c r="L253" s="32">
        <v>-3.1139802859919463</v>
      </c>
      <c r="M253" s="32">
        <v>-4.1798615788040898</v>
      </c>
      <c r="N253" s="32">
        <v>-3.6862569164049619</v>
      </c>
      <c r="O253" s="32">
        <v>-1.4859094790776961</v>
      </c>
      <c r="P253" s="32">
        <v>2.2065313327446212E-2</v>
      </c>
      <c r="Q253" s="32">
        <v>3.0080993350351415</v>
      </c>
      <c r="R253" s="32">
        <v>4.4163314007740428</v>
      </c>
      <c r="S253" s="32">
        <v>3.8046822350493725</v>
      </c>
      <c r="T253" s="32">
        <v>5.0596288194199257</v>
      </c>
      <c r="U253" s="32">
        <v>3.6646963997850834</v>
      </c>
      <c r="V253" s="32">
        <v>5.6357557536802716</v>
      </c>
      <c r="W253" s="32">
        <v>5.7963369603886372</v>
      </c>
      <c r="X253" s="32">
        <v>12.386076389694111</v>
      </c>
      <c r="Y253" s="32">
        <v>16.292146424002318</v>
      </c>
      <c r="Z253" s="32">
        <v>6.360289225036575</v>
      </c>
      <c r="AA253" s="32">
        <v>8.3722598511895008</v>
      </c>
      <c r="AB253" s="32">
        <v>6.0017533744560314</v>
      </c>
    </row>
    <row r="254" spans="2:28" x14ac:dyDescent="0.3">
      <c r="B254" t="s">
        <v>500</v>
      </c>
      <c r="C254" s="32">
        <v>7.5888787602552243</v>
      </c>
      <c r="D254" s="32">
        <v>10.165411796422186</v>
      </c>
      <c r="E254" s="32">
        <v>10.856493619996499</v>
      </c>
      <c r="F254" s="32">
        <v>11.38424181264881</v>
      </c>
      <c r="G254" s="32">
        <v>17.941422120298412</v>
      </c>
      <c r="H254" s="32">
        <v>30.910400288063379</v>
      </c>
      <c r="I254" s="32">
        <v>12.81035684160341</v>
      </c>
      <c r="J254" s="32">
        <v>-10.152795838751627</v>
      </c>
      <c r="K254" s="32">
        <v>-23.034338025111268</v>
      </c>
      <c r="L254" s="32">
        <v>-15.176766489586758</v>
      </c>
      <c r="M254" s="32">
        <v>-8.9828324396225678</v>
      </c>
      <c r="N254" s="32">
        <v>-5.2688466691024232</v>
      </c>
      <c r="O254" s="32">
        <v>0.72958683529658064</v>
      </c>
      <c r="P254" s="32">
        <v>11.126178586812575</v>
      </c>
      <c r="Q254" s="32">
        <v>10.441461488766057</v>
      </c>
      <c r="R254" s="32">
        <v>12.50129991680533</v>
      </c>
      <c r="S254" s="32">
        <v>10.762031313189645</v>
      </c>
      <c r="T254" s="32">
        <v>7.6873324361823148</v>
      </c>
      <c r="U254" s="32">
        <v>6.2047118998721285</v>
      </c>
      <c r="V254" s="32">
        <v>4.5542856621637817</v>
      </c>
      <c r="W254" s="32">
        <v>5.7936244831015449</v>
      </c>
      <c r="X254" s="32">
        <v>20.188509652254982</v>
      </c>
      <c r="Y254" s="32">
        <v>29.195397567050165</v>
      </c>
      <c r="Z254" s="32">
        <v>5.7933839968985934</v>
      </c>
      <c r="AA254" s="32">
        <v>0.36192962200694012</v>
      </c>
      <c r="AB254" s="32">
        <v>-2.5751265841747362</v>
      </c>
    </row>
    <row r="255" spans="2:28" x14ac:dyDescent="0.3">
      <c r="B255" t="s">
        <v>545</v>
      </c>
      <c r="C255" s="32">
        <v>6.5927148005036296</v>
      </c>
      <c r="D255" s="32">
        <v>8.3314665091746001</v>
      </c>
      <c r="E255" s="32">
        <v>10.869646952663814</v>
      </c>
      <c r="F255" s="32">
        <v>9.7192078133477864</v>
      </c>
      <c r="G255" s="32">
        <v>13.236384991036676</v>
      </c>
      <c r="H255" s="32">
        <v>13.981957883531448</v>
      </c>
      <c r="I255" s="32">
        <v>5.6502789817764132</v>
      </c>
      <c r="J255" s="32">
        <v>-0.146197173521323</v>
      </c>
      <c r="K255" s="32">
        <v>-3.8237163481182224</v>
      </c>
      <c r="L255" s="32">
        <v>-6.5613235936227703</v>
      </c>
      <c r="M255" s="32">
        <v>-3.7345760870938105</v>
      </c>
      <c r="N255" s="32">
        <v>-4.6259610086326619</v>
      </c>
      <c r="O255" s="32">
        <v>-3.0634422801804728</v>
      </c>
      <c r="P255" s="32">
        <v>-2.9757765826108007</v>
      </c>
      <c r="Q255" s="32">
        <v>-0.7122798806528996</v>
      </c>
      <c r="R255" s="32">
        <v>1.5806142741400686</v>
      </c>
      <c r="S255" s="32">
        <v>1.3471968444560556</v>
      </c>
      <c r="T255" s="32">
        <v>2.8531772718817683</v>
      </c>
      <c r="U255" s="32">
        <v>2.3288490699906683</v>
      </c>
      <c r="V255" s="32">
        <v>2.4430698117055227</v>
      </c>
      <c r="W255" s="32">
        <v>5.4796156704533416</v>
      </c>
      <c r="X255" s="32">
        <v>15.159597891319954</v>
      </c>
      <c r="Y255" s="32">
        <v>13.761608215885502</v>
      </c>
      <c r="Z255" s="32">
        <v>11.498569041353758</v>
      </c>
      <c r="AA255" s="32">
        <v>6.8855028897750969</v>
      </c>
      <c r="AB255" s="32">
        <v>9.0062622244867718</v>
      </c>
    </row>
    <row r="256" spans="2:28" x14ac:dyDescent="0.3">
      <c r="B256" t="s">
        <v>122</v>
      </c>
      <c r="C256" s="32">
        <v>3.4238039919738394</v>
      </c>
      <c r="D256" s="32">
        <v>8.3649879508230107</v>
      </c>
      <c r="E256" s="32">
        <v>5.2523463118615998</v>
      </c>
      <c r="F256" s="32">
        <v>7.6778456194381173</v>
      </c>
      <c r="G256" s="32">
        <v>12.400019954437379</v>
      </c>
      <c r="H256" s="32">
        <v>25.071751930644727</v>
      </c>
      <c r="I256" s="32">
        <v>22.065033534024892</v>
      </c>
      <c r="J256" s="32">
        <v>1.3682833470614275</v>
      </c>
      <c r="K256" s="32">
        <v>-13.967516514191235</v>
      </c>
      <c r="L256" s="32">
        <v>-15.100671140939593</v>
      </c>
      <c r="M256" s="32">
        <v>-12.328874695704517</v>
      </c>
      <c r="N256" s="32">
        <v>-11.981608097214346</v>
      </c>
      <c r="O256" s="32">
        <v>-3.7228629579375894</v>
      </c>
      <c r="P256" s="32">
        <v>3.2009160574297368</v>
      </c>
      <c r="Q256" s="32">
        <v>6.5105322453996362</v>
      </c>
      <c r="R256" s="32">
        <v>6.7648567215847333</v>
      </c>
      <c r="S256" s="32">
        <v>6.7205067775492511</v>
      </c>
      <c r="T256" s="32">
        <v>8.5337721889329643</v>
      </c>
      <c r="U256" s="32">
        <v>7.7305892873342774</v>
      </c>
      <c r="V256" s="32">
        <v>8.0215576353968707</v>
      </c>
      <c r="W256" s="32">
        <v>6.8957836826514018</v>
      </c>
      <c r="X256" s="32">
        <v>17.50567791136206</v>
      </c>
      <c r="Y256" s="32">
        <v>27.675571199319094</v>
      </c>
      <c r="Z256" s="32">
        <v>5.3206855365128591</v>
      </c>
      <c r="AA256" s="32">
        <v>3.6336423456806433</v>
      </c>
      <c r="AB256" s="32">
        <v>3.4019327704112756</v>
      </c>
    </row>
    <row r="257" spans="2:28" x14ac:dyDescent="0.3">
      <c r="B257" t="s">
        <v>123</v>
      </c>
      <c r="C257" s="32">
        <v>2.258117685841432</v>
      </c>
      <c r="D257" s="32">
        <v>1.8444321635810779</v>
      </c>
      <c r="E257" s="32">
        <v>4.67566528748109</v>
      </c>
      <c r="F257" s="32">
        <v>2.9958744627081701</v>
      </c>
      <c r="G257" s="32">
        <v>5.3644828453988769</v>
      </c>
      <c r="H257" s="32">
        <v>9.4940488037896351</v>
      </c>
      <c r="I257" s="32">
        <v>18.757725587144634</v>
      </c>
      <c r="J257" s="32">
        <v>17.396029450031381</v>
      </c>
      <c r="K257" s="32">
        <v>6.3992907061645843</v>
      </c>
      <c r="L257" s="32">
        <v>2.1150923974315061</v>
      </c>
      <c r="M257" s="32">
        <v>-4.3993759750389998</v>
      </c>
      <c r="N257" s="32">
        <v>1.129744928700549</v>
      </c>
      <c r="O257" s="32">
        <v>5.4850801846978658</v>
      </c>
      <c r="P257" s="32">
        <v>8.9311980043067507</v>
      </c>
      <c r="Q257" s="32">
        <v>6.7859959167359651</v>
      </c>
      <c r="R257" s="32">
        <v>5.437256587931838</v>
      </c>
      <c r="S257" s="32">
        <v>-1.0937350091144715</v>
      </c>
      <c r="T257" s="32">
        <v>0.6217867882432726</v>
      </c>
      <c r="U257" s="32">
        <v>8.6136256278258383</v>
      </c>
      <c r="V257" s="32">
        <v>11.369002183444854</v>
      </c>
      <c r="W257" s="32">
        <v>3.387128910141457</v>
      </c>
      <c r="X257" s="32">
        <v>0.99441125457699897</v>
      </c>
      <c r="Y257" s="32">
        <v>4.1216654581536449</v>
      </c>
      <c r="Z257" s="32">
        <v>2.8098083055382528</v>
      </c>
      <c r="AA257" s="32">
        <v>8.8707147338999537</v>
      </c>
      <c r="AB257" s="32">
        <v>5.1551058447609988</v>
      </c>
    </row>
    <row r="258" spans="2:28" x14ac:dyDescent="0.3">
      <c r="B258" t="s">
        <v>546</v>
      </c>
      <c r="C258" s="32">
        <v>0.31204253024117445</v>
      </c>
      <c r="D258" s="32">
        <v>4.2263527785245003</v>
      </c>
      <c r="E258" s="32">
        <v>0.88247756959412005</v>
      </c>
      <c r="F258" s="32">
        <v>1.3002666277073915</v>
      </c>
      <c r="G258" s="32">
        <v>1.2835767081305294</v>
      </c>
      <c r="H258" s="32">
        <v>6.0499804207753138</v>
      </c>
      <c r="I258" s="32">
        <v>11.966902200365892</v>
      </c>
      <c r="J258" s="32">
        <v>12.432732233065003</v>
      </c>
      <c r="K258" s="32">
        <v>0.45463635757616583</v>
      </c>
      <c r="L258" s="32">
        <v>-4.9544766809120455</v>
      </c>
      <c r="M258" s="32">
        <v>-4.3120662449555258</v>
      </c>
      <c r="N258" s="32">
        <v>-5.6811382707041114</v>
      </c>
      <c r="O258" s="32">
        <v>0.78444114370590512</v>
      </c>
      <c r="P258" s="32">
        <v>4.9785842582784623</v>
      </c>
      <c r="Q258" s="32">
        <v>4.6839811646339546</v>
      </c>
      <c r="R258" s="32">
        <v>5.6087169099671597</v>
      </c>
      <c r="S258" s="32">
        <v>7.8214285714285792</v>
      </c>
      <c r="T258" s="32">
        <v>8.8820188190840597</v>
      </c>
      <c r="U258" s="32">
        <v>10.035717102520492</v>
      </c>
      <c r="V258" s="32">
        <v>7.943886954740953</v>
      </c>
      <c r="W258" s="32">
        <v>7.940769128611791</v>
      </c>
      <c r="X258" s="32">
        <v>23.233352960303712</v>
      </c>
      <c r="Y258" s="32">
        <v>19.029281303039404</v>
      </c>
      <c r="Z258" s="32">
        <v>-0.52363549218141792</v>
      </c>
      <c r="AA258" s="32">
        <v>3.7299139945554005</v>
      </c>
      <c r="AB258" s="32">
        <v>3.4528287493178045</v>
      </c>
    </row>
    <row r="259" spans="2:28" x14ac:dyDescent="0.3">
      <c r="B259" t="s">
        <v>124</v>
      </c>
      <c r="C259" s="32">
        <v>3.8999155405405439</v>
      </c>
      <c r="D259" s="32">
        <v>5.4179283435283443</v>
      </c>
      <c r="E259" s="32">
        <v>4.3953501821756946</v>
      </c>
      <c r="F259" s="32">
        <v>4.6941074363377799</v>
      </c>
      <c r="G259" s="32">
        <v>5.4061204691771891</v>
      </c>
      <c r="H259" s="32">
        <v>6.3838688085676054</v>
      </c>
      <c r="I259" s="32">
        <v>4.7046795123869334</v>
      </c>
      <c r="J259" s="32">
        <v>3.7151098158219042</v>
      </c>
      <c r="K259" s="32">
        <v>1.058821825345091</v>
      </c>
      <c r="L259" s="32">
        <v>0.44145048014907484</v>
      </c>
      <c r="M259" s="32">
        <v>-0.40811666999629459</v>
      </c>
      <c r="N259" s="32">
        <v>-1.3253668042182642</v>
      </c>
      <c r="O259" s="32">
        <v>1.8034762658457604</v>
      </c>
      <c r="P259" s="32">
        <v>2.2479282260480016</v>
      </c>
      <c r="Q259" s="32">
        <v>3.7246285833856474</v>
      </c>
      <c r="R259" s="32">
        <v>4.2135700356398464</v>
      </c>
      <c r="S259" s="32">
        <v>3.219853396654937</v>
      </c>
      <c r="T259" s="32">
        <v>3.4707375317255096</v>
      </c>
      <c r="U259" s="32">
        <v>2.9326115588636847</v>
      </c>
      <c r="V259" s="32">
        <v>4.1814382645035675</v>
      </c>
      <c r="W259" s="32">
        <v>5.3127957813133841</v>
      </c>
      <c r="X259" s="32">
        <v>11.296448862116559</v>
      </c>
      <c r="Y259" s="32">
        <v>15.429576720085358</v>
      </c>
      <c r="Z259" s="32">
        <v>5.8798544194684776</v>
      </c>
      <c r="AA259" s="32">
        <v>5.0821593474447813</v>
      </c>
      <c r="AB259" s="32">
        <v>3.2503762713410378</v>
      </c>
    </row>
    <row r="260" spans="2:28" x14ac:dyDescent="0.3">
      <c r="B260" t="s">
        <v>501</v>
      </c>
      <c r="C260" s="32">
        <v>2.8665193222155327</v>
      </c>
      <c r="D260" s="32">
        <v>5.4625952210430206</v>
      </c>
      <c r="E260" s="32">
        <v>4.3688521216610932</v>
      </c>
      <c r="F260" s="32">
        <v>5.4104146538636044</v>
      </c>
      <c r="G260" s="32">
        <v>11.630908512747595</v>
      </c>
      <c r="H260" s="32">
        <v>18.329730726051039</v>
      </c>
      <c r="I260" s="32">
        <v>16.868220566994264</v>
      </c>
      <c r="J260" s="32">
        <v>5.2005331394644472</v>
      </c>
      <c r="K260" s="32">
        <v>-1.9119577987146141</v>
      </c>
      <c r="L260" s="32">
        <v>-5.9674502712477429</v>
      </c>
      <c r="M260" s="32">
        <v>-5.5831668331668194</v>
      </c>
      <c r="N260" s="32">
        <v>-7.6776574217355069</v>
      </c>
      <c r="O260" s="32">
        <v>-4.5813993467423098</v>
      </c>
      <c r="P260" s="32">
        <v>0.35432243341440017</v>
      </c>
      <c r="Q260" s="32">
        <v>3.9271715388528028</v>
      </c>
      <c r="R260" s="32">
        <v>6.1208919342997437</v>
      </c>
      <c r="S260" s="32">
        <v>7.0117608757579442</v>
      </c>
      <c r="T260" s="32">
        <v>9.7974343372882799</v>
      </c>
      <c r="U260" s="32">
        <v>9.9460844868790144</v>
      </c>
      <c r="V260" s="32">
        <v>6.6112231182795744</v>
      </c>
      <c r="W260" s="32">
        <v>8.5739894413363835</v>
      </c>
      <c r="X260" s="32">
        <v>19.093193508296082</v>
      </c>
      <c r="Y260" s="32">
        <v>15.887416209628258</v>
      </c>
      <c r="Z260" s="32">
        <v>1.9712495974023581</v>
      </c>
      <c r="AA260" s="32">
        <v>4.6082147277227703</v>
      </c>
      <c r="AB260" s="32">
        <v>2.5949024030104573</v>
      </c>
    </row>
    <row r="261" spans="2:28" x14ac:dyDescent="0.3">
      <c r="B261" t="s">
        <v>502</v>
      </c>
      <c r="C261" s="32">
        <v>4.2204774242034837</v>
      </c>
      <c r="D261" s="32">
        <v>4.5391578268212829</v>
      </c>
      <c r="E261" s="32">
        <v>3.4162900034489629</v>
      </c>
      <c r="F261" s="32">
        <v>3.229713362939024</v>
      </c>
      <c r="G261" s="32">
        <v>5.1197905153797851</v>
      </c>
      <c r="H261" s="32">
        <v>4.3463491960790579</v>
      </c>
      <c r="I261" s="32">
        <v>1.677285340030088</v>
      </c>
      <c r="J261" s="32">
        <v>0.62813495753988313</v>
      </c>
      <c r="K261" s="32">
        <v>-1.0060148781115941</v>
      </c>
      <c r="L261" s="32">
        <v>-0.53413734523024559</v>
      </c>
      <c r="M261" s="32">
        <v>-1.0155408524388565</v>
      </c>
      <c r="N261" s="32">
        <v>-1.3119850769469865</v>
      </c>
      <c r="O261" s="32">
        <v>0.52767539300002664</v>
      </c>
      <c r="P261" s="32">
        <v>1.336550665141556</v>
      </c>
      <c r="Q261" s="32">
        <v>2.5187865293626377</v>
      </c>
      <c r="R261" s="32">
        <v>4.1385759317074777</v>
      </c>
      <c r="S261" s="32">
        <v>4.1522441235680052</v>
      </c>
      <c r="T261" s="32">
        <v>5.8820257529827336</v>
      </c>
      <c r="U261" s="32">
        <v>5.9085417104433491</v>
      </c>
      <c r="V261" s="32">
        <v>5.7351537021192334</v>
      </c>
      <c r="W261" s="32">
        <v>5.1250175915935614</v>
      </c>
      <c r="X261" s="32">
        <v>12.367522702425315</v>
      </c>
      <c r="Y261" s="32">
        <v>14.500019856240808</v>
      </c>
      <c r="Z261" s="32">
        <v>7.940760780029299</v>
      </c>
      <c r="AA261" s="32">
        <v>4.4510671797055146</v>
      </c>
      <c r="AB261" s="32">
        <v>3.8325384537582385</v>
      </c>
    </row>
    <row r="262" spans="2:28" x14ac:dyDescent="0.3">
      <c r="B262" t="s">
        <v>357</v>
      </c>
      <c r="C262" s="32">
        <v>6.565224824756366</v>
      </c>
      <c r="D262" s="32">
        <v>8.5271939675918276</v>
      </c>
      <c r="E262" s="32">
        <v>7.4802276591026784</v>
      </c>
      <c r="F262" s="32">
        <v>7.5906058730486281</v>
      </c>
      <c r="G262" s="32">
        <v>13.594017162306837</v>
      </c>
      <c r="H262" s="32">
        <v>27.178347353909359</v>
      </c>
      <c r="I262" s="32">
        <v>20.722075968409204</v>
      </c>
      <c r="J262" s="32">
        <v>0.13743815283122629</v>
      </c>
      <c r="K262" s="32">
        <v>-15.812059657791211</v>
      </c>
      <c r="L262" s="32">
        <v>-17.043984827571212</v>
      </c>
      <c r="M262" s="32">
        <v>-13.843069949035069</v>
      </c>
      <c r="N262" s="32">
        <v>-9.1300314776235236</v>
      </c>
      <c r="O262" s="32">
        <v>-1.8491557474438092</v>
      </c>
      <c r="P262" s="32">
        <v>9.9399849962490627</v>
      </c>
      <c r="Q262" s="32">
        <v>10.585899941068844</v>
      </c>
      <c r="R262" s="32">
        <v>8.7283334268244861</v>
      </c>
      <c r="S262" s="32">
        <v>8.798947531341895</v>
      </c>
      <c r="T262" s="32">
        <v>9.6201721317305644</v>
      </c>
      <c r="U262" s="32">
        <v>8.6180233375509729</v>
      </c>
      <c r="V262" s="32">
        <v>6.2814870865608441</v>
      </c>
      <c r="W262" s="32">
        <v>5.7631596204108737</v>
      </c>
      <c r="X262" s="32">
        <v>14.796410951381311</v>
      </c>
      <c r="Y262" s="32">
        <v>22.729236751952087</v>
      </c>
      <c r="Z262" s="32">
        <v>6.2723969269844693</v>
      </c>
      <c r="AA262" s="32">
        <v>5.9725862079165193</v>
      </c>
      <c r="AB262" s="32">
        <v>3.8112687917515542</v>
      </c>
    </row>
    <row r="263" spans="2:28" x14ac:dyDescent="0.3">
      <c r="B263" t="s">
        <v>358</v>
      </c>
      <c r="C263" s="32">
        <v>4.9065813836054684</v>
      </c>
      <c r="D263" s="32">
        <v>5.2125952667468667</v>
      </c>
      <c r="E263" s="32">
        <v>4.1289387902933905</v>
      </c>
      <c r="F263" s="32">
        <v>3.8151029748283882</v>
      </c>
      <c r="G263" s="32">
        <v>5.3430672380045507</v>
      </c>
      <c r="H263" s="32">
        <v>4.2283935117762184</v>
      </c>
      <c r="I263" s="32">
        <v>2.4106640970047444</v>
      </c>
      <c r="J263" s="32">
        <v>1.706238434275309</v>
      </c>
      <c r="K263" s="32">
        <v>-0.99762543559379635</v>
      </c>
      <c r="L263" s="32">
        <v>-1.8222312208949099</v>
      </c>
      <c r="M263" s="32">
        <v>-1.8687437536684892</v>
      </c>
      <c r="N263" s="32">
        <v>-2.0320406084805676</v>
      </c>
      <c r="O263" s="32">
        <v>0.19966337744630192</v>
      </c>
      <c r="P263" s="32">
        <v>-0.57638785962484951</v>
      </c>
      <c r="Q263" s="32">
        <v>0.32133569642058823</v>
      </c>
      <c r="R263" s="32">
        <v>2.4617365892317444</v>
      </c>
      <c r="S263" s="32">
        <v>2.8022172806084544</v>
      </c>
      <c r="T263" s="32">
        <v>5.7134348010094538</v>
      </c>
      <c r="U263" s="32">
        <v>6.1830906556745058</v>
      </c>
      <c r="V263" s="32">
        <v>4.8232139864827106</v>
      </c>
      <c r="W263" s="32">
        <v>4.890363147097232</v>
      </c>
      <c r="X263" s="32">
        <v>12.050243214752898</v>
      </c>
      <c r="Y263" s="32">
        <v>15.259846982147906</v>
      </c>
      <c r="Z263" s="32">
        <v>10.745614035087737</v>
      </c>
      <c r="AA263" s="32">
        <v>8.8416285574745466</v>
      </c>
      <c r="AB263" s="32">
        <v>6.6968182838519796</v>
      </c>
    </row>
    <row r="264" spans="2:28" x14ac:dyDescent="0.3">
      <c r="B264" t="s">
        <v>125</v>
      </c>
      <c r="C264" s="32">
        <v>3.0221962128495816</v>
      </c>
      <c r="D264" s="32">
        <v>4.5078308853363502</v>
      </c>
      <c r="E264" s="32">
        <v>2.7837092829133825</v>
      </c>
      <c r="F264" s="32">
        <v>2.1171715645539102</v>
      </c>
      <c r="G264" s="32">
        <v>2.9980210471804325</v>
      </c>
      <c r="H264" s="32">
        <v>2.2337942179924575</v>
      </c>
      <c r="I264" s="32">
        <v>1.2892120701162746</v>
      </c>
      <c r="J264" s="32">
        <v>1.7600749115627146</v>
      </c>
      <c r="K264" s="32">
        <v>1.347920181313178</v>
      </c>
      <c r="L264" s="32">
        <v>0.97353465379830251</v>
      </c>
      <c r="M264" s="32">
        <v>-0.30806121259552288</v>
      </c>
      <c r="N264" s="32">
        <v>0.81178592904387337</v>
      </c>
      <c r="O264" s="32">
        <v>1.6883719388938623</v>
      </c>
      <c r="P264" s="32">
        <v>2.1931468235217411</v>
      </c>
      <c r="Q264" s="32">
        <v>1.2850970200417589</v>
      </c>
      <c r="R264" s="32">
        <v>4.0535222353404121</v>
      </c>
      <c r="S264" s="32">
        <v>4.0786686838124142</v>
      </c>
      <c r="T264" s="32">
        <v>4.3810686667829613</v>
      </c>
      <c r="U264" s="32">
        <v>3.5928143712574911</v>
      </c>
      <c r="V264" s="32">
        <v>4.6525070574001681</v>
      </c>
      <c r="W264" s="32">
        <v>5.4540082979024129</v>
      </c>
      <c r="X264" s="32">
        <v>11.008928462672207</v>
      </c>
      <c r="Y264" s="32">
        <v>12.44856531519174</v>
      </c>
      <c r="Z264" s="32">
        <v>5.5747462919594204</v>
      </c>
      <c r="AA264" s="32">
        <v>6.8008096642111715</v>
      </c>
      <c r="AB264" s="32">
        <v>5.3566700206534978</v>
      </c>
    </row>
    <row r="265" spans="2:28" x14ac:dyDescent="0.3">
      <c r="B265" t="s">
        <v>359</v>
      </c>
      <c r="C265" s="32">
        <v>11.578136716454225</v>
      </c>
      <c r="D265" s="32">
        <v>9.5121331008427781</v>
      </c>
      <c r="E265" s="32">
        <v>13.117609009337716</v>
      </c>
      <c r="F265" s="32">
        <v>14.927714729773323</v>
      </c>
      <c r="G265" s="32">
        <v>25.949504356812071</v>
      </c>
      <c r="H265" s="32">
        <v>20.015599201807067</v>
      </c>
      <c r="I265" s="32">
        <v>8.8932589485411597</v>
      </c>
      <c r="J265" s="32">
        <v>-6.9020306929158277</v>
      </c>
      <c r="K265" s="32">
        <v>-18.654622653290598</v>
      </c>
      <c r="L265" s="32">
        <v>-10.694108977770501</v>
      </c>
      <c r="M265" s="32">
        <v>-0.86294823456606329</v>
      </c>
      <c r="N265" s="32">
        <v>-5.5001965181605943</v>
      </c>
      <c r="O265" s="32">
        <v>-0.8416108039340453</v>
      </c>
      <c r="P265" s="32">
        <v>11.303972366148528</v>
      </c>
      <c r="Q265" s="32">
        <v>10.900768096826742</v>
      </c>
      <c r="R265" s="32">
        <v>4.9521277658957752</v>
      </c>
      <c r="S265" s="32">
        <v>5.7716663651167011</v>
      </c>
      <c r="T265" s="32">
        <v>5.4504204404271173</v>
      </c>
      <c r="U265" s="32">
        <v>4.4506864285226211</v>
      </c>
      <c r="V265" s="32">
        <v>2.5886661053939442</v>
      </c>
      <c r="W265" s="32">
        <v>3.626063677215785</v>
      </c>
      <c r="X265" s="32">
        <v>12.821873149878149</v>
      </c>
      <c r="Y265" s="32">
        <v>14.258356901897962</v>
      </c>
      <c r="Z265" s="32">
        <v>3.6365913740553646</v>
      </c>
      <c r="AA265" s="32">
        <v>5.2499510802628935</v>
      </c>
      <c r="AB265" s="32">
        <v>3.4424007744433771</v>
      </c>
    </row>
    <row r="266" spans="2:28" x14ac:dyDescent="0.3">
      <c r="B266" t="s">
        <v>547</v>
      </c>
      <c r="C266" s="32">
        <v>2.1183787168800761</v>
      </c>
      <c r="D266" s="32">
        <v>4.3687883273419326</v>
      </c>
      <c r="E266" s="32">
        <v>2.0686441364778263</v>
      </c>
      <c r="F266" s="32">
        <v>4.2698056652837657</v>
      </c>
      <c r="G266" s="32">
        <v>3.4286475784343518</v>
      </c>
      <c r="H266" s="32">
        <v>4.9237055716100153</v>
      </c>
      <c r="I266" s="32">
        <v>4.6154655813626988</v>
      </c>
      <c r="J266" s="32">
        <v>5.0775551270227259</v>
      </c>
      <c r="K266" s="32">
        <v>2.408119624020566</v>
      </c>
      <c r="L266" s="32">
        <v>0.18232250825904739</v>
      </c>
      <c r="M266" s="32">
        <v>-9.6439515313662127E-2</v>
      </c>
      <c r="N266" s="32">
        <v>-8.2519812539894044E-2</v>
      </c>
      <c r="O266" s="32">
        <v>0.18075856265777901</v>
      </c>
      <c r="P266" s="32">
        <v>0.41530564629022049</v>
      </c>
      <c r="Q266" s="32">
        <v>0.14870579487895608</v>
      </c>
      <c r="R266" s="32">
        <v>1.4848498909563412</v>
      </c>
      <c r="S266" s="32">
        <v>2.9506347827412238</v>
      </c>
      <c r="T266" s="32">
        <v>0.16136434292142177</v>
      </c>
      <c r="U266" s="32">
        <v>3.0018623074876682</v>
      </c>
      <c r="V266" s="32">
        <v>3.1439682015813153</v>
      </c>
      <c r="W266" s="32">
        <v>3.3082915971063054</v>
      </c>
      <c r="X266" s="32">
        <v>11.476204584017879</v>
      </c>
      <c r="Y266" s="32">
        <v>14.026334863493606</v>
      </c>
      <c r="Z266" s="32">
        <v>8.6904471824644336</v>
      </c>
      <c r="AA266" s="32">
        <v>3.3179328225822147</v>
      </c>
      <c r="AB266" s="32">
        <v>5.5601595775434998</v>
      </c>
    </row>
    <row r="267" spans="2:28" x14ac:dyDescent="0.3">
      <c r="B267" t="s">
        <v>360</v>
      </c>
      <c r="C267" s="32">
        <v>3.9417637646210313</v>
      </c>
      <c r="D267" s="32">
        <v>8.8529921942758207</v>
      </c>
      <c r="E267" s="32">
        <v>10.091030416508961</v>
      </c>
      <c r="F267" s="32">
        <v>11.834844126001908</v>
      </c>
      <c r="G267" s="32">
        <v>24.022002912150153</v>
      </c>
      <c r="H267" s="32">
        <v>31.490516319236072</v>
      </c>
      <c r="I267" s="32">
        <v>10.562709577570995</v>
      </c>
      <c r="J267" s="32">
        <v>-9.5096235811386709</v>
      </c>
      <c r="K267" s="32">
        <v>-20.761153033803701</v>
      </c>
      <c r="L267" s="32">
        <v>-14.475034413715415</v>
      </c>
      <c r="M267" s="32">
        <v>-9.4742694935838312</v>
      </c>
      <c r="N267" s="32">
        <v>-9.5364324044740378</v>
      </c>
      <c r="O267" s="32">
        <v>0.23584905660376521</v>
      </c>
      <c r="P267" s="32">
        <v>7.520499108734402</v>
      </c>
      <c r="Q267" s="32">
        <v>8.5843598202887996</v>
      </c>
      <c r="R267" s="32">
        <v>12.81432737377286</v>
      </c>
      <c r="S267" s="32">
        <v>12.990932467180926</v>
      </c>
      <c r="T267" s="32">
        <v>11.812334559043713</v>
      </c>
      <c r="U267" s="32">
        <v>7.979561011665659</v>
      </c>
      <c r="V267" s="32">
        <v>5.4821428571428577</v>
      </c>
      <c r="W267" s="32">
        <v>6.9192859695653031</v>
      </c>
      <c r="X267" s="32">
        <v>17.802134004204696</v>
      </c>
      <c r="Y267" s="32">
        <v>24.734731670163757</v>
      </c>
      <c r="Z267" s="32">
        <v>5.8756270727823523</v>
      </c>
      <c r="AA267" s="32">
        <v>1.7844521969230032</v>
      </c>
      <c r="AB267" s="32">
        <v>0.89017624931633232</v>
      </c>
    </row>
    <row r="268" spans="2:28" x14ac:dyDescent="0.3">
      <c r="B268" t="s">
        <v>454</v>
      </c>
      <c r="C268" s="32">
        <v>3.4509966777408696</v>
      </c>
      <c r="D268" s="32">
        <v>7.629159808919761</v>
      </c>
      <c r="E268" s="32">
        <v>5.4603435093150354</v>
      </c>
      <c r="F268" s="32">
        <v>9.2058495870983812</v>
      </c>
      <c r="G268" s="32">
        <v>20.389591463315892</v>
      </c>
      <c r="H268" s="32">
        <v>28.545104843373824</v>
      </c>
      <c r="I268" s="32">
        <v>9.775875779517019</v>
      </c>
      <c r="J268" s="32">
        <v>-2.8480198255730893</v>
      </c>
      <c r="K268" s="32">
        <v>-8.0047484964729581</v>
      </c>
      <c r="L268" s="32">
        <v>-9.3016807439638249</v>
      </c>
      <c r="M268" s="32">
        <v>-10.554288267525823</v>
      </c>
      <c r="N268" s="32">
        <v>-6.596555803864856</v>
      </c>
      <c r="O268" s="32">
        <v>-3.3566965039689145</v>
      </c>
      <c r="P268" s="32">
        <v>1.4912548968208927</v>
      </c>
      <c r="Q268" s="32">
        <v>5.5918267782066433</v>
      </c>
      <c r="R268" s="32">
        <v>4.8744360493558681</v>
      </c>
      <c r="S268" s="32">
        <v>6.2053773890508701</v>
      </c>
      <c r="T268" s="32">
        <v>4.1481626079742373</v>
      </c>
      <c r="U268" s="32">
        <v>9.9925026943441964</v>
      </c>
      <c r="V268" s="32">
        <v>7.5414829488572366</v>
      </c>
      <c r="W268" s="32">
        <v>7.241396385243859</v>
      </c>
      <c r="X268" s="32">
        <v>13.974900034168481</v>
      </c>
      <c r="Y268" s="32">
        <v>20.647382920110189</v>
      </c>
      <c r="Z268" s="32">
        <v>7.4592184173589482</v>
      </c>
      <c r="AA268" s="32">
        <v>0.89181926129617839</v>
      </c>
      <c r="AB268" s="32">
        <v>2.5174790157921345</v>
      </c>
    </row>
    <row r="269" spans="2:28" x14ac:dyDescent="0.3">
      <c r="B269" t="s">
        <v>361</v>
      </c>
      <c r="C269" s="32">
        <v>0.65354087207505351</v>
      </c>
      <c r="D269" s="32">
        <v>6.3393552087173566</v>
      </c>
      <c r="E269" s="32">
        <v>3.5479707995454524</v>
      </c>
      <c r="F269" s="32">
        <v>2.1577782324819994</v>
      </c>
      <c r="G269" s="32">
        <v>2.6875944572916532</v>
      </c>
      <c r="H269" s="32">
        <v>4.8656795815231746</v>
      </c>
      <c r="I269" s="32">
        <v>1.5911665736654257</v>
      </c>
      <c r="J269" s="32">
        <v>1.2966045272969406</v>
      </c>
      <c r="K269" s="32">
        <v>1.9504099640151873</v>
      </c>
      <c r="L269" s="32">
        <v>0.89933275311866456</v>
      </c>
      <c r="M269" s="32">
        <v>-0.73317998849914412</v>
      </c>
      <c r="N269" s="32">
        <v>-2.6454260197924295</v>
      </c>
      <c r="O269" s="32">
        <v>2.6478901175187142</v>
      </c>
      <c r="P269" s="32">
        <v>2.3026262821441934</v>
      </c>
      <c r="Q269" s="32">
        <v>2.8977067036028537</v>
      </c>
      <c r="R269" s="32">
        <v>1.5311897696331789</v>
      </c>
      <c r="S269" s="32">
        <v>1.6467043314501106</v>
      </c>
      <c r="T269" s="32">
        <v>2.0632003320092185</v>
      </c>
      <c r="U269" s="32">
        <v>3.3488237002614163</v>
      </c>
      <c r="V269" s="32">
        <v>2.2032993283309432</v>
      </c>
      <c r="W269" s="32">
        <v>6.0865619930156489</v>
      </c>
      <c r="X269" s="32">
        <v>8.372105078990689</v>
      </c>
      <c r="Y269" s="32">
        <v>11.291422011217289</v>
      </c>
      <c r="Z269" s="32">
        <v>5.8358316409313993</v>
      </c>
      <c r="AA269" s="32">
        <v>5.8145673848153168</v>
      </c>
      <c r="AB269" s="32">
        <v>11.312253763006375</v>
      </c>
    </row>
    <row r="270" spans="2:28" x14ac:dyDescent="0.3">
      <c r="B270" t="s">
        <v>362</v>
      </c>
      <c r="C270" s="32">
        <v>2.2808050856063522</v>
      </c>
      <c r="D270" s="32">
        <v>5.7029388403494696</v>
      </c>
      <c r="E270" s="32">
        <v>4.2887736699729562</v>
      </c>
      <c r="F270" s="32">
        <v>5.3751238404035062</v>
      </c>
      <c r="G270" s="32">
        <v>12.552351322244837</v>
      </c>
      <c r="H270" s="32">
        <v>26.780778226663827</v>
      </c>
      <c r="I270" s="32">
        <v>9.0745732255166125</v>
      </c>
      <c r="J270" s="32">
        <v>-3.6869851729818826</v>
      </c>
      <c r="K270" s="32">
        <v>-9.1672083290570523</v>
      </c>
      <c r="L270" s="32">
        <v>-6.5219574660406288</v>
      </c>
      <c r="M270" s="32">
        <v>-6.3417451214762384</v>
      </c>
      <c r="N270" s="32">
        <v>-5.7272323157004257</v>
      </c>
      <c r="O270" s="32">
        <v>-1.6944769785376179</v>
      </c>
      <c r="P270" s="32">
        <v>2.4679323523495444</v>
      </c>
      <c r="Q270" s="32">
        <v>3.8762382217927049</v>
      </c>
      <c r="R270" s="32">
        <v>5.635911674492311</v>
      </c>
      <c r="S270" s="32">
        <v>5.8691583640667178</v>
      </c>
      <c r="T270" s="32">
        <v>7.9484746467705536</v>
      </c>
      <c r="U270" s="32">
        <v>8.0206627492534377</v>
      </c>
      <c r="V270" s="32">
        <v>7.3136474601210644</v>
      </c>
      <c r="W270" s="32">
        <v>7.5890724005401422</v>
      </c>
      <c r="X270" s="32">
        <v>18.585386576040808</v>
      </c>
      <c r="Y270" s="32">
        <v>21.002882125934221</v>
      </c>
      <c r="Z270" s="32">
        <v>4.4347106437092387</v>
      </c>
      <c r="AA270" s="32">
        <v>4.3514115994691238</v>
      </c>
      <c r="AB270" s="32">
        <v>2.1333849458068821</v>
      </c>
    </row>
    <row r="271" spans="2:28" x14ac:dyDescent="0.3">
      <c r="B271" t="s">
        <v>126</v>
      </c>
      <c r="C271" s="32">
        <v>3.4343189039321764</v>
      </c>
      <c r="D271" s="32">
        <v>4.680101741342213</v>
      </c>
      <c r="E271" s="32">
        <v>3.5064109752906303</v>
      </c>
      <c r="F271" s="32">
        <v>2.354725703347893</v>
      </c>
      <c r="G271" s="32">
        <v>4.2165061218729205</v>
      </c>
      <c r="H271" s="32">
        <v>4.159330985915477</v>
      </c>
      <c r="I271" s="32">
        <v>3.7770807261616746</v>
      </c>
      <c r="J271" s="32">
        <v>2.4227522590950956</v>
      </c>
      <c r="K271" s="32">
        <v>0.48776758409787568</v>
      </c>
      <c r="L271" s="32">
        <v>0.15064136703235587</v>
      </c>
      <c r="M271" s="32">
        <v>-0.68978091099698435</v>
      </c>
      <c r="N271" s="32">
        <v>-1.6828835444587242</v>
      </c>
      <c r="O271" s="32">
        <v>0.18517365865804436</v>
      </c>
      <c r="P271" s="32">
        <v>0.56536663404935794</v>
      </c>
      <c r="Q271" s="32">
        <v>0.48187560813628405</v>
      </c>
      <c r="R271" s="32">
        <v>1.1097619084215804</v>
      </c>
      <c r="S271" s="32">
        <v>0.95924355056933308</v>
      </c>
      <c r="T271" s="32">
        <v>-1.9077877492019502</v>
      </c>
      <c r="U271" s="32">
        <v>-0.59559444316524823</v>
      </c>
      <c r="V271" s="32">
        <v>1.9287490155504239</v>
      </c>
      <c r="W271" s="32">
        <v>3.1209284004484417</v>
      </c>
      <c r="X271" s="32">
        <v>6.9697058737108186</v>
      </c>
      <c r="Y271" s="32">
        <v>10.359840681225108</v>
      </c>
      <c r="Z271" s="32">
        <v>7.806802484039177</v>
      </c>
      <c r="AA271" s="32">
        <v>6.6019439891025655</v>
      </c>
      <c r="AB271" s="32">
        <v>6.6922108489791521</v>
      </c>
    </row>
    <row r="272" spans="2:28" x14ac:dyDescent="0.3">
      <c r="B272" t="s">
        <v>363</v>
      </c>
      <c r="C272" s="32">
        <v>4.6154940682563872</v>
      </c>
      <c r="D272" s="32">
        <v>8.0600119956361063</v>
      </c>
      <c r="E272" s="32">
        <v>9.6213794029219368</v>
      </c>
      <c r="F272" s="32">
        <v>9.7723941221673272</v>
      </c>
      <c r="G272" s="32">
        <v>14.676626327043696</v>
      </c>
      <c r="H272" s="32">
        <v>15.188131413423456</v>
      </c>
      <c r="I272" s="32">
        <v>8.8224531708267051</v>
      </c>
      <c r="J272" s="32">
        <v>2.381820369680776</v>
      </c>
      <c r="K272" s="32">
        <v>-2.3438945496048302</v>
      </c>
      <c r="L272" s="32">
        <v>-4.0169877990173468</v>
      </c>
      <c r="M272" s="32">
        <v>-2.7588003270439976</v>
      </c>
      <c r="N272" s="32">
        <v>-3.7589904416501563</v>
      </c>
      <c r="O272" s="32">
        <v>-1.7362139146998246</v>
      </c>
      <c r="P272" s="32">
        <v>0.67633281973518145</v>
      </c>
      <c r="Q272" s="32">
        <v>1.7222380374702695</v>
      </c>
      <c r="R272" s="32">
        <v>2.5658915954567485</v>
      </c>
      <c r="S272" s="32">
        <v>2.8957012508690205</v>
      </c>
      <c r="T272" s="32">
        <v>3.5811606750730585</v>
      </c>
      <c r="U272" s="32">
        <v>4.1131305671670892</v>
      </c>
      <c r="V272" s="32">
        <v>4.3378317521853393</v>
      </c>
      <c r="W272" s="32">
        <v>5.3375114586390549</v>
      </c>
      <c r="X272" s="32">
        <v>12.27003320587845</v>
      </c>
      <c r="Y272" s="32">
        <v>13.093380625448535</v>
      </c>
      <c r="Z272" s="32">
        <v>6.4854661631254196</v>
      </c>
      <c r="AA272" s="32">
        <v>6.7301719610068922</v>
      </c>
      <c r="AB272" s="32">
        <v>5.9724234802265075</v>
      </c>
    </row>
    <row r="273" spans="2:28" x14ac:dyDescent="0.3">
      <c r="B273" t="s">
        <v>503</v>
      </c>
      <c r="C273" s="32">
        <v>6.9344567453708317</v>
      </c>
      <c r="D273" s="32">
        <v>6.6533514127606663</v>
      </c>
      <c r="E273" s="32">
        <v>5.119835065715983</v>
      </c>
      <c r="F273" s="32">
        <v>5.0535261910599205</v>
      </c>
      <c r="G273" s="32">
        <v>11.788042379078046</v>
      </c>
      <c r="H273" s="32">
        <v>33.472040526623445</v>
      </c>
      <c r="I273" s="32">
        <v>20.294040978051164</v>
      </c>
      <c r="J273" s="32">
        <v>-1.6980445184106463</v>
      </c>
      <c r="K273" s="32">
        <v>-17.168831397860838</v>
      </c>
      <c r="L273" s="32">
        <v>-19.611871660031088</v>
      </c>
      <c r="M273" s="32">
        <v>-12.670330397934181</v>
      </c>
      <c r="N273" s="32">
        <v>-10.893596372844861</v>
      </c>
      <c r="O273" s="32">
        <v>7.8910198594353664</v>
      </c>
      <c r="P273" s="32">
        <v>17.875394321766571</v>
      </c>
      <c r="Q273" s="32">
        <v>10.790413873389259</v>
      </c>
      <c r="R273" s="32">
        <v>6.6403372102854075</v>
      </c>
      <c r="S273" s="32">
        <v>7.631236196840141</v>
      </c>
      <c r="T273" s="32">
        <v>7.7794029442404211</v>
      </c>
      <c r="U273" s="32">
        <v>8.3289399175990653</v>
      </c>
      <c r="V273" s="32">
        <v>6.7332390024964717</v>
      </c>
      <c r="W273" s="32">
        <v>8.6643361367243941</v>
      </c>
      <c r="X273" s="32">
        <v>22.859762683679264</v>
      </c>
      <c r="Y273" s="32">
        <v>22.224189947314144</v>
      </c>
      <c r="Z273" s="32">
        <v>0.35912960231829771</v>
      </c>
      <c r="AA273" s="32">
        <v>4.6096968634467661</v>
      </c>
      <c r="AB273" s="32">
        <v>2.0422360248447458</v>
      </c>
    </row>
    <row r="274" spans="2:28" x14ac:dyDescent="0.3">
      <c r="B274" t="s">
        <v>548</v>
      </c>
      <c r="C274" s="32">
        <v>2.2610651129510329</v>
      </c>
      <c r="D274" s="32">
        <v>5.6576237980048294</v>
      </c>
      <c r="E274" s="32">
        <v>3.0557605343323857</v>
      </c>
      <c r="F274" s="32">
        <v>3.4021224249990656</v>
      </c>
      <c r="G274" s="32">
        <v>5.078215167172706</v>
      </c>
      <c r="H274" s="32">
        <v>5.9903006133932735</v>
      </c>
      <c r="I274" s="32">
        <v>7.3193673872839815</v>
      </c>
      <c r="J274" s="32">
        <v>5.9243853524474366</v>
      </c>
      <c r="K274" s="32">
        <v>3.3715271447204209</v>
      </c>
      <c r="L274" s="32">
        <v>-0.28626860406747445</v>
      </c>
      <c r="M274" s="32">
        <v>-2.2654294111244089</v>
      </c>
      <c r="N274" s="32">
        <v>-3.2854895518647953</v>
      </c>
      <c r="O274" s="32">
        <v>0.1525816527759849</v>
      </c>
      <c r="P274" s="32">
        <v>-1.5694841686189398</v>
      </c>
      <c r="Q274" s="32">
        <v>-0.6687595823903103</v>
      </c>
      <c r="R274" s="32">
        <v>2.8135887221250266</v>
      </c>
      <c r="S274" s="32">
        <v>3.6445003645930063</v>
      </c>
      <c r="T274" s="32">
        <v>2.1658159746172023</v>
      </c>
      <c r="U274" s="32">
        <v>3.8968403996759493</v>
      </c>
      <c r="V274" s="32">
        <v>5.719595560522972</v>
      </c>
      <c r="W274" s="32">
        <v>4.3652501014173728</v>
      </c>
      <c r="X274" s="32">
        <v>15.244175363377233</v>
      </c>
      <c r="Y274" s="32">
        <v>22.070727718724449</v>
      </c>
      <c r="Z274" s="32">
        <v>11.781402280757568</v>
      </c>
      <c r="AA274" s="32">
        <v>6.8461855361222623</v>
      </c>
      <c r="AB274" s="32">
        <v>2.5211331316615126</v>
      </c>
    </row>
    <row r="275" spans="2:28" x14ac:dyDescent="0.3">
      <c r="B275" t="s">
        <v>127</v>
      </c>
      <c r="C275" s="32">
        <v>3.3748397331420987</v>
      </c>
      <c r="D275" s="32">
        <v>6.94555392053815</v>
      </c>
      <c r="E275" s="32">
        <v>4.8394071627943624</v>
      </c>
      <c r="F275" s="32">
        <v>4.4679016049197662</v>
      </c>
      <c r="G275" s="32">
        <v>4.903174859563153</v>
      </c>
      <c r="H275" s="32">
        <v>4.2531351046175336</v>
      </c>
      <c r="I275" s="32">
        <v>2.2761212399691644</v>
      </c>
      <c r="J275" s="32">
        <v>2.1163596688274167</v>
      </c>
      <c r="K275" s="32">
        <v>1.307292239523572</v>
      </c>
      <c r="L275" s="32">
        <v>0.72120977122915875</v>
      </c>
      <c r="M275" s="32">
        <v>0.24484139205420696</v>
      </c>
      <c r="N275" s="32">
        <v>0.78342217238360767</v>
      </c>
      <c r="O275" s="32">
        <v>1.4754073374079857</v>
      </c>
      <c r="P275" s="32">
        <v>2.3641798218603904</v>
      </c>
      <c r="Q275" s="32">
        <v>2.7497762321902819</v>
      </c>
      <c r="R275" s="32">
        <v>3.644412709746514</v>
      </c>
      <c r="S275" s="32">
        <v>3.7753007151025919</v>
      </c>
      <c r="T275" s="32">
        <v>3.3325809578182763</v>
      </c>
      <c r="U275" s="32">
        <v>4.5678235059812167</v>
      </c>
      <c r="V275" s="32">
        <v>4.7909857216583696</v>
      </c>
      <c r="W275" s="32">
        <v>5.4267656336112191</v>
      </c>
      <c r="X275" s="32">
        <v>11.133479406955926</v>
      </c>
      <c r="Y275" s="32">
        <v>11.124010448463274</v>
      </c>
      <c r="Z275" s="32">
        <v>5.2641533224057291</v>
      </c>
      <c r="AA275" s="32">
        <v>5.9788328100000898</v>
      </c>
      <c r="AB275" s="32">
        <v>5.6384470893177996</v>
      </c>
    </row>
    <row r="276" spans="2:28" x14ac:dyDescent="0.3">
      <c r="B276" t="s">
        <v>128</v>
      </c>
      <c r="C276" s="32">
        <v>5.4216489016396752</v>
      </c>
      <c r="D276" s="32">
        <v>7.0775892892614545</v>
      </c>
      <c r="E276" s="32">
        <v>9.279287635655308</v>
      </c>
      <c r="F276" s="32">
        <v>9.3316583767633752</v>
      </c>
      <c r="G276" s="32">
        <v>11.966648034283578</v>
      </c>
      <c r="H276" s="32">
        <v>11.411573823688492</v>
      </c>
      <c r="I276" s="32">
        <v>7.9935275080906143</v>
      </c>
      <c r="J276" s="32">
        <v>1.5248611143127366</v>
      </c>
      <c r="K276" s="32">
        <v>-1.7857751035931235</v>
      </c>
      <c r="L276" s="32">
        <v>-1.620584427593863</v>
      </c>
      <c r="M276" s="32">
        <v>-1.8658207026201357</v>
      </c>
      <c r="N276" s="32">
        <v>-2.2975982375901038</v>
      </c>
      <c r="O276" s="32">
        <v>-0.43993480631839832</v>
      </c>
      <c r="P276" s="32">
        <v>-1.5213431145684631</v>
      </c>
      <c r="Q276" s="32">
        <v>-1.0236476352364576</v>
      </c>
      <c r="R276" s="32">
        <v>2.2894593946128694</v>
      </c>
      <c r="S276" s="32">
        <v>0.95553196217377234</v>
      </c>
      <c r="T276" s="32">
        <v>0.37663862257875103</v>
      </c>
      <c r="U276" s="32">
        <v>5.5979240777739747</v>
      </c>
      <c r="V276" s="32">
        <v>3.2591515822748329</v>
      </c>
      <c r="W276" s="32">
        <v>4.7316321058276989</v>
      </c>
      <c r="X276" s="32">
        <v>15.650903039289933</v>
      </c>
      <c r="Y276" s="32">
        <v>15.798358085047525</v>
      </c>
      <c r="Z276" s="32">
        <v>9.3016401538988482</v>
      </c>
      <c r="AA276" s="32">
        <v>8.4765402947221133</v>
      </c>
      <c r="AB276" s="32">
        <v>1.951520828666653</v>
      </c>
    </row>
    <row r="277" spans="2:28" x14ac:dyDescent="0.3">
      <c r="B277" t="s">
        <v>129</v>
      </c>
      <c r="C277" s="32">
        <v>0.796062486625293</v>
      </c>
      <c r="D277" s="32">
        <v>4.5815464311494303</v>
      </c>
      <c r="E277" s="32">
        <v>2.3974827446203717</v>
      </c>
      <c r="F277" s="32">
        <v>2.9579112230130322</v>
      </c>
      <c r="G277" s="32">
        <v>4.8851404694510325</v>
      </c>
      <c r="H277" s="32">
        <v>8.9021479713603533</v>
      </c>
      <c r="I277" s="32">
        <v>10.689660985518978</v>
      </c>
      <c r="J277" s="32">
        <v>7.4063356685958093</v>
      </c>
      <c r="K277" s="32">
        <v>2.3198105582575845</v>
      </c>
      <c r="L277" s="32">
        <v>-1.7530730747377432</v>
      </c>
      <c r="M277" s="32">
        <v>-3.227353513696507</v>
      </c>
      <c r="N277" s="32">
        <v>-4.9091916158936488</v>
      </c>
      <c r="O277" s="32">
        <v>0.87985529905880711</v>
      </c>
      <c r="P277" s="32">
        <v>0.15194797301405494</v>
      </c>
      <c r="Q277" s="32">
        <v>0.89665007889305759</v>
      </c>
      <c r="R277" s="32">
        <v>2.4871058448491024</v>
      </c>
      <c r="S277" s="32">
        <v>4.5659286647006248</v>
      </c>
      <c r="T277" s="32">
        <v>5.0723315887693188</v>
      </c>
      <c r="U277" s="32">
        <v>11.134554778056739</v>
      </c>
      <c r="V277" s="32">
        <v>10.175194059263193</v>
      </c>
      <c r="W277" s="32">
        <v>10.363180281382922</v>
      </c>
      <c r="X277" s="32">
        <v>25.307336548343741</v>
      </c>
      <c r="Y277" s="32">
        <v>21.468284950434157</v>
      </c>
      <c r="Z277" s="32">
        <v>0.7771566584211298</v>
      </c>
      <c r="AA277" s="32">
        <v>4.9729416312330965</v>
      </c>
      <c r="AB277" s="32">
        <v>2.3695599829599123</v>
      </c>
    </row>
    <row r="278" spans="2:28" x14ac:dyDescent="0.3">
      <c r="B278" t="s">
        <v>131</v>
      </c>
      <c r="C278" s="32">
        <v>4.3795954829694894</v>
      </c>
      <c r="D278" s="32">
        <v>9.4845179837170122</v>
      </c>
      <c r="E278" s="32">
        <v>12.729750856867961</v>
      </c>
      <c r="F278" s="32">
        <v>17.070872301838502</v>
      </c>
      <c r="G278" s="32">
        <v>23.741324058745782</v>
      </c>
      <c r="H278" s="32">
        <v>28.26142988646825</v>
      </c>
      <c r="I278" s="32">
        <v>9.8410541525918447</v>
      </c>
      <c r="J278" s="32">
        <v>-9.4350307095874886</v>
      </c>
      <c r="K278" s="32">
        <v>-25.325381174546678</v>
      </c>
      <c r="L278" s="32">
        <v>-20.814654506106034</v>
      </c>
      <c r="M278" s="32">
        <v>-8.1519440377419876</v>
      </c>
      <c r="N278" s="32">
        <v>-2.8835083866168509</v>
      </c>
      <c r="O278" s="32">
        <v>-2.2614944100964984</v>
      </c>
      <c r="P278" s="32">
        <v>9.4829355675393643</v>
      </c>
      <c r="Q278" s="32">
        <v>12.019157022821393</v>
      </c>
      <c r="R278" s="32">
        <v>13.51996957017878</v>
      </c>
      <c r="S278" s="32">
        <v>12.712602699333875</v>
      </c>
      <c r="T278" s="32">
        <v>11.332286910197853</v>
      </c>
      <c r="U278" s="32">
        <v>8.2167346677205053</v>
      </c>
      <c r="V278" s="32">
        <v>5.0128801113315413</v>
      </c>
      <c r="W278" s="32">
        <v>5.8036805203105279</v>
      </c>
      <c r="X278" s="32">
        <v>20.430298561822102</v>
      </c>
      <c r="Y278" s="32">
        <v>25.821703596612842</v>
      </c>
      <c r="Z278" s="32">
        <v>6.5863910563434214</v>
      </c>
      <c r="AA278" s="32">
        <v>3.3611273059280133</v>
      </c>
      <c r="AB278" s="32">
        <v>1.3108976425332708</v>
      </c>
    </row>
    <row r="279" spans="2:28" x14ac:dyDescent="0.3">
      <c r="B279" t="s">
        <v>364</v>
      </c>
      <c r="C279" s="32">
        <v>9.9633923123856114</v>
      </c>
      <c r="D279" s="32">
        <v>10.592021306108833</v>
      </c>
      <c r="E279" s="32">
        <v>10.840189979262838</v>
      </c>
      <c r="F279" s="32">
        <v>9.7392800024140627</v>
      </c>
      <c r="G279" s="32">
        <v>12.852487866580532</v>
      </c>
      <c r="H279" s="32">
        <v>11.252299557753908</v>
      </c>
      <c r="I279" s="32">
        <v>3.2743081791999362</v>
      </c>
      <c r="J279" s="32">
        <v>0.74649813905647289</v>
      </c>
      <c r="K279" s="32">
        <v>-2.366041826735843</v>
      </c>
      <c r="L279" s="32">
        <v>-4.2883477248471857</v>
      </c>
      <c r="M279" s="32">
        <v>-3.4014754744607689</v>
      </c>
      <c r="N279" s="32">
        <v>-1.8982102256165256</v>
      </c>
      <c r="O279" s="32">
        <v>-0.71431118295163243</v>
      </c>
      <c r="P279" s="32">
        <v>1.0103428461980757</v>
      </c>
      <c r="Q279" s="32">
        <v>2.0324721497985365</v>
      </c>
      <c r="R279" s="32">
        <v>3.9258958127649679</v>
      </c>
      <c r="S279" s="32">
        <v>4.1799385303157077</v>
      </c>
      <c r="T279" s="32">
        <v>5.8284610845894091</v>
      </c>
      <c r="U279" s="32">
        <v>5.921052631578938</v>
      </c>
      <c r="V279" s="32">
        <v>5.1833207323259023</v>
      </c>
      <c r="W279" s="32">
        <v>6.4155406942359328</v>
      </c>
      <c r="X279" s="32">
        <v>17.291118027292306</v>
      </c>
      <c r="Y279" s="32">
        <v>18.115017604735417</v>
      </c>
      <c r="Z279" s="32">
        <v>9.9000796153774893</v>
      </c>
      <c r="AA279" s="32">
        <v>6.9062728140618868</v>
      </c>
      <c r="AB279" s="32">
        <v>5.8566489531980181</v>
      </c>
    </row>
    <row r="280" spans="2:28" x14ac:dyDescent="0.3">
      <c r="B280" t="s">
        <v>365</v>
      </c>
      <c r="C280" s="32">
        <v>2.5481498550223636</v>
      </c>
      <c r="D280" s="32">
        <v>5.347914013931554</v>
      </c>
      <c r="E280" s="32">
        <v>4.1539281905438985</v>
      </c>
      <c r="F280" s="32">
        <v>4.2783760260764137</v>
      </c>
      <c r="G280" s="32">
        <v>8.7539277297722151</v>
      </c>
      <c r="H280" s="32">
        <v>16.61625509758775</v>
      </c>
      <c r="I280" s="32">
        <v>17.003677656623005</v>
      </c>
      <c r="J280" s="32">
        <v>5.8926680783483176</v>
      </c>
      <c r="K280" s="32">
        <v>-3.3994688329948453</v>
      </c>
      <c r="L280" s="32">
        <v>-8.8538128968959953</v>
      </c>
      <c r="M280" s="32">
        <v>-6.4668377908420949</v>
      </c>
      <c r="N280" s="32">
        <v>-6.6812525293403535</v>
      </c>
      <c r="O280" s="32">
        <v>-4.2011681958009639E-2</v>
      </c>
      <c r="P280" s="32">
        <v>8.2662219691423289</v>
      </c>
      <c r="Q280" s="32">
        <v>9.5435476801703167</v>
      </c>
      <c r="R280" s="32">
        <v>9.8895697105491731</v>
      </c>
      <c r="S280" s="32">
        <v>12.165156511698072</v>
      </c>
      <c r="T280" s="32">
        <v>8.6012928835755389</v>
      </c>
      <c r="U280" s="32">
        <v>5.3956189418848277</v>
      </c>
      <c r="V280" s="32">
        <v>3.4461523502386182</v>
      </c>
      <c r="W280" s="32">
        <v>4.6895806244418914</v>
      </c>
      <c r="X280" s="32">
        <v>14.854885412224196</v>
      </c>
      <c r="Y280" s="32">
        <v>12.549264854371467</v>
      </c>
      <c r="Z280" s="32">
        <v>-0.3611717244213497</v>
      </c>
      <c r="AA280" s="32">
        <v>2.3462505881601148</v>
      </c>
      <c r="AB280" s="32">
        <v>2.623258797653949</v>
      </c>
    </row>
    <row r="281" spans="2:28" x14ac:dyDescent="0.3">
      <c r="B281" t="s">
        <v>465</v>
      </c>
      <c r="C281" s="32">
        <v>4.9877876333719096</v>
      </c>
      <c r="D281" s="32">
        <v>6.5405493653320379</v>
      </c>
      <c r="E281" s="32">
        <v>5.7252858812036678</v>
      </c>
      <c r="F281" s="32">
        <v>6.373650264511932</v>
      </c>
      <c r="G281" s="32">
        <v>13.058214395203848</v>
      </c>
      <c r="H281" s="32">
        <v>27.896536659586314</v>
      </c>
      <c r="I281" s="32">
        <v>17.930717676297725</v>
      </c>
      <c r="J281" s="32">
        <v>-0.88092527116916397</v>
      </c>
      <c r="K281" s="32">
        <v>-10.916968964127371</v>
      </c>
      <c r="L281" s="32">
        <v>-15.005768839219058</v>
      </c>
      <c r="M281" s="32">
        <v>-13.778280542986421</v>
      </c>
      <c r="N281" s="32">
        <v>-8.9477827341905005</v>
      </c>
      <c r="O281" s="32">
        <v>1.5172063061535956</v>
      </c>
      <c r="P281" s="32">
        <v>9.8305084745762716</v>
      </c>
      <c r="Q281" s="32">
        <v>9.7503496928784017</v>
      </c>
      <c r="R281" s="32">
        <v>7.9226986215972905</v>
      </c>
      <c r="S281" s="32">
        <v>6.563205997124677</v>
      </c>
      <c r="T281" s="32">
        <v>9.2812315549827051</v>
      </c>
      <c r="U281" s="32">
        <v>9.0154538039284748</v>
      </c>
      <c r="V281" s="32">
        <v>6.2486729153395704</v>
      </c>
      <c r="W281" s="32">
        <v>6.8775516030490813</v>
      </c>
      <c r="X281" s="32">
        <v>19.910424902945479</v>
      </c>
      <c r="Y281" s="32">
        <v>19.406841960659094</v>
      </c>
      <c r="Z281" s="32">
        <v>1.9707221213402626</v>
      </c>
      <c r="AA281" s="32">
        <v>4.5897800247601817</v>
      </c>
      <c r="AB281" s="32">
        <v>3.7917344077660786</v>
      </c>
    </row>
    <row r="282" spans="2:28" x14ac:dyDescent="0.3">
      <c r="B282" t="s">
        <v>366</v>
      </c>
      <c r="C282" s="32">
        <v>11.051277060490072</v>
      </c>
      <c r="D282" s="32">
        <v>11.688640479853539</v>
      </c>
      <c r="E282" s="32">
        <v>15.052919739847614</v>
      </c>
      <c r="F282" s="32">
        <v>14.174648399612021</v>
      </c>
      <c r="G282" s="32">
        <v>17.304909938011861</v>
      </c>
      <c r="H282" s="32">
        <v>12.615701450652917</v>
      </c>
      <c r="I282" s="32">
        <v>3.1761502366287386</v>
      </c>
      <c r="J282" s="32">
        <v>-3.0248139924428541</v>
      </c>
      <c r="K282" s="32">
        <v>-7.8300427805338408</v>
      </c>
      <c r="L282" s="32">
        <v>-7.5298809121713823</v>
      </c>
      <c r="M282" s="32">
        <v>-3.8152468481206459</v>
      </c>
      <c r="N282" s="32">
        <v>-3.9580066640533151</v>
      </c>
      <c r="O282" s="32">
        <v>-2.075228632287851</v>
      </c>
      <c r="P282" s="32">
        <v>3.2563107301952776E-2</v>
      </c>
      <c r="Q282" s="32">
        <v>2.8099324209950538</v>
      </c>
      <c r="R282" s="32">
        <v>4.2820775865344496</v>
      </c>
      <c r="S282" s="32">
        <v>4.6357696324904607</v>
      </c>
      <c r="T282" s="32">
        <v>5.4831408507921786</v>
      </c>
      <c r="U282" s="32">
        <v>5.7361986817636712</v>
      </c>
      <c r="V282" s="32">
        <v>4.4727969029680015</v>
      </c>
      <c r="W282" s="32">
        <v>5.5911943420658972</v>
      </c>
      <c r="X282" s="32">
        <v>15.054290916294866</v>
      </c>
      <c r="Y282" s="32">
        <v>15.127786751502503</v>
      </c>
      <c r="Z282" s="32">
        <v>7.604105091481439</v>
      </c>
      <c r="AA282" s="32">
        <v>8.7664142751244345</v>
      </c>
      <c r="AB282" s="32">
        <v>6.7008326405003427</v>
      </c>
    </row>
    <row r="283" spans="2:28" x14ac:dyDescent="0.3">
      <c r="B283" t="s">
        <v>504</v>
      </c>
      <c r="C283" s="32">
        <v>1.840478759933295</v>
      </c>
      <c r="D283" s="32">
        <v>4.3504229042637066</v>
      </c>
      <c r="E283" s="32">
        <v>1.041339709385003</v>
      </c>
      <c r="F283" s="32">
        <v>1.3723161260849714</v>
      </c>
      <c r="G283" s="32">
        <v>1.9792342634652904</v>
      </c>
      <c r="H283" s="32">
        <v>6.9236751864814261</v>
      </c>
      <c r="I283" s="32">
        <v>16.108181382354413</v>
      </c>
      <c r="J283" s="32">
        <v>14.541183170783789</v>
      </c>
      <c r="K283" s="32">
        <v>-2.1094371519490895</v>
      </c>
      <c r="L283" s="32">
        <v>-10.742720727355849</v>
      </c>
      <c r="M283" s="32">
        <v>-7.8189241865957104</v>
      </c>
      <c r="N283" s="32">
        <v>-5.2195385446408</v>
      </c>
      <c r="O283" s="32">
        <v>2.0012049566052958</v>
      </c>
      <c r="P283" s="32">
        <v>8.4655662335174409</v>
      </c>
      <c r="Q283" s="32">
        <v>6.9512105379350819</v>
      </c>
      <c r="R283" s="32">
        <v>6.455386139703867</v>
      </c>
      <c r="S283" s="32">
        <v>7.2544888119029372</v>
      </c>
      <c r="T283" s="32">
        <v>8.4728399079196492</v>
      </c>
      <c r="U283" s="32">
        <v>8.8054577171364556</v>
      </c>
      <c r="V283" s="32">
        <v>7.158466597226476</v>
      </c>
      <c r="W283" s="32">
        <v>6.9385149043226457</v>
      </c>
      <c r="X283" s="32">
        <v>22.577684308081626</v>
      </c>
      <c r="Y283" s="32">
        <v>19.031936780731805</v>
      </c>
      <c r="Z283" s="32">
        <v>-0.39027190775168252</v>
      </c>
      <c r="AA283" s="32">
        <v>4.1086987179094203</v>
      </c>
      <c r="AB283" s="32">
        <v>4.0607201582346431</v>
      </c>
    </row>
    <row r="284" spans="2:28" x14ac:dyDescent="0.3">
      <c r="B284" t="s">
        <v>132</v>
      </c>
      <c r="C284" s="32">
        <v>3.3086371612400134</v>
      </c>
      <c r="D284" s="32">
        <v>6.5412270934380068</v>
      </c>
      <c r="E284" s="32">
        <v>3.8315058544275749</v>
      </c>
      <c r="F284" s="32">
        <v>3.5962877030162543</v>
      </c>
      <c r="G284" s="32">
        <v>3.7777485014162338</v>
      </c>
      <c r="H284" s="32">
        <v>3.4751975626011733</v>
      </c>
      <c r="I284" s="32">
        <v>3.2403999509262649</v>
      </c>
      <c r="J284" s="32">
        <v>1.4839351762451436</v>
      </c>
      <c r="K284" s="32">
        <v>-3.9490632318501029</v>
      </c>
      <c r="L284" s="32">
        <v>-1.0941452561640808</v>
      </c>
      <c r="M284" s="32">
        <v>-2.2571798348330008</v>
      </c>
      <c r="N284" s="32">
        <v>-3.0848531660335188</v>
      </c>
      <c r="O284" s="32">
        <v>-1.1840863992713224</v>
      </c>
      <c r="P284" s="32">
        <v>2.6335714520842046E-2</v>
      </c>
      <c r="Q284" s="32">
        <v>3.1150238604574554</v>
      </c>
      <c r="R284" s="32">
        <v>7.6711935272808729</v>
      </c>
      <c r="S284" s="32">
        <v>5.7299540536534632</v>
      </c>
      <c r="T284" s="32">
        <v>9.2183469776830904</v>
      </c>
      <c r="U284" s="32">
        <v>10.696683437724609</v>
      </c>
      <c r="V284" s="32">
        <v>7.9957331354497674</v>
      </c>
      <c r="W284" s="32">
        <v>8.7597431878207352</v>
      </c>
      <c r="X284" s="32">
        <v>19.825075764306366</v>
      </c>
      <c r="Y284" s="32">
        <v>17.125815593488468</v>
      </c>
      <c r="Z284" s="32">
        <v>-0.59575725177954952</v>
      </c>
      <c r="AA284" s="32">
        <v>2.9032372191756473</v>
      </c>
      <c r="AB284" s="32">
        <v>0.99851993912989379</v>
      </c>
    </row>
    <row r="285" spans="2:28" x14ac:dyDescent="0.3">
      <c r="B285" t="s">
        <v>133</v>
      </c>
      <c r="C285" s="32">
        <v>7.3390047163574001</v>
      </c>
      <c r="D285" s="32">
        <v>10.126478318002619</v>
      </c>
      <c r="E285" s="32">
        <v>11.089566708926846</v>
      </c>
      <c r="F285" s="32">
        <v>12.713144468313642</v>
      </c>
      <c r="G285" s="32">
        <v>20.63163537277206</v>
      </c>
      <c r="H285" s="32">
        <v>28.209590816515462</v>
      </c>
      <c r="I285" s="32">
        <v>9.6246233236095158</v>
      </c>
      <c r="J285" s="32">
        <v>-11.986896878787334</v>
      </c>
      <c r="K285" s="32">
        <v>-22.998094135725466</v>
      </c>
      <c r="L285" s="32">
        <v>-14.321813163316877</v>
      </c>
      <c r="M285" s="32">
        <v>-6.4915226038689049</v>
      </c>
      <c r="N285" s="32">
        <v>-8.0388192478770826</v>
      </c>
      <c r="O285" s="32">
        <v>0.77213965350453329</v>
      </c>
      <c r="P285" s="32">
        <v>9.3238384473068869</v>
      </c>
      <c r="Q285" s="32">
        <v>7.0486621112459291</v>
      </c>
      <c r="R285" s="32">
        <v>11.716454639006146</v>
      </c>
      <c r="S285" s="32">
        <v>11.249949937923031</v>
      </c>
      <c r="T285" s="32">
        <v>8.9267285861713184</v>
      </c>
      <c r="U285" s="32">
        <v>6.2011831712073029</v>
      </c>
      <c r="V285" s="32">
        <v>5.6793427522250584</v>
      </c>
      <c r="W285" s="32">
        <v>4.5761064813451435</v>
      </c>
      <c r="X285" s="32">
        <v>22.036061911600481</v>
      </c>
      <c r="Y285" s="32">
        <v>29.183331282303726</v>
      </c>
      <c r="Z285" s="32">
        <v>3.2960424865592142</v>
      </c>
      <c r="AA285" s="32">
        <v>-1.0628548373151969</v>
      </c>
      <c r="AB285" s="32">
        <v>-3.5378600774876201</v>
      </c>
    </row>
    <row r="286" spans="2:28" x14ac:dyDescent="0.3">
      <c r="B286" t="s">
        <v>505</v>
      </c>
      <c r="C286" s="32">
        <v>4.889919371684015</v>
      </c>
      <c r="D286" s="32">
        <v>5.123966942148761</v>
      </c>
      <c r="E286" s="32">
        <v>4.6885655830870565</v>
      </c>
      <c r="F286" s="32">
        <v>5.063062084939296</v>
      </c>
      <c r="G286" s="32">
        <v>9.953324951344289</v>
      </c>
      <c r="H286" s="32">
        <v>10.386904761904736</v>
      </c>
      <c r="I286" s="32">
        <v>3.7377077095542832</v>
      </c>
      <c r="J286" s="32">
        <v>1.1695506463306193</v>
      </c>
      <c r="K286" s="32">
        <v>-3.0056787452677147</v>
      </c>
      <c r="L286" s="32">
        <v>-3.8013856169061944</v>
      </c>
      <c r="M286" s="32">
        <v>-6.2193884944210964</v>
      </c>
      <c r="N286" s="32">
        <v>-5.398807132482486</v>
      </c>
      <c r="O286" s="32">
        <v>-2.2148177185417173</v>
      </c>
      <c r="P286" s="32">
        <v>-1.8674417050845271</v>
      </c>
      <c r="Q286" s="32">
        <v>1.4961702127659571</v>
      </c>
      <c r="R286" s="32">
        <v>3.3490415737309043</v>
      </c>
      <c r="S286" s="32">
        <v>4.0518612274040189</v>
      </c>
      <c r="T286" s="32">
        <v>4.7237340735773348</v>
      </c>
      <c r="U286" s="32">
        <v>8.0771979985704068</v>
      </c>
      <c r="V286" s="32">
        <v>5.9482473544973491</v>
      </c>
      <c r="W286" s="32">
        <v>4.7299494102194028</v>
      </c>
      <c r="X286" s="32">
        <v>11.36843412392896</v>
      </c>
      <c r="Y286" s="32">
        <v>13.680102581256627</v>
      </c>
      <c r="Z286" s="32">
        <v>8.8010279145496852</v>
      </c>
      <c r="AA286" s="32">
        <v>7.2038367575071982</v>
      </c>
      <c r="AB286" s="32">
        <v>8.4423489069867195</v>
      </c>
    </row>
    <row r="287" spans="2:28" x14ac:dyDescent="0.3">
      <c r="B287" t="s">
        <v>506</v>
      </c>
      <c r="C287" s="32">
        <v>3.2260778128285983</v>
      </c>
      <c r="D287" s="32">
        <v>4.3883954037975847</v>
      </c>
      <c r="E287" s="32">
        <v>2.4454506421015765</v>
      </c>
      <c r="F287" s="32">
        <v>2.0613057476519758</v>
      </c>
      <c r="G287" s="32">
        <v>2.7289866163925813</v>
      </c>
      <c r="H287" s="32">
        <v>4.6479513037158249</v>
      </c>
      <c r="I287" s="32">
        <v>6.2681228621533691</v>
      </c>
      <c r="J287" s="32">
        <v>6.1026420273516013</v>
      </c>
      <c r="K287" s="32">
        <v>2.4377098155163202</v>
      </c>
      <c r="L287" s="32">
        <v>-1.9497602260939995</v>
      </c>
      <c r="M287" s="32">
        <v>-3.2748681466944651</v>
      </c>
      <c r="N287" s="32">
        <v>-2.6153943697692306</v>
      </c>
      <c r="O287" s="32">
        <v>-0.99612617598227038</v>
      </c>
      <c r="P287" s="32">
        <v>1.9728405616019407</v>
      </c>
      <c r="Q287" s="32">
        <v>4.2949730758069071</v>
      </c>
      <c r="R287" s="32">
        <v>4.8369145153810633</v>
      </c>
      <c r="S287" s="32">
        <v>6.1988528288532629</v>
      </c>
      <c r="T287" s="32">
        <v>6.8144898157532996</v>
      </c>
      <c r="U287" s="32">
        <v>6.045677295238594</v>
      </c>
      <c r="V287" s="32">
        <v>5.6495305336961454</v>
      </c>
      <c r="W287" s="32">
        <v>5.0248865890870409</v>
      </c>
      <c r="X287" s="32">
        <v>15.990587923377708</v>
      </c>
      <c r="Y287" s="32">
        <v>24.285455774926934</v>
      </c>
      <c r="Z287" s="32">
        <v>4.7717937714566006</v>
      </c>
      <c r="AA287" s="32">
        <v>4.4162284326704215</v>
      </c>
      <c r="AB287" s="32">
        <v>3.2874833894088074</v>
      </c>
    </row>
    <row r="288" spans="2:28" x14ac:dyDescent="0.3">
      <c r="B288" t="s">
        <v>134</v>
      </c>
      <c r="C288" s="32">
        <v>7.8501959068398186</v>
      </c>
      <c r="D288" s="32">
        <v>7.3451849666211544</v>
      </c>
      <c r="E288" s="32">
        <v>5.5043034582280992</v>
      </c>
      <c r="F288" s="32">
        <v>6.008499829026448</v>
      </c>
      <c r="G288" s="32">
        <v>7.0641905902953717</v>
      </c>
      <c r="H288" s="32">
        <v>7.4947634214226344</v>
      </c>
      <c r="I288" s="32">
        <v>4.6979686624135875</v>
      </c>
      <c r="J288" s="32">
        <v>2.9765698697193033</v>
      </c>
      <c r="K288" s="32">
        <v>3.003181441180458</v>
      </c>
      <c r="L288" s="32">
        <v>0.18868604804884725</v>
      </c>
      <c r="M288" s="32">
        <v>-0.68014970490858362</v>
      </c>
      <c r="N288" s="32">
        <v>0.14614056064834458</v>
      </c>
      <c r="O288" s="32">
        <v>1.3965604573192625</v>
      </c>
      <c r="P288" s="32">
        <v>4.18074123412151</v>
      </c>
      <c r="Q288" s="32">
        <v>2.6144238563322597</v>
      </c>
      <c r="R288" s="32">
        <v>3.6759715623991607</v>
      </c>
      <c r="S288" s="32">
        <v>4.043569243977041</v>
      </c>
      <c r="T288" s="32">
        <v>3.9802791043082708</v>
      </c>
      <c r="U288" s="32">
        <v>4.636352815141076</v>
      </c>
      <c r="V288" s="32">
        <v>4.3200045503668516</v>
      </c>
      <c r="W288" s="32">
        <v>5.4769499195769233</v>
      </c>
      <c r="X288" s="32">
        <v>18.166623589213394</v>
      </c>
      <c r="Y288" s="32">
        <v>20.110676893464372</v>
      </c>
      <c r="Z288" s="32">
        <v>6.2705248908880185</v>
      </c>
      <c r="AA288" s="32">
        <v>4.9483346566211006</v>
      </c>
      <c r="AB288" s="32">
        <v>4.7313750438750191</v>
      </c>
    </row>
    <row r="289" spans="2:28" x14ac:dyDescent="0.3">
      <c r="B289" t="s">
        <v>135</v>
      </c>
      <c r="C289" s="32">
        <v>1.2982431383616655</v>
      </c>
      <c r="D289" s="32">
        <v>5.0126535255740512</v>
      </c>
      <c r="E289" s="32">
        <v>4.8618173778465446</v>
      </c>
      <c r="F289" s="32">
        <v>5.8086824516646152</v>
      </c>
      <c r="G289" s="32">
        <v>10.154630958074273</v>
      </c>
      <c r="H289" s="32">
        <v>12.310057887120118</v>
      </c>
      <c r="I289" s="32">
        <v>9.4821615527100001</v>
      </c>
      <c r="J289" s="32">
        <v>3.729476843406121</v>
      </c>
      <c r="K289" s="32">
        <v>-1.0949267448622013</v>
      </c>
      <c r="L289" s="32">
        <v>-2.8006022800602604</v>
      </c>
      <c r="M289" s="32">
        <v>-3.2722551709893466</v>
      </c>
      <c r="N289" s="32">
        <v>-3.7291806479165412</v>
      </c>
      <c r="O289" s="32">
        <v>-2.9072070216574875</v>
      </c>
      <c r="P289" s="32">
        <v>0.31166372952156074</v>
      </c>
      <c r="Q289" s="32">
        <v>0.78893859292394897</v>
      </c>
      <c r="R289" s="32">
        <v>2.5387346675274536</v>
      </c>
      <c r="S289" s="32">
        <v>1.1773409094486098</v>
      </c>
      <c r="T289" s="32">
        <v>4.128747219240525</v>
      </c>
      <c r="U289" s="32">
        <v>3.8335698812280494</v>
      </c>
      <c r="V289" s="32">
        <v>3.9941871339980617</v>
      </c>
      <c r="W289" s="32">
        <v>6.06832048922894</v>
      </c>
      <c r="X289" s="32">
        <v>13.235850410237004</v>
      </c>
      <c r="Y289" s="32">
        <v>15.62838382674807</v>
      </c>
      <c r="Z289" s="32">
        <v>8.8157645675802208</v>
      </c>
      <c r="AA289" s="32">
        <v>8.1427498947137078</v>
      </c>
      <c r="AB289" s="32">
        <v>4.6872054968214893</v>
      </c>
    </row>
    <row r="290" spans="2:28" x14ac:dyDescent="0.3">
      <c r="B290" t="s">
        <v>136</v>
      </c>
      <c r="C290" s="32">
        <v>4.1851967595374795</v>
      </c>
      <c r="D290" s="32">
        <v>9.9723119520073844</v>
      </c>
      <c r="E290" s="32">
        <v>14.042633544542804</v>
      </c>
      <c r="F290" s="32">
        <v>16.813540612639155</v>
      </c>
      <c r="G290" s="32">
        <v>20.657069959366225</v>
      </c>
      <c r="H290" s="32">
        <v>22.365226471739973</v>
      </c>
      <c r="I290" s="32">
        <v>9.2336576207544105</v>
      </c>
      <c r="J290" s="32">
        <v>-4.5234375000000053</v>
      </c>
      <c r="K290" s="32">
        <v>-12.772072661811629</v>
      </c>
      <c r="L290" s="32">
        <v>-11.77401765926761</v>
      </c>
      <c r="M290" s="32">
        <v>-10.651249335459855</v>
      </c>
      <c r="N290" s="32">
        <v>-9.4799631095112034</v>
      </c>
      <c r="O290" s="32">
        <v>0.22020278375758373</v>
      </c>
      <c r="P290" s="32">
        <v>9.9578598717759537</v>
      </c>
      <c r="Q290" s="32">
        <v>8.5252013122576678</v>
      </c>
      <c r="R290" s="32">
        <v>5.1692155488684666</v>
      </c>
      <c r="S290" s="32">
        <v>4.031931433648217</v>
      </c>
      <c r="T290" s="32">
        <v>5.1742543171114708</v>
      </c>
      <c r="U290" s="32">
        <v>5.6934742372678926</v>
      </c>
      <c r="V290" s="32">
        <v>5.906477014675815</v>
      </c>
      <c r="W290" s="32">
        <v>5.354113994943499</v>
      </c>
      <c r="X290" s="32">
        <v>15.251113811259609</v>
      </c>
      <c r="Y290" s="32">
        <v>10.963609846954036</v>
      </c>
      <c r="Z290" s="32">
        <v>0.58194313584214452</v>
      </c>
      <c r="AA290" s="32">
        <v>1.981328127459947</v>
      </c>
      <c r="AB290" s="32">
        <v>1.9267085980054111</v>
      </c>
    </row>
    <row r="291" spans="2:28" x14ac:dyDescent="0.3">
      <c r="B291" t="s">
        <v>137</v>
      </c>
      <c r="C291" s="32">
        <v>2.9796671204602276</v>
      </c>
      <c r="D291" s="32">
        <v>5.7996972216891596</v>
      </c>
      <c r="E291" s="32">
        <v>7.5777423970656343</v>
      </c>
      <c r="F291" s="32">
        <v>9.7210513497817619</v>
      </c>
      <c r="G291" s="32">
        <v>25.300505395437778</v>
      </c>
      <c r="H291" s="32">
        <v>27.700106287302752</v>
      </c>
      <c r="I291" s="32">
        <v>6.4846234287299742</v>
      </c>
      <c r="J291" s="32">
        <v>-7.7191329879448105</v>
      </c>
      <c r="K291" s="32">
        <v>-16.462514116931636</v>
      </c>
      <c r="L291" s="32">
        <v>-18.790297420965054</v>
      </c>
      <c r="M291" s="32">
        <v>-14.620716149376534</v>
      </c>
      <c r="N291" s="32">
        <v>-11.728753819906634</v>
      </c>
      <c r="O291" s="32">
        <v>-1.4612492831807766</v>
      </c>
      <c r="P291" s="32">
        <v>16.960879405108329</v>
      </c>
      <c r="Q291" s="32">
        <v>16.786451422674343</v>
      </c>
      <c r="R291" s="32">
        <v>13.957047954176073</v>
      </c>
      <c r="S291" s="32">
        <v>11.818383228557972</v>
      </c>
      <c r="T291" s="32">
        <v>9.9228511634242835</v>
      </c>
      <c r="U291" s="32">
        <v>11.374850731135776</v>
      </c>
      <c r="V291" s="32">
        <v>5.5399896826922257</v>
      </c>
      <c r="W291" s="32">
        <v>5.0460034502587847</v>
      </c>
      <c r="X291" s="32">
        <v>19.198941654121594</v>
      </c>
      <c r="Y291" s="32">
        <v>14.492376461943547</v>
      </c>
      <c r="Z291" s="32">
        <v>-0.81493762618497501</v>
      </c>
      <c r="AA291" s="32">
        <v>4.6837823446546745</v>
      </c>
      <c r="AB291" s="32">
        <v>4.4176654422558803</v>
      </c>
    </row>
    <row r="292" spans="2:28" x14ac:dyDescent="0.3">
      <c r="B292" t="s">
        <v>138</v>
      </c>
      <c r="C292" s="32">
        <v>4.7509512651288777</v>
      </c>
      <c r="D292" s="32">
        <v>5.8612268352248087</v>
      </c>
      <c r="E292" s="32">
        <v>5.8914758738344286</v>
      </c>
      <c r="F292" s="32">
        <v>6.2721980154516466</v>
      </c>
      <c r="G292" s="32">
        <v>10.630857221609702</v>
      </c>
      <c r="H292" s="32">
        <v>14.969090144661212</v>
      </c>
      <c r="I292" s="32">
        <v>12.485101311084623</v>
      </c>
      <c r="J292" s="32">
        <v>5.1089704996989838</v>
      </c>
      <c r="K292" s="32">
        <v>-1.5969207152921827</v>
      </c>
      <c r="L292" s="32">
        <v>-5.3143808426175054</v>
      </c>
      <c r="M292" s="32">
        <v>-5.3925787493545041</v>
      </c>
      <c r="N292" s="32">
        <v>-5.8935904766855618</v>
      </c>
      <c r="O292" s="32">
        <v>-1.63644649441399</v>
      </c>
      <c r="P292" s="32">
        <v>1.0754197787386843</v>
      </c>
      <c r="Q292" s="32">
        <v>3.2794399533294438</v>
      </c>
      <c r="R292" s="32">
        <v>3.7912716024477211</v>
      </c>
      <c r="S292" s="32">
        <v>3.7629253375489169</v>
      </c>
      <c r="T292" s="32">
        <v>5.3735108269437504</v>
      </c>
      <c r="U292" s="32">
        <v>5.4704258067574507</v>
      </c>
      <c r="V292" s="32">
        <v>4.6248749957863655</v>
      </c>
      <c r="W292" s="32">
        <v>4.9638611149892986</v>
      </c>
      <c r="X292" s="32">
        <v>12.792755921624831</v>
      </c>
      <c r="Y292" s="32">
        <v>16.108782815363121</v>
      </c>
      <c r="Z292" s="32">
        <v>8.3971374105440866</v>
      </c>
      <c r="AA292" s="32">
        <v>7.2377904630110068</v>
      </c>
      <c r="AB292" s="32">
        <v>4.5918610915985258</v>
      </c>
    </row>
    <row r="293" spans="2:28" x14ac:dyDescent="0.3">
      <c r="B293" t="s">
        <v>367</v>
      </c>
      <c r="C293" s="32">
        <v>7.385444743935321</v>
      </c>
      <c r="D293" s="32">
        <v>10.192771084337338</v>
      </c>
      <c r="E293" s="32">
        <v>12.313215248924859</v>
      </c>
      <c r="F293" s="32">
        <v>15.993055668229683</v>
      </c>
      <c r="G293" s="32">
        <v>28.911735907119862</v>
      </c>
      <c r="H293" s="32">
        <v>24.775659458110443</v>
      </c>
      <c r="I293" s="32">
        <v>14.109677194935299</v>
      </c>
      <c r="J293" s="32">
        <v>-3.7754254403011722</v>
      </c>
      <c r="K293" s="32">
        <v>-28.15710065498207</v>
      </c>
      <c r="L293" s="32">
        <v>-20.091278896715934</v>
      </c>
      <c r="M293" s="32">
        <v>-2.9205639709737108</v>
      </c>
      <c r="N293" s="32">
        <v>-4.8288308772328588</v>
      </c>
      <c r="O293" s="32">
        <v>-0.25981394932135249</v>
      </c>
      <c r="P293" s="32">
        <v>15.981256643262419</v>
      </c>
      <c r="Q293" s="32">
        <v>16.473048327137562</v>
      </c>
      <c r="R293" s="32">
        <v>6.401134827226973</v>
      </c>
      <c r="S293" s="32">
        <v>6.2399750026038925</v>
      </c>
      <c r="T293" s="32">
        <v>7.4460054313193025</v>
      </c>
      <c r="U293" s="32">
        <v>7.2283659987590676</v>
      </c>
      <c r="V293" s="32">
        <v>3.9015299783863089</v>
      </c>
      <c r="W293" s="32">
        <v>5.382341138219382</v>
      </c>
      <c r="X293" s="32">
        <v>18.333786671847662</v>
      </c>
      <c r="Y293" s="32">
        <v>18.75730629293475</v>
      </c>
      <c r="Z293" s="32">
        <v>2.3204499328086881</v>
      </c>
      <c r="AA293" s="32">
        <v>5.5047210346821807</v>
      </c>
      <c r="AB293" s="32">
        <v>3.147629422139242</v>
      </c>
    </row>
    <row r="294" spans="2:28" x14ac:dyDescent="0.3">
      <c r="B294" t="s">
        <v>139</v>
      </c>
      <c r="C294" s="32">
        <v>2.8294260307194952</v>
      </c>
      <c r="D294" s="32">
        <v>6.1610393909301564</v>
      </c>
      <c r="E294" s="32">
        <v>4.5055930155513124</v>
      </c>
      <c r="F294" s="32">
        <v>5.0274120762316743</v>
      </c>
      <c r="G294" s="32">
        <v>7.0576328965590962</v>
      </c>
      <c r="H294" s="32">
        <v>9.0568353317743711</v>
      </c>
      <c r="I294" s="32">
        <v>9.6231637215243637</v>
      </c>
      <c r="J294" s="32">
        <v>5.2173792414615949</v>
      </c>
      <c r="K294" s="32">
        <v>1.0059725500019878</v>
      </c>
      <c r="L294" s="32">
        <v>-0.69181568985773323</v>
      </c>
      <c r="M294" s="32">
        <v>-4.1916403785489003</v>
      </c>
      <c r="N294" s="32">
        <v>-3.4201753302876781</v>
      </c>
      <c r="O294" s="32">
        <v>-2.230176993664601</v>
      </c>
      <c r="P294" s="32">
        <v>-0.55355378624977192</v>
      </c>
      <c r="Q294" s="32">
        <v>1.0066182593831519</v>
      </c>
      <c r="R294" s="32">
        <v>1.7169058088405631</v>
      </c>
      <c r="S294" s="32">
        <v>1.430541927960971</v>
      </c>
      <c r="T294" s="32">
        <v>3.4558174094688088</v>
      </c>
      <c r="U294" s="32">
        <v>2.4459983196465807</v>
      </c>
      <c r="V294" s="32">
        <v>4.2341829918385088</v>
      </c>
      <c r="W294" s="32">
        <v>5.3527918781725914</v>
      </c>
      <c r="X294" s="32">
        <v>12.602086294538539</v>
      </c>
      <c r="Y294" s="32">
        <v>15.921052631578924</v>
      </c>
      <c r="Z294" s="32">
        <v>8.3534047599272743</v>
      </c>
      <c r="AA294" s="32">
        <v>8.8302176042243339</v>
      </c>
      <c r="AB294" s="32">
        <v>5.7143994268884724</v>
      </c>
    </row>
    <row r="295" spans="2:28" x14ac:dyDescent="0.3">
      <c r="B295" t="s">
        <v>140</v>
      </c>
      <c r="C295" s="32">
        <v>9.4913990938156001</v>
      </c>
      <c r="D295" s="32">
        <v>8.4017054208018074</v>
      </c>
      <c r="E295" s="32">
        <v>5.0651110523532772</v>
      </c>
      <c r="F295" s="32">
        <v>4.0156031269169556</v>
      </c>
      <c r="G295" s="32">
        <v>4.4926659609859421</v>
      </c>
      <c r="H295" s="32">
        <v>4.9651958727080725</v>
      </c>
      <c r="I295" s="32">
        <v>0.93613853195830821</v>
      </c>
      <c r="J295" s="32">
        <v>9.8345876985694858E-2</v>
      </c>
      <c r="K295" s="32">
        <v>-0.71503622941200273</v>
      </c>
      <c r="L295" s="32">
        <v>-1.7028821176761633</v>
      </c>
      <c r="M295" s="32">
        <v>-3.7709731543624003</v>
      </c>
      <c r="N295" s="32">
        <v>-2.0647167371372954</v>
      </c>
      <c r="O295" s="32">
        <v>0.75813774071986639</v>
      </c>
      <c r="P295" s="32">
        <v>2.083548068852803</v>
      </c>
      <c r="Q295" s="32">
        <v>2.6554927302100184</v>
      </c>
      <c r="R295" s="32">
        <v>3.8865236268599945</v>
      </c>
      <c r="S295" s="32">
        <v>5.875431121931407</v>
      </c>
      <c r="T295" s="32">
        <v>7.7057703854162662</v>
      </c>
      <c r="U295" s="32">
        <v>5.7655584680528005</v>
      </c>
      <c r="V295" s="32">
        <v>4.523841564616693</v>
      </c>
      <c r="W295" s="32">
        <v>4.6703001952663969</v>
      </c>
      <c r="X295" s="32">
        <v>11.76621326581866</v>
      </c>
      <c r="Y295" s="32">
        <v>12.148058475027046</v>
      </c>
      <c r="Z295" s="32">
        <v>3.5965457459684158</v>
      </c>
      <c r="AA295" s="32">
        <v>5.8587644653541826</v>
      </c>
      <c r="AB295" s="32">
        <v>3.7607598470046133</v>
      </c>
    </row>
    <row r="296" spans="2:28" x14ac:dyDescent="0.3">
      <c r="B296" t="s">
        <v>141</v>
      </c>
      <c r="C296" s="32">
        <v>1.3682262258978728</v>
      </c>
      <c r="D296" s="32">
        <v>3.8851780802921621</v>
      </c>
      <c r="E296" s="32">
        <v>3.4773516063006049</v>
      </c>
      <c r="F296" s="32">
        <v>3.8743523037561012</v>
      </c>
      <c r="G296" s="32">
        <v>4.4915447188127455</v>
      </c>
      <c r="H296" s="32">
        <v>4.1122754194481415</v>
      </c>
      <c r="I296" s="32">
        <v>2.0738598527369145</v>
      </c>
      <c r="J296" s="32">
        <v>1.5564129806706628</v>
      </c>
      <c r="K296" s="32">
        <v>1.1140885397547873</v>
      </c>
      <c r="L296" s="32">
        <v>0.93844729629157797</v>
      </c>
      <c r="M296" s="32">
        <v>-0.10969644655443034</v>
      </c>
      <c r="N296" s="32">
        <v>-0.39606099339298817</v>
      </c>
      <c r="O296" s="32">
        <v>0.39402100240391036</v>
      </c>
      <c r="P296" s="32">
        <v>0.61211630209736523</v>
      </c>
      <c r="Q296" s="32">
        <v>0.89648385076497306</v>
      </c>
      <c r="R296" s="32">
        <v>2.1902599936154399</v>
      </c>
      <c r="S296" s="32">
        <v>2.3290119921556496</v>
      </c>
      <c r="T296" s="32">
        <v>3.5954751284703601</v>
      </c>
      <c r="U296" s="32">
        <v>4.9195357137010509</v>
      </c>
      <c r="V296" s="32">
        <v>4.3299837723130619</v>
      </c>
      <c r="W296" s="32">
        <v>5.7580425646470923</v>
      </c>
      <c r="X296" s="32">
        <v>13.5491352368023</v>
      </c>
      <c r="Y296" s="32">
        <v>15.068373726554917</v>
      </c>
      <c r="Z296" s="32">
        <v>11.018150725704313</v>
      </c>
      <c r="AA296" s="32">
        <v>9.6516627182591908</v>
      </c>
      <c r="AB296" s="32">
        <v>8.5380393727303208</v>
      </c>
    </row>
    <row r="297" spans="2:28" x14ac:dyDescent="0.3">
      <c r="B297" t="s">
        <v>142</v>
      </c>
      <c r="C297" s="32">
        <v>2.6577169032609316</v>
      </c>
      <c r="D297" s="32">
        <v>3.6028274795670168</v>
      </c>
      <c r="E297" s="32">
        <v>2.9295750623654193</v>
      </c>
      <c r="F297" s="32">
        <v>3.4552045572242562</v>
      </c>
      <c r="G297" s="32">
        <v>6.0649140019622294</v>
      </c>
      <c r="H297" s="32">
        <v>6.5317526240277646</v>
      </c>
      <c r="I297" s="32">
        <v>4.5204848313014079</v>
      </c>
      <c r="J297" s="32">
        <v>2.6855195564823742</v>
      </c>
      <c r="K297" s="32">
        <v>-1.9053279838856296</v>
      </c>
      <c r="L297" s="32">
        <v>-3.8796223048827794</v>
      </c>
      <c r="M297" s="32">
        <v>-5.085101912166401</v>
      </c>
      <c r="N297" s="32">
        <v>-6.4109659803704755</v>
      </c>
      <c r="O297" s="32">
        <v>-3.8459263931873267</v>
      </c>
      <c r="P297" s="32">
        <v>-4.307269670753211</v>
      </c>
      <c r="Q297" s="32">
        <v>-1.3197077789917855</v>
      </c>
      <c r="R297" s="32">
        <v>2.4315581511473727</v>
      </c>
      <c r="S297" s="32">
        <v>2.4586168160912303</v>
      </c>
      <c r="T297" s="32">
        <v>3.6821745516228521</v>
      </c>
      <c r="U297" s="32">
        <v>4.4372618263801566</v>
      </c>
      <c r="V297" s="32">
        <v>4.304136020632332</v>
      </c>
      <c r="W297" s="32">
        <v>3.8884208212754956</v>
      </c>
      <c r="X297" s="32">
        <v>13.82556725022479</v>
      </c>
      <c r="Y297" s="32">
        <v>13.529420875733788</v>
      </c>
      <c r="Z297" s="32">
        <v>9.8160932085459294</v>
      </c>
      <c r="AA297" s="32">
        <v>10.172313120395572</v>
      </c>
      <c r="AB297" s="32">
        <v>9.0223309033865551</v>
      </c>
    </row>
    <row r="298" spans="2:28" x14ac:dyDescent="0.3">
      <c r="B298" t="s">
        <v>143</v>
      </c>
      <c r="C298" s="32">
        <v>2.3939131510577694</v>
      </c>
      <c r="D298" s="32">
        <v>5.3021607362210066</v>
      </c>
      <c r="E298" s="32">
        <v>2.4822152528111596</v>
      </c>
      <c r="F298" s="32">
        <v>2.7617092741182958</v>
      </c>
      <c r="G298" s="32">
        <v>1.1766842200835237</v>
      </c>
      <c r="H298" s="32">
        <v>2.6867439606590215</v>
      </c>
      <c r="I298" s="32">
        <v>2.8960936817268301</v>
      </c>
      <c r="J298" s="32">
        <v>1.647642342709621</v>
      </c>
      <c r="K298" s="32">
        <v>1.6359747334647734</v>
      </c>
      <c r="L298" s="32">
        <v>-0.52613406553657649</v>
      </c>
      <c r="M298" s="32">
        <v>-4.5867010462636966</v>
      </c>
      <c r="N298" s="32">
        <v>-2.7353358971693775</v>
      </c>
      <c r="O298" s="32">
        <v>-1.2217927939159767</v>
      </c>
      <c r="P298" s="32">
        <v>-0.76991038747948881</v>
      </c>
      <c r="Q298" s="32">
        <v>-0.20714467420139826</v>
      </c>
      <c r="R298" s="32">
        <v>-0.45884923525129073</v>
      </c>
      <c r="S298" s="32">
        <v>2.2261652154825562</v>
      </c>
      <c r="T298" s="32">
        <v>3.208374340162834</v>
      </c>
      <c r="U298" s="32">
        <v>3.3080203890564874</v>
      </c>
      <c r="V298" s="32">
        <v>4.6806296781123136</v>
      </c>
      <c r="W298" s="32">
        <v>5.3547094188376665</v>
      </c>
      <c r="X298" s="32">
        <v>15.098531537700666</v>
      </c>
      <c r="Y298" s="32">
        <v>21.537078414003762</v>
      </c>
      <c r="Z298" s="32">
        <v>7.8246869798862084</v>
      </c>
      <c r="AA298" s="32">
        <v>4.0607344632768383</v>
      </c>
      <c r="AB298" s="32">
        <v>3.4420991479473528</v>
      </c>
    </row>
    <row r="299" spans="2:28" x14ac:dyDescent="0.3">
      <c r="B299" t="s">
        <v>144</v>
      </c>
      <c r="C299" s="32">
        <v>4.937220263793729</v>
      </c>
      <c r="D299" s="32">
        <v>7.1451488100854776</v>
      </c>
      <c r="E299" s="32">
        <v>3.9895725080584254</v>
      </c>
      <c r="F299" s="32">
        <v>3.9415291845929845</v>
      </c>
      <c r="G299" s="32">
        <v>4.9230017110730717</v>
      </c>
      <c r="H299" s="32">
        <v>5.8087161805361331</v>
      </c>
      <c r="I299" s="32">
        <v>0.94824296157121069</v>
      </c>
      <c r="J299" s="32">
        <v>1.9949979642877924</v>
      </c>
      <c r="K299" s="32">
        <v>-1.2873517335766582</v>
      </c>
      <c r="L299" s="32">
        <v>-2.2587773140191447</v>
      </c>
      <c r="M299" s="32">
        <v>-4.3958804320522464</v>
      </c>
      <c r="N299" s="32">
        <v>-6.8436833482736219</v>
      </c>
      <c r="O299" s="32">
        <v>-1.426817533264757</v>
      </c>
      <c r="P299" s="32">
        <v>0.53522738748441601</v>
      </c>
      <c r="Q299" s="32">
        <v>2.601620571887775</v>
      </c>
      <c r="R299" s="32">
        <v>1.6072186143654132</v>
      </c>
      <c r="S299" s="32">
        <v>4.6265516853752242</v>
      </c>
      <c r="T299" s="32">
        <v>5.1326129666011688</v>
      </c>
      <c r="U299" s="32">
        <v>6.1813828544732496</v>
      </c>
      <c r="V299" s="32">
        <v>6.3247628213942031</v>
      </c>
      <c r="W299" s="32">
        <v>5.4092848829690787</v>
      </c>
      <c r="X299" s="32">
        <v>16.111540490473921</v>
      </c>
      <c r="Y299" s="32">
        <v>19.959639076136316</v>
      </c>
      <c r="Z299" s="32">
        <v>8.3708394620256144</v>
      </c>
      <c r="AA299" s="32">
        <v>9.7244008094862657</v>
      </c>
      <c r="AB299" s="32">
        <v>4.9938055398357273</v>
      </c>
    </row>
    <row r="300" spans="2:28" x14ac:dyDescent="0.3">
      <c r="B300" t="s">
        <v>507</v>
      </c>
      <c r="C300" s="32">
        <v>11.971159179145863</v>
      </c>
      <c r="D300" s="32">
        <v>15.628776921400412</v>
      </c>
      <c r="E300" s="32">
        <v>12.884045305779734</v>
      </c>
      <c r="F300" s="32">
        <v>13.191050122954561</v>
      </c>
      <c r="G300" s="32">
        <v>22.144887887565702</v>
      </c>
      <c r="H300" s="32">
        <v>22.617230816525936</v>
      </c>
      <c r="I300" s="32">
        <v>2.571610211226627</v>
      </c>
      <c r="J300" s="32">
        <v>-9.7326128516931014</v>
      </c>
      <c r="K300" s="32">
        <v>-19.936366098023285</v>
      </c>
      <c r="L300" s="32">
        <v>-12.211767263766916</v>
      </c>
      <c r="M300" s="32">
        <v>-7.2097854951224001</v>
      </c>
      <c r="N300" s="32">
        <v>-8.3393881878438325</v>
      </c>
      <c r="O300" s="32">
        <v>0.81371835315053875</v>
      </c>
      <c r="P300" s="32">
        <v>17.194069129304523</v>
      </c>
      <c r="Q300" s="32">
        <v>12.602522147522354</v>
      </c>
      <c r="R300" s="32">
        <v>6.6904191543952107</v>
      </c>
      <c r="S300" s="32">
        <v>7.8232029086267252</v>
      </c>
      <c r="T300" s="32">
        <v>8.8358720125154555</v>
      </c>
      <c r="U300" s="32">
        <v>6.6869330432586693</v>
      </c>
      <c r="V300" s="32">
        <v>3.6823946034029165</v>
      </c>
      <c r="W300" s="32">
        <v>5.2198574087731986</v>
      </c>
      <c r="X300" s="32">
        <v>16.657626609477894</v>
      </c>
      <c r="Y300" s="32">
        <v>12.394938447342252</v>
      </c>
      <c r="Z300" s="32">
        <v>-0.86426903078401507</v>
      </c>
      <c r="AA300" s="32">
        <v>5.1858842260013249</v>
      </c>
      <c r="AB300" s="32">
        <v>1.3325041101963642</v>
      </c>
    </row>
    <row r="301" spans="2:28" x14ac:dyDescent="0.3">
      <c r="B301" t="s">
        <v>145</v>
      </c>
      <c r="C301" s="32">
        <v>3.9939206217895595</v>
      </c>
      <c r="D301" s="32">
        <v>5.7348996392563079</v>
      </c>
      <c r="E301" s="32">
        <v>3.5499956259294807</v>
      </c>
      <c r="F301" s="32">
        <v>3.6006353068397168</v>
      </c>
      <c r="G301" s="32">
        <v>3.193345837070849</v>
      </c>
      <c r="H301" s="32">
        <v>2.4180930254610988</v>
      </c>
      <c r="I301" s="32">
        <v>-2.1696526395382887</v>
      </c>
      <c r="J301" s="32">
        <v>-3.1042478350710723</v>
      </c>
      <c r="K301" s="32">
        <v>-6.5441403897182227</v>
      </c>
      <c r="L301" s="32">
        <v>-5.5287498475848569</v>
      </c>
      <c r="M301" s="32">
        <v>-4.9045819120494212</v>
      </c>
      <c r="N301" s="32">
        <v>-3.5928259815802166</v>
      </c>
      <c r="O301" s="32">
        <v>-1.3595591488677061</v>
      </c>
      <c r="P301" s="32">
        <v>2.2468702850385158</v>
      </c>
      <c r="Q301" s="32">
        <v>1.2223817500199408</v>
      </c>
      <c r="R301" s="32">
        <v>2.687102302949107</v>
      </c>
      <c r="S301" s="32">
        <v>3.9482014388489084</v>
      </c>
      <c r="T301" s="32">
        <v>3.076610745067665</v>
      </c>
      <c r="U301" s="32">
        <v>5.0725156669650717</v>
      </c>
      <c r="V301" s="32">
        <v>6.5010309629705443</v>
      </c>
      <c r="W301" s="32">
        <v>4.9729591346922897</v>
      </c>
      <c r="X301" s="32">
        <v>13.684723958174573</v>
      </c>
      <c r="Y301" s="32">
        <v>13.447924487825791</v>
      </c>
      <c r="Z301" s="32">
        <v>8.3674096485215408</v>
      </c>
      <c r="AA301" s="32">
        <v>7.5217571487774526</v>
      </c>
      <c r="AB301" s="32">
        <v>5.3446836578000756</v>
      </c>
    </row>
    <row r="302" spans="2:28" x14ac:dyDescent="0.3">
      <c r="B302" t="s">
        <v>146</v>
      </c>
      <c r="C302" s="32">
        <v>1.9467903731017699</v>
      </c>
      <c r="D302" s="32">
        <v>4.8479309271935334</v>
      </c>
      <c r="E302" s="32">
        <v>2.5223955338761206</v>
      </c>
      <c r="F302" s="32">
        <v>3.2074823163340982</v>
      </c>
      <c r="G302" s="32">
        <v>6.3172655565293612</v>
      </c>
      <c r="H302" s="32">
        <v>11.39578593332673</v>
      </c>
      <c r="I302" s="32">
        <v>15.78456620193589</v>
      </c>
      <c r="J302" s="32">
        <v>8.3189528447801706</v>
      </c>
      <c r="K302" s="32">
        <v>-1.741818997155975</v>
      </c>
      <c r="L302" s="32">
        <v>-6.9262457514141733</v>
      </c>
      <c r="M302" s="32">
        <v>-7.4649014142665449</v>
      </c>
      <c r="N302" s="32">
        <v>-8.617924725634829</v>
      </c>
      <c r="O302" s="32">
        <v>-2.9634829317422451</v>
      </c>
      <c r="P302" s="32">
        <v>3.3999591124250994</v>
      </c>
      <c r="Q302" s="32">
        <v>7.2926647503460007</v>
      </c>
      <c r="R302" s="32">
        <v>8.2400136081421937</v>
      </c>
      <c r="S302" s="32">
        <v>10.245026781387899</v>
      </c>
      <c r="T302" s="32">
        <v>11.444251740277034</v>
      </c>
      <c r="U302" s="32">
        <v>10.727381256928448</v>
      </c>
      <c r="V302" s="32">
        <v>6.5055833654216411</v>
      </c>
      <c r="W302" s="32">
        <v>5.8831504546358548</v>
      </c>
      <c r="X302" s="32">
        <v>17.042689953647972</v>
      </c>
      <c r="Y302" s="32">
        <v>14.234348561759735</v>
      </c>
      <c r="Z302" s="32">
        <v>2.3233245439861161</v>
      </c>
      <c r="AA302" s="32">
        <v>3.1572116704519981</v>
      </c>
      <c r="AB302" s="32">
        <v>3.0051661776994587</v>
      </c>
    </row>
    <row r="303" spans="2:28" x14ac:dyDescent="0.3">
      <c r="B303" t="s">
        <v>147</v>
      </c>
      <c r="C303" s="32">
        <v>22.457688264033472</v>
      </c>
      <c r="D303" s="32">
        <v>18.531050620339041</v>
      </c>
      <c r="E303" s="32">
        <v>7.4178750479328537</v>
      </c>
      <c r="F303" s="32">
        <v>10.061612502313766</v>
      </c>
      <c r="G303" s="32">
        <v>23.547643073374648</v>
      </c>
      <c r="H303" s="32">
        <v>26.255761040779426</v>
      </c>
      <c r="I303" s="32">
        <v>7.02123235450407</v>
      </c>
      <c r="J303" s="32">
        <v>-10.320510052818666</v>
      </c>
      <c r="K303" s="32">
        <v>-28.300327384773404</v>
      </c>
      <c r="L303" s="32">
        <v>-18.286609590957415</v>
      </c>
      <c r="M303" s="32">
        <v>-4.9866465794699666</v>
      </c>
      <c r="N303" s="32">
        <v>-7.2231671807881925</v>
      </c>
      <c r="O303" s="32">
        <v>-0.39152929478115661</v>
      </c>
      <c r="P303" s="32">
        <v>12.096208139008912</v>
      </c>
      <c r="Q303" s="32">
        <v>15.620738596832995</v>
      </c>
      <c r="R303" s="32">
        <v>9.1031627593510578</v>
      </c>
      <c r="S303" s="32">
        <v>8.9966466643134346</v>
      </c>
      <c r="T303" s="32">
        <v>7.084159818645519</v>
      </c>
      <c r="U303" s="32">
        <v>6.0040449098401227</v>
      </c>
      <c r="V303" s="32">
        <v>4.4541523648196746</v>
      </c>
      <c r="W303" s="32">
        <v>4.6645214704552185</v>
      </c>
      <c r="X303" s="32">
        <v>14.724446691566207</v>
      </c>
      <c r="Y303" s="32">
        <v>14.225700516057493</v>
      </c>
      <c r="Z303" s="32">
        <v>1.7386975325927922</v>
      </c>
      <c r="AA303" s="32">
        <v>5.7942736208552281</v>
      </c>
      <c r="AB303" s="32">
        <v>4.4384239354496646</v>
      </c>
    </row>
    <row r="304" spans="2:28" x14ac:dyDescent="0.3">
      <c r="B304" t="s">
        <v>549</v>
      </c>
      <c r="C304" s="32">
        <v>3.4524666906733836</v>
      </c>
      <c r="D304" s="32">
        <v>6.2785537136144098</v>
      </c>
      <c r="E304" s="32">
        <v>5.5739785474494541</v>
      </c>
      <c r="F304" s="32">
        <v>7.2496364517692813</v>
      </c>
      <c r="G304" s="32">
        <v>13.927757891311398</v>
      </c>
      <c r="H304" s="32">
        <v>21.66841219968898</v>
      </c>
      <c r="I304" s="32">
        <v>14.003625787434949</v>
      </c>
      <c r="J304" s="32">
        <v>4.0292872669031032</v>
      </c>
      <c r="K304" s="32">
        <v>-4.4450798398803499</v>
      </c>
      <c r="L304" s="32">
        <v>-6.288410634135122</v>
      </c>
      <c r="M304" s="32">
        <v>-7.5467295458453094</v>
      </c>
      <c r="N304" s="32">
        <v>-9.4831365151897486</v>
      </c>
      <c r="O304" s="32">
        <v>-5.7996536644066783</v>
      </c>
      <c r="P304" s="32">
        <v>-0.15734538090045325</v>
      </c>
      <c r="Q304" s="32">
        <v>0.99393031565480072</v>
      </c>
      <c r="R304" s="32">
        <v>1.633037728269926</v>
      </c>
      <c r="S304" s="32">
        <v>0.99721812626361039</v>
      </c>
      <c r="T304" s="32">
        <v>2.1357937356071277</v>
      </c>
      <c r="U304" s="32">
        <v>5.6957175277785987</v>
      </c>
      <c r="V304" s="32">
        <v>3.5121230288749805</v>
      </c>
      <c r="W304" s="32">
        <v>7.1213059992995653</v>
      </c>
      <c r="X304" s="32">
        <v>12.916043204365701</v>
      </c>
      <c r="Y304" s="32">
        <v>17.27263616218082</v>
      </c>
      <c r="Z304" s="32">
        <v>7.7522029778183121</v>
      </c>
      <c r="AA304" s="32">
        <v>6.4930029257287858</v>
      </c>
      <c r="AB304" s="32">
        <v>5.799578274325734</v>
      </c>
    </row>
    <row r="305" spans="2:28" x14ac:dyDescent="0.3">
      <c r="B305" t="s">
        <v>508</v>
      </c>
      <c r="C305" s="32">
        <v>1.3442104451129921</v>
      </c>
      <c r="D305" s="32">
        <v>4.371158347447146</v>
      </c>
      <c r="E305" s="32">
        <v>1.6409583196586697</v>
      </c>
      <c r="F305" s="32">
        <v>1.7723244717109843</v>
      </c>
      <c r="G305" s="32">
        <v>3.5181725244121553</v>
      </c>
      <c r="H305" s="32">
        <v>9.2508087859696886</v>
      </c>
      <c r="I305" s="32">
        <v>18.446768386764955</v>
      </c>
      <c r="J305" s="32">
        <v>13.209384334004405</v>
      </c>
      <c r="K305" s="32">
        <v>-1.6016178897696243</v>
      </c>
      <c r="L305" s="32">
        <v>-8.4609024332624738</v>
      </c>
      <c r="M305" s="32">
        <v>-6.0931390892550734</v>
      </c>
      <c r="N305" s="32">
        <v>-4.930264513912741</v>
      </c>
      <c r="O305" s="32">
        <v>1.9309985980025202</v>
      </c>
      <c r="P305" s="32">
        <v>8.1335167250400566</v>
      </c>
      <c r="Q305" s="32">
        <v>6.2668012955847896</v>
      </c>
      <c r="R305" s="32">
        <v>5.3653841407734548</v>
      </c>
      <c r="S305" s="32">
        <v>7.5562738622256598</v>
      </c>
      <c r="T305" s="32">
        <v>9.1204076743831575</v>
      </c>
      <c r="U305" s="32">
        <v>9.4038757059891722</v>
      </c>
      <c r="V305" s="32">
        <v>7.2018825589667657</v>
      </c>
      <c r="W305" s="32">
        <v>7.3842462606565018</v>
      </c>
      <c r="X305" s="32">
        <v>21.094498981879827</v>
      </c>
      <c r="Y305" s="32">
        <v>18.463461072907727</v>
      </c>
      <c r="Z305" s="32">
        <v>-0.12703252032520984</v>
      </c>
      <c r="AA305" s="32">
        <v>4.4274606527822558</v>
      </c>
      <c r="AB305" s="32">
        <v>4.1640239510658761</v>
      </c>
    </row>
    <row r="306" spans="2:28" x14ac:dyDescent="0.3">
      <c r="B306" t="s">
        <v>148</v>
      </c>
      <c r="C306" s="32">
        <v>0.83496180493873862</v>
      </c>
      <c r="D306" s="32">
        <v>6.2323819591261431</v>
      </c>
      <c r="E306" s="32">
        <v>3.6091877772710168</v>
      </c>
      <c r="F306" s="32">
        <v>3.3193941455411435</v>
      </c>
      <c r="G306" s="32">
        <v>3.3405631511677525</v>
      </c>
      <c r="H306" s="32">
        <v>7.8762438393643386</v>
      </c>
      <c r="I306" s="32">
        <v>9.1234409199875124</v>
      </c>
      <c r="J306" s="32">
        <v>7.3896017065172348</v>
      </c>
      <c r="K306" s="32">
        <v>4.6116217017491801</v>
      </c>
      <c r="L306" s="32">
        <v>2.818438168652837</v>
      </c>
      <c r="M306" s="32">
        <v>-0.31284454244764337</v>
      </c>
      <c r="N306" s="32">
        <v>-0.23502412453512145</v>
      </c>
      <c r="O306" s="32">
        <v>2.5774981638789995</v>
      </c>
      <c r="P306" s="32">
        <v>8.4392688758899261</v>
      </c>
      <c r="Q306" s="32">
        <v>5.7767534570823287</v>
      </c>
      <c r="R306" s="32">
        <v>3.6015876193953522</v>
      </c>
      <c r="S306" s="32">
        <v>1.7779798783607026</v>
      </c>
      <c r="T306" s="32">
        <v>2.8415373789498322</v>
      </c>
      <c r="U306" s="32">
        <v>3.7937288890337317</v>
      </c>
      <c r="V306" s="32">
        <v>5.7468137203607883</v>
      </c>
      <c r="W306" s="32">
        <v>5.7056343881731308</v>
      </c>
      <c r="X306" s="32">
        <v>12.584250730172997</v>
      </c>
      <c r="Y306" s="32">
        <v>15.05234187266662</v>
      </c>
      <c r="Z306" s="32">
        <v>2.3993640239936331</v>
      </c>
      <c r="AA306" s="32">
        <v>6.0343002329028339</v>
      </c>
      <c r="AB306" s="32">
        <v>3.0360070435363484</v>
      </c>
    </row>
    <row r="307" spans="2:28" x14ac:dyDescent="0.3">
      <c r="B307" t="s">
        <v>368</v>
      </c>
      <c r="C307" s="32">
        <v>3.5010842067220826</v>
      </c>
      <c r="D307" s="32">
        <v>5.3751473091528057</v>
      </c>
      <c r="E307" s="32">
        <v>4.0757999378689069</v>
      </c>
      <c r="F307" s="32">
        <v>4.5071936003820534</v>
      </c>
      <c r="G307" s="32">
        <v>4.4194371453596837</v>
      </c>
      <c r="H307" s="32">
        <v>7.3670198216597704</v>
      </c>
      <c r="I307" s="32">
        <v>8.3136602184140429</v>
      </c>
      <c r="J307" s="32">
        <v>7.4952174867500831</v>
      </c>
      <c r="K307" s="32">
        <v>0.76581964582664863</v>
      </c>
      <c r="L307" s="32">
        <v>0.44007585518028858</v>
      </c>
      <c r="M307" s="32">
        <v>-1.8880705648357532</v>
      </c>
      <c r="N307" s="32">
        <v>-5.1415392299447582E-2</v>
      </c>
      <c r="O307" s="32">
        <v>1.4433110908609992</v>
      </c>
      <c r="P307" s="32">
        <v>2.3906114169805814</v>
      </c>
      <c r="Q307" s="32">
        <v>5.7605773312579434</v>
      </c>
      <c r="R307" s="32">
        <v>7.0376366385250355</v>
      </c>
      <c r="S307" s="32">
        <v>6.5899176260296732</v>
      </c>
      <c r="T307" s="32">
        <v>6.3736469926002348</v>
      </c>
      <c r="U307" s="32">
        <v>5.6312563390219283</v>
      </c>
      <c r="V307" s="32">
        <v>5.8894130416631718</v>
      </c>
      <c r="W307" s="32">
        <v>4.9320415143062846</v>
      </c>
      <c r="X307" s="32">
        <v>13.631026741684904</v>
      </c>
      <c r="Y307" s="32">
        <v>19.388303368464555</v>
      </c>
      <c r="Z307" s="32">
        <v>3.0409194765630421</v>
      </c>
      <c r="AA307" s="32">
        <v>0.96692693284594622</v>
      </c>
      <c r="AB307" s="32">
        <v>1.8500923373390821</v>
      </c>
    </row>
    <row r="308" spans="2:28" x14ac:dyDescent="0.3">
      <c r="B308" t="s">
        <v>509</v>
      </c>
      <c r="C308" s="32">
        <v>14.855871386761809</v>
      </c>
      <c r="D308" s="32">
        <v>12.69350925877446</v>
      </c>
      <c r="E308" s="32">
        <v>14.87687780703113</v>
      </c>
      <c r="F308" s="32">
        <v>15.108660483175139</v>
      </c>
      <c r="G308" s="32">
        <v>25.14903435110034</v>
      </c>
      <c r="H308" s="32">
        <v>17.105263157894733</v>
      </c>
      <c r="I308" s="32">
        <v>3.0471334729170296</v>
      </c>
      <c r="J308" s="32">
        <v>-6.4825083173706837</v>
      </c>
      <c r="K308" s="32">
        <v>-17.229740936079875</v>
      </c>
      <c r="L308" s="32">
        <v>-10.179238761258791</v>
      </c>
      <c r="M308" s="32">
        <v>-0.71276394016798195</v>
      </c>
      <c r="N308" s="32">
        <v>-4.0882128252370471</v>
      </c>
      <c r="O308" s="32">
        <v>0.66882972368311755</v>
      </c>
      <c r="P308" s="32">
        <v>12.143954202736662</v>
      </c>
      <c r="Q308" s="32">
        <v>9.9148172357622641</v>
      </c>
      <c r="R308" s="32">
        <v>5.5684038626730992</v>
      </c>
      <c r="S308" s="32">
        <v>6.5953717944132295</v>
      </c>
      <c r="T308" s="32">
        <v>7.0907291212294332</v>
      </c>
      <c r="U308" s="32">
        <v>5.9311479262131206</v>
      </c>
      <c r="V308" s="32">
        <v>2.7522053875788544</v>
      </c>
      <c r="W308" s="32">
        <v>4.9352686763721731</v>
      </c>
      <c r="X308" s="32">
        <v>15.399439022884852</v>
      </c>
      <c r="Y308" s="32">
        <v>17.970309974327293</v>
      </c>
      <c r="Z308" s="32">
        <v>4.5957150989113904</v>
      </c>
      <c r="AA308" s="32">
        <v>7.1939085120934054</v>
      </c>
      <c r="AB308" s="32">
        <v>3.2496455388038026</v>
      </c>
    </row>
    <row r="309" spans="2:28" x14ac:dyDescent="0.3">
      <c r="B309" t="s">
        <v>510</v>
      </c>
      <c r="C309" s="32">
        <v>22.182218606726934</v>
      </c>
      <c r="D309" s="32">
        <v>13.896291511374725</v>
      </c>
      <c r="E309" s="32">
        <v>6.4329549617197834</v>
      </c>
      <c r="F309" s="32">
        <v>6.7224321427702849</v>
      </c>
      <c r="G309" s="32">
        <v>14.361625010622214</v>
      </c>
      <c r="H309" s="32">
        <v>21.327088268833784</v>
      </c>
      <c r="I309" s="32">
        <v>7.1532332563638557</v>
      </c>
      <c r="J309" s="32">
        <v>-4.4280931816474967</v>
      </c>
      <c r="K309" s="32">
        <v>-14.18352592197264</v>
      </c>
      <c r="L309" s="32">
        <v>-10.793569674066594</v>
      </c>
      <c r="M309" s="32">
        <v>-1.946520118208217</v>
      </c>
      <c r="N309" s="32">
        <v>-4.2634744857759976</v>
      </c>
      <c r="O309" s="32">
        <v>1.6610679441473319</v>
      </c>
      <c r="P309" s="32">
        <v>14.517659723705357</v>
      </c>
      <c r="Q309" s="32">
        <v>13.380011208373066</v>
      </c>
      <c r="R309" s="32">
        <v>10.833170351992072</v>
      </c>
      <c r="S309" s="32">
        <v>9.0224366876557873</v>
      </c>
      <c r="T309" s="32">
        <v>5.9032520074250749</v>
      </c>
      <c r="U309" s="32">
        <v>8.0733394330589903</v>
      </c>
      <c r="V309" s="32">
        <v>0.7527372069495053</v>
      </c>
      <c r="W309" s="32">
        <v>0.23088895496892192</v>
      </c>
      <c r="X309" s="32">
        <v>7.5978484187817275</v>
      </c>
      <c r="Y309" s="32">
        <v>12.147789784520624</v>
      </c>
      <c r="Z309" s="32">
        <v>-0.77508791902942686</v>
      </c>
      <c r="AA309" s="32">
        <v>3.2143811983474491</v>
      </c>
      <c r="AB309" s="32">
        <v>1.2594990417110541</v>
      </c>
    </row>
    <row r="310" spans="2:28" x14ac:dyDescent="0.3">
      <c r="B310" t="s">
        <v>369</v>
      </c>
      <c r="C310" s="32">
        <v>26.870897155361039</v>
      </c>
      <c r="D310" s="32">
        <v>11.688380608697969</v>
      </c>
      <c r="E310" s="32">
        <v>0.54998574550984003</v>
      </c>
      <c r="F310" s="32">
        <v>2.6451026025730462</v>
      </c>
      <c r="G310" s="32">
        <v>10.58513454411527</v>
      </c>
      <c r="H310" s="32">
        <v>20.885068118189487</v>
      </c>
      <c r="I310" s="32">
        <v>9.1614291863969086</v>
      </c>
      <c r="J310" s="32">
        <v>-2.1350095826990989</v>
      </c>
      <c r="K310" s="32">
        <v>-11.367299571258183</v>
      </c>
      <c r="L310" s="32">
        <v>-12.315987597632272</v>
      </c>
      <c r="M310" s="32">
        <v>1.6591658543663179E-2</v>
      </c>
      <c r="N310" s="32">
        <v>-2.1607050285121887</v>
      </c>
      <c r="O310" s="32">
        <v>2.8802746752008224</v>
      </c>
      <c r="P310" s="32">
        <v>14.097070578056115</v>
      </c>
      <c r="Q310" s="32">
        <v>11.930125485239662</v>
      </c>
      <c r="R310" s="32">
        <v>10.055248618784528</v>
      </c>
      <c r="S310" s="32">
        <v>7.9449183595696526</v>
      </c>
      <c r="T310" s="32">
        <v>4.5372149389312666</v>
      </c>
      <c r="U310" s="32">
        <v>9.9106354237024075</v>
      </c>
      <c r="V310" s="32">
        <v>-1.1096929731262972</v>
      </c>
      <c r="W310" s="32">
        <v>-0.24199619976336129</v>
      </c>
      <c r="X310" s="32">
        <v>6.1304678562229986</v>
      </c>
      <c r="Y310" s="32">
        <v>15.247082195182514</v>
      </c>
      <c r="Z310" s="32">
        <v>4.0949246831599728</v>
      </c>
      <c r="AA310" s="32">
        <v>5.32305260483803</v>
      </c>
      <c r="AB310" s="32">
        <v>1.0395430501046521</v>
      </c>
    </row>
    <row r="311" spans="2:28" x14ac:dyDescent="0.3">
      <c r="B311" t="s">
        <v>512</v>
      </c>
      <c r="C311" s="32">
        <v>17.069144708687411</v>
      </c>
      <c r="D311" s="32">
        <v>15.960798649189666</v>
      </c>
      <c r="E311" s="32">
        <v>14.36741923862137</v>
      </c>
      <c r="F311" s="32">
        <v>12.754144407838597</v>
      </c>
      <c r="G311" s="32">
        <v>18.739523188675712</v>
      </c>
      <c r="H311" s="32">
        <v>19.411384090508022</v>
      </c>
      <c r="I311" s="32">
        <v>4.7306283969064555</v>
      </c>
      <c r="J311" s="32">
        <v>-5.6128688344673989</v>
      </c>
      <c r="K311" s="32">
        <v>-10.756287166539312</v>
      </c>
      <c r="L311" s="32">
        <v>-10.32451397355123</v>
      </c>
      <c r="M311" s="32">
        <v>-6.3533245467470518</v>
      </c>
      <c r="N311" s="32">
        <v>-6.2579651362523192</v>
      </c>
      <c r="O311" s="32">
        <v>1.2601962406903811</v>
      </c>
      <c r="P311" s="32">
        <v>10.25730830297935</v>
      </c>
      <c r="Q311" s="32">
        <v>10.127909192943818</v>
      </c>
      <c r="R311" s="32">
        <v>6.1534319805397697</v>
      </c>
      <c r="S311" s="32">
        <v>7.0421259521588508</v>
      </c>
      <c r="T311" s="32">
        <v>5.5490683860486056</v>
      </c>
      <c r="U311" s="32">
        <v>5.1082251082251284</v>
      </c>
      <c r="V311" s="32">
        <v>2.5748977973030662</v>
      </c>
      <c r="W311" s="32">
        <v>3.2962048658616405</v>
      </c>
      <c r="X311" s="32">
        <v>12.482634015015726</v>
      </c>
      <c r="Y311" s="32">
        <v>15.631439505445988</v>
      </c>
      <c r="Z311" s="32">
        <v>4.7568183830691391</v>
      </c>
      <c r="AA311" s="32">
        <v>4.6565196029226152</v>
      </c>
      <c r="AB311" s="32">
        <v>2.22655557525262</v>
      </c>
    </row>
    <row r="312" spans="2:28" x14ac:dyDescent="0.3">
      <c r="B312" t="s">
        <v>550</v>
      </c>
      <c r="C312" s="32">
        <v>4.6908899009049376</v>
      </c>
      <c r="D312" s="32">
        <v>6.2449825439202522</v>
      </c>
      <c r="E312" s="32">
        <v>3.6638082519153903</v>
      </c>
      <c r="F312" s="32">
        <v>3.4207448341328606</v>
      </c>
      <c r="G312" s="32">
        <v>4.5123010604645186</v>
      </c>
      <c r="H312" s="32">
        <v>2.9671915187252651</v>
      </c>
      <c r="I312" s="32">
        <v>0.28938710856587502</v>
      </c>
      <c r="J312" s="32">
        <v>-0.89299274063726619</v>
      </c>
      <c r="K312" s="32">
        <v>-3.3589751448098282</v>
      </c>
      <c r="L312" s="32">
        <v>-2.3150350426537347</v>
      </c>
      <c r="M312" s="32">
        <v>-3.7561276499042284</v>
      </c>
      <c r="N312" s="32">
        <v>-1.6629562166902589</v>
      </c>
      <c r="O312" s="32">
        <v>-0.75806949542072122</v>
      </c>
      <c r="P312" s="32">
        <v>-0.31625881377023157</v>
      </c>
      <c r="Q312" s="32">
        <v>1.5013609334096234</v>
      </c>
      <c r="R312" s="32">
        <v>2.8472850871948951</v>
      </c>
      <c r="S312" s="32">
        <v>3.5124721825489091</v>
      </c>
      <c r="T312" s="32">
        <v>2.1386513500938564</v>
      </c>
      <c r="U312" s="32">
        <v>6.072696428010449</v>
      </c>
      <c r="V312" s="32">
        <v>4.0842317260988192</v>
      </c>
      <c r="W312" s="32">
        <v>5.2371738326266737</v>
      </c>
      <c r="X312" s="32">
        <v>10.888639528438372</v>
      </c>
      <c r="Y312" s="32">
        <v>13.717218761048988</v>
      </c>
      <c r="Z312" s="32">
        <v>10.099493953169226</v>
      </c>
      <c r="AA312" s="32">
        <v>6.9771744634441024</v>
      </c>
      <c r="AB312" s="32">
        <v>9.5059036567563879</v>
      </c>
    </row>
    <row r="313" spans="2:28" x14ac:dyDescent="0.3">
      <c r="B313" t="s">
        <v>370</v>
      </c>
      <c r="C313" s="32">
        <v>23.670271463253158</v>
      </c>
      <c r="D313" s="32">
        <v>14.183099848309077</v>
      </c>
      <c r="E313" s="32">
        <v>5.2761822894281218</v>
      </c>
      <c r="F313" s="32">
        <v>5.16516144995669</v>
      </c>
      <c r="G313" s="32">
        <v>13.521557555437912</v>
      </c>
      <c r="H313" s="32">
        <v>19.331806547218111</v>
      </c>
      <c r="I313" s="32">
        <v>7.0913732914184457</v>
      </c>
      <c r="J313" s="32">
        <v>-4.1339604281544151</v>
      </c>
      <c r="K313" s="32">
        <v>-11.712709986296954</v>
      </c>
      <c r="L313" s="32">
        <v>-11.706826347305398</v>
      </c>
      <c r="M313" s="32">
        <v>-4.6660011285212022</v>
      </c>
      <c r="N313" s="32">
        <v>-5.4942178109633977</v>
      </c>
      <c r="O313" s="32">
        <v>1.0598706476050657</v>
      </c>
      <c r="P313" s="32">
        <v>10.121679438439246</v>
      </c>
      <c r="Q313" s="32">
        <v>10.492197138590086</v>
      </c>
      <c r="R313" s="32">
        <v>9.5223170122530565</v>
      </c>
      <c r="S313" s="32">
        <v>7.9476654235863142</v>
      </c>
      <c r="T313" s="32">
        <v>6.4288436366046531</v>
      </c>
      <c r="U313" s="32">
        <v>5.0418009434402888</v>
      </c>
      <c r="V313" s="32">
        <v>1.8689372549891337</v>
      </c>
      <c r="W313" s="32">
        <v>1.1530207689230076</v>
      </c>
      <c r="X313" s="32">
        <v>12.178353110391949</v>
      </c>
      <c r="Y313" s="32">
        <v>13.618063391117019</v>
      </c>
      <c r="Z313" s="32">
        <v>-0.12639229007030961</v>
      </c>
      <c r="AA313" s="32">
        <v>2.0683382108676707</v>
      </c>
      <c r="AB313" s="32">
        <v>1.4164337494293022</v>
      </c>
    </row>
    <row r="314" spans="2:28" x14ac:dyDescent="0.3">
      <c r="B314" t="s">
        <v>149</v>
      </c>
      <c r="C314" s="32">
        <v>3.8713046637300685</v>
      </c>
      <c r="D314" s="32">
        <v>6.9009989726102283</v>
      </c>
      <c r="E314" s="32">
        <v>5.8297889743170073</v>
      </c>
      <c r="F314" s="32">
        <v>8.6774224712588222</v>
      </c>
      <c r="G314" s="32">
        <v>9.8406997830956744</v>
      </c>
      <c r="H314" s="32">
        <v>11.723669089202193</v>
      </c>
      <c r="I314" s="32">
        <v>10.177619378766799</v>
      </c>
      <c r="J314" s="32">
        <v>4.8310957409039013</v>
      </c>
      <c r="K314" s="32">
        <v>-2.4509865408978704</v>
      </c>
      <c r="L314" s="32">
        <v>-5.4031812161658195</v>
      </c>
      <c r="M314" s="32">
        <v>-6.4607772506694587</v>
      </c>
      <c r="N314" s="32">
        <v>-4.7780974801639235</v>
      </c>
      <c r="O314" s="32">
        <v>-2.7790495375881186</v>
      </c>
      <c r="P314" s="32">
        <v>0.39557334589119808</v>
      </c>
      <c r="Q314" s="32">
        <v>0.98347327110404059</v>
      </c>
      <c r="R314" s="32">
        <v>3.5750781903198803</v>
      </c>
      <c r="S314" s="32">
        <v>4.6685103520442084</v>
      </c>
      <c r="T314" s="32">
        <v>3.4776771687280439</v>
      </c>
      <c r="U314" s="32">
        <v>7.028004361448148</v>
      </c>
      <c r="V314" s="32">
        <v>7.382809981301186</v>
      </c>
      <c r="W314" s="32">
        <v>6.6230335054641598</v>
      </c>
      <c r="X314" s="32">
        <v>14.298586472940244</v>
      </c>
      <c r="Y314" s="32">
        <v>16.041584548679545</v>
      </c>
      <c r="Z314" s="32">
        <v>5.5961752392598374</v>
      </c>
      <c r="AA314" s="32">
        <v>6.5533297412926794</v>
      </c>
      <c r="AB314" s="32">
        <v>4.4400229162473215</v>
      </c>
    </row>
    <row r="315" spans="2:28" x14ac:dyDescent="0.3">
      <c r="B315" t="s">
        <v>371</v>
      </c>
      <c r="C315" s="32">
        <v>12.849556134746898</v>
      </c>
      <c r="D315" s="32">
        <v>15.118257909908639</v>
      </c>
      <c r="E315" s="32">
        <v>16.504253906957089</v>
      </c>
      <c r="F315" s="32">
        <v>14.278870431033376</v>
      </c>
      <c r="G315" s="32">
        <v>23.598191726810235</v>
      </c>
      <c r="H315" s="32">
        <v>22.41564227373982</v>
      </c>
      <c r="I315" s="32">
        <v>3.7793353401925911</v>
      </c>
      <c r="J315" s="32">
        <v>-10.89552561891638</v>
      </c>
      <c r="K315" s="32">
        <v>-18.395970491298819</v>
      </c>
      <c r="L315" s="32">
        <v>-10.358035962370504</v>
      </c>
      <c r="M315" s="32">
        <v>-4.7435074279894458</v>
      </c>
      <c r="N315" s="32">
        <v>-7.1366314541714608</v>
      </c>
      <c r="O315" s="32">
        <v>-1.7870551133803869</v>
      </c>
      <c r="P315" s="32">
        <v>11.262742099898038</v>
      </c>
      <c r="Q315" s="32">
        <v>11.681306473963282</v>
      </c>
      <c r="R315" s="32">
        <v>7.3031921984433756</v>
      </c>
      <c r="S315" s="32">
        <v>5.7434466413738505</v>
      </c>
      <c r="T315" s="32">
        <v>3.7812581901654596</v>
      </c>
      <c r="U315" s="32">
        <v>3.9848478251404362</v>
      </c>
      <c r="V315" s="32">
        <v>2.3984390047817827</v>
      </c>
      <c r="W315" s="32">
        <v>3.5763647515845376</v>
      </c>
      <c r="X315" s="32">
        <v>13.402501421262091</v>
      </c>
      <c r="Y315" s="32">
        <v>17.915778919664117</v>
      </c>
      <c r="Z315" s="32">
        <v>5.4844024020832327</v>
      </c>
      <c r="AA315" s="32">
        <v>7.7132349236737285</v>
      </c>
      <c r="AB315" s="32">
        <v>3.0696755964728872</v>
      </c>
    </row>
    <row r="316" spans="2:28" x14ac:dyDescent="0.3">
      <c r="B316" t="s">
        <v>513</v>
      </c>
      <c r="C316" s="32">
        <v>23.254929436492834</v>
      </c>
      <c r="D316" s="32">
        <v>15.165984538426546</v>
      </c>
      <c r="E316" s="32">
        <v>6.4631222676632349</v>
      </c>
      <c r="F316" s="32">
        <v>8.3544169658114065</v>
      </c>
      <c r="G316" s="32">
        <v>16.8239608801956</v>
      </c>
      <c r="H316" s="32">
        <v>20.043531947845384</v>
      </c>
      <c r="I316" s="32">
        <v>3.530457826284028</v>
      </c>
      <c r="J316" s="32">
        <v>-7.4516275701799977</v>
      </c>
      <c r="K316" s="32">
        <v>-16.86014774919029</v>
      </c>
      <c r="L316" s="32">
        <v>-11.717587323820366</v>
      </c>
      <c r="M316" s="32">
        <v>-3.8710397144132158</v>
      </c>
      <c r="N316" s="32">
        <v>-7.0119789047490055</v>
      </c>
      <c r="O316" s="32">
        <v>1.3866740622647811E-3</v>
      </c>
      <c r="P316" s="32">
        <v>15.592933606966586</v>
      </c>
      <c r="Q316" s="32">
        <v>14.308849461978612</v>
      </c>
      <c r="R316" s="32">
        <v>8.8929467199781786</v>
      </c>
      <c r="S316" s="32">
        <v>8.1503040582866717</v>
      </c>
      <c r="T316" s="32">
        <v>7.8185706647656339</v>
      </c>
      <c r="U316" s="32">
        <v>7.9962642775674775</v>
      </c>
      <c r="V316" s="32">
        <v>0.61835630486188897</v>
      </c>
      <c r="W316" s="32">
        <v>1.4610920541235473</v>
      </c>
      <c r="X316" s="32">
        <v>9.3194800521746668</v>
      </c>
      <c r="Y316" s="32">
        <v>9.9924569704450619</v>
      </c>
      <c r="Z316" s="32">
        <v>-0.61906958766100306</v>
      </c>
      <c r="AA316" s="32">
        <v>3.4822375148203744</v>
      </c>
      <c r="AB316" s="32">
        <v>2.1985824284787459</v>
      </c>
    </row>
    <row r="317" spans="2:28" x14ac:dyDescent="0.3">
      <c r="B317" t="s">
        <v>150</v>
      </c>
      <c r="C317" s="32">
        <v>6.22846381921629</v>
      </c>
      <c r="D317" s="32">
        <v>6.7477604903347421</v>
      </c>
      <c r="E317" s="32">
        <v>6.1851845308552589</v>
      </c>
      <c r="F317" s="32">
        <v>6.4854252628776754</v>
      </c>
      <c r="G317" s="32">
        <v>10.121558701290589</v>
      </c>
      <c r="H317" s="32">
        <v>11.882803632236104</v>
      </c>
      <c r="I317" s="32">
        <v>10.32020797666604</v>
      </c>
      <c r="J317" s="32">
        <v>5.3716965732875099</v>
      </c>
      <c r="K317" s="32">
        <v>-1.7923766718303424</v>
      </c>
      <c r="L317" s="32">
        <v>-3.5013274385434778</v>
      </c>
      <c r="M317" s="32">
        <v>-8.0026706265612262</v>
      </c>
      <c r="N317" s="32">
        <v>-6.6604937499218035</v>
      </c>
      <c r="O317" s="32">
        <v>-4.2884336961767406</v>
      </c>
      <c r="P317" s="32">
        <v>3.753659117329855</v>
      </c>
      <c r="Q317" s="32">
        <v>4.0687392847982728</v>
      </c>
      <c r="R317" s="32">
        <v>4.5504663319972494</v>
      </c>
      <c r="S317" s="32">
        <v>5.1737614610603222</v>
      </c>
      <c r="T317" s="32">
        <v>4.9286885535986036</v>
      </c>
      <c r="U317" s="32">
        <v>5.194104354278406</v>
      </c>
      <c r="V317" s="32">
        <v>5.9240971710111445</v>
      </c>
      <c r="W317" s="32">
        <v>5.3334678639895161</v>
      </c>
      <c r="X317" s="32">
        <v>13.739032146825547</v>
      </c>
      <c r="Y317" s="32">
        <v>23.577762992782493</v>
      </c>
      <c r="Z317" s="32">
        <v>13.254506423143763</v>
      </c>
      <c r="AA317" s="32">
        <v>6.99826698117747</v>
      </c>
      <c r="AB317" s="32">
        <v>4.3384721648200619</v>
      </c>
    </row>
    <row r="318" spans="2:28" x14ac:dyDescent="0.3">
      <c r="B318" t="s">
        <v>514</v>
      </c>
      <c r="C318" s="32">
        <v>0.44548246183122586</v>
      </c>
      <c r="D318" s="32">
        <v>6.7860833620392746</v>
      </c>
      <c r="E318" s="32">
        <v>4.5302419354838808</v>
      </c>
      <c r="F318" s="32">
        <v>3.8806488321407206</v>
      </c>
      <c r="G318" s="32">
        <v>4.9239681390296886</v>
      </c>
      <c r="H318" s="32">
        <v>7.7418555679425349</v>
      </c>
      <c r="I318" s="32">
        <v>7.8146043425417977</v>
      </c>
      <c r="J318" s="32">
        <v>5.9182865151422792</v>
      </c>
      <c r="K318" s="32">
        <v>1.1462842842554943</v>
      </c>
      <c r="L318" s="32">
        <v>-1.261268947473182</v>
      </c>
      <c r="M318" s="32">
        <v>-2.1241665346563354</v>
      </c>
      <c r="N318" s="32">
        <v>-1.8421517273850885</v>
      </c>
      <c r="O318" s="32">
        <v>-0.29529919654635028</v>
      </c>
      <c r="P318" s="32">
        <v>-1.1170412688867093</v>
      </c>
      <c r="Q318" s="32">
        <v>-0.85294654260171798</v>
      </c>
      <c r="R318" s="32">
        <v>1.2482556623882424</v>
      </c>
      <c r="S318" s="32">
        <v>0.55130632336235497</v>
      </c>
      <c r="T318" s="32">
        <v>1.3059392369217715</v>
      </c>
      <c r="U318" s="32">
        <v>2.237718567860103</v>
      </c>
      <c r="V318" s="32">
        <v>4.0488067363767533</v>
      </c>
      <c r="W318" s="32">
        <v>5.5811028024320253</v>
      </c>
      <c r="X318" s="32">
        <v>12.657205644841007</v>
      </c>
      <c r="Y318" s="32">
        <v>16.618291636799508</v>
      </c>
      <c r="Z318" s="32">
        <v>6.174867242369575</v>
      </c>
      <c r="AA318" s="32">
        <v>9.3386100276172446</v>
      </c>
      <c r="AB318" s="32">
        <v>7.0679584112604887</v>
      </c>
    </row>
    <row r="319" spans="2:28" x14ac:dyDescent="0.3">
      <c r="B319" t="s">
        <v>372</v>
      </c>
      <c r="C319" s="32">
        <v>7.6366137439493054</v>
      </c>
      <c r="D319" s="32">
        <v>6.793750053027936</v>
      </c>
      <c r="E319" s="32">
        <v>4.8214624221685654</v>
      </c>
      <c r="F319" s="32">
        <v>4.5194565499312889</v>
      </c>
      <c r="G319" s="32">
        <v>9.5088596181745366</v>
      </c>
      <c r="H319" s="32">
        <v>15.734906657151694</v>
      </c>
      <c r="I319" s="32">
        <v>16.203943917211696</v>
      </c>
      <c r="J319" s="32">
        <v>7.601735518432684</v>
      </c>
      <c r="K319" s="32">
        <v>-3.7212602483154056</v>
      </c>
      <c r="L319" s="32">
        <v>-10.07849792712301</v>
      </c>
      <c r="M319" s="32">
        <v>-7.2369782923438759</v>
      </c>
      <c r="N319" s="32">
        <v>-7.1098177964764142</v>
      </c>
      <c r="O319" s="32">
        <v>-1.4547972367773276</v>
      </c>
      <c r="P319" s="32">
        <v>7.2531854171859367</v>
      </c>
      <c r="Q319" s="32">
        <v>8.9196268744013771</v>
      </c>
      <c r="R319" s="32">
        <v>9.187435883074313</v>
      </c>
      <c r="S319" s="32">
        <v>11.92816965390675</v>
      </c>
      <c r="T319" s="32">
        <v>12.615981890460827</v>
      </c>
      <c r="U319" s="32">
        <v>9.8995253366123812</v>
      </c>
      <c r="V319" s="32">
        <v>3.4479140301929112</v>
      </c>
      <c r="W319" s="32">
        <v>5.9240766557490554</v>
      </c>
      <c r="X319" s="32">
        <v>15.511584889998421</v>
      </c>
      <c r="Y319" s="32">
        <v>15.017329338743689</v>
      </c>
      <c r="Z319" s="32">
        <v>0.25789304827510406</v>
      </c>
      <c r="AA319" s="32">
        <v>5.3851883042261628</v>
      </c>
      <c r="AB319" s="32">
        <v>3.5010009221634775</v>
      </c>
    </row>
    <row r="320" spans="2:28" x14ac:dyDescent="0.3">
      <c r="B320" t="s">
        <v>515</v>
      </c>
      <c r="C320" s="32">
        <v>5.6170118995152007</v>
      </c>
      <c r="D320" s="32">
        <v>10.052369129337135</v>
      </c>
      <c r="E320" s="32">
        <v>9.0716059681119177</v>
      </c>
      <c r="F320" s="32">
        <v>9.907529722589171</v>
      </c>
      <c r="G320" s="32">
        <v>22.159665991902845</v>
      </c>
      <c r="H320" s="32">
        <v>29.406814768784663</v>
      </c>
      <c r="I320" s="32">
        <v>9.2127772386678242</v>
      </c>
      <c r="J320" s="32">
        <v>-9.1253847281254519</v>
      </c>
      <c r="K320" s="32">
        <v>-19.317379997177586</v>
      </c>
      <c r="L320" s="32">
        <v>-13.189325604057878</v>
      </c>
      <c r="M320" s="32">
        <v>-9.8510469885586751</v>
      </c>
      <c r="N320" s="32">
        <v>-8.9399744572158149</v>
      </c>
      <c r="O320" s="32">
        <v>0.30329593267881538</v>
      </c>
      <c r="P320" s="32">
        <v>3.3384021114082341</v>
      </c>
      <c r="Q320" s="32">
        <v>10.838421595656511</v>
      </c>
      <c r="R320" s="32">
        <v>10.926126566052719</v>
      </c>
      <c r="S320" s="32">
        <v>11.144433286101441</v>
      </c>
      <c r="T320" s="32">
        <v>12.115060897118513</v>
      </c>
      <c r="U320" s="32">
        <v>7.8262309560609422</v>
      </c>
      <c r="V320" s="32">
        <v>5.1346896149238708</v>
      </c>
      <c r="W320" s="32">
        <v>6.4995520236843074</v>
      </c>
      <c r="X320" s="32">
        <v>17.813968799722034</v>
      </c>
      <c r="Y320" s="32">
        <v>25.970397162349901</v>
      </c>
      <c r="Z320" s="32">
        <v>5.2058238190007433</v>
      </c>
      <c r="AA320" s="32">
        <v>4.7807294960995117</v>
      </c>
      <c r="AB320" s="32">
        <v>-0.92098208301684137</v>
      </c>
    </row>
    <row r="321" spans="2:28" x14ac:dyDescent="0.3">
      <c r="B321" t="s">
        <v>428</v>
      </c>
      <c r="C321" s="32">
        <v>2.81762639034977</v>
      </c>
      <c r="D321" s="32">
        <v>8.2517086761568983</v>
      </c>
      <c r="E321" s="32">
        <v>7.7855749703416244</v>
      </c>
      <c r="F321" s="32">
        <v>9.10176289525233</v>
      </c>
      <c r="G321" s="32">
        <v>21.176732097667749</v>
      </c>
      <c r="H321" s="32">
        <v>29.42471320323412</v>
      </c>
      <c r="I321" s="32">
        <v>20.225245851595041</v>
      </c>
      <c r="J321" s="32">
        <v>0.20766642786538281</v>
      </c>
      <c r="K321" s="32">
        <v>-16.383413874861986</v>
      </c>
      <c r="L321" s="32">
        <v>-15.768739583107861</v>
      </c>
      <c r="M321" s="32">
        <v>-13.815079405869346</v>
      </c>
      <c r="N321" s="32">
        <v>-11.242471226668249</v>
      </c>
      <c r="O321" s="32">
        <v>-4.3134290753338522</v>
      </c>
      <c r="P321" s="32">
        <v>-1.6869415626590611</v>
      </c>
      <c r="Q321" s="32">
        <v>6.8546227189943965</v>
      </c>
      <c r="R321" s="32">
        <v>9.267273790625751</v>
      </c>
      <c r="S321" s="32">
        <v>8.9935923903901269</v>
      </c>
      <c r="T321" s="32">
        <v>9.0568526209451328</v>
      </c>
      <c r="U321" s="32">
        <v>10.394071558145823</v>
      </c>
      <c r="V321" s="32">
        <v>6.1464233270400737</v>
      </c>
      <c r="W321" s="32">
        <v>6.5162494510320634</v>
      </c>
      <c r="X321" s="32">
        <v>20.490645776426319</v>
      </c>
      <c r="Y321" s="32">
        <v>22.369839341625731</v>
      </c>
      <c r="Z321" s="32">
        <v>12.514418741217682</v>
      </c>
      <c r="AA321" s="32">
        <v>3.3806789939357929</v>
      </c>
      <c r="AB321" s="32">
        <v>3.1566343081613102</v>
      </c>
    </row>
    <row r="322" spans="2:28" x14ac:dyDescent="0.3">
      <c r="B322" t="s">
        <v>151</v>
      </c>
      <c r="C322" s="32">
        <v>4.8229042490857355</v>
      </c>
      <c r="D322" s="32">
        <v>3.797224363916718</v>
      </c>
      <c r="E322" s="32">
        <v>3.2349117920148718</v>
      </c>
      <c r="F322" s="32">
        <v>2.9518635774931523</v>
      </c>
      <c r="G322" s="32">
        <v>6.5242080617825327</v>
      </c>
      <c r="H322" s="32">
        <v>7.8140633457443931</v>
      </c>
      <c r="I322" s="32">
        <v>3.7273128356483332</v>
      </c>
      <c r="J322" s="32">
        <v>2.3848286179434242</v>
      </c>
      <c r="K322" s="32">
        <v>-1.6860773274886331</v>
      </c>
      <c r="L322" s="32">
        <v>-2.7961532857351035</v>
      </c>
      <c r="M322" s="32">
        <v>-3.6860487775629225</v>
      </c>
      <c r="N322" s="32">
        <v>-3.8426819398617806</v>
      </c>
      <c r="O322" s="32">
        <v>-0.40626062185390444</v>
      </c>
      <c r="P322" s="32">
        <v>-0.79633361502957634</v>
      </c>
      <c r="Q322" s="32">
        <v>-0.30470823367517719</v>
      </c>
      <c r="R322" s="32">
        <v>2.1723412646246665</v>
      </c>
      <c r="S322" s="32">
        <v>4.1783267393611823</v>
      </c>
      <c r="T322" s="32">
        <v>5.6872915894775833</v>
      </c>
      <c r="U322" s="32">
        <v>6.4782354659655317</v>
      </c>
      <c r="V322" s="32">
        <v>4.8727621921942577</v>
      </c>
      <c r="W322" s="32">
        <v>4.8988187894881463</v>
      </c>
      <c r="X322" s="32">
        <v>11.703162410215473</v>
      </c>
      <c r="Y322" s="32">
        <v>14.373109168648202</v>
      </c>
      <c r="Z322" s="32">
        <v>13.659079373755523</v>
      </c>
      <c r="AA322" s="32">
        <v>7.823368771791217</v>
      </c>
      <c r="AB322" s="32">
        <v>6.9546185095745949</v>
      </c>
    </row>
    <row r="323" spans="2:28" x14ac:dyDescent="0.3">
      <c r="B323" t="s">
        <v>373</v>
      </c>
      <c r="C323" s="32">
        <v>5.9419847328244346</v>
      </c>
      <c r="D323" s="32">
        <v>5.633694566136338</v>
      </c>
      <c r="E323" s="32">
        <v>4.0417636786961531</v>
      </c>
      <c r="F323" s="32">
        <v>2.6784153292073176</v>
      </c>
      <c r="G323" s="32">
        <v>2.1777626426017438</v>
      </c>
      <c r="H323" s="32">
        <v>5.5458347914479456</v>
      </c>
      <c r="I323" s="32">
        <v>3.4940082416281104</v>
      </c>
      <c r="J323" s="32">
        <v>2.4302059496567496</v>
      </c>
      <c r="K323" s="32">
        <v>1.8855279031321226</v>
      </c>
      <c r="L323" s="32">
        <v>-0.88000116943677265</v>
      </c>
      <c r="M323" s="32">
        <v>-2.981993009571271</v>
      </c>
      <c r="N323" s="32">
        <v>0.67036558485975561</v>
      </c>
      <c r="O323" s="32">
        <v>-0.42883459668406898</v>
      </c>
      <c r="P323" s="32">
        <v>4.535804191562276</v>
      </c>
      <c r="Q323" s="32">
        <v>5.0744926232718646</v>
      </c>
      <c r="R323" s="32">
        <v>6.9155472104485805</v>
      </c>
      <c r="S323" s="32">
        <v>8.0849690082644763</v>
      </c>
      <c r="T323" s="32">
        <v>9.4526947109353507</v>
      </c>
      <c r="U323" s="32">
        <v>8.4158361804547397</v>
      </c>
      <c r="V323" s="32">
        <v>5.2263826102715294</v>
      </c>
      <c r="W323" s="32">
        <v>5.8461067416805568</v>
      </c>
      <c r="X323" s="32">
        <v>16.351786230835998</v>
      </c>
      <c r="Y323" s="32">
        <v>25.180828665325162</v>
      </c>
      <c r="Z323" s="32">
        <v>5.2288920334649047</v>
      </c>
      <c r="AA323" s="32">
        <v>3.8779349922441364</v>
      </c>
      <c r="AB323" s="32">
        <v>3.8532894850914046</v>
      </c>
    </row>
    <row r="324" spans="2:28" x14ac:dyDescent="0.3">
      <c r="B324" t="s">
        <v>374</v>
      </c>
      <c r="C324" s="32">
        <v>2.9097710023269441</v>
      </c>
      <c r="D324" s="32">
        <v>5.3422370617696169</v>
      </c>
      <c r="E324" s="32">
        <v>4.1204437400950811</v>
      </c>
      <c r="F324" s="32">
        <v>4.7685104907231102</v>
      </c>
      <c r="G324" s="32">
        <v>6.1146051712089422</v>
      </c>
      <c r="H324" s="32">
        <v>7.1209469178378892</v>
      </c>
      <c r="I324" s="32">
        <v>6.5715395068918658</v>
      </c>
      <c r="J324" s="32">
        <v>3.3579257370130788</v>
      </c>
      <c r="K324" s="32">
        <v>1.6288223717063621</v>
      </c>
      <c r="L324" s="32">
        <v>1.3339114097839611</v>
      </c>
      <c r="M324" s="32">
        <v>1.2036852163495704</v>
      </c>
      <c r="N324" s="32">
        <v>0.29734223950848016</v>
      </c>
      <c r="O324" s="32">
        <v>2.3154848046309739</v>
      </c>
      <c r="P324" s="32">
        <v>-0.65640405926861156</v>
      </c>
      <c r="Q324" s="32">
        <v>3.4557593685646815E-2</v>
      </c>
      <c r="R324" s="32">
        <v>1.9373203625911994</v>
      </c>
      <c r="S324" s="32">
        <v>2.0536803578690366</v>
      </c>
      <c r="T324" s="32">
        <v>1.6935644550707396</v>
      </c>
      <c r="U324" s="32">
        <v>-1.2983281086729304</v>
      </c>
      <c r="V324" s="32">
        <v>1.9982531826482797</v>
      </c>
      <c r="W324" s="32">
        <v>3.7793865794799819</v>
      </c>
      <c r="X324" s="32">
        <v>5.7370388428409136</v>
      </c>
      <c r="Y324" s="32">
        <v>9.8784553902906183</v>
      </c>
      <c r="Z324" s="32">
        <v>3.4584055179537776</v>
      </c>
      <c r="AA324" s="32">
        <v>2.271521732347348</v>
      </c>
      <c r="AB324" s="32">
        <v>0.31215794381156403</v>
      </c>
    </row>
    <row r="325" spans="2:28" x14ac:dyDescent="0.3">
      <c r="B325" t="s">
        <v>375</v>
      </c>
      <c r="C325" s="32">
        <v>2.7845465420229587</v>
      </c>
      <c r="D325" s="32">
        <v>6.120821569430368</v>
      </c>
      <c r="E325" s="32">
        <v>6.4298625073620386</v>
      </c>
      <c r="F325" s="32">
        <v>6.0700314855452797</v>
      </c>
      <c r="G325" s="32">
        <v>11.305004857338163</v>
      </c>
      <c r="H325" s="32">
        <v>20.404073056408613</v>
      </c>
      <c r="I325" s="32">
        <v>13.221199022740082</v>
      </c>
      <c r="J325" s="32">
        <v>1.5721518086859509</v>
      </c>
      <c r="K325" s="32">
        <v>-4.6061002229511256</v>
      </c>
      <c r="L325" s="32">
        <v>-5.0732351969457801</v>
      </c>
      <c r="M325" s="32">
        <v>-4.8055480361447351</v>
      </c>
      <c r="N325" s="32">
        <v>-6.4157943912578341</v>
      </c>
      <c r="O325" s="32">
        <v>-2.0488778920866535</v>
      </c>
      <c r="P325" s="32">
        <v>-2.9012482458084077</v>
      </c>
      <c r="Q325" s="32">
        <v>-3.7531758226711842</v>
      </c>
      <c r="R325" s="32">
        <v>0.68443348507840618</v>
      </c>
      <c r="S325" s="32">
        <v>1.4207890481498175</v>
      </c>
      <c r="T325" s="32">
        <v>3.7413702362156132</v>
      </c>
      <c r="U325" s="32">
        <v>5.2000179053701023</v>
      </c>
      <c r="V325" s="32">
        <v>7.6690684216498495</v>
      </c>
      <c r="W325" s="32">
        <v>6.8158764869386435</v>
      </c>
      <c r="X325" s="32">
        <v>16.90448294999074</v>
      </c>
      <c r="Y325" s="32">
        <v>18.235716094185172</v>
      </c>
      <c r="Z325" s="32">
        <v>5.6433912096932604</v>
      </c>
      <c r="AA325" s="32">
        <v>4.9145714213322256</v>
      </c>
      <c r="AB325" s="32">
        <v>4.5346100919298582</v>
      </c>
    </row>
    <row r="326" spans="2:28" x14ac:dyDescent="0.3">
      <c r="B326" t="s">
        <v>376</v>
      </c>
      <c r="C326" s="32">
        <v>1.65942800950587</v>
      </c>
      <c r="D326" s="32">
        <v>3.830962073273958</v>
      </c>
      <c r="E326" s="32">
        <v>2.5114997185722965</v>
      </c>
      <c r="F326" s="32">
        <v>2.7661548365109478</v>
      </c>
      <c r="G326" s="32">
        <v>1.8644754780942518</v>
      </c>
      <c r="H326" s="32">
        <v>1.3582926388135297</v>
      </c>
      <c r="I326" s="32">
        <v>2.532074731000522</v>
      </c>
      <c r="J326" s="32">
        <v>3.4928646014618758</v>
      </c>
      <c r="K326" s="32">
        <v>1.4428170245682548</v>
      </c>
      <c r="L326" s="32">
        <v>1.346042271031922</v>
      </c>
      <c r="M326" s="32">
        <v>0.88326218165759585</v>
      </c>
      <c r="N326" s="32">
        <v>-0.81229631791429613</v>
      </c>
      <c r="O326" s="32">
        <v>2.0138616450895874</v>
      </c>
      <c r="P326" s="32">
        <v>2.8922574028970693</v>
      </c>
      <c r="Q326" s="32">
        <v>2.4231853363026135</v>
      </c>
      <c r="R326" s="32">
        <v>4.7636424455290483</v>
      </c>
      <c r="S326" s="32">
        <v>5.7313285535978586</v>
      </c>
      <c r="T326" s="32">
        <v>3.9299391909513925</v>
      </c>
      <c r="U326" s="32">
        <v>5.4996433948807377</v>
      </c>
      <c r="V326" s="32">
        <v>4.0937429580109486</v>
      </c>
      <c r="W326" s="32">
        <v>5.3230384374849615</v>
      </c>
      <c r="X326" s="32">
        <v>10.327266083540799</v>
      </c>
      <c r="Y326" s="32">
        <v>14.952700324991209</v>
      </c>
      <c r="Z326" s="32">
        <v>5.7101697204339663</v>
      </c>
      <c r="AA326" s="32">
        <v>6.1086647303823405</v>
      </c>
      <c r="AB326" s="32">
        <v>5.4142220707451783</v>
      </c>
    </row>
    <row r="327" spans="2:28" x14ac:dyDescent="0.3">
      <c r="B327" t="s">
        <v>551</v>
      </c>
      <c r="C327" s="32">
        <v>3.8422312415443916</v>
      </c>
      <c r="D327" s="32">
        <v>5.1452165721272092</v>
      </c>
      <c r="E327" s="32">
        <v>4.0127339967211961</v>
      </c>
      <c r="F327" s="32">
        <v>3.6893132708978538</v>
      </c>
      <c r="G327" s="32">
        <v>4.4453478506787381</v>
      </c>
      <c r="H327" s="32">
        <v>5.4136839789477254</v>
      </c>
      <c r="I327" s="32">
        <v>3.0550650184620221</v>
      </c>
      <c r="J327" s="32">
        <v>3.0159051609988552</v>
      </c>
      <c r="K327" s="32">
        <v>2.029366843593583</v>
      </c>
      <c r="L327" s="32">
        <v>2.9642364867865645E-2</v>
      </c>
      <c r="M327" s="32">
        <v>-1.3898149382880698</v>
      </c>
      <c r="N327" s="32">
        <v>0.19533304283803066</v>
      </c>
      <c r="O327" s="32">
        <v>1.0317472219306456</v>
      </c>
      <c r="P327" s="32">
        <v>3.0458209021685834</v>
      </c>
      <c r="Q327" s="32">
        <v>3.1877043631073354</v>
      </c>
      <c r="R327" s="32">
        <v>4.8397453794181811</v>
      </c>
      <c r="S327" s="32">
        <v>4.6882281666511316</v>
      </c>
      <c r="T327" s="32">
        <v>5.9193121693121631</v>
      </c>
      <c r="U327" s="32">
        <v>5.0925814740987896</v>
      </c>
      <c r="V327" s="32">
        <v>4.8697997006364346</v>
      </c>
      <c r="W327" s="32">
        <v>5.0576916791057025</v>
      </c>
      <c r="X327" s="32">
        <v>13.457370129533386</v>
      </c>
      <c r="Y327" s="32">
        <v>16.931599009131727</v>
      </c>
      <c r="Z327" s="32">
        <v>6.052907240349592</v>
      </c>
      <c r="AA327" s="32">
        <v>2.8467180186488417</v>
      </c>
      <c r="AB327" s="32">
        <v>2.8850245587715984</v>
      </c>
    </row>
    <row r="328" spans="2:28" x14ac:dyDescent="0.3">
      <c r="B328" t="s">
        <v>552</v>
      </c>
      <c r="C328" s="32">
        <v>2.4644228118173572</v>
      </c>
      <c r="D328" s="32">
        <v>5.0504005133193974</v>
      </c>
      <c r="E328" s="32">
        <v>3.8874549287726934</v>
      </c>
      <c r="F328" s="32">
        <v>5.0146038007813809</v>
      </c>
      <c r="G328" s="32">
        <v>6.8683402564565732</v>
      </c>
      <c r="H328" s="32">
        <v>9.8693660960235121</v>
      </c>
      <c r="I328" s="32">
        <v>19.342285389076032</v>
      </c>
      <c r="J328" s="32">
        <v>3.3561891014074474</v>
      </c>
      <c r="K328" s="32">
        <v>-3.5340183559457339</v>
      </c>
      <c r="L328" s="32">
        <v>-3.6259986038935987</v>
      </c>
      <c r="M328" s="32">
        <v>-4.451866457419551</v>
      </c>
      <c r="N328" s="32">
        <v>-2.571805598450172</v>
      </c>
      <c r="O328" s="32">
        <v>-3.7462897322859678E-2</v>
      </c>
      <c r="P328" s="32">
        <v>1.1545779520295119</v>
      </c>
      <c r="Q328" s="32">
        <v>1.5346908531285175</v>
      </c>
      <c r="R328" s="32">
        <v>3.5169955370926598</v>
      </c>
      <c r="S328" s="32">
        <v>3.130422993492421</v>
      </c>
      <c r="T328" s="32">
        <v>2.4951031300529669</v>
      </c>
      <c r="U328" s="32">
        <v>2.125258122025997</v>
      </c>
      <c r="V328" s="32">
        <v>2.9940721390535607</v>
      </c>
      <c r="W328" s="32">
        <v>3.8423080675056065</v>
      </c>
      <c r="X328" s="32">
        <v>9.8122335865850943</v>
      </c>
      <c r="Y328" s="32">
        <v>14.775169758862239</v>
      </c>
      <c r="Z328" s="32">
        <v>1.4264152349718673</v>
      </c>
      <c r="AA328" s="32">
        <v>2.1669437733665253</v>
      </c>
      <c r="AB328" s="32">
        <v>2.7551517997435271</v>
      </c>
    </row>
    <row r="329" spans="2:28" x14ac:dyDescent="0.3">
      <c r="B329" t="s">
        <v>377</v>
      </c>
      <c r="C329" s="32">
        <v>3.7706858246298935</v>
      </c>
      <c r="D329" s="32">
        <v>5.0223102627208638</v>
      </c>
      <c r="E329" s="32">
        <v>3.0083639758416325</v>
      </c>
      <c r="F329" s="32">
        <v>3.1128620574853105</v>
      </c>
      <c r="G329" s="32">
        <v>3.7902025148433216</v>
      </c>
      <c r="H329" s="32">
        <v>4.4398741834018818</v>
      </c>
      <c r="I329" s="32">
        <v>1.6481607122172504</v>
      </c>
      <c r="J329" s="32">
        <v>2.5916942061308568</v>
      </c>
      <c r="K329" s="32">
        <v>-0.75056728923023064</v>
      </c>
      <c r="L329" s="32">
        <v>-2.4781760624180582</v>
      </c>
      <c r="M329" s="32">
        <v>-2.6936192537215686</v>
      </c>
      <c r="N329" s="32">
        <v>-2.9467760686064715</v>
      </c>
      <c r="O329" s="32">
        <v>-0.26387056454412194</v>
      </c>
      <c r="P329" s="32">
        <v>0.13228434171133063</v>
      </c>
      <c r="Q329" s="32">
        <v>1.8669169795577867</v>
      </c>
      <c r="R329" s="32">
        <v>2.9367598375482196</v>
      </c>
      <c r="S329" s="32">
        <v>4.9152064718266386</v>
      </c>
      <c r="T329" s="32">
        <v>4.2993932499052256</v>
      </c>
      <c r="U329" s="32">
        <v>7.6216879516429525</v>
      </c>
      <c r="V329" s="32">
        <v>4.9690315315315425</v>
      </c>
      <c r="W329" s="32">
        <v>5.9219525278261909</v>
      </c>
      <c r="X329" s="32">
        <v>13.653052439672852</v>
      </c>
      <c r="Y329" s="32">
        <v>16.753926701570656</v>
      </c>
      <c r="Z329" s="32">
        <v>9.1308081289953371</v>
      </c>
      <c r="AA329" s="32">
        <v>6.7232033572302674</v>
      </c>
      <c r="AB329" s="32">
        <v>5.740496502445791</v>
      </c>
    </row>
    <row r="330" spans="2:28" x14ac:dyDescent="0.3">
      <c r="B330" t="s">
        <v>152</v>
      </c>
      <c r="C330" s="32">
        <v>2.068838503724324</v>
      </c>
      <c r="D330" s="32">
        <v>5.7058080554942991</v>
      </c>
      <c r="E330" s="32">
        <v>2.3594120436225774</v>
      </c>
      <c r="F330" s="32">
        <v>2.7478737793918517</v>
      </c>
      <c r="G330" s="32">
        <v>1.866479117074249</v>
      </c>
      <c r="H330" s="32">
        <v>2.9157151202931386</v>
      </c>
      <c r="I330" s="32">
        <v>2.2258919049093606</v>
      </c>
      <c r="J330" s="32">
        <v>3.5353705324089546</v>
      </c>
      <c r="K330" s="32">
        <v>1.283947406913799</v>
      </c>
      <c r="L330" s="32">
        <v>0.63223094080457898</v>
      </c>
      <c r="M330" s="32">
        <v>-3.3788847607354011</v>
      </c>
      <c r="N330" s="32">
        <v>-4.4426840941347407</v>
      </c>
      <c r="O330" s="32">
        <v>-0.2607854650961916</v>
      </c>
      <c r="P330" s="32">
        <v>2.4242004467445177E-2</v>
      </c>
      <c r="Q330" s="32">
        <v>1.0975504198043939</v>
      </c>
      <c r="R330" s="32">
        <v>4.8322745252487032</v>
      </c>
      <c r="S330" s="32">
        <v>4.0280295976871106</v>
      </c>
      <c r="T330" s="32">
        <v>6.1535321180146596</v>
      </c>
      <c r="U330" s="32">
        <v>6.6147975031801698</v>
      </c>
      <c r="V330" s="32">
        <v>6.2335247925858095</v>
      </c>
      <c r="W330" s="32">
        <v>6.272609734755985</v>
      </c>
      <c r="X330" s="32">
        <v>14.718460441910185</v>
      </c>
      <c r="Y330" s="32">
        <v>21.35917129971827</v>
      </c>
      <c r="Z330" s="32">
        <v>8.6697855062229721</v>
      </c>
      <c r="AA330" s="32">
        <v>6.719085060757668</v>
      </c>
      <c r="AB330" s="32">
        <v>2.9676258992805904</v>
      </c>
    </row>
    <row r="331" spans="2:28" x14ac:dyDescent="0.3">
      <c r="B331" t="s">
        <v>378</v>
      </c>
      <c r="C331" s="32">
        <v>8.9556351612007923E-2</v>
      </c>
      <c r="D331" s="32">
        <v>4.6068781976277284</v>
      </c>
      <c r="E331" s="32">
        <v>3.0003289834411584</v>
      </c>
      <c r="F331" s="32">
        <v>3.4026787045120743</v>
      </c>
      <c r="G331" s="32">
        <v>8.6921603756100474</v>
      </c>
      <c r="H331" s="32">
        <v>16.088818157705287</v>
      </c>
      <c r="I331" s="32">
        <v>16.083493814668557</v>
      </c>
      <c r="J331" s="32">
        <v>8.772793094237219</v>
      </c>
      <c r="K331" s="32">
        <v>-0.11761816748311338</v>
      </c>
      <c r="L331" s="32">
        <v>-4.8759025854706373</v>
      </c>
      <c r="M331" s="32">
        <v>-5.1380764521833928</v>
      </c>
      <c r="N331" s="32">
        <v>-6.8231683707857034</v>
      </c>
      <c r="O331" s="32">
        <v>-1.6852635629088231</v>
      </c>
      <c r="P331" s="32">
        <v>0.77645585472760903</v>
      </c>
      <c r="Q331" s="32">
        <v>3.3366471977134271</v>
      </c>
      <c r="R331" s="32">
        <v>5.2206722385905957</v>
      </c>
      <c r="S331" s="32">
        <v>7.0645884823635097</v>
      </c>
      <c r="T331" s="32">
        <v>8.7254143204077863</v>
      </c>
      <c r="U331" s="32">
        <v>11.383021808765225</v>
      </c>
      <c r="V331" s="32">
        <v>10.680285600952001</v>
      </c>
      <c r="W331" s="32">
        <v>9.0802297683401321</v>
      </c>
      <c r="X331" s="32">
        <v>22.562745276991912</v>
      </c>
      <c r="Y331" s="32">
        <v>17.791826765555641</v>
      </c>
      <c r="Z331" s="32">
        <v>0.34326895723362227</v>
      </c>
      <c r="AA331" s="32">
        <v>3.1090922836550572</v>
      </c>
      <c r="AB331" s="32">
        <v>4.027795809608592</v>
      </c>
    </row>
    <row r="332" spans="2:28" x14ac:dyDescent="0.3">
      <c r="B332" t="s">
        <v>153</v>
      </c>
      <c r="C332" s="32">
        <v>0.85501348818071143</v>
      </c>
      <c r="D332" s="32">
        <v>3.2482546015051295</v>
      </c>
      <c r="E332" s="32">
        <v>2.2151968210059492</v>
      </c>
      <c r="F332" s="32">
        <v>2.0189870698913204</v>
      </c>
      <c r="G332" s="32">
        <v>4.5222956756074018</v>
      </c>
      <c r="H332" s="32">
        <v>3.418200862103693</v>
      </c>
      <c r="I332" s="32">
        <v>2.5203046179615107</v>
      </c>
      <c r="J332" s="32">
        <v>1.8219123430286865</v>
      </c>
      <c r="K332" s="32">
        <v>0.43846555713114022</v>
      </c>
      <c r="L332" s="32">
        <v>0.15232858390148429</v>
      </c>
      <c r="M332" s="32">
        <v>1.072097638788394</v>
      </c>
      <c r="N332" s="32">
        <v>0.66616505477967713</v>
      </c>
      <c r="O332" s="32">
        <v>0.88598825974404161</v>
      </c>
      <c r="P332" s="32">
        <v>1.9316949765088465</v>
      </c>
      <c r="Q332" s="32">
        <v>0.28896098140369642</v>
      </c>
      <c r="R332" s="32">
        <v>2.3633599660609406</v>
      </c>
      <c r="S332" s="32">
        <v>2.1792812861558764</v>
      </c>
      <c r="T332" s="32">
        <v>0.43940443798482498</v>
      </c>
      <c r="U332" s="32">
        <v>0.84131177331696616</v>
      </c>
      <c r="V332" s="32">
        <v>1.6268709015367699</v>
      </c>
      <c r="W332" s="32">
        <v>1.8175549206974617</v>
      </c>
      <c r="X332" s="32">
        <v>7.4226371889765108</v>
      </c>
      <c r="Y332" s="32">
        <v>12.250810616068208</v>
      </c>
      <c r="Z332" s="32">
        <v>6.5274081602631595</v>
      </c>
      <c r="AA332" s="32">
        <v>6.0809962590072653</v>
      </c>
      <c r="AB332" s="32">
        <v>5.7204889224753419</v>
      </c>
    </row>
    <row r="333" spans="2:28" x14ac:dyDescent="0.3">
      <c r="B333" t="s">
        <v>154</v>
      </c>
      <c r="C333" s="32">
        <v>4.8153951404674267</v>
      </c>
      <c r="D333" s="32">
        <v>8.0176860722181118</v>
      </c>
      <c r="E333" s="32">
        <v>9.4029588912929007</v>
      </c>
      <c r="F333" s="32">
        <v>9.1845279455520448</v>
      </c>
      <c r="G333" s="32">
        <v>12.936914591560345</v>
      </c>
      <c r="H333" s="32">
        <v>12.566103164282616</v>
      </c>
      <c r="I333" s="32">
        <v>4.9058492818360611</v>
      </c>
      <c r="J333" s="32">
        <v>1.283510137160615</v>
      </c>
      <c r="K333" s="32">
        <v>-4.6811954867235439</v>
      </c>
      <c r="L333" s="32">
        <v>-3.1114152820551744</v>
      </c>
      <c r="M333" s="32">
        <v>-2.1439409794893338</v>
      </c>
      <c r="N333" s="32">
        <v>-2.855271424561201</v>
      </c>
      <c r="O333" s="32">
        <v>-1.4764768208275436</v>
      </c>
      <c r="P333" s="32">
        <v>-0.58798882681564413</v>
      </c>
      <c r="Q333" s="32">
        <v>0.60692058050830777</v>
      </c>
      <c r="R333" s="32">
        <v>2.5010124142938794</v>
      </c>
      <c r="S333" s="32">
        <v>2.1675158715021237</v>
      </c>
      <c r="T333" s="32">
        <v>3.1042897337084874</v>
      </c>
      <c r="U333" s="32">
        <v>4.3558670994943149</v>
      </c>
      <c r="V333" s="32">
        <v>4.053836334568528</v>
      </c>
      <c r="W333" s="32">
        <v>6.1779418770843364</v>
      </c>
      <c r="X333" s="32">
        <v>14.572559929105843</v>
      </c>
      <c r="Y333" s="32">
        <v>12.886486909867045</v>
      </c>
      <c r="Z333" s="32">
        <v>6.6088464874241026</v>
      </c>
      <c r="AA333" s="32">
        <v>6.7165636186137467</v>
      </c>
      <c r="AB333" s="32">
        <v>6.1843369386679781</v>
      </c>
    </row>
    <row r="334" spans="2:28" x14ac:dyDescent="0.3">
      <c r="B334" t="s">
        <v>155</v>
      </c>
      <c r="C334" s="32">
        <v>1.6278291894302521</v>
      </c>
      <c r="D334" s="32">
        <v>4.4607789358200645</v>
      </c>
      <c r="E334" s="32">
        <v>3.4216938329692637</v>
      </c>
      <c r="F334" s="32">
        <v>3.3734792940268488</v>
      </c>
      <c r="G334" s="32">
        <v>4.3832763566348243</v>
      </c>
      <c r="H334" s="32">
        <v>6.7307873289540465</v>
      </c>
      <c r="I334" s="32">
        <v>5.8848426064720849</v>
      </c>
      <c r="J334" s="32">
        <v>2.9895739648912345</v>
      </c>
      <c r="K334" s="32">
        <v>-1.3098953700858562</v>
      </c>
      <c r="L334" s="32">
        <v>-2.1187343307060735</v>
      </c>
      <c r="M334" s="32">
        <v>-2.4876954498275761</v>
      </c>
      <c r="N334" s="32">
        <v>-3.855926383738506</v>
      </c>
      <c r="O334" s="32">
        <v>0.61069247526872594</v>
      </c>
      <c r="P334" s="32">
        <v>0.90337924180037277</v>
      </c>
      <c r="Q334" s="32">
        <v>1.2277276484970123</v>
      </c>
      <c r="R334" s="32">
        <v>3.6576254105054495</v>
      </c>
      <c r="S334" s="32">
        <v>3.4849805551830482</v>
      </c>
      <c r="T334" s="32">
        <v>5.0133635700980284</v>
      </c>
      <c r="U334" s="32">
        <v>5.4311275643991852</v>
      </c>
      <c r="V334" s="32">
        <v>5.5800207751166786</v>
      </c>
      <c r="W334" s="32">
        <v>5.8962100741356771</v>
      </c>
      <c r="X334" s="32">
        <v>15.912064904475276</v>
      </c>
      <c r="Y334" s="32">
        <v>19.526981259878063</v>
      </c>
      <c r="Z334" s="32">
        <v>6.610500864210378</v>
      </c>
      <c r="AA334" s="32">
        <v>5.9091392324320147</v>
      </c>
      <c r="AB334" s="32">
        <v>4.2481833426495141</v>
      </c>
    </row>
    <row r="335" spans="2:28" x14ac:dyDescent="0.3">
      <c r="B335" t="s">
        <v>156</v>
      </c>
      <c r="C335" s="32">
        <v>2.237399428490372</v>
      </c>
      <c r="D335" s="32">
        <v>6.2263365512319702</v>
      </c>
      <c r="E335" s="32">
        <v>2.6125251922072046</v>
      </c>
      <c r="F335" s="32">
        <v>2.4278024296210177</v>
      </c>
      <c r="G335" s="32">
        <v>3.4497452195373146</v>
      </c>
      <c r="H335" s="32">
        <v>3.2180002059520207</v>
      </c>
      <c r="I335" s="32">
        <v>-1.1639314278113044</v>
      </c>
      <c r="J335" s="32">
        <v>1.3021315253780807</v>
      </c>
      <c r="K335" s="32">
        <v>-2.6621273768994369</v>
      </c>
      <c r="L335" s="32">
        <v>-2.5677335699174297</v>
      </c>
      <c r="M335" s="32">
        <v>-2.8140157949112954</v>
      </c>
      <c r="N335" s="32">
        <v>-3.0198198198198134</v>
      </c>
      <c r="O335" s="32">
        <v>-0.54436682520807578</v>
      </c>
      <c r="P335" s="32">
        <v>-1.699949561936076</v>
      </c>
      <c r="Q335" s="32">
        <v>1.2523517226962433</v>
      </c>
      <c r="R335" s="32">
        <v>3.0743243243243512</v>
      </c>
      <c r="S335" s="32">
        <v>2.6949269820459421</v>
      </c>
      <c r="T335" s="32">
        <v>3.0444341997943214</v>
      </c>
      <c r="U335" s="32">
        <v>5.5304138346382148</v>
      </c>
      <c r="V335" s="32">
        <v>5.7150776957067606</v>
      </c>
      <c r="W335" s="32">
        <v>6.4873368911373852</v>
      </c>
      <c r="X335" s="32">
        <v>14.002027809965224</v>
      </c>
      <c r="Y335" s="32">
        <v>15.717788760847174</v>
      </c>
      <c r="Z335" s="32">
        <v>8.9549616811963375</v>
      </c>
      <c r="AA335" s="32">
        <v>8.9273837595985395</v>
      </c>
      <c r="AB335" s="32">
        <v>5.3171086568348569</v>
      </c>
    </row>
    <row r="336" spans="2:28" x14ac:dyDescent="0.3">
      <c r="B336" t="s">
        <v>157</v>
      </c>
      <c r="C336" s="32">
        <v>8.4720804209534428</v>
      </c>
      <c r="D336" s="32">
        <v>8.5778413307509904</v>
      </c>
      <c r="E336" s="32">
        <v>8.3269429533557648</v>
      </c>
      <c r="F336" s="32">
        <v>7.4806481894707622</v>
      </c>
      <c r="G336" s="32">
        <v>8.5951146874373663</v>
      </c>
      <c r="H336" s="32">
        <v>8.1969806842903346</v>
      </c>
      <c r="I336" s="32">
        <v>3.7812873193439289</v>
      </c>
      <c r="J336" s="32">
        <v>-0.71155991310986044</v>
      </c>
      <c r="K336" s="32">
        <v>-4.0504263295450542</v>
      </c>
      <c r="L336" s="32">
        <v>-3.8627455813838751</v>
      </c>
      <c r="M336" s="32">
        <v>-4.4794871794871849</v>
      </c>
      <c r="N336" s="32">
        <v>-3.6560813894182864</v>
      </c>
      <c r="O336" s="32">
        <v>-1.3972862277451092</v>
      </c>
      <c r="P336" s="32">
        <v>1.2305909945039994</v>
      </c>
      <c r="Q336" s="32">
        <v>2.756454989532453</v>
      </c>
      <c r="R336" s="32">
        <v>3.395585738539908</v>
      </c>
      <c r="S336" s="32">
        <v>4.0341543513957356</v>
      </c>
      <c r="T336" s="32">
        <v>5.2654174453255154</v>
      </c>
      <c r="U336" s="32">
        <v>4.9888443730057963</v>
      </c>
      <c r="V336" s="32">
        <v>4.2353613253356182</v>
      </c>
      <c r="W336" s="32">
        <v>4.5345931252192218</v>
      </c>
      <c r="X336" s="32">
        <v>12.375090438192693</v>
      </c>
      <c r="Y336" s="32">
        <v>12.904610389004478</v>
      </c>
      <c r="Z336" s="32">
        <v>6.6015983338980844</v>
      </c>
      <c r="AA336" s="32">
        <v>4.9384056004775356</v>
      </c>
      <c r="AB336" s="32">
        <v>3.7863299708686293</v>
      </c>
    </row>
    <row r="337" spans="2:28" x14ac:dyDescent="0.3">
      <c r="B337" t="s">
        <v>158</v>
      </c>
      <c r="C337" s="32">
        <v>-0.13128031685281094</v>
      </c>
      <c r="D337" s="32">
        <v>4.1262838936791058</v>
      </c>
      <c r="E337" s="32">
        <v>1.1511714988766464</v>
      </c>
      <c r="F337" s="32">
        <v>3.1328665411545664</v>
      </c>
      <c r="G337" s="32">
        <v>9.8781638429667584</v>
      </c>
      <c r="H337" s="32">
        <v>29.275714019040521</v>
      </c>
      <c r="I337" s="32">
        <v>21.451778262313525</v>
      </c>
      <c r="J337" s="32">
        <v>0.30198908559131432</v>
      </c>
      <c r="K337" s="32">
        <v>-10.704929886324576</v>
      </c>
      <c r="L337" s="32">
        <v>-15.730366909148842</v>
      </c>
      <c r="M337" s="32">
        <v>-11.760814089033111</v>
      </c>
      <c r="N337" s="32">
        <v>-7.0515566980862587</v>
      </c>
      <c r="O337" s="32">
        <v>3.8796911612184681</v>
      </c>
      <c r="P337" s="32">
        <v>7.9521502791850107</v>
      </c>
      <c r="Q337" s="32">
        <v>7.6523883741243637</v>
      </c>
      <c r="R337" s="32">
        <v>5.9183835812584684</v>
      </c>
      <c r="S337" s="32">
        <v>6.4618850920014959</v>
      </c>
      <c r="T337" s="32">
        <v>6.6862310763717625</v>
      </c>
      <c r="U337" s="32">
        <v>9.2334955564959742</v>
      </c>
      <c r="V337" s="32">
        <v>7.4142231046756546</v>
      </c>
      <c r="W337" s="32">
        <v>7.1335181803836578</v>
      </c>
      <c r="X337" s="32">
        <v>25.484213737888073</v>
      </c>
      <c r="Y337" s="32">
        <v>20.697721213340724</v>
      </c>
      <c r="Z337" s="32">
        <v>-0.27993692736228981</v>
      </c>
      <c r="AA337" s="32">
        <v>2.929826272308067</v>
      </c>
      <c r="AB337" s="32">
        <v>3.0142911898373814</v>
      </c>
    </row>
    <row r="338" spans="2:28" x14ac:dyDescent="0.3">
      <c r="B338" t="s">
        <v>379</v>
      </c>
      <c r="C338" s="32">
        <v>6.7963647808639616</v>
      </c>
      <c r="D338" s="32">
        <v>5.1187121253983392</v>
      </c>
      <c r="E338" s="32">
        <v>6.159102856141585</v>
      </c>
      <c r="F338" s="32">
        <v>2.7019889411570519</v>
      </c>
      <c r="G338" s="32">
        <v>4.3039439426569404</v>
      </c>
      <c r="H338" s="32">
        <v>6.0523882896764247</v>
      </c>
      <c r="I338" s="32">
        <v>2.4030917649793704</v>
      </c>
      <c r="J338" s="32">
        <v>1.6486478817286709</v>
      </c>
      <c r="K338" s="32">
        <v>-1.3553123778683562</v>
      </c>
      <c r="L338" s="32">
        <v>1.1970625274150049</v>
      </c>
      <c r="M338" s="32">
        <v>-2.006459821865525</v>
      </c>
      <c r="N338" s="32">
        <v>-3.7569202671080437</v>
      </c>
      <c r="O338" s="32">
        <v>0.82133697054158628</v>
      </c>
      <c r="P338" s="32">
        <v>0.95434159252996142</v>
      </c>
      <c r="Q338" s="32">
        <v>-0.349579048562354</v>
      </c>
      <c r="R338" s="32">
        <v>2.8035197474201023</v>
      </c>
      <c r="S338" s="32">
        <v>3.9256668372860126</v>
      </c>
      <c r="T338" s="32">
        <v>-0.21616297046230804</v>
      </c>
      <c r="U338" s="32">
        <v>6.4194145471995867</v>
      </c>
      <c r="V338" s="32">
        <v>2.9284821624128599</v>
      </c>
      <c r="W338" s="32">
        <v>6.1747402678683283</v>
      </c>
      <c r="X338" s="32">
        <v>11.257559859943655</v>
      </c>
      <c r="Y338" s="32">
        <v>13.276183613783754</v>
      </c>
      <c r="Z338" s="32">
        <v>7.3002123460023771</v>
      </c>
      <c r="AA338" s="32">
        <v>10.195719454252217</v>
      </c>
      <c r="AB338" s="32">
        <v>7.726462485820762</v>
      </c>
    </row>
    <row r="339" spans="2:28" x14ac:dyDescent="0.3">
      <c r="B339" t="s">
        <v>380</v>
      </c>
      <c r="C339" s="32">
        <v>6.5098855359001062</v>
      </c>
      <c r="D339" s="32">
        <v>6.2917659932002046</v>
      </c>
      <c r="E339" s="32">
        <v>6.1472848266480584</v>
      </c>
      <c r="F339" s="32">
        <v>5.1470333552699588</v>
      </c>
      <c r="G339" s="32">
        <v>7.6605066376783215</v>
      </c>
      <c r="H339" s="32">
        <v>7.5942782834850453</v>
      </c>
      <c r="I339" s="32">
        <v>4.1277424675453922</v>
      </c>
      <c r="J339" s="32">
        <v>1.6249726895346317</v>
      </c>
      <c r="K339" s="32">
        <v>-1.998065088280343</v>
      </c>
      <c r="L339" s="32">
        <v>-3.429080688284103</v>
      </c>
      <c r="M339" s="32">
        <v>-3.068120509980965</v>
      </c>
      <c r="N339" s="32">
        <v>-3.0656335593865713</v>
      </c>
      <c r="O339" s="32">
        <v>-0.99728014505893192</v>
      </c>
      <c r="P339" s="32">
        <v>-0.44108669108671172</v>
      </c>
      <c r="Q339" s="32">
        <v>2.0864312980025002</v>
      </c>
      <c r="R339" s="32">
        <v>3.5124339259970938</v>
      </c>
      <c r="S339" s="32">
        <v>3.9662851257054266</v>
      </c>
      <c r="T339" s="32">
        <v>3.9684643828926225</v>
      </c>
      <c r="U339" s="32">
        <v>3.6760659786066352</v>
      </c>
      <c r="V339" s="32">
        <v>4.248653686826831</v>
      </c>
      <c r="W339" s="32">
        <v>4.4890103067179998</v>
      </c>
      <c r="X339" s="32">
        <v>10.496167330203798</v>
      </c>
      <c r="Y339" s="32">
        <v>12.39553868160943</v>
      </c>
      <c r="Z339" s="32">
        <v>7.0008229507569242</v>
      </c>
      <c r="AA339" s="32">
        <v>6.1680588098517175</v>
      </c>
      <c r="AB339" s="32">
        <v>5.8326563769293127</v>
      </c>
    </row>
    <row r="340" spans="2:28" x14ac:dyDescent="0.3">
      <c r="B340" t="s">
        <v>159</v>
      </c>
      <c r="C340" s="32">
        <v>4.1553296619577296</v>
      </c>
      <c r="D340" s="32">
        <v>5.3228840125391974</v>
      </c>
      <c r="E340" s="32">
        <v>4.7046451177649384</v>
      </c>
      <c r="F340" s="32">
        <v>4.927228623408153</v>
      </c>
      <c r="G340" s="32">
        <v>6.7259066608871487</v>
      </c>
      <c r="H340" s="32">
        <v>9.277059500439977</v>
      </c>
      <c r="I340" s="32">
        <v>5.4511103540124672</v>
      </c>
      <c r="J340" s="32">
        <v>4.3689605545275567</v>
      </c>
      <c r="K340" s="32">
        <v>2.9295473413161854</v>
      </c>
      <c r="L340" s="32">
        <v>0.5577504066930139</v>
      </c>
      <c r="M340" s="32">
        <v>0.38744409249718004</v>
      </c>
      <c r="N340" s="32">
        <v>0.14760847191375159</v>
      </c>
      <c r="O340" s="32">
        <v>1.2927129392992676</v>
      </c>
      <c r="P340" s="32">
        <v>2.1212404383986083</v>
      </c>
      <c r="Q340" s="32">
        <v>0.60132291040286834</v>
      </c>
      <c r="R340" s="32">
        <v>4.6271992515398264</v>
      </c>
      <c r="S340" s="32">
        <v>3.8959748630757796</v>
      </c>
      <c r="T340" s="32">
        <v>2.7433776417710609</v>
      </c>
      <c r="U340" s="32">
        <v>3.8975695454386727</v>
      </c>
      <c r="V340" s="32">
        <v>5.1858321855298373</v>
      </c>
      <c r="W340" s="32">
        <v>3.5940893412255814</v>
      </c>
      <c r="X340" s="32">
        <v>8.4998150203477572</v>
      </c>
      <c r="Y340" s="32">
        <v>10.306973924738806</v>
      </c>
      <c r="Z340" s="32">
        <v>6.6116554039549635</v>
      </c>
      <c r="AA340" s="32">
        <v>5.109494929969971</v>
      </c>
      <c r="AB340" s="32">
        <v>4.9815655683626447</v>
      </c>
    </row>
    <row r="341" spans="2:28" x14ac:dyDescent="0.3">
      <c r="B341" t="s">
        <v>516</v>
      </c>
      <c r="C341" s="32">
        <v>4.7843771770152088</v>
      </c>
      <c r="D341" s="32">
        <v>5.6875697006090631</v>
      </c>
      <c r="E341" s="32">
        <v>4.8336038961038996</v>
      </c>
      <c r="F341" s="32">
        <v>5.6172815609151661</v>
      </c>
      <c r="G341" s="32">
        <v>8.6100725753244021</v>
      </c>
      <c r="H341" s="32">
        <v>18.057102359015897</v>
      </c>
      <c r="I341" s="32">
        <v>14.157483241141723</v>
      </c>
      <c r="J341" s="32">
        <v>4.1455902238693998</v>
      </c>
      <c r="K341" s="32">
        <v>-0.96418567186429271</v>
      </c>
      <c r="L341" s="32">
        <v>-3.1222307197397381</v>
      </c>
      <c r="M341" s="32">
        <v>-4.8618507612304906</v>
      </c>
      <c r="N341" s="32">
        <v>-4.6322028317418606</v>
      </c>
      <c r="O341" s="32">
        <v>-1.237432327919552</v>
      </c>
      <c r="P341" s="32">
        <v>0.35658351045979586</v>
      </c>
      <c r="Q341" s="32">
        <v>1.8573996405032878</v>
      </c>
      <c r="R341" s="32">
        <v>0.55266757865937155</v>
      </c>
      <c r="S341" s="32">
        <v>3.1413256421419344</v>
      </c>
      <c r="T341" s="32">
        <v>1.8545632015617208</v>
      </c>
      <c r="U341" s="32">
        <v>4.5675287170255929</v>
      </c>
      <c r="V341" s="32">
        <v>4.5996086493448551</v>
      </c>
      <c r="W341" s="32">
        <v>4.9656642197489775</v>
      </c>
      <c r="X341" s="32">
        <v>11.847181176258271</v>
      </c>
      <c r="Y341" s="32">
        <v>16.072491099972773</v>
      </c>
      <c r="Z341" s="32">
        <v>9.2176829374250637</v>
      </c>
      <c r="AA341" s="32">
        <v>4.9776059441699827</v>
      </c>
      <c r="AB341" s="32">
        <v>7.4763482096881884</v>
      </c>
    </row>
    <row r="342" spans="2:28" x14ac:dyDescent="0.3">
      <c r="B342" t="s">
        <v>429</v>
      </c>
      <c r="C342" s="32">
        <v>13.343558282208591</v>
      </c>
      <c r="D342" s="32">
        <v>20.319272028397162</v>
      </c>
      <c r="E342" s="32">
        <v>8.1448037553788044</v>
      </c>
      <c r="F342" s="32">
        <v>10.187041251563711</v>
      </c>
      <c r="G342" s="32">
        <v>19.650380259342338</v>
      </c>
      <c r="H342" s="32">
        <v>28.49532432494226</v>
      </c>
      <c r="I342" s="32">
        <v>8.0569395017793468</v>
      </c>
      <c r="J342" s="32">
        <v>-11.814154920300336</v>
      </c>
      <c r="K342" s="32">
        <v>-34.50941581782704</v>
      </c>
      <c r="L342" s="32">
        <v>-20.601610948749038</v>
      </c>
      <c r="M342" s="32">
        <v>-3.9968398750314216</v>
      </c>
      <c r="N342" s="32">
        <v>-6.6058203037330676</v>
      </c>
      <c r="O342" s="32">
        <v>1.0193047100288233</v>
      </c>
      <c r="P342" s="32">
        <v>22.146892655367246</v>
      </c>
      <c r="Q342" s="32">
        <v>18.019377769122148</v>
      </c>
      <c r="R342" s="32">
        <v>7.7200220022002108</v>
      </c>
      <c r="S342" s="32">
        <v>8.604182092067326</v>
      </c>
      <c r="T342" s="32">
        <v>9.0626983567247077</v>
      </c>
      <c r="U342" s="32">
        <v>8.4292550439730931</v>
      </c>
      <c r="V342" s="32">
        <v>4.090253963520718</v>
      </c>
      <c r="W342" s="32">
        <v>4.6371275783040344</v>
      </c>
      <c r="X342" s="32">
        <v>19.521610571658023</v>
      </c>
      <c r="Y342" s="32">
        <v>14.289095726404376</v>
      </c>
      <c r="Z342" s="32">
        <v>-1.7290103620366093</v>
      </c>
      <c r="AA342" s="32">
        <v>4.1776291189927761</v>
      </c>
      <c r="AB342" s="32">
        <v>1.6326933193056448</v>
      </c>
    </row>
    <row r="343" spans="2:28" x14ac:dyDescent="0.3">
      <c r="B343" t="s">
        <v>160</v>
      </c>
      <c r="C343" s="32">
        <v>3.9934648632998337</v>
      </c>
      <c r="D343" s="32">
        <v>5.8566172814954687</v>
      </c>
      <c r="E343" s="32">
        <v>3.0452752207401845</v>
      </c>
      <c r="F343" s="32">
        <v>4.6216112741791493</v>
      </c>
      <c r="G343" s="32">
        <v>6.1217021573205965</v>
      </c>
      <c r="H343" s="32">
        <v>6.1643048325916716</v>
      </c>
      <c r="I343" s="32">
        <v>5.0856108765254593</v>
      </c>
      <c r="J343" s="32">
        <v>6.4040858980586313</v>
      </c>
      <c r="K343" s="32">
        <v>-0.15769379737731182</v>
      </c>
      <c r="L343" s="32">
        <v>0.70381556707028725</v>
      </c>
      <c r="M343" s="32">
        <v>-3.4298214236579083</v>
      </c>
      <c r="N343" s="32">
        <v>-0.70519852406936145</v>
      </c>
      <c r="O343" s="32">
        <v>-2.3056615684811654</v>
      </c>
      <c r="P343" s="32">
        <v>0.51254938244409409</v>
      </c>
      <c r="Q343" s="32">
        <v>-2.0470485096434787</v>
      </c>
      <c r="R343" s="32">
        <v>1.4334939363654042</v>
      </c>
      <c r="S343" s="32">
        <v>1.8485294117647211</v>
      </c>
      <c r="T343" s="32">
        <v>0.310437934071639</v>
      </c>
      <c r="U343" s="32">
        <v>5.8311262091202076</v>
      </c>
      <c r="V343" s="32">
        <v>3.7947309005345486</v>
      </c>
      <c r="W343" s="32">
        <v>7.0905350333494876</v>
      </c>
      <c r="X343" s="32">
        <v>9.1025892026821875</v>
      </c>
      <c r="Y343" s="32">
        <v>16.818635532676129</v>
      </c>
      <c r="Z343" s="32">
        <v>9.6621511343234712</v>
      </c>
      <c r="AA343" s="32">
        <v>2.2219693056564793</v>
      </c>
      <c r="AB343" s="32">
        <v>11.79881255596027</v>
      </c>
    </row>
    <row r="344" spans="2:28" x14ac:dyDescent="0.3">
      <c r="B344" t="s">
        <v>161</v>
      </c>
      <c r="C344" s="32">
        <v>2.5385811699964345</v>
      </c>
      <c r="D344" s="32">
        <v>5.4438118349822595</v>
      </c>
      <c r="E344" s="32">
        <v>5.7027152625639177</v>
      </c>
      <c r="F344" s="32">
        <v>5.5185696939245465</v>
      </c>
      <c r="G344" s="32">
        <v>7.682234831951118</v>
      </c>
      <c r="H344" s="32">
        <v>6.5390426355160791</v>
      </c>
      <c r="I344" s="32">
        <v>4.972069937568091</v>
      </c>
      <c r="J344" s="32">
        <v>2.1302184585982875</v>
      </c>
      <c r="K344" s="32">
        <v>1.306641286638377</v>
      </c>
      <c r="L344" s="32">
        <v>0.76431903950573421</v>
      </c>
      <c r="M344" s="32">
        <v>-0.55150835163791934</v>
      </c>
      <c r="N344" s="32">
        <v>-1.0709972668912715</v>
      </c>
      <c r="O344" s="32">
        <v>-3.3730604902171279E-2</v>
      </c>
      <c r="P344" s="32">
        <v>0.12050709385089675</v>
      </c>
      <c r="Q344" s="32">
        <v>0.66760816536142187</v>
      </c>
      <c r="R344" s="32">
        <v>1.3295498023211394</v>
      </c>
      <c r="S344" s="32">
        <v>1.9650105408892227</v>
      </c>
      <c r="T344" s="32">
        <v>2.9593741803088935</v>
      </c>
      <c r="U344" s="32">
        <v>4.170600488543208</v>
      </c>
      <c r="V344" s="32">
        <v>3.7533087812176236</v>
      </c>
      <c r="W344" s="32">
        <v>6.0772867819359089</v>
      </c>
      <c r="X344" s="32">
        <v>12.871222419742768</v>
      </c>
      <c r="Y344" s="32">
        <v>14.101747518847496</v>
      </c>
      <c r="Z344" s="32">
        <v>10.790841182202016</v>
      </c>
      <c r="AA344" s="32">
        <v>10.035727372664006</v>
      </c>
      <c r="AB344" s="32">
        <v>9.2404533536038613</v>
      </c>
    </row>
    <row r="345" spans="2:28" x14ac:dyDescent="0.3">
      <c r="B345" t="s">
        <v>162</v>
      </c>
      <c r="C345" s="32">
        <v>3.4969486762962854</v>
      </c>
      <c r="D345" s="32">
        <v>6.5136700108172185</v>
      </c>
      <c r="E345" s="32">
        <v>5.4183758811581439</v>
      </c>
      <c r="F345" s="32">
        <v>7.9846615916432162</v>
      </c>
      <c r="G345" s="32">
        <v>13.47129412587902</v>
      </c>
      <c r="H345" s="32">
        <v>16.527664297716882</v>
      </c>
      <c r="I345" s="32">
        <v>12.467587447743034</v>
      </c>
      <c r="J345" s="32">
        <v>2.8913565143744435</v>
      </c>
      <c r="K345" s="32">
        <v>-5.3915628215388196</v>
      </c>
      <c r="L345" s="32">
        <v>-7.2238199966164762</v>
      </c>
      <c r="M345" s="32">
        <v>-7.5531416067521011</v>
      </c>
      <c r="N345" s="32">
        <v>-6.957183312904192</v>
      </c>
      <c r="O345" s="32">
        <v>-5.3210981389784751</v>
      </c>
      <c r="P345" s="32">
        <v>2.2423030787684928</v>
      </c>
      <c r="Q345" s="32">
        <v>1.7410483833122159</v>
      </c>
      <c r="R345" s="32">
        <v>4.8354858548585566</v>
      </c>
      <c r="S345" s="32">
        <v>4.6271174011879301</v>
      </c>
      <c r="T345" s="32">
        <v>5.7232968881413049</v>
      </c>
      <c r="U345" s="32">
        <v>4.9732840115084276</v>
      </c>
      <c r="V345" s="32">
        <v>5.9906029757243573</v>
      </c>
      <c r="W345" s="32">
        <v>5.374357996591872</v>
      </c>
      <c r="X345" s="32">
        <v>13.492485326879788</v>
      </c>
      <c r="Y345" s="32">
        <v>16.506905279100835</v>
      </c>
      <c r="Z345" s="32">
        <v>8.4909855974821156</v>
      </c>
      <c r="AA345" s="32">
        <v>4.0566959921798595</v>
      </c>
      <c r="AB345" s="32">
        <v>2.2597354829810845</v>
      </c>
    </row>
    <row r="346" spans="2:28" x14ac:dyDescent="0.3">
      <c r="B346" t="s">
        <v>381</v>
      </c>
      <c r="C346" s="32">
        <v>7.9851630552016495</v>
      </c>
      <c r="D346" s="32">
        <v>10.580965663869879</v>
      </c>
      <c r="E346" s="32">
        <v>9.0227615014916829</v>
      </c>
      <c r="F346" s="32">
        <v>8.8762097120820727</v>
      </c>
      <c r="G346" s="32">
        <v>15.460910603561274</v>
      </c>
      <c r="H346" s="32">
        <v>22.937056787948016</v>
      </c>
      <c r="I346" s="32">
        <v>17.212550353313706</v>
      </c>
      <c r="J346" s="32">
        <v>-2.2252680524582957</v>
      </c>
      <c r="K346" s="32">
        <v>-16.40312613065489</v>
      </c>
      <c r="L346" s="32">
        <v>-14.081166450565197</v>
      </c>
      <c r="M346" s="32">
        <v>-9.5896959272795392</v>
      </c>
      <c r="N346" s="32">
        <v>-7.5461278643606633</v>
      </c>
      <c r="O346" s="32">
        <v>-0.47353846225759444</v>
      </c>
      <c r="P346" s="32">
        <v>7.9925117832528203</v>
      </c>
      <c r="Q346" s="32">
        <v>8.9477643138837557</v>
      </c>
      <c r="R346" s="32">
        <v>8.8237187466196687</v>
      </c>
      <c r="S346" s="32">
        <v>9.9427663556377119</v>
      </c>
      <c r="T346" s="32">
        <v>10.009056336136823</v>
      </c>
      <c r="U346" s="32">
        <v>9.1493651176285837</v>
      </c>
      <c r="V346" s="32">
        <v>6.9155832856892197</v>
      </c>
      <c r="W346" s="32">
        <v>7.4200437786895446</v>
      </c>
      <c r="X346" s="32">
        <v>19.490041898485</v>
      </c>
      <c r="Y346" s="32">
        <v>26.349656797774124</v>
      </c>
      <c r="Z346" s="32">
        <v>6.7981178133165399</v>
      </c>
      <c r="AA346" s="32">
        <v>3.7915628745100127</v>
      </c>
      <c r="AB346" s="32">
        <v>0.94909230558770652</v>
      </c>
    </row>
    <row r="347" spans="2:28" x14ac:dyDescent="0.3">
      <c r="B347" t="s">
        <v>163</v>
      </c>
      <c r="C347" s="32">
        <v>0.27273303875345878</v>
      </c>
      <c r="D347" s="32">
        <v>4.8705406089230019</v>
      </c>
      <c r="E347" s="32">
        <v>2.3865052877075854</v>
      </c>
      <c r="F347" s="32">
        <v>3.3343151693667084</v>
      </c>
      <c r="G347" s="32">
        <v>4.2756969386010146</v>
      </c>
      <c r="H347" s="32">
        <v>1.4560895157910148</v>
      </c>
      <c r="I347" s="32">
        <v>3.3427935048139013</v>
      </c>
      <c r="J347" s="32">
        <v>-0.19640901743347428</v>
      </c>
      <c r="K347" s="32">
        <v>-1.4524555903866254</v>
      </c>
      <c r="L347" s="32">
        <v>-1.2953734139186435</v>
      </c>
      <c r="M347" s="32">
        <v>-6.6245322543079244E-2</v>
      </c>
      <c r="N347" s="32">
        <v>-1.1663322344847349</v>
      </c>
      <c r="O347" s="32">
        <v>0.69971902474392778</v>
      </c>
      <c r="P347" s="32">
        <v>1.3537110043023493</v>
      </c>
      <c r="Q347" s="32">
        <v>1.3480631582686753</v>
      </c>
      <c r="R347" s="32">
        <v>2.3290455995232939</v>
      </c>
      <c r="S347" s="32">
        <v>1.6184000959051925</v>
      </c>
      <c r="T347" s="32">
        <v>3.4178239180261416</v>
      </c>
      <c r="U347" s="32">
        <v>4.4341959455055369</v>
      </c>
      <c r="V347" s="32">
        <v>4.0508699383630997</v>
      </c>
      <c r="W347" s="32">
        <v>5.1498927730537991</v>
      </c>
      <c r="X347" s="32">
        <v>11.418384083291745</v>
      </c>
      <c r="Y347" s="32">
        <v>15.642400890925611</v>
      </c>
      <c r="Z347" s="32">
        <v>5.2877431066735925</v>
      </c>
      <c r="AA347" s="32">
        <v>9.0582224184696969</v>
      </c>
      <c r="AB347" s="32">
        <v>9.1359578400912476</v>
      </c>
    </row>
    <row r="348" spans="2:28" x14ac:dyDescent="0.3">
      <c r="B348" t="s">
        <v>382</v>
      </c>
      <c r="C348" s="32">
        <v>3.6173762025547784</v>
      </c>
      <c r="D348" s="32">
        <v>5.2200952717007976</v>
      </c>
      <c r="E348" s="32">
        <v>4.3050868772400497</v>
      </c>
      <c r="F348" s="32">
        <v>3.0724404702100028</v>
      </c>
      <c r="G348" s="32">
        <v>4.5463407026162805</v>
      </c>
      <c r="H348" s="32">
        <v>4.9882519673292824</v>
      </c>
      <c r="I348" s="32">
        <v>3.5008259178344936</v>
      </c>
      <c r="J348" s="32">
        <v>3.6964579901153094</v>
      </c>
      <c r="K348" s="32">
        <v>1.6797405090523965</v>
      </c>
      <c r="L348" s="32">
        <v>1.6340879868491864</v>
      </c>
      <c r="M348" s="32">
        <v>0.37312835295058022</v>
      </c>
      <c r="N348" s="32">
        <v>1.4167650531286879</v>
      </c>
      <c r="O348" s="32">
        <v>0.67331592360695414</v>
      </c>
      <c r="P348" s="32">
        <v>0.30784136012753649</v>
      </c>
      <c r="Q348" s="32">
        <v>1.4519169353959249</v>
      </c>
      <c r="R348" s="32">
        <v>1.8027425026488242</v>
      </c>
      <c r="S348" s="32">
        <v>3.2113066956272585</v>
      </c>
      <c r="T348" s="32">
        <v>1.7610265103908063</v>
      </c>
      <c r="U348" s="32">
        <v>3.027387226953504</v>
      </c>
      <c r="V348" s="32">
        <v>4.2891593136229922</v>
      </c>
      <c r="W348" s="32">
        <v>5.2903122326775076</v>
      </c>
      <c r="X348" s="32">
        <v>11.224515703150772</v>
      </c>
      <c r="Y348" s="32">
        <v>17.391800584368156</v>
      </c>
      <c r="Z348" s="32">
        <v>4.8563983899507779</v>
      </c>
      <c r="AA348" s="32">
        <v>4.3208560116459571</v>
      </c>
      <c r="AB348" s="32">
        <v>6.3043002117252112</v>
      </c>
    </row>
    <row r="349" spans="2:28" x14ac:dyDescent="0.3">
      <c r="B349" t="s">
        <v>164</v>
      </c>
      <c r="C349" s="32">
        <v>4.9816267752507581</v>
      </c>
      <c r="D349" s="32">
        <v>5.9788469907100961</v>
      </c>
      <c r="E349" s="32">
        <v>3.4652669915912426</v>
      </c>
      <c r="F349" s="32">
        <v>3.454463885150294</v>
      </c>
      <c r="G349" s="32">
        <v>3.7460804590032648</v>
      </c>
      <c r="H349" s="32">
        <v>2.7909070447895479</v>
      </c>
      <c r="I349" s="32">
        <v>-1.1714473396102543</v>
      </c>
      <c r="J349" s="32">
        <v>-2.2361486967668376</v>
      </c>
      <c r="K349" s="32">
        <v>-5.5393680393680427</v>
      </c>
      <c r="L349" s="32">
        <v>-4.2430681701340127</v>
      </c>
      <c r="M349" s="32">
        <v>-3.3215218869680485</v>
      </c>
      <c r="N349" s="32">
        <v>-3.9372848098922386</v>
      </c>
      <c r="O349" s="32">
        <v>-1.8537431351768108</v>
      </c>
      <c r="P349" s="32">
        <v>-0.66361690848761867</v>
      </c>
      <c r="Q349" s="32">
        <v>3.2038739005830541</v>
      </c>
      <c r="R349" s="32">
        <v>3.1791021908993411</v>
      </c>
      <c r="S349" s="32">
        <v>4.0760264310639283</v>
      </c>
      <c r="T349" s="32">
        <v>3.5311742045940786</v>
      </c>
      <c r="U349" s="32">
        <v>4.4081168607455368</v>
      </c>
      <c r="V349" s="32">
        <v>5.1492303377274729</v>
      </c>
      <c r="W349" s="32">
        <v>4.8578422142722788</v>
      </c>
      <c r="X349" s="32">
        <v>11.529598371939898</v>
      </c>
      <c r="Y349" s="32">
        <v>11.880643473360797</v>
      </c>
      <c r="Z349" s="32">
        <v>7.5394541180985319</v>
      </c>
      <c r="AA349" s="32">
        <v>7.9264008921103857</v>
      </c>
      <c r="AB349" s="32">
        <v>6.7199510739479384</v>
      </c>
    </row>
    <row r="350" spans="2:28" x14ac:dyDescent="0.3">
      <c r="B350" t="s">
        <v>165</v>
      </c>
      <c r="C350" s="32">
        <v>3.5190243282728906</v>
      </c>
      <c r="D350" s="32">
        <v>6.005195230205973</v>
      </c>
      <c r="E350" s="32">
        <v>4.5767650066567578</v>
      </c>
      <c r="F350" s="32">
        <v>3.8838354951198362</v>
      </c>
      <c r="G350" s="32">
        <v>4.5396419437340185</v>
      </c>
      <c r="H350" s="32">
        <v>5.609921848453947</v>
      </c>
      <c r="I350" s="32">
        <v>2.366397477558646</v>
      </c>
      <c r="J350" s="32">
        <v>2.2519761758835966</v>
      </c>
      <c r="K350" s="32">
        <v>-0.38115144622383745</v>
      </c>
      <c r="L350" s="32">
        <v>-0.46283439785246294</v>
      </c>
      <c r="M350" s="32">
        <v>-0.875724603986483</v>
      </c>
      <c r="N350" s="32">
        <v>-1.2587368848998581</v>
      </c>
      <c r="O350" s="32">
        <v>0.21061632989169965</v>
      </c>
      <c r="P350" s="32">
        <v>-0.47723645327982789</v>
      </c>
      <c r="Q350" s="32">
        <v>0.72087521237236274</v>
      </c>
      <c r="R350" s="32">
        <v>2.2322765752841756</v>
      </c>
      <c r="S350" s="32">
        <v>2.3377384385264266</v>
      </c>
      <c r="T350" s="32">
        <v>3.5621185866043792</v>
      </c>
      <c r="U350" s="32">
        <v>3.9692124139737217</v>
      </c>
      <c r="V350" s="32">
        <v>3.6903312481632478</v>
      </c>
      <c r="W350" s="32">
        <v>5.6131400653224306</v>
      </c>
      <c r="X350" s="32">
        <v>13.07553704011346</v>
      </c>
      <c r="Y350" s="32">
        <v>14.495112165903802</v>
      </c>
      <c r="Z350" s="32">
        <v>6.717927964386905</v>
      </c>
      <c r="AA350" s="32">
        <v>7.6158235985090084</v>
      </c>
      <c r="AB350" s="32">
        <v>7.0197987552049979</v>
      </c>
    </row>
    <row r="351" spans="2:28" x14ac:dyDescent="0.3">
      <c r="B351" t="s">
        <v>553</v>
      </c>
      <c r="C351" s="32">
        <v>10.045386332857476</v>
      </c>
      <c r="D351" s="32">
        <v>6.1815037168848175</v>
      </c>
      <c r="E351" s="32">
        <v>5.4802029820824494</v>
      </c>
      <c r="F351" s="32">
        <v>4.1234204938601637</v>
      </c>
      <c r="G351" s="32">
        <v>6.2104272431692475</v>
      </c>
      <c r="H351" s="32">
        <v>6.0997059573839607</v>
      </c>
      <c r="I351" s="32">
        <v>1.9083293260104606</v>
      </c>
      <c r="J351" s="32">
        <v>0.22351918539675886</v>
      </c>
      <c r="K351" s="32">
        <v>-3.2920332053029244</v>
      </c>
      <c r="L351" s="32">
        <v>-4.1061842594134816</v>
      </c>
      <c r="M351" s="32">
        <v>-5.1250534416417466</v>
      </c>
      <c r="N351" s="32">
        <v>-3.9908747817270163</v>
      </c>
      <c r="O351" s="32">
        <v>-2.0681158144855938</v>
      </c>
      <c r="P351" s="32">
        <v>5.2360412173495963</v>
      </c>
      <c r="Q351" s="32">
        <v>4.1642946601389452</v>
      </c>
      <c r="R351" s="32">
        <v>5.5499385161907222</v>
      </c>
      <c r="S351" s="32">
        <v>6.0127893128980592</v>
      </c>
      <c r="T351" s="32">
        <v>8.1138503241876982</v>
      </c>
      <c r="U351" s="32">
        <v>6.3472702220415123</v>
      </c>
      <c r="V351" s="32">
        <v>5.8972834051953082</v>
      </c>
      <c r="W351" s="32">
        <v>5.3342024770596463</v>
      </c>
      <c r="X351" s="32">
        <v>16.665079878896361</v>
      </c>
      <c r="Y351" s="32">
        <v>20.199448334394219</v>
      </c>
      <c r="Z351" s="32">
        <v>10.677574852332139</v>
      </c>
      <c r="AA351" s="32">
        <v>5.9846519074697735</v>
      </c>
      <c r="AB351" s="32">
        <v>7.0189998587371072</v>
      </c>
    </row>
    <row r="352" spans="2:28" x14ac:dyDescent="0.3">
      <c r="B352" t="s">
        <v>517</v>
      </c>
      <c r="C352" s="32">
        <v>8.3266814149200563</v>
      </c>
      <c r="D352" s="32">
        <v>10.286748915743814</v>
      </c>
      <c r="E352" s="32">
        <v>12.076206475259642</v>
      </c>
      <c r="F352" s="32">
        <v>9.9063191960483632</v>
      </c>
      <c r="G352" s="32">
        <v>14.0486005641137</v>
      </c>
      <c r="H352" s="32">
        <v>15.323884714163395</v>
      </c>
      <c r="I352" s="32">
        <v>7.4433237498232607</v>
      </c>
      <c r="J352" s="32">
        <v>-1.0133245599605378</v>
      </c>
      <c r="K352" s="32">
        <v>-5.0265341620411856</v>
      </c>
      <c r="L352" s="32">
        <v>-6.5162614903644283</v>
      </c>
      <c r="M352" s="32">
        <v>-2.4220719259277712</v>
      </c>
      <c r="N352" s="32">
        <v>-3.9771346726856671</v>
      </c>
      <c r="O352" s="32">
        <v>-3.610478511593207</v>
      </c>
      <c r="P352" s="32">
        <v>0.25146457389189081</v>
      </c>
      <c r="Q352" s="32">
        <v>0.2783979712781548</v>
      </c>
      <c r="R352" s="32">
        <v>2.2924683892248554</v>
      </c>
      <c r="S352" s="32">
        <v>1.6835062073413232</v>
      </c>
      <c r="T352" s="32">
        <v>0.23784040908549908</v>
      </c>
      <c r="U352" s="32">
        <v>2.4742621373301077</v>
      </c>
      <c r="V352" s="32">
        <v>3.0950114487123592</v>
      </c>
      <c r="W352" s="32">
        <v>4.8986823717308781</v>
      </c>
      <c r="X352" s="32">
        <v>11.78898536933508</v>
      </c>
      <c r="Y352" s="32">
        <v>17.414158180908899</v>
      </c>
      <c r="Z352" s="32">
        <v>10.934597225117137</v>
      </c>
      <c r="AA352" s="32">
        <v>10.329785235228295</v>
      </c>
      <c r="AB352" s="32">
        <v>7.1128982462481227</v>
      </c>
    </row>
    <row r="353" spans="2:28" x14ac:dyDescent="0.3">
      <c r="B353" t="s">
        <v>166</v>
      </c>
      <c r="C353" s="32">
        <v>4.5906673009557641</v>
      </c>
      <c r="D353" s="32">
        <v>6.4462775744795087</v>
      </c>
      <c r="E353" s="32">
        <v>6.0772622215316652</v>
      </c>
      <c r="F353" s="32">
        <v>6.5402079976563554</v>
      </c>
      <c r="G353" s="32">
        <v>11.784216676978087</v>
      </c>
      <c r="H353" s="32">
        <v>24.023368437235739</v>
      </c>
      <c r="I353" s="32">
        <v>16.215244635618763</v>
      </c>
      <c r="J353" s="32">
        <v>-5.8665415137815202E-2</v>
      </c>
      <c r="K353" s="32">
        <v>-9.6609283114720839</v>
      </c>
      <c r="L353" s="32">
        <v>-11.485616397897115</v>
      </c>
      <c r="M353" s="32">
        <v>-9.6325560909200085</v>
      </c>
      <c r="N353" s="32">
        <v>-10.192597406433702</v>
      </c>
      <c r="O353" s="32">
        <v>-1.7909711372419812</v>
      </c>
      <c r="P353" s="32">
        <v>5.5696965637349827</v>
      </c>
      <c r="Q353" s="32">
        <v>5.8104121062149128</v>
      </c>
      <c r="R353" s="32">
        <v>2.9248182295180447</v>
      </c>
      <c r="S353" s="32">
        <v>5.1240969470985664</v>
      </c>
      <c r="T353" s="32">
        <v>7.294870729071401</v>
      </c>
      <c r="U353" s="32">
        <v>6.266868115549018</v>
      </c>
      <c r="V353" s="32">
        <v>6.6251883536674328</v>
      </c>
      <c r="W353" s="32">
        <v>7.2893873085339234</v>
      </c>
      <c r="X353" s="32">
        <v>18.864457191417028</v>
      </c>
      <c r="Y353" s="32">
        <v>20.604294944548229</v>
      </c>
      <c r="Z353" s="32">
        <v>4.7682560853617995</v>
      </c>
      <c r="AA353" s="32">
        <v>4.3652309215644447</v>
      </c>
      <c r="AB353" s="32">
        <v>2.0555278969371704</v>
      </c>
    </row>
    <row r="354" spans="2:28" x14ac:dyDescent="0.3">
      <c r="B354" t="s">
        <v>167</v>
      </c>
      <c r="C354" s="32">
        <v>4.9594098982156831</v>
      </c>
      <c r="D354" s="32">
        <v>6.0462103217447494</v>
      </c>
      <c r="E354" s="32">
        <v>3.6596878991503434</v>
      </c>
      <c r="F354" s="32">
        <v>3.0447515982713558</v>
      </c>
      <c r="G354" s="32">
        <v>2.4834064086789231</v>
      </c>
      <c r="H354" s="32">
        <v>2.8916396103896069</v>
      </c>
      <c r="I354" s="32">
        <v>3.109489530946985</v>
      </c>
      <c r="J354" s="32">
        <v>4.1011826962925158</v>
      </c>
      <c r="K354" s="32">
        <v>2.166556935278896</v>
      </c>
      <c r="L354" s="32">
        <v>0.69837844318556552</v>
      </c>
      <c r="M354" s="32">
        <v>-0.29467793784975216</v>
      </c>
      <c r="N354" s="32">
        <v>-2.7211392064960926</v>
      </c>
      <c r="O354" s="32">
        <v>1.2352119807889972</v>
      </c>
      <c r="P354" s="32">
        <v>1.0185522008002934</v>
      </c>
      <c r="Q354" s="32">
        <v>2.1110911055095327</v>
      </c>
      <c r="R354" s="32">
        <v>4.6403644111380427</v>
      </c>
      <c r="S354" s="32">
        <v>2.7803912207041037</v>
      </c>
      <c r="T354" s="32">
        <v>3.6301285642069692</v>
      </c>
      <c r="U354" s="32">
        <v>3.2181938035596769</v>
      </c>
      <c r="V354" s="32">
        <v>4.0234509713759969</v>
      </c>
      <c r="W354" s="32">
        <v>5.1693864269839684</v>
      </c>
      <c r="X354" s="32">
        <v>12.663016193622955</v>
      </c>
      <c r="Y354" s="32">
        <v>17.019181943480135</v>
      </c>
      <c r="Z354" s="32">
        <v>7.4008147360963505</v>
      </c>
      <c r="AA354" s="32">
        <v>4.6760721323911403</v>
      </c>
      <c r="AB354" s="32">
        <v>4.9809163352976027</v>
      </c>
    </row>
    <row r="355" spans="2:28" x14ac:dyDescent="0.3">
      <c r="B355" t="s">
        <v>168</v>
      </c>
      <c r="C355" s="32">
        <v>1.920658743357806</v>
      </c>
      <c r="D355" s="32">
        <v>5.9319841601496615</v>
      </c>
      <c r="E355" s="32">
        <v>2.6355336814817498</v>
      </c>
      <c r="F355" s="32">
        <v>4.5610117685817242</v>
      </c>
      <c r="G355" s="32">
        <v>3.3450611773355288</v>
      </c>
      <c r="H355" s="32">
        <v>6.9766260162601457</v>
      </c>
      <c r="I355" s="32">
        <v>6.6562168495384544</v>
      </c>
      <c r="J355" s="32">
        <v>3.2272909460683286</v>
      </c>
      <c r="K355" s="32">
        <v>2.33257114917238</v>
      </c>
      <c r="L355" s="32">
        <v>-0.40613274497954821</v>
      </c>
      <c r="M355" s="32">
        <v>-2.3140962325384651</v>
      </c>
      <c r="N355" s="32">
        <v>-2.8499205546728135</v>
      </c>
      <c r="O355" s="32">
        <v>1.7068855286438422</v>
      </c>
      <c r="P355" s="32">
        <v>1.4838096630363395</v>
      </c>
      <c r="Q355" s="32">
        <v>-1.0530106597522626</v>
      </c>
      <c r="R355" s="32">
        <v>1.8343548457540715</v>
      </c>
      <c r="S355" s="32">
        <v>3.63693548156514</v>
      </c>
      <c r="T355" s="32">
        <v>2.2002124343040164</v>
      </c>
      <c r="U355" s="32">
        <v>4.0573372206025082</v>
      </c>
      <c r="V355" s="32">
        <v>3.4192025319739416</v>
      </c>
      <c r="W355" s="32">
        <v>5.9601153894393466</v>
      </c>
      <c r="X355" s="32">
        <v>9.6233517198930141</v>
      </c>
      <c r="Y355" s="32">
        <v>12.40551980304927</v>
      </c>
      <c r="Z355" s="32">
        <v>5.5186789752259768</v>
      </c>
      <c r="AA355" s="32">
        <v>5.501338237168385</v>
      </c>
      <c r="AB355" s="32">
        <v>6.5078458089754321</v>
      </c>
    </row>
    <row r="356" spans="2:28" x14ac:dyDescent="0.3">
      <c r="B356" t="s">
        <v>420</v>
      </c>
      <c r="C356" s="32">
        <v>0.14855732010963241</v>
      </c>
      <c r="D356" s="32">
        <v>4.4730904228647672</v>
      </c>
      <c r="E356" s="32">
        <v>2.6337366263373907</v>
      </c>
      <c r="F356" s="32">
        <v>2.3596118623592233</v>
      </c>
      <c r="G356" s="32">
        <v>3.7919022328821717</v>
      </c>
      <c r="H356" s="32">
        <v>10.927097661623119</v>
      </c>
      <c r="I356" s="32">
        <v>15.13813798918704</v>
      </c>
      <c r="J356" s="32">
        <v>8.1118338861844599</v>
      </c>
      <c r="K356" s="32">
        <v>-0.21118903410902723</v>
      </c>
      <c r="L356" s="32">
        <v>-2.3546167258981177</v>
      </c>
      <c r="M356" s="32">
        <v>-7.6076881134132908</v>
      </c>
      <c r="N356" s="32">
        <v>-8.9806577258443099</v>
      </c>
      <c r="O356" s="32">
        <v>0.46521429034558359</v>
      </c>
      <c r="P356" s="32">
        <v>4.4031042772551876</v>
      </c>
      <c r="Q356" s="32">
        <v>1.7385794646720631</v>
      </c>
      <c r="R356" s="32">
        <v>7.190922485683493</v>
      </c>
      <c r="S356" s="32">
        <v>5.7576487593350878</v>
      </c>
      <c r="T356" s="32">
        <v>6.7640359104917502</v>
      </c>
      <c r="U356" s="32">
        <v>10.561259067747674</v>
      </c>
      <c r="V356" s="32">
        <v>9.148286469980583</v>
      </c>
      <c r="W356" s="32">
        <v>8.9327315084449808</v>
      </c>
      <c r="X356" s="32">
        <v>26.993250016707847</v>
      </c>
      <c r="Y356" s="32">
        <v>22.451020193363114</v>
      </c>
      <c r="Z356" s="32">
        <v>-1.1345985007091275</v>
      </c>
      <c r="AA356" s="32">
        <v>4.530239894677357</v>
      </c>
      <c r="AB356" s="32">
        <v>3.6214644462067236</v>
      </c>
    </row>
    <row r="357" spans="2:28" x14ac:dyDescent="0.3">
      <c r="B357" t="s">
        <v>169</v>
      </c>
      <c r="C357" s="32">
        <v>2.3730054480070484</v>
      </c>
      <c r="D357" s="32">
        <v>5.0882396247449613</v>
      </c>
      <c r="E357" s="32">
        <v>5.5624499599679744</v>
      </c>
      <c r="F357" s="32">
        <v>4.0292762471795029</v>
      </c>
      <c r="G357" s="32">
        <v>5.1035287255759787</v>
      </c>
      <c r="H357" s="32">
        <v>5.9707963374028727</v>
      </c>
      <c r="I357" s="32">
        <v>5.5411000376389241</v>
      </c>
      <c r="J357" s="32">
        <v>3.1522800924131289</v>
      </c>
      <c r="K357" s="32">
        <v>1.3077593722754965</v>
      </c>
      <c r="L357" s="32">
        <v>1.6573683898154279</v>
      </c>
      <c r="M357" s="32">
        <v>-1.787981842861941</v>
      </c>
      <c r="N357" s="32">
        <v>-0.95262156699559286</v>
      </c>
      <c r="O357" s="32">
        <v>1.105826218734518</v>
      </c>
      <c r="P357" s="32">
        <v>1.0818591950611411</v>
      </c>
      <c r="Q357" s="32">
        <v>3.6292631362588645</v>
      </c>
      <c r="R357" s="32">
        <v>3.0473896720266236</v>
      </c>
      <c r="S357" s="32">
        <v>4.1025076990761411</v>
      </c>
      <c r="T357" s="32">
        <v>4.2155309033280464</v>
      </c>
      <c r="U357" s="32">
        <v>5.3439274128142644</v>
      </c>
      <c r="V357" s="32">
        <v>4.5086552226058396</v>
      </c>
      <c r="W357" s="32">
        <v>5.5780010819894921</v>
      </c>
      <c r="X357" s="32">
        <v>13.786073285871602</v>
      </c>
      <c r="Y357" s="32">
        <v>22.009619806837332</v>
      </c>
      <c r="Z357" s="32">
        <v>5.0942759091872958</v>
      </c>
      <c r="AA357" s="32">
        <v>2.7842123354206105</v>
      </c>
      <c r="AB357" s="32">
        <v>1.9762672135950954</v>
      </c>
    </row>
    <row r="358" spans="2:28" x14ac:dyDescent="0.3">
      <c r="B358" t="s">
        <v>383</v>
      </c>
      <c r="C358" s="32">
        <v>1.709053916581893</v>
      </c>
      <c r="D358" s="32">
        <v>6.867087703254926</v>
      </c>
      <c r="E358" s="32">
        <v>6.976681998074663</v>
      </c>
      <c r="F358" s="32">
        <v>9.9637545306836763</v>
      </c>
      <c r="G358" s="32">
        <v>20.254142892864447</v>
      </c>
      <c r="H358" s="32">
        <v>23.339823443791239</v>
      </c>
      <c r="I358" s="32">
        <v>14.579757233938206</v>
      </c>
      <c r="J358" s="32">
        <v>3.4188948783456574</v>
      </c>
      <c r="K358" s="32">
        <v>-2.6384883014084815</v>
      </c>
      <c r="L358" s="32">
        <v>-5.9858921051582747</v>
      </c>
      <c r="M358" s="32">
        <v>-0.94671546254820882</v>
      </c>
      <c r="N358" s="32">
        <v>0.82737764083249399</v>
      </c>
      <c r="O358" s="32">
        <v>1.5562881113736271</v>
      </c>
      <c r="P358" s="32">
        <v>5.732714785249593</v>
      </c>
      <c r="Q358" s="32">
        <v>6.2783282386423389</v>
      </c>
      <c r="R358" s="32">
        <v>5.580144059706682</v>
      </c>
      <c r="S358" s="32">
        <v>7.2731969657828577</v>
      </c>
      <c r="T358" s="32">
        <v>2.9182538640045719</v>
      </c>
      <c r="U358" s="32">
        <v>3.1822339452468595</v>
      </c>
      <c r="V358" s="32">
        <v>1.9852804749829867</v>
      </c>
      <c r="W358" s="32">
        <v>0.76308874065089682</v>
      </c>
      <c r="X358" s="32">
        <v>7.7857465269070891</v>
      </c>
      <c r="Y358" s="32">
        <v>17.049610541891159</v>
      </c>
      <c r="Z358" s="32">
        <v>1.2983192609200334</v>
      </c>
      <c r="AA358" s="32">
        <v>5.6588520614389681</v>
      </c>
      <c r="AB358" s="32">
        <v>0.11969507679188141</v>
      </c>
    </row>
    <row r="359" spans="2:28" x14ac:dyDescent="0.3">
      <c r="B359" t="s">
        <v>384</v>
      </c>
      <c r="C359" s="32">
        <v>0.84570203017229062</v>
      </c>
      <c r="D359" s="32">
        <v>8.5262699985499513</v>
      </c>
      <c r="E359" s="32">
        <v>4.3334966374203754</v>
      </c>
      <c r="F359" s="32">
        <v>5.5109707162981358</v>
      </c>
      <c r="G359" s="32">
        <v>6.8373993607638406</v>
      </c>
      <c r="H359" s="32">
        <v>8.378460256750131</v>
      </c>
      <c r="I359" s="32">
        <v>6.7419067419067114</v>
      </c>
      <c r="J359" s="32">
        <v>5.4191626567154705</v>
      </c>
      <c r="K359" s="32">
        <v>2.8210343275008043</v>
      </c>
      <c r="L359" s="32">
        <v>0.70667109594420019</v>
      </c>
      <c r="M359" s="32">
        <v>-1.1995082016380554E-2</v>
      </c>
      <c r="N359" s="32">
        <v>-1.2206460126563456</v>
      </c>
      <c r="O359" s="32">
        <v>-6.0723828030095905E-2</v>
      </c>
      <c r="P359" s="32">
        <v>0.67596305747963381</v>
      </c>
      <c r="Q359" s="32">
        <v>0.13126725711785081</v>
      </c>
      <c r="R359" s="32">
        <v>1.5851967934422229</v>
      </c>
      <c r="S359" s="32">
        <v>3.1520707250504376</v>
      </c>
      <c r="T359" s="32">
        <v>1.8276987676334899</v>
      </c>
      <c r="U359" s="32">
        <v>5.5400214652883806</v>
      </c>
      <c r="V359" s="32">
        <v>3.8174884592225844</v>
      </c>
      <c r="W359" s="32">
        <v>7.8014641439397847</v>
      </c>
      <c r="X359" s="32">
        <v>12.42213746846641</v>
      </c>
      <c r="Y359" s="32">
        <v>15.436398634492887</v>
      </c>
      <c r="Z359" s="32">
        <v>6.2240893261843011</v>
      </c>
      <c r="AA359" s="32">
        <v>9.4126728070631707</v>
      </c>
      <c r="AB359" s="32">
        <v>7.3597190723534878</v>
      </c>
    </row>
    <row r="360" spans="2:28" x14ac:dyDescent="0.3">
      <c r="B360" t="s">
        <v>170</v>
      </c>
      <c r="C360" s="32">
        <v>2.6363579435155549</v>
      </c>
      <c r="D360" s="32">
        <v>4.075655887736418</v>
      </c>
      <c r="E360" s="32">
        <v>2.8823230546762169</v>
      </c>
      <c r="F360" s="32">
        <v>5.0751201352352338</v>
      </c>
      <c r="G360" s="32">
        <v>5.5349686375878671</v>
      </c>
      <c r="H360" s="32">
        <v>7.6392100440196842</v>
      </c>
      <c r="I360" s="32">
        <v>8.8426714192511469</v>
      </c>
      <c r="J360" s="32">
        <v>4.6944444444444233</v>
      </c>
      <c r="K360" s="32">
        <v>1.6072949686501081</v>
      </c>
      <c r="L360" s="32">
        <v>-0.64594156290371796</v>
      </c>
      <c r="M360" s="32">
        <v>-4.9410723178221705</v>
      </c>
      <c r="N360" s="32">
        <v>-5.6664726426076895</v>
      </c>
      <c r="O360" s="32">
        <v>-2.0716996266930021</v>
      </c>
      <c r="P360" s="32">
        <v>0.71357686309723167</v>
      </c>
      <c r="Q360" s="32">
        <v>-2.2037662662662716</v>
      </c>
      <c r="R360" s="32">
        <v>2.2982071745006438</v>
      </c>
      <c r="S360" s="32">
        <v>0.37364767681820066</v>
      </c>
      <c r="T360" s="32">
        <v>-1.0046259520583023</v>
      </c>
      <c r="U360" s="32">
        <v>4.1757135215079177</v>
      </c>
      <c r="V360" s="32">
        <v>4.2258200930345158</v>
      </c>
      <c r="W360" s="32">
        <v>5.0326039704390313</v>
      </c>
      <c r="X360" s="32">
        <v>11.795869376267554</v>
      </c>
      <c r="Y360" s="32">
        <v>18.129650882973603</v>
      </c>
      <c r="Z360" s="32">
        <v>2.9365676319418332</v>
      </c>
      <c r="AA360" s="32">
        <v>9.7599837621149774</v>
      </c>
      <c r="AB360" s="32">
        <v>6.7776467903863935</v>
      </c>
    </row>
    <row r="361" spans="2:28" x14ac:dyDescent="0.3">
      <c r="B361" t="s">
        <v>518</v>
      </c>
      <c r="C361" s="32">
        <v>18.497485694468541</v>
      </c>
      <c r="D361" s="32">
        <v>17.300164624108263</v>
      </c>
      <c r="E361" s="32">
        <v>11.533183632734545</v>
      </c>
      <c r="F361" s="32">
        <v>12.323136289916681</v>
      </c>
      <c r="G361" s="32">
        <v>19.151584555254033</v>
      </c>
      <c r="H361" s="32">
        <v>21.825247586812104</v>
      </c>
      <c r="I361" s="32">
        <v>7.3197502915551826</v>
      </c>
      <c r="J361" s="32">
        <v>-8.3346650473024813</v>
      </c>
      <c r="K361" s="32">
        <v>-27.642715806173246</v>
      </c>
      <c r="L361" s="32">
        <v>-22.084352299148279</v>
      </c>
      <c r="M361" s="32">
        <v>-5.3852219490699849</v>
      </c>
      <c r="N361" s="32">
        <v>-8.5809066248325188</v>
      </c>
      <c r="O361" s="32">
        <v>-0.21271651502421385</v>
      </c>
      <c r="P361" s="32">
        <v>18.99541415878474</v>
      </c>
      <c r="Q361" s="32">
        <v>20.557596194375872</v>
      </c>
      <c r="R361" s="32">
        <v>8.6996154038259554</v>
      </c>
      <c r="S361" s="32">
        <v>8.9051245821415215</v>
      </c>
      <c r="T361" s="32">
        <v>8.6231448371886898</v>
      </c>
      <c r="U361" s="32">
        <v>8.0716269494454984</v>
      </c>
      <c r="V361" s="32">
        <v>3.3237487644891761</v>
      </c>
      <c r="W361" s="32">
        <v>3.6594804720451624</v>
      </c>
      <c r="X361" s="32">
        <v>15.592674312272958</v>
      </c>
      <c r="Y361" s="32">
        <v>11.315619488616168</v>
      </c>
      <c r="Z361" s="32">
        <v>-1.3163900009128149</v>
      </c>
      <c r="AA361" s="32">
        <v>2.2622311783555338</v>
      </c>
      <c r="AB361" s="32">
        <v>0.76630095673877463</v>
      </c>
    </row>
    <row r="362" spans="2:28" x14ac:dyDescent="0.3">
      <c r="B362" t="s">
        <v>171</v>
      </c>
      <c r="C362" s="32">
        <v>1.5437429369496103</v>
      </c>
      <c r="D362" s="32">
        <v>3.3870188774331789</v>
      </c>
      <c r="E362" s="32">
        <v>4.0356649605979289</v>
      </c>
      <c r="F362" s="32">
        <v>2.9693692286667961</v>
      </c>
      <c r="G362" s="32">
        <v>2.8780524799029372</v>
      </c>
      <c r="H362" s="32">
        <v>5.5766466403744941</v>
      </c>
      <c r="I362" s="32">
        <v>5.2105152911604335</v>
      </c>
      <c r="J362" s="32">
        <v>7.3333001509797269</v>
      </c>
      <c r="K362" s="32">
        <v>6.0593881872845312</v>
      </c>
      <c r="L362" s="32">
        <v>0.71706527917452245</v>
      </c>
      <c r="M362" s="32">
        <v>-0.23297880037626006</v>
      </c>
      <c r="N362" s="32">
        <v>2.2204460492503131E-14</v>
      </c>
      <c r="O362" s="32">
        <v>6.759108841958672</v>
      </c>
      <c r="P362" s="32">
        <v>5.4045975762186726</v>
      </c>
      <c r="Q362" s="32">
        <v>6.3042973885695242</v>
      </c>
      <c r="R362" s="32">
        <v>2.5972136335527862</v>
      </c>
      <c r="S362" s="32">
        <v>0.40654730248774751</v>
      </c>
      <c r="T362" s="32">
        <v>2.4611871608658298</v>
      </c>
      <c r="U362" s="32">
        <v>1.6220562894888158</v>
      </c>
      <c r="V362" s="32">
        <v>3.3189392055345657</v>
      </c>
      <c r="W362" s="32">
        <v>5.1182739228429419</v>
      </c>
      <c r="X362" s="32">
        <v>8.7711811482576341</v>
      </c>
      <c r="Y362" s="32">
        <v>16.207190224204094</v>
      </c>
      <c r="Z362" s="32">
        <v>7.2850790513833807</v>
      </c>
      <c r="AA362" s="32">
        <v>4.5161835025750996</v>
      </c>
      <c r="AB362" s="32">
        <v>4.2908332889541656</v>
      </c>
    </row>
    <row r="363" spans="2:28" x14ac:dyDescent="0.3">
      <c r="B363" t="s">
        <v>519</v>
      </c>
      <c r="C363" s="32">
        <v>1.0602628001812553</v>
      </c>
      <c r="D363" s="32">
        <v>6.0370337159253884</v>
      </c>
      <c r="E363" s="32">
        <v>6.7694129088179844</v>
      </c>
      <c r="F363" s="32">
        <v>7.6114290240183902</v>
      </c>
      <c r="G363" s="32">
        <v>12.482749737795995</v>
      </c>
      <c r="H363" s="32">
        <v>18.852955129148906</v>
      </c>
      <c r="I363" s="32">
        <v>14.316780444835931</v>
      </c>
      <c r="J363" s="32">
        <v>4.6702304413783313</v>
      </c>
      <c r="K363" s="32">
        <v>-4.0972198258509067</v>
      </c>
      <c r="L363" s="32">
        <v>-8.1211394302848525</v>
      </c>
      <c r="M363" s="32">
        <v>-3.9397420500235092</v>
      </c>
      <c r="N363" s="32">
        <v>-5.3529203924659541</v>
      </c>
      <c r="O363" s="32">
        <v>-2.7021982282079748</v>
      </c>
      <c r="P363" s="32">
        <v>-2.6975577362945646</v>
      </c>
      <c r="Q363" s="32">
        <v>-1.9730955305822029</v>
      </c>
      <c r="R363" s="32">
        <v>1.4960703013800369</v>
      </c>
      <c r="S363" s="32">
        <v>1.6051095224303813</v>
      </c>
      <c r="T363" s="32">
        <v>2.6689270283245525</v>
      </c>
      <c r="U363" s="32">
        <v>0.68824431942720032</v>
      </c>
      <c r="V363" s="32">
        <v>4.0199692334484505</v>
      </c>
      <c r="W363" s="32">
        <v>5.4258050114403655</v>
      </c>
      <c r="X363" s="32">
        <v>16.946999272149821</v>
      </c>
      <c r="Y363" s="32">
        <v>16.369623519027709</v>
      </c>
      <c r="Z363" s="32">
        <v>9.3020994389179315</v>
      </c>
      <c r="AA363" s="32">
        <v>9.0317874078093663</v>
      </c>
      <c r="AB363" s="32">
        <v>8.7968284110406145</v>
      </c>
    </row>
    <row r="364" spans="2:28" x14ac:dyDescent="0.3">
      <c r="B364" t="s">
        <v>554</v>
      </c>
      <c r="C364" s="32">
        <v>4.1070523136615078</v>
      </c>
      <c r="D364" s="32">
        <v>5.9207182788412638</v>
      </c>
      <c r="E364" s="32">
        <v>6.9732107157136847</v>
      </c>
      <c r="F364" s="32">
        <v>8.815504223667503</v>
      </c>
      <c r="G364" s="32">
        <v>18.583082868183777</v>
      </c>
      <c r="H364" s="32">
        <v>23.286262582373809</v>
      </c>
      <c r="I364" s="32">
        <v>14.499019066527264</v>
      </c>
      <c r="J364" s="32">
        <v>3.9634740676140146</v>
      </c>
      <c r="K364" s="32">
        <v>-2.5146060318964158</v>
      </c>
      <c r="L364" s="32">
        <v>-5.0911115610447482</v>
      </c>
      <c r="M364" s="32">
        <v>-4.3668867532079547</v>
      </c>
      <c r="N364" s="32">
        <v>-5.5020801499046312</v>
      </c>
      <c r="O364" s="32">
        <v>-2.29214862376661</v>
      </c>
      <c r="P364" s="32">
        <v>-0.25971829624795717</v>
      </c>
      <c r="Q364" s="32">
        <v>1.5575229813363567</v>
      </c>
      <c r="R364" s="32">
        <v>2.4662206480388305</v>
      </c>
      <c r="S364" s="32">
        <v>1.6678111288276343</v>
      </c>
      <c r="T364" s="32">
        <v>2.3078508139295462</v>
      </c>
      <c r="U364" s="32">
        <v>1.8932527693857004</v>
      </c>
      <c r="V364" s="32">
        <v>3.5481320419055162</v>
      </c>
      <c r="W364" s="32">
        <v>5.1668734688683049</v>
      </c>
      <c r="X364" s="32">
        <v>11.660364039731764</v>
      </c>
      <c r="Y364" s="32">
        <v>13.879958095513345</v>
      </c>
      <c r="Z364" s="32">
        <v>6.5314797338556829</v>
      </c>
      <c r="AA364" s="32">
        <v>6.3543581994000009</v>
      </c>
      <c r="AB364" s="32">
        <v>6.4356682454328462</v>
      </c>
    </row>
    <row r="365" spans="2:28" x14ac:dyDescent="0.3">
      <c r="B365" t="s">
        <v>520</v>
      </c>
      <c r="C365" s="32">
        <v>0.47080979284368496</v>
      </c>
      <c r="D365" s="32">
        <v>6.1363636363636287</v>
      </c>
      <c r="E365" s="32">
        <v>5.9537738139914698</v>
      </c>
      <c r="F365" s="32">
        <v>9.9924993749479274</v>
      </c>
      <c r="G365" s="32">
        <v>24.255569025609923</v>
      </c>
      <c r="H365" s="32">
        <v>31.021235727243624</v>
      </c>
      <c r="I365" s="32">
        <v>14.972191841388781</v>
      </c>
      <c r="J365" s="32">
        <v>-5.0620357439229213</v>
      </c>
      <c r="K365" s="32">
        <v>-19.841811282138742</v>
      </c>
      <c r="L365" s="32">
        <v>-16.356818000478736</v>
      </c>
      <c r="M365" s="32">
        <v>-7.8476263156221249</v>
      </c>
      <c r="N365" s="32">
        <v>-8.1035851074842018</v>
      </c>
      <c r="O365" s="32">
        <v>-0.63456303388719215</v>
      </c>
      <c r="P365" s="32">
        <v>10.013792582235915</v>
      </c>
      <c r="Q365" s="32">
        <v>12.073436721795726</v>
      </c>
      <c r="R365" s="32">
        <v>5.7955468378871444</v>
      </c>
      <c r="S365" s="32">
        <v>5.914048581236675</v>
      </c>
      <c r="T365" s="32">
        <v>6.7312163234047206</v>
      </c>
      <c r="U365" s="32">
        <v>5.3187945261647052</v>
      </c>
      <c r="V365" s="32">
        <v>4.7241316381775311</v>
      </c>
      <c r="W365" s="32">
        <v>5.4659727224145582</v>
      </c>
      <c r="X365" s="32">
        <v>16.224403247303986</v>
      </c>
      <c r="Y365" s="32">
        <v>16.796193797861857</v>
      </c>
      <c r="Z365" s="32">
        <v>4.2131230017689925</v>
      </c>
      <c r="AA365" s="32">
        <v>5.1134505473969583</v>
      </c>
      <c r="AB365" s="32">
        <v>5.1066895832238668</v>
      </c>
    </row>
    <row r="366" spans="2:28" x14ac:dyDescent="0.3">
      <c r="B366" t="s">
        <v>172</v>
      </c>
      <c r="C366" s="32">
        <v>2.6471930625285189</v>
      </c>
      <c r="D366" s="32">
        <v>6.188994050265717</v>
      </c>
      <c r="E366" s="32">
        <v>3.7047375977030006</v>
      </c>
      <c r="F366" s="32">
        <v>5.0317246683330152</v>
      </c>
      <c r="G366" s="32">
        <v>5.1329928423673232</v>
      </c>
      <c r="H366" s="32">
        <v>4.866709616757503</v>
      </c>
      <c r="I366" s="32">
        <v>3.2212001461162876</v>
      </c>
      <c r="J366" s="32">
        <v>4.0279252324421755</v>
      </c>
      <c r="K366" s="32">
        <v>1.3607546002783355</v>
      </c>
      <c r="L366" s="32">
        <v>2.6010678871090764</v>
      </c>
      <c r="M366" s="32">
        <v>-0.44457661140437921</v>
      </c>
      <c r="N366" s="32">
        <v>1.0066312205030181</v>
      </c>
      <c r="O366" s="32">
        <v>1.7078219724974142</v>
      </c>
      <c r="P366" s="32">
        <v>1.3404085192992854</v>
      </c>
      <c r="Q366" s="32">
        <v>2.0069720401107327</v>
      </c>
      <c r="R366" s="32">
        <v>5.5663375805136139</v>
      </c>
      <c r="S366" s="32">
        <v>6.4171906639667542</v>
      </c>
      <c r="T366" s="32">
        <v>6.9828870444786473</v>
      </c>
      <c r="U366" s="32">
        <v>8.3373313518763315</v>
      </c>
      <c r="V366" s="32">
        <v>5.2600881361790419</v>
      </c>
      <c r="W366" s="32">
        <v>6.4953721755905525</v>
      </c>
      <c r="X366" s="32">
        <v>15.297155630925751</v>
      </c>
      <c r="Y366" s="32">
        <v>21.71820157111819</v>
      </c>
      <c r="Z366" s="32">
        <v>5.0931011754366651</v>
      </c>
      <c r="AA366" s="32">
        <v>1.0760064285994186</v>
      </c>
      <c r="AB366" s="32">
        <v>2.7748507200561878</v>
      </c>
    </row>
    <row r="367" spans="2:28" x14ac:dyDescent="0.3">
      <c r="B367" t="s">
        <v>385</v>
      </c>
      <c r="C367" s="32">
        <v>3.3472707747846497</v>
      </c>
      <c r="D367" s="32">
        <v>3.8180933852139942</v>
      </c>
      <c r="E367" s="32">
        <v>4.8702059243169726</v>
      </c>
      <c r="F367" s="32">
        <v>6.0207935669902124</v>
      </c>
      <c r="G367" s="32">
        <v>11.838501465208484</v>
      </c>
      <c r="H367" s="32">
        <v>12.112960679545125</v>
      </c>
      <c r="I367" s="32">
        <v>14.473382723592753</v>
      </c>
      <c r="J367" s="32">
        <v>8.0811315719242049</v>
      </c>
      <c r="K367" s="32">
        <v>1.0272112203071782</v>
      </c>
      <c r="L367" s="32">
        <v>-3.3778168841961054</v>
      </c>
      <c r="M367" s="32">
        <v>-3.8285439643832908</v>
      </c>
      <c r="N367" s="32">
        <v>-2.5224561726527983</v>
      </c>
      <c r="O367" s="32">
        <v>-0.62871868211928916</v>
      </c>
      <c r="P367" s="32">
        <v>1.1078978453016086</v>
      </c>
      <c r="Q367" s="32">
        <v>2.7393949160053221</v>
      </c>
      <c r="R367" s="32">
        <v>4.3798768772301377</v>
      </c>
      <c r="S367" s="32">
        <v>6.4037064863511128</v>
      </c>
      <c r="T367" s="32">
        <v>7.1645444488902532</v>
      </c>
      <c r="U367" s="32">
        <v>6.3835628472908468</v>
      </c>
      <c r="V367" s="32">
        <v>8.322064516129025</v>
      </c>
      <c r="W367" s="32">
        <v>6.899377721871236</v>
      </c>
      <c r="X367" s="32">
        <v>19.241912334970614</v>
      </c>
      <c r="Y367" s="32">
        <v>19.218462642604052</v>
      </c>
      <c r="Z367" s="32">
        <v>0.33736964551105419</v>
      </c>
      <c r="AA367" s="32">
        <v>0.91995975176086819</v>
      </c>
      <c r="AB367" s="32">
        <v>5.8020776654095663</v>
      </c>
    </row>
    <row r="368" spans="2:28" x14ac:dyDescent="0.3">
      <c r="B368" t="s">
        <v>173</v>
      </c>
      <c r="C368" s="32">
        <v>2.8465931046326887</v>
      </c>
      <c r="D368" s="32">
        <v>4.0953494197211393</v>
      </c>
      <c r="E368" s="32">
        <v>3.5311810707840285</v>
      </c>
      <c r="F368" s="32">
        <v>2.2467122465185785</v>
      </c>
      <c r="G368" s="32">
        <v>5.2281638915724349</v>
      </c>
      <c r="H368" s="32">
        <v>3.8361145613940328</v>
      </c>
      <c r="I368" s="32">
        <v>4.8888734787282173</v>
      </c>
      <c r="J368" s="32">
        <v>3.7502892466364735</v>
      </c>
      <c r="K368" s="32">
        <v>-1.0339169361648137</v>
      </c>
      <c r="L368" s="32">
        <v>-2.4677247995878782</v>
      </c>
      <c r="M368" s="32">
        <v>-2.6489956922873925</v>
      </c>
      <c r="N368" s="32">
        <v>-3.4806049098060621</v>
      </c>
      <c r="O368" s="32">
        <v>-1.8900072017003056</v>
      </c>
      <c r="P368" s="32">
        <v>-0.10921135081908284</v>
      </c>
      <c r="Q368" s="32">
        <v>-0.92662293436569509</v>
      </c>
      <c r="R368" s="32">
        <v>1.2971036778407052</v>
      </c>
      <c r="S368" s="32">
        <v>1.6573204271886244</v>
      </c>
      <c r="T368" s="32">
        <v>4.4235972031903215</v>
      </c>
      <c r="U368" s="32">
        <v>4.8872812920592201</v>
      </c>
      <c r="V368" s="32">
        <v>3.823883230411429</v>
      </c>
      <c r="W368" s="32">
        <v>5.3824406371178579</v>
      </c>
      <c r="X368" s="32">
        <v>11.258850952164545</v>
      </c>
      <c r="Y368" s="32">
        <v>19.120340479359086</v>
      </c>
      <c r="Z368" s="32">
        <v>11.721826467855401</v>
      </c>
      <c r="AA368" s="32">
        <v>5.7910317719626514</v>
      </c>
      <c r="AB368" s="32">
        <v>5.3579707265381638</v>
      </c>
    </row>
    <row r="369" spans="2:28" x14ac:dyDescent="0.3">
      <c r="B369" t="s">
        <v>386</v>
      </c>
      <c r="C369" s="32">
        <v>8.420062798594552</v>
      </c>
      <c r="D369" s="32">
        <v>11.319182244621672</v>
      </c>
      <c r="E369" s="32">
        <v>12.347274991382706</v>
      </c>
      <c r="F369" s="32">
        <v>11.114080188144637</v>
      </c>
      <c r="G369" s="32">
        <v>20.006900489543455</v>
      </c>
      <c r="H369" s="32">
        <v>24.378465531072568</v>
      </c>
      <c r="I369" s="32">
        <v>11.01596929535531</v>
      </c>
      <c r="J369" s="32">
        <v>-2.4260638400640189</v>
      </c>
      <c r="K369" s="32">
        <v>-11.614008271976516</v>
      </c>
      <c r="L369" s="32">
        <v>-8.5885218521775997</v>
      </c>
      <c r="M369" s="32">
        <v>-2.2759649658223191</v>
      </c>
      <c r="N369" s="32">
        <v>-1.2764892329529043</v>
      </c>
      <c r="O369" s="32">
        <v>1.2760942740707604</v>
      </c>
      <c r="P369" s="32">
        <v>4.5151536621000687</v>
      </c>
      <c r="Q369" s="32">
        <v>4.7324814275407467</v>
      </c>
      <c r="R369" s="32">
        <v>3.7850938780608967</v>
      </c>
      <c r="S369" s="32">
        <v>3.3712713532701999</v>
      </c>
      <c r="T369" s="32">
        <v>3.0398462031393958</v>
      </c>
      <c r="U369" s="32">
        <v>3.1561607414522852</v>
      </c>
      <c r="V369" s="32">
        <v>3.6633926870153655</v>
      </c>
      <c r="W369" s="32">
        <v>4.4482706632365199</v>
      </c>
      <c r="X369" s="32">
        <v>10.509051512051304</v>
      </c>
      <c r="Y369" s="32">
        <v>10.337946937110187</v>
      </c>
      <c r="Z369" s="32">
        <v>3.3521845721012022</v>
      </c>
      <c r="AA369" s="32">
        <v>5.7227157397079509</v>
      </c>
      <c r="AB369" s="32">
        <v>4.0033385678190925</v>
      </c>
    </row>
    <row r="370" spans="2:28" x14ac:dyDescent="0.3">
      <c r="B370" t="s">
        <v>555</v>
      </c>
      <c r="C370" s="32">
        <v>6.0003938989430239</v>
      </c>
      <c r="D370" s="32">
        <v>8.5303164805218721</v>
      </c>
      <c r="E370" s="32">
        <v>9.0734435335070973</v>
      </c>
      <c r="F370" s="32">
        <v>8.7232521232625935</v>
      </c>
      <c r="G370" s="32">
        <v>11.478433825770317</v>
      </c>
      <c r="H370" s="32">
        <v>12.401617289457413</v>
      </c>
      <c r="I370" s="32">
        <v>6.0280601141862178</v>
      </c>
      <c r="J370" s="32">
        <v>0.51432503893658055</v>
      </c>
      <c r="K370" s="32">
        <v>-5.0845014594068649</v>
      </c>
      <c r="L370" s="32">
        <v>-6.4578587699316685</v>
      </c>
      <c r="M370" s="32">
        <v>-4.1573656939540182</v>
      </c>
      <c r="N370" s="32">
        <v>-4.1626672689289101</v>
      </c>
      <c r="O370" s="32">
        <v>-3.0223138670005256</v>
      </c>
      <c r="P370" s="32">
        <v>-1.1026229060036696</v>
      </c>
      <c r="Q370" s="32">
        <v>-1.5111261268178855</v>
      </c>
      <c r="R370" s="32">
        <v>1.8446041819344172</v>
      </c>
      <c r="S370" s="32">
        <v>0.24036989405353815</v>
      </c>
      <c r="T370" s="32">
        <v>0.23673880836376782</v>
      </c>
      <c r="U370" s="32">
        <v>2.0494301212896859</v>
      </c>
      <c r="V370" s="32">
        <v>2.5413226225493801</v>
      </c>
      <c r="W370" s="32">
        <v>5.4532216963960822</v>
      </c>
      <c r="X370" s="32">
        <v>15.336923501795074</v>
      </c>
      <c r="Y370" s="32">
        <v>14.263651274438228</v>
      </c>
      <c r="Z370" s="32">
        <v>10.196875556626605</v>
      </c>
      <c r="AA370" s="32">
        <v>8.3262814600705504</v>
      </c>
      <c r="AB370" s="32">
        <v>8.2295493235372774</v>
      </c>
    </row>
    <row r="371" spans="2:28" x14ac:dyDescent="0.3">
      <c r="B371" t="s">
        <v>387</v>
      </c>
      <c r="C371" s="32">
        <v>7.8885035908513812</v>
      </c>
      <c r="D371" s="32">
        <v>6.0137698468455847</v>
      </c>
      <c r="E371" s="32">
        <v>5.0480450629555751</v>
      </c>
      <c r="F371" s="32">
        <v>4.4742694024319185</v>
      </c>
      <c r="G371" s="32">
        <v>5.9960147334098046</v>
      </c>
      <c r="H371" s="32">
        <v>5.1156431582545236</v>
      </c>
      <c r="I371" s="32">
        <v>2.7937350964664986</v>
      </c>
      <c r="J371" s="32">
        <v>1.700276789244759</v>
      </c>
      <c r="K371" s="32">
        <v>1.1547433903577042</v>
      </c>
      <c r="L371" s="32">
        <v>1.4234282712585422</v>
      </c>
      <c r="M371" s="32">
        <v>-0.14021879184459296</v>
      </c>
      <c r="N371" s="32">
        <v>0.58063781609341003</v>
      </c>
      <c r="O371" s="32">
        <v>1.3822160734498601</v>
      </c>
      <c r="P371" s="32">
        <v>2.2429257278964165</v>
      </c>
      <c r="Q371" s="32">
        <v>1.4560102891393756</v>
      </c>
      <c r="R371" s="32">
        <v>1.6695169642536589</v>
      </c>
      <c r="S371" s="32">
        <v>1.2668650676955329</v>
      </c>
      <c r="T371" s="32">
        <v>1.061679637588564</v>
      </c>
      <c r="U371" s="32">
        <v>3.2711139717714222</v>
      </c>
      <c r="V371" s="32">
        <v>2.1457985531441404</v>
      </c>
      <c r="W371" s="32">
        <v>2.6248120464599456</v>
      </c>
      <c r="X371" s="32">
        <v>6.8894858101436363</v>
      </c>
      <c r="Y371" s="32">
        <v>11.54396281139498</v>
      </c>
      <c r="Z371" s="32">
        <v>8.7552761402696522</v>
      </c>
      <c r="AA371" s="32">
        <v>5.9019078031605332</v>
      </c>
      <c r="AB371" s="32">
        <v>3.1698597344890445</v>
      </c>
    </row>
    <row r="372" spans="2:28" x14ac:dyDescent="0.3">
      <c r="B372" t="s">
        <v>388</v>
      </c>
      <c r="C372" s="32">
        <v>1.5746317393512843</v>
      </c>
      <c r="D372" s="32">
        <v>4.9721388769824237</v>
      </c>
      <c r="E372" s="32">
        <v>5.2311601107027927</v>
      </c>
      <c r="F372" s="32">
        <v>6.1740105199620698</v>
      </c>
      <c r="G372" s="32">
        <v>7.9164297896532121</v>
      </c>
      <c r="H372" s="32">
        <v>17.674173580929818</v>
      </c>
      <c r="I372" s="32">
        <v>14.597489807338704</v>
      </c>
      <c r="J372" s="32">
        <v>8.0237181723055393</v>
      </c>
      <c r="K372" s="32">
        <v>0.1239893575801565</v>
      </c>
      <c r="L372" s="32">
        <v>1.9607337272000258</v>
      </c>
      <c r="M372" s="32">
        <v>5.4743047999797456</v>
      </c>
      <c r="N372" s="32">
        <v>-3.6080557521380729</v>
      </c>
      <c r="O372" s="32">
        <v>4.4312539664762784</v>
      </c>
      <c r="P372" s="32">
        <v>-1.0879149686613743</v>
      </c>
      <c r="Q372" s="32">
        <v>0.39754725391223378</v>
      </c>
      <c r="R372" s="32">
        <v>3.9537311462820357</v>
      </c>
      <c r="S372" s="32">
        <v>-5.1146201260475195</v>
      </c>
      <c r="T372" s="32">
        <v>-1.435470724912713</v>
      </c>
      <c r="U372" s="32">
        <v>3.2262443997383539</v>
      </c>
      <c r="V372" s="32">
        <v>2.6351973408897944</v>
      </c>
      <c r="W372" s="32">
        <v>5.5800841089922226</v>
      </c>
      <c r="X372" s="32">
        <v>8.78728029040834</v>
      </c>
      <c r="Y372" s="32">
        <v>10.972158831583755</v>
      </c>
      <c r="Z372" s="32">
        <v>3.4145851041466946</v>
      </c>
      <c r="AA372" s="32">
        <v>4.0813440684407176</v>
      </c>
      <c r="AB372" s="32">
        <v>7.3036071542035064</v>
      </c>
    </row>
    <row r="373" spans="2:28" x14ac:dyDescent="0.3">
      <c r="B373" t="s">
        <v>174</v>
      </c>
      <c r="C373" s="32">
        <v>3.4960819770946339</v>
      </c>
      <c r="D373" s="32">
        <v>5.2316590685437703</v>
      </c>
      <c r="E373" s="32">
        <v>4.3684873468452956</v>
      </c>
      <c r="F373" s="32">
        <v>4.0247225117486796</v>
      </c>
      <c r="G373" s="32">
        <v>6.4389677963718084</v>
      </c>
      <c r="H373" s="32">
        <v>5.7075853412825506</v>
      </c>
      <c r="I373" s="32">
        <v>0.75148030684144551</v>
      </c>
      <c r="J373" s="32">
        <v>4.0162510854732547</v>
      </c>
      <c r="K373" s="32">
        <v>-0.10882852798232978</v>
      </c>
      <c r="L373" s="32">
        <v>-1.961047683008732</v>
      </c>
      <c r="M373" s="32">
        <v>-2.1570687004308198</v>
      </c>
      <c r="N373" s="32">
        <v>-2.7367209135887083</v>
      </c>
      <c r="O373" s="32">
        <v>-0.67503799088218797</v>
      </c>
      <c r="P373" s="32">
        <v>-1.3077158455864546</v>
      </c>
      <c r="Q373" s="32">
        <v>0.25293320931447649</v>
      </c>
      <c r="R373" s="32">
        <v>2.9217396965948161</v>
      </c>
      <c r="S373" s="32">
        <v>4.0612990463538612</v>
      </c>
      <c r="T373" s="32">
        <v>2.5000379944984052</v>
      </c>
      <c r="U373" s="32">
        <v>5.7262321333254151</v>
      </c>
      <c r="V373" s="32">
        <v>4.573247693041238</v>
      </c>
      <c r="W373" s="32">
        <v>4.2552335483524883</v>
      </c>
      <c r="X373" s="32">
        <v>10.122202212503218</v>
      </c>
      <c r="Y373" s="32">
        <v>16.333563059958635</v>
      </c>
      <c r="Z373" s="32">
        <v>8.3852116635874339</v>
      </c>
      <c r="AA373" s="32">
        <v>5.8493834709059778</v>
      </c>
      <c r="AB373" s="32">
        <v>7.8904322761474521</v>
      </c>
    </row>
    <row r="374" spans="2:28" x14ac:dyDescent="0.3">
      <c r="B374" t="s">
        <v>389</v>
      </c>
      <c r="C374" s="32">
        <v>6.1571425683734082</v>
      </c>
      <c r="D374" s="32">
        <v>6.2893920063979314</v>
      </c>
      <c r="E374" s="32">
        <v>4.2422070942314427</v>
      </c>
      <c r="F374" s="32">
        <v>4.5954492335189334</v>
      </c>
      <c r="G374" s="32">
        <v>2.004534849331252</v>
      </c>
      <c r="H374" s="32">
        <v>4.4022421958055835</v>
      </c>
      <c r="I374" s="32">
        <v>1.373138933888729</v>
      </c>
      <c r="J374" s="32">
        <v>0.92839205539914094</v>
      </c>
      <c r="K374" s="32">
        <v>-0.11912840232224386</v>
      </c>
      <c r="L374" s="32">
        <v>-0.98284920586991786</v>
      </c>
      <c r="M374" s="32">
        <v>-1.3981855607227422</v>
      </c>
      <c r="N374" s="32">
        <v>-1.4272901589657994</v>
      </c>
      <c r="O374" s="32">
        <v>-1.0542003294375935</v>
      </c>
      <c r="P374" s="32">
        <v>1.5981481775085848</v>
      </c>
      <c r="Q374" s="32">
        <v>0.66322310825361885</v>
      </c>
      <c r="R374" s="32">
        <v>4.2709205345239365</v>
      </c>
      <c r="S374" s="32">
        <v>4.7650198480545969</v>
      </c>
      <c r="T374" s="32">
        <v>-8.7985695228909311E-2</v>
      </c>
      <c r="U374" s="32">
        <v>2.6845065621271758</v>
      </c>
      <c r="V374" s="32">
        <v>7.2218994660691038</v>
      </c>
      <c r="W374" s="32">
        <v>5.9949687157324405</v>
      </c>
      <c r="X374" s="32">
        <v>10.531632628222297</v>
      </c>
      <c r="Y374" s="32">
        <v>13.850134889610754</v>
      </c>
      <c r="Z374" s="32">
        <v>5.7972976893987171</v>
      </c>
      <c r="AA374" s="32">
        <v>5.8635852523608811</v>
      </c>
      <c r="AB374" s="32">
        <v>8.8867725052643074</v>
      </c>
    </row>
    <row r="375" spans="2:28" x14ac:dyDescent="0.3">
      <c r="B375" t="s">
        <v>521</v>
      </c>
      <c r="C375" s="32">
        <v>0.77428384387907556</v>
      </c>
      <c r="D375" s="32">
        <v>3.7722324268625984</v>
      </c>
      <c r="E375" s="32">
        <v>2.0765876613564771</v>
      </c>
      <c r="F375" s="32">
        <v>3.3264253087464057</v>
      </c>
      <c r="G375" s="32">
        <v>6.0784674894087232</v>
      </c>
      <c r="H375" s="32">
        <v>12.60056722810674</v>
      </c>
      <c r="I375" s="32">
        <v>19.17857510023644</v>
      </c>
      <c r="J375" s="32">
        <v>17.652217669470204</v>
      </c>
      <c r="K375" s="32">
        <v>1.1609008590666381</v>
      </c>
      <c r="L375" s="32">
        <v>-4.5649469093896</v>
      </c>
      <c r="M375" s="32">
        <v>-6.4768872462153793</v>
      </c>
      <c r="N375" s="32">
        <v>-5.5408935266014208</v>
      </c>
      <c r="O375" s="32">
        <v>-1.9099336609688544</v>
      </c>
      <c r="P375" s="32">
        <v>2.1384750219105797</v>
      </c>
      <c r="Q375" s="32">
        <v>4.979692237286204</v>
      </c>
      <c r="R375" s="32">
        <v>7.1928725172329289</v>
      </c>
      <c r="S375" s="32">
        <v>6.3683501512340257</v>
      </c>
      <c r="T375" s="32">
        <v>8.9776216590797819</v>
      </c>
      <c r="U375" s="32">
        <v>9.8661345671026588</v>
      </c>
      <c r="V375" s="32">
        <v>6.882546652030741</v>
      </c>
      <c r="W375" s="32">
        <v>6.5121794093756513</v>
      </c>
      <c r="X375" s="32">
        <v>16.721305727459203</v>
      </c>
      <c r="Y375" s="32">
        <v>14.989711470583833</v>
      </c>
      <c r="Z375" s="32">
        <v>3.7650700766729051</v>
      </c>
      <c r="AA375" s="32">
        <v>3.7902104063996633</v>
      </c>
      <c r="AB375" s="32">
        <v>3.1529062046952383</v>
      </c>
    </row>
    <row r="376" spans="2:28" x14ac:dyDescent="0.3">
      <c r="B376" t="s">
        <v>390</v>
      </c>
      <c r="C376" s="32">
        <v>2.4629572970846558</v>
      </c>
      <c r="D376" s="32">
        <v>6.5884611282926331</v>
      </c>
      <c r="E376" s="32">
        <v>1.0845639732660839</v>
      </c>
      <c r="F376" s="32">
        <v>5.1033335972761051</v>
      </c>
      <c r="G376" s="32">
        <v>5.665423588352736</v>
      </c>
      <c r="H376" s="32">
        <v>3.3403443727496374</v>
      </c>
      <c r="I376" s="32">
        <v>3.5445701669656327</v>
      </c>
      <c r="J376" s="32">
        <v>1.9556562442737846</v>
      </c>
      <c r="K376" s="32">
        <v>2.6827873539743585</v>
      </c>
      <c r="L376" s="32">
        <v>-0.72875395802505238</v>
      </c>
      <c r="M376" s="32">
        <v>-1.3896680504576042</v>
      </c>
      <c r="N376" s="32">
        <v>-0.6940606612268807</v>
      </c>
      <c r="O376" s="32">
        <v>2.172027170799562</v>
      </c>
      <c r="P376" s="32">
        <v>2.5728108679632156</v>
      </c>
      <c r="Q376" s="32">
        <v>5.7693509089773221</v>
      </c>
      <c r="R376" s="32">
        <v>3.557189687250828</v>
      </c>
      <c r="S376" s="32">
        <v>2.6136801129315268</v>
      </c>
      <c r="T376" s="32">
        <v>1.5521649713745811</v>
      </c>
      <c r="U376" s="32">
        <v>3.3401294454098895</v>
      </c>
      <c r="V376" s="32">
        <v>3.5195042504170937</v>
      </c>
      <c r="W376" s="32">
        <v>4.4448708109490864</v>
      </c>
      <c r="X376" s="32">
        <v>6.6095156450921566</v>
      </c>
      <c r="Y376" s="32">
        <v>10.036529890180578</v>
      </c>
      <c r="Z376" s="32">
        <v>3.5870507051958045</v>
      </c>
      <c r="AA376" s="32">
        <v>8.0433358528596557</v>
      </c>
      <c r="AB376" s="32">
        <v>2.9610170286625603</v>
      </c>
    </row>
    <row r="377" spans="2:28" x14ac:dyDescent="0.3">
      <c r="B377" t="s">
        <v>175</v>
      </c>
      <c r="C377" s="32">
        <v>1.6328582670280589</v>
      </c>
      <c r="D377" s="32">
        <v>4.0047316915797548</v>
      </c>
      <c r="E377" s="32">
        <v>2.8765225303472031</v>
      </c>
      <c r="F377" s="32">
        <v>4.0966471013910155</v>
      </c>
      <c r="G377" s="32">
        <v>4.6267330938863704</v>
      </c>
      <c r="H377" s="32">
        <v>5.442766970580637</v>
      </c>
      <c r="I377" s="32">
        <v>4.9220213194238083</v>
      </c>
      <c r="J377" s="32">
        <v>3.9070450261081024</v>
      </c>
      <c r="K377" s="32">
        <v>-0.7321184875973219</v>
      </c>
      <c r="L377" s="32">
        <v>1.6076598359992866</v>
      </c>
      <c r="M377" s="32">
        <v>-0.12256657593554543</v>
      </c>
      <c r="N377" s="32">
        <v>0.21834061135368454</v>
      </c>
      <c r="O377" s="32">
        <v>0.90485504826425256</v>
      </c>
      <c r="P377" s="32">
        <v>-0.55002206392233965</v>
      </c>
      <c r="Q377" s="32">
        <v>1.6797933537232801</v>
      </c>
      <c r="R377" s="32">
        <v>0.44729828717484654</v>
      </c>
      <c r="S377" s="32">
        <v>3.8246702870442295</v>
      </c>
      <c r="T377" s="32">
        <v>3.0919823656877954</v>
      </c>
      <c r="U377" s="32">
        <v>4.6025165255711542</v>
      </c>
      <c r="V377" s="32">
        <v>5.1871561412990763</v>
      </c>
      <c r="W377" s="32">
        <v>6.1394956654633681</v>
      </c>
      <c r="X377" s="32">
        <v>14.801022814726572</v>
      </c>
      <c r="Y377" s="32">
        <v>17.547520705836561</v>
      </c>
      <c r="Z377" s="32">
        <v>2.8800073586901398</v>
      </c>
      <c r="AA377" s="32">
        <v>7.2885932442823043</v>
      </c>
      <c r="AB377" s="32">
        <v>4.2667908079055294</v>
      </c>
    </row>
    <row r="378" spans="2:28" x14ac:dyDescent="0.3">
      <c r="B378" t="s">
        <v>176</v>
      </c>
      <c r="C378" s="32">
        <v>2.6131185758185849</v>
      </c>
      <c r="D378" s="32">
        <v>5.2335908133338771</v>
      </c>
      <c r="E378" s="32">
        <v>3.5680640602920422</v>
      </c>
      <c r="F378" s="32">
        <v>2.7799886299033405</v>
      </c>
      <c r="G378" s="32">
        <v>3.1583605287903049</v>
      </c>
      <c r="H378" s="32">
        <v>2.8310991957104514</v>
      </c>
      <c r="I378" s="32">
        <v>2.3638196544651935</v>
      </c>
      <c r="J378" s="32">
        <v>4.1464325737766039</v>
      </c>
      <c r="K378" s="32">
        <v>1.6385157167079889</v>
      </c>
      <c r="L378" s="32">
        <v>1.0057586500055837</v>
      </c>
      <c r="M378" s="32">
        <v>-0.56695464362850334</v>
      </c>
      <c r="N378" s="32">
        <v>-1.5987606011723332</v>
      </c>
      <c r="O378" s="32">
        <v>-0.96575231293619668</v>
      </c>
      <c r="P378" s="32">
        <v>0.97189215766615433</v>
      </c>
      <c r="Q378" s="32">
        <v>0.55512271133617563</v>
      </c>
      <c r="R378" s="32">
        <v>3.6158192090395724</v>
      </c>
      <c r="S378" s="32">
        <v>3.5550708833151479</v>
      </c>
      <c r="T378" s="32">
        <v>3.2509928992658477</v>
      </c>
      <c r="U378" s="32">
        <v>3.9791354013375413</v>
      </c>
      <c r="V378" s="32">
        <v>4.1813799674905949</v>
      </c>
      <c r="W378" s="32">
        <v>6.0902781513961557</v>
      </c>
      <c r="X378" s="32">
        <v>12.239464475886198</v>
      </c>
      <c r="Y378" s="32">
        <v>14.604089009375375</v>
      </c>
      <c r="Z378" s="32">
        <v>7.6858632551079609</v>
      </c>
      <c r="AA378" s="32">
        <v>6.6027805998700506</v>
      </c>
      <c r="AB378" s="32">
        <v>3.7772859436705053</v>
      </c>
    </row>
    <row r="379" spans="2:28" x14ac:dyDescent="0.3">
      <c r="B379" t="s">
        <v>556</v>
      </c>
      <c r="C379" s="32" t="s">
        <v>402</v>
      </c>
      <c r="D379" s="32">
        <v>6.0852778244082417</v>
      </c>
      <c r="E379" s="32">
        <v>7.9871825302634925</v>
      </c>
      <c r="F379" s="32">
        <v>7.4403780635234451</v>
      </c>
      <c r="G379" s="32">
        <v>10.946876704855434</v>
      </c>
      <c r="H379" s="32">
        <v>14.296909814527424</v>
      </c>
      <c r="I379" s="32">
        <v>13.609658380500367</v>
      </c>
      <c r="J379" s="32">
        <v>-1.4082173624917149</v>
      </c>
      <c r="K379" s="32">
        <v>-4.8311208200302431</v>
      </c>
      <c r="L379" s="32">
        <v>-1.1540062303724286</v>
      </c>
      <c r="M379" s="32">
        <v>-4.0242937708934061</v>
      </c>
      <c r="N379" s="32">
        <v>-2.581760170167513</v>
      </c>
      <c r="O379" s="32">
        <v>1.0398755424547712</v>
      </c>
      <c r="P379" s="32">
        <v>6.7328471096704368</v>
      </c>
      <c r="Q379" s="32">
        <v>9.7273014868712657</v>
      </c>
      <c r="R379" s="32">
        <v>2.7354922040778495</v>
      </c>
      <c r="S379" s="32">
        <v>1.8802478559561964</v>
      </c>
      <c r="T379" s="32">
        <v>2.1749909099923803</v>
      </c>
      <c r="U379" s="32">
        <v>5.1028220805969804</v>
      </c>
      <c r="V379" s="32">
        <v>5.9446980967526653</v>
      </c>
      <c r="W379" s="32">
        <v>6.5350235814795932</v>
      </c>
      <c r="X379" s="32">
        <v>11.962875089767033</v>
      </c>
      <c r="Y379" s="32">
        <v>22.661102405676846</v>
      </c>
      <c r="Z379" s="32">
        <v>4.5142244403552967</v>
      </c>
      <c r="AA379" s="32">
        <v>1.9601261573927609</v>
      </c>
      <c r="AB379" s="32">
        <v>0.33063006862130706</v>
      </c>
    </row>
    <row r="380" spans="2:28" x14ac:dyDescent="0.3">
      <c r="B380" t="s">
        <v>177</v>
      </c>
      <c r="C380" s="32">
        <v>1.6833475065960446</v>
      </c>
      <c r="D380" s="32">
        <v>5.1165483670362111</v>
      </c>
      <c r="E380" s="32">
        <v>3.1579591586935685</v>
      </c>
      <c r="F380" s="32">
        <v>4.2181659975873753</v>
      </c>
      <c r="G380" s="32">
        <v>6.026565464895639</v>
      </c>
      <c r="H380" s="32">
        <v>5.4728327009807565</v>
      </c>
      <c r="I380" s="32">
        <v>6.5055825160348801</v>
      </c>
      <c r="J380" s="32">
        <v>3.7248279378027105</v>
      </c>
      <c r="K380" s="32">
        <v>1.1488956470985912</v>
      </c>
      <c r="L380" s="32">
        <v>0.92173596136910785</v>
      </c>
      <c r="M380" s="32">
        <v>1.6701524202163753</v>
      </c>
      <c r="N380" s="32">
        <v>2.9050924213049889</v>
      </c>
      <c r="O380" s="32">
        <v>4.0785802628929835</v>
      </c>
      <c r="P380" s="32">
        <v>2.2329694624844798</v>
      </c>
      <c r="Q380" s="32">
        <v>2.0774200524423359</v>
      </c>
      <c r="R380" s="32">
        <v>2.0854574103253309</v>
      </c>
      <c r="S380" s="32">
        <v>1.9390905081843934</v>
      </c>
      <c r="T380" s="32">
        <v>-0.99627193261487834</v>
      </c>
      <c r="U380" s="32">
        <v>1.371289037398804</v>
      </c>
      <c r="V380" s="32">
        <v>3.4877087110311011</v>
      </c>
      <c r="W380" s="32">
        <v>5.4295094820404843</v>
      </c>
      <c r="X380" s="32">
        <v>9.8721821984661737</v>
      </c>
      <c r="Y380" s="32">
        <v>11.855408435212977</v>
      </c>
      <c r="Z380" s="32">
        <v>1.8436926800673437</v>
      </c>
      <c r="AA380" s="32">
        <v>8.8389839949496682</v>
      </c>
      <c r="AB380" s="32">
        <v>6.240577779335954</v>
      </c>
    </row>
    <row r="381" spans="2:28" x14ac:dyDescent="0.3">
      <c r="B381" t="s">
        <v>178</v>
      </c>
      <c r="C381" s="32">
        <v>2.6509916888879825</v>
      </c>
      <c r="D381" s="32">
        <v>4.7024023967083384</v>
      </c>
      <c r="E381" s="32">
        <v>2.946449591626088</v>
      </c>
      <c r="F381" s="32">
        <v>3.7733525665833989</v>
      </c>
      <c r="G381" s="32">
        <v>9.7421640589242742</v>
      </c>
      <c r="H381" s="32">
        <v>17.700577713244137</v>
      </c>
      <c r="I381" s="32">
        <v>18.404924078375796</v>
      </c>
      <c r="J381" s="32">
        <v>5.352412409527707</v>
      </c>
      <c r="K381" s="32">
        <v>-2.6501841136243987</v>
      </c>
      <c r="L381" s="32">
        <v>-6.5729323145756631</v>
      </c>
      <c r="M381" s="32">
        <v>-8.0174438108017387</v>
      </c>
      <c r="N381" s="32">
        <v>-6.6890515355014006</v>
      </c>
      <c r="O381" s="32">
        <v>-4.3302470383697838</v>
      </c>
      <c r="P381" s="32">
        <v>0.2704758684811015</v>
      </c>
      <c r="Q381" s="32">
        <v>2.9939026103571242</v>
      </c>
      <c r="R381" s="32">
        <v>3.9285763003178431</v>
      </c>
      <c r="S381" s="32">
        <v>4.588588903910007</v>
      </c>
      <c r="T381" s="32">
        <v>6.1768212336073436</v>
      </c>
      <c r="U381" s="32">
        <v>6.3765409481485014</v>
      </c>
      <c r="V381" s="32">
        <v>6.6742961267527212</v>
      </c>
      <c r="W381" s="32">
        <v>6.4993906821235736</v>
      </c>
      <c r="X381" s="32">
        <v>16.303337929955287</v>
      </c>
      <c r="Y381" s="32">
        <v>23.623642983879776</v>
      </c>
      <c r="Z381" s="32">
        <v>10.063124098713017</v>
      </c>
      <c r="AA381" s="32">
        <v>5.9157262400652666</v>
      </c>
      <c r="AB381" s="32">
        <v>4.8470794759721825</v>
      </c>
    </row>
    <row r="382" spans="2:28" x14ac:dyDescent="0.3">
      <c r="B382" t="s">
        <v>391</v>
      </c>
      <c r="C382" s="32">
        <v>5.0524160341872904</v>
      </c>
      <c r="D382" s="32">
        <v>7.5425326807771365</v>
      </c>
      <c r="E382" s="32">
        <v>8.8752733505388157</v>
      </c>
      <c r="F382" s="32">
        <v>10.27793862188766</v>
      </c>
      <c r="G382" s="32">
        <v>19.869060120766612</v>
      </c>
      <c r="H382" s="32">
        <v>24.950378492327509</v>
      </c>
      <c r="I382" s="32">
        <v>11.573181419807167</v>
      </c>
      <c r="J382" s="32">
        <v>-4.5854444051686816</v>
      </c>
      <c r="K382" s="32">
        <v>-12.638154238788147</v>
      </c>
      <c r="L382" s="32">
        <v>-11.66880661538643</v>
      </c>
      <c r="M382" s="32">
        <v>-8.4014562524170842</v>
      </c>
      <c r="N382" s="32">
        <v>-2.1925546318808609</v>
      </c>
      <c r="O382" s="32">
        <v>-0.26644438159597605</v>
      </c>
      <c r="P382" s="32">
        <v>4.762544401659663</v>
      </c>
      <c r="Q382" s="32">
        <v>5.3067969740572485</v>
      </c>
      <c r="R382" s="32">
        <v>3.1710814686544575</v>
      </c>
      <c r="S382" s="32">
        <v>3.5941884555873216</v>
      </c>
      <c r="T382" s="32">
        <v>3.6694809057883804</v>
      </c>
      <c r="U382" s="32">
        <v>3.2404581084710893</v>
      </c>
      <c r="V382" s="32">
        <v>4.3083873409338169</v>
      </c>
      <c r="W382" s="32">
        <v>4.447896234651183</v>
      </c>
      <c r="X382" s="32">
        <v>13.741560105078033</v>
      </c>
      <c r="Y382" s="32">
        <v>15.415008446187795</v>
      </c>
      <c r="Z382" s="32">
        <v>5.9115377936543423</v>
      </c>
      <c r="AA382" s="32">
        <v>5.6869817772989162</v>
      </c>
      <c r="AB382" s="32">
        <v>7.1514803971870933</v>
      </c>
    </row>
    <row r="383" spans="2:28" x14ac:dyDescent="0.3">
      <c r="B383" t="s">
        <v>392</v>
      </c>
      <c r="C383" s="32">
        <v>3.7253423796959284</v>
      </c>
      <c r="D383" s="32">
        <v>5.1440453838854872</v>
      </c>
      <c r="E383" s="32">
        <v>2.7783644707283006</v>
      </c>
      <c r="F383" s="32">
        <v>2.5855626961590161</v>
      </c>
      <c r="G383" s="32">
        <v>2.2872960372960494</v>
      </c>
      <c r="H383" s="32">
        <v>4.6360917248255085</v>
      </c>
      <c r="I383" s="32">
        <v>3.9678758592526897</v>
      </c>
      <c r="J383" s="32">
        <v>2.0162346163917322</v>
      </c>
      <c r="K383" s="32">
        <v>0.36736396303900243</v>
      </c>
      <c r="L383" s="32">
        <v>-0.77839047390714233</v>
      </c>
      <c r="M383" s="32">
        <v>-2.6804987274074765</v>
      </c>
      <c r="N383" s="32">
        <v>-2.3123779256463362</v>
      </c>
      <c r="O383" s="32">
        <v>-1.452123964281482</v>
      </c>
      <c r="P383" s="32">
        <v>-0.93019257221457208</v>
      </c>
      <c r="Q383" s="32">
        <v>-0.30198372064770274</v>
      </c>
      <c r="R383" s="32">
        <v>4.0403864566106673</v>
      </c>
      <c r="S383" s="32">
        <v>2.8059431783957534</v>
      </c>
      <c r="T383" s="32">
        <v>2.96209494979085</v>
      </c>
      <c r="U383" s="32">
        <v>5.9165705072475205</v>
      </c>
      <c r="V383" s="32">
        <v>5.0622332328448261</v>
      </c>
      <c r="W383" s="32">
        <v>5.7970396886275033</v>
      </c>
      <c r="X383" s="32">
        <v>14.644396407040938</v>
      </c>
      <c r="Y383" s="32">
        <v>20.162555922516546</v>
      </c>
      <c r="Z383" s="32">
        <v>9.2736983684528429</v>
      </c>
      <c r="AA383" s="32">
        <v>6.8562305448772287</v>
      </c>
      <c r="AB383" s="32">
        <v>5.6164383561643882</v>
      </c>
    </row>
    <row r="384" spans="2:28" x14ac:dyDescent="0.3">
      <c r="B384" t="s">
        <v>557</v>
      </c>
      <c r="C384" s="32">
        <v>12.991532071524837</v>
      </c>
      <c r="D384" s="32">
        <v>12.220521219025926</v>
      </c>
      <c r="E384" s="32">
        <v>12.713948065544622</v>
      </c>
      <c r="F384" s="32">
        <v>10.03433911281244</v>
      </c>
      <c r="G384" s="32">
        <v>11.285907963062435</v>
      </c>
      <c r="H384" s="32">
        <v>9.5092518101367762</v>
      </c>
      <c r="I384" s="32">
        <v>1.2667394315939662</v>
      </c>
      <c r="J384" s="32">
        <v>-3.912281974484666</v>
      </c>
      <c r="K384" s="32">
        <v>-6.8585788860606627</v>
      </c>
      <c r="L384" s="32">
        <v>-5.9346665585881864</v>
      </c>
      <c r="M384" s="32">
        <v>-2.571646641717551</v>
      </c>
      <c r="N384" s="32">
        <v>-3.3155174810153731</v>
      </c>
      <c r="O384" s="32">
        <v>-1.4022661038434969</v>
      </c>
      <c r="P384" s="32">
        <v>0.77406356864511139</v>
      </c>
      <c r="Q384" s="32">
        <v>3.196106799947418</v>
      </c>
      <c r="R384" s="32">
        <v>3.6655620698444968</v>
      </c>
      <c r="S384" s="32">
        <v>3.9416740434739861</v>
      </c>
      <c r="T384" s="32">
        <v>5.2246220813323641</v>
      </c>
      <c r="U384" s="32">
        <v>5.5778504704414367</v>
      </c>
      <c r="V384" s="32">
        <v>4.5772510940045308</v>
      </c>
      <c r="W384" s="32">
        <v>5.6892689879861624</v>
      </c>
      <c r="X384" s="32">
        <v>14.850493218249095</v>
      </c>
      <c r="Y384" s="32">
        <v>14.102026437629988</v>
      </c>
      <c r="Z384" s="32">
        <v>7.46635106625404</v>
      </c>
      <c r="AA384" s="32">
        <v>7.1548763971161611</v>
      </c>
      <c r="AB384" s="32">
        <v>5.7828961897709696</v>
      </c>
    </row>
    <row r="385" spans="2:28" x14ac:dyDescent="0.3">
      <c r="B385" t="s">
        <v>179</v>
      </c>
      <c r="C385" s="32">
        <v>0.24543047213072544</v>
      </c>
      <c r="D385" s="32">
        <v>4.9674634366342341</v>
      </c>
      <c r="E385" s="32">
        <v>1.9068663556755849</v>
      </c>
      <c r="F385" s="32">
        <v>2.9172020558946521</v>
      </c>
      <c r="G385" s="32">
        <v>3.9523224283568359</v>
      </c>
      <c r="H385" s="32">
        <v>5.6580404226171499</v>
      </c>
      <c r="I385" s="32">
        <v>9.4206244893609394</v>
      </c>
      <c r="J385" s="32">
        <v>6.5951368373210473</v>
      </c>
      <c r="K385" s="32">
        <v>2.7014268528529728</v>
      </c>
      <c r="L385" s="32">
        <v>-0.44185460314636327</v>
      </c>
      <c r="M385" s="32">
        <v>-2.5526844887929112</v>
      </c>
      <c r="N385" s="32">
        <v>-3.0046919655820736</v>
      </c>
      <c r="O385" s="32">
        <v>-0.70117387536435816</v>
      </c>
      <c r="P385" s="32">
        <v>0.97429387496030806</v>
      </c>
      <c r="Q385" s="32">
        <v>0.91303391268822143</v>
      </c>
      <c r="R385" s="32">
        <v>3.9928365646655806</v>
      </c>
      <c r="S385" s="32">
        <v>4.3846119288998064</v>
      </c>
      <c r="T385" s="32">
        <v>7.4425810894171329</v>
      </c>
      <c r="U385" s="32">
        <v>10.044729287669396</v>
      </c>
      <c r="V385" s="32">
        <v>7.9363731223761613</v>
      </c>
      <c r="W385" s="32">
        <v>7.8519317888015916</v>
      </c>
      <c r="X385" s="32">
        <v>15.569498874343356</v>
      </c>
      <c r="Y385" s="32">
        <v>12.974152702873344</v>
      </c>
      <c r="Z385" s="32">
        <v>4.3163457547019224</v>
      </c>
      <c r="AA385" s="32">
        <v>4.6573560359671085</v>
      </c>
      <c r="AB385" s="32">
        <v>4.5309148662990628</v>
      </c>
    </row>
    <row r="386" spans="2:28" x14ac:dyDescent="0.3">
      <c r="B386" t="s">
        <v>393</v>
      </c>
      <c r="C386" s="32">
        <v>0.57207728608315023</v>
      </c>
      <c r="D386" s="32">
        <v>5.3274606582413009</v>
      </c>
      <c r="E386" s="32">
        <v>3.1163318483651281</v>
      </c>
      <c r="F386" s="32">
        <v>5.1435674838499423</v>
      </c>
      <c r="G386" s="32">
        <v>9.0745227250702563</v>
      </c>
      <c r="H386" s="32">
        <v>14.096344865575649</v>
      </c>
      <c r="I386" s="32">
        <v>11.7956704563152</v>
      </c>
      <c r="J386" s="32">
        <v>4.0914409896355641</v>
      </c>
      <c r="K386" s="32">
        <v>-1.5002475876928711</v>
      </c>
      <c r="L386" s="32">
        <v>-4.8478260869565197</v>
      </c>
      <c r="M386" s="32">
        <v>-3.3913068311629102</v>
      </c>
      <c r="N386" s="32">
        <v>-4.6647057954091853</v>
      </c>
      <c r="O386" s="32">
        <v>-3.5441310987426533</v>
      </c>
      <c r="P386" s="32">
        <v>-0.4500522382062111</v>
      </c>
      <c r="Q386" s="32">
        <v>1.2400096875756716</v>
      </c>
      <c r="R386" s="32">
        <v>2.1657655933527975</v>
      </c>
      <c r="S386" s="32">
        <v>1.7561386803203183</v>
      </c>
      <c r="T386" s="32">
        <v>3.8950081305801909</v>
      </c>
      <c r="U386" s="32">
        <v>2.9413067552602312</v>
      </c>
      <c r="V386" s="32">
        <v>4.013368331970657</v>
      </c>
      <c r="W386" s="32">
        <v>5.0817072329862878</v>
      </c>
      <c r="X386" s="32">
        <v>12.087926509186332</v>
      </c>
      <c r="Y386" s="32">
        <v>14.415005093020806</v>
      </c>
      <c r="Z386" s="32">
        <v>7.3964164014612921</v>
      </c>
      <c r="AA386" s="32">
        <v>7.7159817438614331</v>
      </c>
      <c r="AB386" s="32">
        <v>6.753176534198424</v>
      </c>
    </row>
    <row r="387" spans="2:28" x14ac:dyDescent="0.3">
      <c r="B387" t="s">
        <v>558</v>
      </c>
      <c r="C387" s="32">
        <v>1.3824134210151273</v>
      </c>
      <c r="D387" s="32">
        <v>5.3136798136396379</v>
      </c>
      <c r="E387" s="32">
        <v>2.9270432096411225</v>
      </c>
      <c r="F387" s="32">
        <v>2.8382459195583465</v>
      </c>
      <c r="G387" s="32">
        <v>3.0949936046406723</v>
      </c>
      <c r="H387" s="32">
        <v>2.746955108602589</v>
      </c>
      <c r="I387" s="32">
        <v>-9.3539005765397309E-2</v>
      </c>
      <c r="J387" s="32">
        <v>-1.4980253302464996</v>
      </c>
      <c r="K387" s="32">
        <v>-1.9995161067330347</v>
      </c>
      <c r="L387" s="32">
        <v>-1.9274516373639861</v>
      </c>
      <c r="M387" s="32">
        <v>-3.2024310425432301</v>
      </c>
      <c r="N387" s="32">
        <v>-2.8755596009882423</v>
      </c>
      <c r="O387" s="32">
        <v>-1.1016543941857138</v>
      </c>
      <c r="P387" s="32">
        <v>0.71941054748687616</v>
      </c>
      <c r="Q387" s="32">
        <v>1.8317620629404452</v>
      </c>
      <c r="R387" s="32">
        <v>1.8987461110587356</v>
      </c>
      <c r="S387" s="32">
        <v>3.8544095333259198</v>
      </c>
      <c r="T387" s="32">
        <v>3.2445434298441045</v>
      </c>
      <c r="U387" s="32">
        <v>3.5274220826286395</v>
      </c>
      <c r="V387" s="32">
        <v>4.1006834472412157</v>
      </c>
      <c r="W387" s="32">
        <v>5.6733386709367561</v>
      </c>
      <c r="X387" s="32">
        <v>13.721152243419743</v>
      </c>
      <c r="Y387" s="32">
        <v>15.224922716128342</v>
      </c>
      <c r="Z387" s="32">
        <v>7.4646714619423182</v>
      </c>
      <c r="AA387" s="32">
        <v>10.31109771976455</v>
      </c>
      <c r="AB387" s="32">
        <v>7.822499073638256</v>
      </c>
    </row>
    <row r="388" spans="2:28" x14ac:dyDescent="0.3">
      <c r="B388" t="s">
        <v>180</v>
      </c>
      <c r="C388" s="32">
        <v>5.2380384202362462</v>
      </c>
      <c r="D388" s="32">
        <v>12.471655328798192</v>
      </c>
      <c r="E388" s="32">
        <v>13.566532258064502</v>
      </c>
      <c r="F388" s="32">
        <v>17.392462142058275</v>
      </c>
      <c r="G388" s="32">
        <v>23.480930345098749</v>
      </c>
      <c r="H388" s="32">
        <v>26.525663478378014</v>
      </c>
      <c r="I388" s="32">
        <v>4.6974214031284101</v>
      </c>
      <c r="J388" s="32">
        <v>-10.51356723524246</v>
      </c>
      <c r="K388" s="32">
        <v>-23.213455518477566</v>
      </c>
      <c r="L388" s="32">
        <v>-15.160647973736607</v>
      </c>
      <c r="M388" s="32">
        <v>-6.9890256280132013</v>
      </c>
      <c r="N388" s="32">
        <v>-9.5380995413391627</v>
      </c>
      <c r="O388" s="32">
        <v>-1.0328903967580794</v>
      </c>
      <c r="P388" s="32">
        <v>14.299045841506853</v>
      </c>
      <c r="Q388" s="32">
        <v>17.343997333999852</v>
      </c>
      <c r="R388" s="32">
        <v>5.8829376348971785</v>
      </c>
      <c r="S388" s="32">
        <v>8.6794426488929552</v>
      </c>
      <c r="T388" s="32">
        <v>10.460395611989281</v>
      </c>
      <c r="U388" s="32">
        <v>7.3372358014209826</v>
      </c>
      <c r="V388" s="32">
        <v>6.3340410474168385</v>
      </c>
      <c r="W388" s="32">
        <v>6.7103846530292666</v>
      </c>
      <c r="X388" s="32">
        <v>16.998697558380591</v>
      </c>
      <c r="Y388" s="32">
        <v>13.62428366481392</v>
      </c>
      <c r="Z388" s="32">
        <v>-0.7244476948764289</v>
      </c>
      <c r="AA388" s="32">
        <v>3.4839597464694894</v>
      </c>
      <c r="AB388" s="32">
        <v>2.1188479865521526</v>
      </c>
    </row>
    <row r="389" spans="2:28" x14ac:dyDescent="0.3">
      <c r="B389" t="s">
        <v>181</v>
      </c>
      <c r="C389" s="32">
        <v>2.3265689254425181</v>
      </c>
      <c r="D389" s="32">
        <v>4.9732445123948921</v>
      </c>
      <c r="E389" s="32">
        <v>4.868711247971369</v>
      </c>
      <c r="F389" s="32">
        <v>5.6783460973770961</v>
      </c>
      <c r="G389" s="32">
        <v>12.665214779212963</v>
      </c>
      <c r="H389" s="32">
        <v>32.144642559573434</v>
      </c>
      <c r="I389" s="32">
        <v>17.611601513240839</v>
      </c>
      <c r="J389" s="32">
        <v>-1.1547616494756774</v>
      </c>
      <c r="K389" s="32">
        <v>-9.2831031901853827</v>
      </c>
      <c r="L389" s="32">
        <v>-11.519651803756981</v>
      </c>
      <c r="M389" s="32">
        <v>-10.647728961984937</v>
      </c>
      <c r="N389" s="32">
        <v>-9.9246801173659254</v>
      </c>
      <c r="O389" s="32">
        <v>-1.7378601652226378</v>
      </c>
      <c r="P389" s="32">
        <v>4.3522837955605631</v>
      </c>
      <c r="Q389" s="32">
        <v>3.0195847252243224</v>
      </c>
      <c r="R389" s="32">
        <v>4.9354654120040697</v>
      </c>
      <c r="S389" s="32">
        <v>3.7990214641683062</v>
      </c>
      <c r="T389" s="32">
        <v>3.8453119299525662</v>
      </c>
      <c r="U389" s="32">
        <v>3.6424957841483918</v>
      </c>
      <c r="V389" s="32">
        <v>5.1917236142748679</v>
      </c>
      <c r="W389" s="32">
        <v>7.0829197870612814</v>
      </c>
      <c r="X389" s="32">
        <v>20.082815734989644</v>
      </c>
      <c r="Y389" s="32">
        <v>21.39133921411387</v>
      </c>
      <c r="Z389" s="32">
        <v>3.6473988439306382</v>
      </c>
      <c r="AA389" s="32">
        <v>5.0487185002828117</v>
      </c>
      <c r="AB389" s="32">
        <v>3.3684728155638055</v>
      </c>
    </row>
    <row r="390" spans="2:28" x14ac:dyDescent="0.3">
      <c r="B390" t="s">
        <v>236</v>
      </c>
      <c r="C390" s="32">
        <v>6.3962804974383447</v>
      </c>
      <c r="D390" s="32">
        <v>7.4807492416367749</v>
      </c>
      <c r="E390" s="32">
        <v>6.3295011595204231</v>
      </c>
      <c r="F390" s="32">
        <v>6.2330044826402142</v>
      </c>
      <c r="G390" s="32">
        <v>9.3757917267286892</v>
      </c>
      <c r="H390" s="32">
        <v>11.354105929055791</v>
      </c>
      <c r="I390" s="32">
        <v>7.1665279889823186</v>
      </c>
      <c r="J390" s="32">
        <v>1.1110888000910091</v>
      </c>
      <c r="K390" s="32">
        <v>-5.1442113555271511</v>
      </c>
      <c r="L390" s="32">
        <v>-5.5509030511124102</v>
      </c>
      <c r="M390" s="32">
        <v>-4.0823715438383923</v>
      </c>
      <c r="N390" s="32">
        <v>-3.8694121544067261</v>
      </c>
      <c r="O390" s="32">
        <v>-0.27005369019954539</v>
      </c>
      <c r="P390" s="32">
        <v>3.7387608173366615</v>
      </c>
      <c r="Q390" s="32">
        <v>4.9649125524762638</v>
      </c>
      <c r="R390" s="32">
        <v>5.1314973877623515</v>
      </c>
      <c r="S390" s="32">
        <v>5.2179406190776989</v>
      </c>
      <c r="T390" s="32">
        <v>5.3947859963709988</v>
      </c>
      <c r="U390" s="32">
        <v>5.5237323645017655</v>
      </c>
      <c r="V390" s="32">
        <v>4.6383713816144923</v>
      </c>
      <c r="W390" s="32">
        <v>5.1693598775587324</v>
      </c>
      <c r="X390" s="32">
        <v>13.736925584158644</v>
      </c>
      <c r="Y390" s="32">
        <v>16.535519858917326</v>
      </c>
      <c r="Z390" s="32">
        <v>5.3541247733132513</v>
      </c>
      <c r="AA390" s="32">
        <v>5.728404313867852</v>
      </c>
      <c r="AB390" s="32">
        <v>4.3925695296829437</v>
      </c>
    </row>
    <row r="391" spans="2:28" x14ac:dyDescent="0.3">
      <c r="B391" t="s">
        <v>417</v>
      </c>
    </row>
  </sheetData>
  <mergeCells count="2">
    <mergeCell ref="B2:AA2"/>
    <mergeCell ref="B1:AA1"/>
  </mergeCells>
  <phoneticPr fontId="6" type="noConversion"/>
  <pageMargins left="0.7" right="0.7" top="0.75" bottom="0.75" header="0.3" footer="0.3"/>
  <pageSetup scale="32" orientation="landscape" r:id="rId1"/>
  <rowBreaks count="3" manualBreakCount="3">
    <brk id="99" min="1" max="25" man="1"/>
    <brk id="199" min="1" max="25" man="1"/>
    <brk id="299" min="1" max="25" man="1"/>
  </row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7"/>
  <sheetViews>
    <sheetView zoomScale="76" zoomScaleNormal="76" workbookViewId="0">
      <pane xSplit="2" ySplit="3" topLeftCell="C4" activePane="bottomRight" state="frozen"/>
      <selection pane="topRight" activeCell="C1" sqref="C1"/>
      <selection pane="bottomLeft" activeCell="A4" sqref="A4"/>
      <selection pane="bottomRight"/>
    </sheetView>
  </sheetViews>
  <sheetFormatPr defaultRowHeight="14.4" x14ac:dyDescent="0.3"/>
  <cols>
    <col min="1" max="1" width="1.88671875" customWidth="1"/>
    <col min="2" max="2" width="18.88671875" customWidth="1"/>
    <col min="3" max="14" width="8.88671875" style="21"/>
    <col min="15" max="15" width="8.88671875" style="21" customWidth="1"/>
    <col min="16" max="27" width="8.88671875" style="21"/>
    <col min="28" max="28" width="24.6640625" bestFit="1" customWidth="1"/>
  </cols>
  <sheetData>
    <row r="1" spans="1:28" ht="18" x14ac:dyDescent="0.3">
      <c r="A1" s="73" t="s">
        <v>457</v>
      </c>
      <c r="B1" s="95" t="s">
        <v>264</v>
      </c>
      <c r="C1" s="96"/>
      <c r="D1" s="96"/>
      <c r="E1" s="96"/>
      <c r="F1" s="96"/>
      <c r="G1" s="96"/>
      <c r="H1" s="96"/>
      <c r="I1" s="96"/>
      <c r="J1" s="96"/>
      <c r="K1" s="96"/>
      <c r="L1" s="96"/>
      <c r="M1" s="96"/>
      <c r="N1" s="96"/>
      <c r="O1" s="96"/>
      <c r="P1" s="96"/>
      <c r="Q1" s="96"/>
      <c r="R1" s="96"/>
      <c r="S1" s="96"/>
      <c r="T1" s="96"/>
      <c r="U1" s="96"/>
      <c r="V1" s="96"/>
      <c r="W1" s="96"/>
      <c r="X1" s="96"/>
      <c r="Y1" s="96"/>
      <c r="Z1" s="96"/>
      <c r="AA1" s="96"/>
      <c r="AB1" s="40"/>
    </row>
    <row r="2" spans="1:28" ht="43.2" x14ac:dyDescent="0.35">
      <c r="B2" s="91" t="s">
        <v>182</v>
      </c>
      <c r="C2" s="115"/>
      <c r="D2" s="115"/>
      <c r="E2" s="115"/>
      <c r="F2" s="115"/>
      <c r="G2" s="115"/>
      <c r="H2" s="115"/>
      <c r="I2" s="115"/>
      <c r="J2" s="115"/>
      <c r="K2" s="115"/>
      <c r="L2" s="115"/>
      <c r="M2" s="115"/>
      <c r="N2" s="115"/>
      <c r="O2" s="115"/>
      <c r="P2" s="115"/>
      <c r="Q2" s="115"/>
      <c r="R2" s="115"/>
      <c r="S2" s="115"/>
      <c r="T2" s="115"/>
      <c r="U2" s="115"/>
      <c r="V2" s="115"/>
      <c r="W2" s="115"/>
      <c r="X2" s="115"/>
      <c r="Y2" s="115"/>
      <c r="Z2" s="115"/>
      <c r="AA2" s="116"/>
      <c r="AB2" s="9" t="s">
        <v>466</v>
      </c>
    </row>
    <row r="3" spans="1:28" ht="20.25" customHeight="1" x14ac:dyDescent="0.3">
      <c r="B3" s="6" t="s">
        <v>244</v>
      </c>
      <c r="C3" s="15" t="s">
        <v>245</v>
      </c>
      <c r="D3" s="15" t="s">
        <v>246</v>
      </c>
      <c r="E3" s="15" t="s">
        <v>247</v>
      </c>
      <c r="F3" s="15" t="s">
        <v>248</v>
      </c>
      <c r="G3" s="15" t="s">
        <v>249</v>
      </c>
      <c r="H3" s="15" t="s">
        <v>250</v>
      </c>
      <c r="I3" s="15" t="s">
        <v>251</v>
      </c>
      <c r="J3" s="15" t="s">
        <v>252</v>
      </c>
      <c r="K3" s="15" t="s">
        <v>253</v>
      </c>
      <c r="L3" s="15" t="s">
        <v>254</v>
      </c>
      <c r="M3" s="15" t="s">
        <v>255</v>
      </c>
      <c r="N3" s="15" t="s">
        <v>261</v>
      </c>
      <c r="O3" s="15" t="s">
        <v>268</v>
      </c>
      <c r="P3" s="15" t="s">
        <v>273</v>
      </c>
      <c r="Q3" s="15" t="s">
        <v>278</v>
      </c>
      <c r="R3" s="15" t="s">
        <v>397</v>
      </c>
      <c r="S3" s="15" t="s">
        <v>403</v>
      </c>
      <c r="T3" s="15" t="s">
        <v>407</v>
      </c>
      <c r="U3" s="15" t="s">
        <v>413</v>
      </c>
      <c r="V3" s="15" t="s">
        <v>430</v>
      </c>
      <c r="W3" s="15" t="s">
        <v>435</v>
      </c>
      <c r="X3" s="15" t="s">
        <v>440</v>
      </c>
      <c r="Y3" s="15" t="s">
        <v>448</v>
      </c>
      <c r="Z3" s="15" t="s">
        <v>459</v>
      </c>
      <c r="AA3" s="15" t="s">
        <v>472</v>
      </c>
      <c r="AB3" s="7" t="s">
        <v>562</v>
      </c>
    </row>
    <row r="4" spans="1:28" x14ac:dyDescent="0.3">
      <c r="B4" s="28" t="s">
        <v>184</v>
      </c>
      <c r="C4" s="88">
        <v>2.4878773849265512</v>
      </c>
      <c r="D4" s="88">
        <v>5.5349500713266719</v>
      </c>
      <c r="E4" s="88">
        <v>2.9253401820311886</v>
      </c>
      <c r="F4" s="88">
        <v>3.9672550972387866</v>
      </c>
      <c r="G4" s="88">
        <v>3.8211330764858387</v>
      </c>
      <c r="H4" s="88">
        <v>7.0355274364277909</v>
      </c>
      <c r="I4" s="88">
        <v>7.939981244138794</v>
      </c>
      <c r="J4" s="88">
        <v>4.6845518609202275</v>
      </c>
      <c r="K4" s="88">
        <v>1.138430843260374</v>
      </c>
      <c r="L4" s="88">
        <v>-1.4430767955571966</v>
      </c>
      <c r="M4" s="88">
        <v>-3.7660633788602516</v>
      </c>
      <c r="N4" s="88">
        <v>-3.3759809833429411</v>
      </c>
      <c r="O4" s="88">
        <v>-0.54539041089697315</v>
      </c>
      <c r="P4" s="88">
        <v>-0.73572208075662893</v>
      </c>
      <c r="Q4" s="88">
        <v>1.1305439253877836</v>
      </c>
      <c r="R4" s="88">
        <v>2.7349730488743784</v>
      </c>
      <c r="S4" s="88">
        <v>2.8737963387534871</v>
      </c>
      <c r="T4" s="88">
        <v>3.0009514584744323</v>
      </c>
      <c r="U4" s="88">
        <v>4.0070237342298753</v>
      </c>
      <c r="V4" s="88">
        <v>5.0144424263276255</v>
      </c>
      <c r="W4" s="88">
        <v>5.8348444904987584</v>
      </c>
      <c r="X4" s="88">
        <v>12.9866670506249</v>
      </c>
      <c r="Y4" s="88">
        <v>16.283618893483599</v>
      </c>
      <c r="Z4" s="88">
        <v>6.2888015824744459</v>
      </c>
      <c r="AA4" s="88">
        <v>5.6130655338804791</v>
      </c>
      <c r="AB4" s="29">
        <v>4.3817884243416261</v>
      </c>
    </row>
    <row r="5" spans="1:28" x14ac:dyDescent="0.3">
      <c r="B5" s="5" t="s">
        <v>185</v>
      </c>
      <c r="C5" s="89">
        <v>1.7041121604974396</v>
      </c>
      <c r="D5" s="89">
        <v>4.8968997837058437</v>
      </c>
      <c r="E5" s="89">
        <v>5.4326011052153955</v>
      </c>
      <c r="F5" s="89">
        <v>4.9362434483298356</v>
      </c>
      <c r="G5" s="89">
        <v>10.001987972764748</v>
      </c>
      <c r="H5" s="89">
        <v>12.200962342151044</v>
      </c>
      <c r="I5" s="89">
        <v>9.8473866473383289</v>
      </c>
      <c r="J5" s="89">
        <v>3.9635990395718634</v>
      </c>
      <c r="K5" s="89">
        <v>-0.41783098119763107</v>
      </c>
      <c r="L5" s="89">
        <v>-0.47269604935864518</v>
      </c>
      <c r="M5" s="89">
        <v>-0.52119002090095234</v>
      </c>
      <c r="N5" s="89">
        <v>0.79839783994490876</v>
      </c>
      <c r="O5" s="89">
        <v>0.48872647283177972</v>
      </c>
      <c r="P5" s="89">
        <v>2.916331988737153</v>
      </c>
      <c r="Q5" s="89">
        <v>2.1226961242570841</v>
      </c>
      <c r="R5" s="89">
        <v>3.2131819403386164</v>
      </c>
      <c r="S5" s="89">
        <v>2.0195609367117395</v>
      </c>
      <c r="T5" s="89">
        <v>1.2202903174350022</v>
      </c>
      <c r="U5" s="89">
        <v>1.0550784020171955</v>
      </c>
      <c r="V5" s="89">
        <v>2.3181467301889302</v>
      </c>
      <c r="W5" s="89">
        <v>3.3591928182774122</v>
      </c>
      <c r="X5" s="89">
        <v>8.2732433827324314</v>
      </c>
      <c r="Y5" s="89">
        <v>11.728214312466378</v>
      </c>
      <c r="Z5" s="89">
        <v>6.7365944634737884</v>
      </c>
      <c r="AA5" s="89">
        <v>4.6766061201299669</v>
      </c>
      <c r="AB5" s="18">
        <v>3.9825628032285509</v>
      </c>
    </row>
    <row r="6" spans="1:28" x14ac:dyDescent="0.3">
      <c r="B6" s="28" t="s">
        <v>186</v>
      </c>
      <c r="C6" s="88">
        <v>6.0123020547048656</v>
      </c>
      <c r="D6" s="88">
        <v>6.5972050762925338</v>
      </c>
      <c r="E6" s="88">
        <v>5.4338259137443723</v>
      </c>
      <c r="F6" s="88">
        <v>5.7568101933216154</v>
      </c>
      <c r="G6" s="88">
        <v>12.546608365097999</v>
      </c>
      <c r="H6" s="88">
        <v>29.708105314642697</v>
      </c>
      <c r="I6" s="88">
        <v>18.587294472547743</v>
      </c>
      <c r="J6" s="88">
        <v>-0.98153325573863137</v>
      </c>
      <c r="K6" s="88">
        <v>-13.858290616933866</v>
      </c>
      <c r="L6" s="88">
        <v>-15.881690933389603</v>
      </c>
      <c r="M6" s="88">
        <v>-12.286877775083427</v>
      </c>
      <c r="N6" s="88">
        <v>-10.853503913362616</v>
      </c>
      <c r="O6" s="88">
        <v>4.1385062879630397</v>
      </c>
      <c r="P6" s="88">
        <v>13.172865621983521</v>
      </c>
      <c r="Q6" s="88">
        <v>9.0826603756465119</v>
      </c>
      <c r="R6" s="88">
        <v>6.1545499916819235</v>
      </c>
      <c r="S6" s="88">
        <v>6.733323407956493</v>
      </c>
      <c r="T6" s="88">
        <v>7.5015417143863949</v>
      </c>
      <c r="U6" s="88">
        <v>7.8884108447722534</v>
      </c>
      <c r="V6" s="88">
        <v>6.6583956298542191</v>
      </c>
      <c r="W6" s="88">
        <v>8.2225519287833837</v>
      </c>
      <c r="X6" s="88">
        <v>21.94730059499328</v>
      </c>
      <c r="Y6" s="88">
        <v>21.128084289292516</v>
      </c>
      <c r="Z6" s="88">
        <v>1.3777050129751389</v>
      </c>
      <c r="AA6" s="88">
        <v>4.5552088826390058</v>
      </c>
      <c r="AB6" s="29">
        <v>2.3403894645392276</v>
      </c>
    </row>
    <row r="7" spans="1:28" x14ac:dyDescent="0.3">
      <c r="B7" s="5" t="s">
        <v>187</v>
      </c>
      <c r="C7" s="89">
        <v>2.3619465746785639</v>
      </c>
      <c r="D7" s="89">
        <v>5.3362298255142049</v>
      </c>
      <c r="E7" s="89">
        <v>3.2838464894306085</v>
      </c>
      <c r="F7" s="89">
        <v>4.127894325905257</v>
      </c>
      <c r="G7" s="89">
        <v>5.7736748942865512</v>
      </c>
      <c r="H7" s="89">
        <v>7.3353554370184426</v>
      </c>
      <c r="I7" s="89">
        <v>6.0956464308528524</v>
      </c>
      <c r="J7" s="89">
        <v>2.9665989733751008</v>
      </c>
      <c r="K7" s="89">
        <v>-0.30426767626712259</v>
      </c>
      <c r="L7" s="89">
        <v>-1.2585618991758696</v>
      </c>
      <c r="M7" s="89">
        <v>-2.4978605587717029</v>
      </c>
      <c r="N7" s="89">
        <v>-1.6283920531989571</v>
      </c>
      <c r="O7" s="89">
        <v>0.50069803814543068</v>
      </c>
      <c r="P7" s="89">
        <v>1.4361213235293935</v>
      </c>
      <c r="Q7" s="89">
        <v>1.3117927491016257</v>
      </c>
      <c r="R7" s="89">
        <v>2.4178549287042772</v>
      </c>
      <c r="S7" s="89">
        <v>2.6346604215456537</v>
      </c>
      <c r="T7" s="89">
        <v>3.5029537741595451</v>
      </c>
      <c r="U7" s="89">
        <v>3.6646426903316209</v>
      </c>
      <c r="V7" s="89">
        <v>3.826155911798379</v>
      </c>
      <c r="W7" s="89">
        <v>4.1902811168296861</v>
      </c>
      <c r="X7" s="89">
        <v>12.960757036827243</v>
      </c>
      <c r="Y7" s="89">
        <v>17.193929472147261</v>
      </c>
      <c r="Z7" s="89">
        <v>7.633933627817413</v>
      </c>
      <c r="AA7" s="89">
        <v>5.3298958223718884</v>
      </c>
      <c r="AB7" s="18">
        <v>4.4294231017761421</v>
      </c>
    </row>
    <row r="8" spans="1:28" x14ac:dyDescent="0.3">
      <c r="B8" s="28" t="s">
        <v>188</v>
      </c>
      <c r="C8" s="88">
        <v>12.541131569446584</v>
      </c>
      <c r="D8" s="88">
        <v>12.759502488474194</v>
      </c>
      <c r="E8" s="88">
        <v>11.166113928989475</v>
      </c>
      <c r="F8" s="88">
        <v>12.477972521405967</v>
      </c>
      <c r="G8" s="88">
        <v>22.743879448207682</v>
      </c>
      <c r="H8" s="88">
        <v>23.526576700633427</v>
      </c>
      <c r="I8" s="88">
        <v>10.239117106069884</v>
      </c>
      <c r="J8" s="88">
        <v>-5.4158855604906631</v>
      </c>
      <c r="K8" s="88">
        <v>-19.983634128188378</v>
      </c>
      <c r="L8" s="88">
        <v>-13.454373532177755</v>
      </c>
      <c r="M8" s="88">
        <v>-3.0128852205925982</v>
      </c>
      <c r="N8" s="88">
        <v>-5.2199147769016019</v>
      </c>
      <c r="O8" s="88">
        <v>0.27130030359796553</v>
      </c>
      <c r="P8" s="88">
        <v>12.22766217870257</v>
      </c>
      <c r="Q8" s="88">
        <v>11.924046127971266</v>
      </c>
      <c r="R8" s="88">
        <v>7.0990440241250674</v>
      </c>
      <c r="S8" s="88">
        <v>7.0719163322574774</v>
      </c>
      <c r="T8" s="88">
        <v>6.5417676681843062</v>
      </c>
      <c r="U8" s="88">
        <v>6.4918709937411112</v>
      </c>
      <c r="V8" s="88">
        <v>3.2382551658349357</v>
      </c>
      <c r="W8" s="88">
        <v>4.250461052076937</v>
      </c>
      <c r="X8" s="88">
        <v>14.06716404244175</v>
      </c>
      <c r="Y8" s="88">
        <v>15.299527037223726</v>
      </c>
      <c r="Z8" s="88">
        <v>1.2367373081957345</v>
      </c>
      <c r="AA8" s="88">
        <v>4.8268235721300012</v>
      </c>
      <c r="AB8" s="29">
        <v>2.8083371597070972</v>
      </c>
    </row>
    <row r="9" spans="1:28" x14ac:dyDescent="0.3">
      <c r="B9" s="5" t="s">
        <v>189</v>
      </c>
      <c r="C9" s="89">
        <v>11.654692667350908</v>
      </c>
      <c r="D9" s="89">
        <v>9.3360321631182686</v>
      </c>
      <c r="E9" s="89">
        <v>4.9704473657393278</v>
      </c>
      <c r="F9" s="89">
        <v>2.5871902531369173</v>
      </c>
      <c r="G9" s="89">
        <v>3.5195217929609557</v>
      </c>
      <c r="H9" s="89">
        <v>4.8952540565247116</v>
      </c>
      <c r="I9" s="89">
        <v>3.0400302114803823</v>
      </c>
      <c r="J9" s="89">
        <v>1.270069494368542</v>
      </c>
      <c r="K9" s="89">
        <v>-0.90337128699088387</v>
      </c>
      <c r="L9" s="89">
        <v>-1.5668675291110157</v>
      </c>
      <c r="M9" s="89">
        <v>-3.2977774606685495</v>
      </c>
      <c r="N9" s="89">
        <v>-3.1357676728176909</v>
      </c>
      <c r="O9" s="89">
        <v>1.4388763206203192</v>
      </c>
      <c r="P9" s="89">
        <v>5.8653470699546739</v>
      </c>
      <c r="Q9" s="89">
        <v>8.0179879843668811</v>
      </c>
      <c r="R9" s="89">
        <v>10.639122183771455</v>
      </c>
      <c r="S9" s="89">
        <v>10.349637068295237</v>
      </c>
      <c r="T9" s="89">
        <v>9.034190838339784</v>
      </c>
      <c r="U9" s="89">
        <v>8.3724669994672318</v>
      </c>
      <c r="V9" s="89">
        <v>4.936344146711158</v>
      </c>
      <c r="W9" s="89">
        <v>4.8451041458823285</v>
      </c>
      <c r="X9" s="89">
        <v>15.251621764744794</v>
      </c>
      <c r="Y9" s="89">
        <v>16.106139415673226</v>
      </c>
      <c r="Z9" s="89">
        <v>1.5705915998083242</v>
      </c>
      <c r="AA9" s="89">
        <v>3.0204702838444675</v>
      </c>
      <c r="AB9" s="18">
        <v>1.9032544607992197</v>
      </c>
    </row>
    <row r="10" spans="1:28" x14ac:dyDescent="0.3">
      <c r="B10" s="28" t="s">
        <v>190</v>
      </c>
      <c r="C10" s="88">
        <v>7.7109249723613882</v>
      </c>
      <c r="D10" s="88">
        <v>8.8094687687826578</v>
      </c>
      <c r="E10" s="88">
        <v>9.5723706574206258</v>
      </c>
      <c r="F10" s="88">
        <v>8.5243841906061935</v>
      </c>
      <c r="G10" s="88">
        <v>12.058430467315095</v>
      </c>
      <c r="H10" s="88">
        <v>12.216836734693871</v>
      </c>
      <c r="I10" s="88">
        <v>5.6434563186251285</v>
      </c>
      <c r="J10" s="88">
        <v>0.24692553500531567</v>
      </c>
      <c r="K10" s="88">
        <v>-4.3000885454399063</v>
      </c>
      <c r="L10" s="88">
        <v>-5.6641544983514036</v>
      </c>
      <c r="M10" s="88">
        <v>-3.7056190595074701</v>
      </c>
      <c r="N10" s="88">
        <v>-3.2136397587609444</v>
      </c>
      <c r="O10" s="88">
        <v>-1.9707763838485715</v>
      </c>
      <c r="P10" s="88">
        <v>-0.95249868250695258</v>
      </c>
      <c r="Q10" s="88">
        <v>-0.26209134441692594</v>
      </c>
      <c r="R10" s="88">
        <v>1.6451744622558495</v>
      </c>
      <c r="S10" s="88">
        <v>0.51640576404727856</v>
      </c>
      <c r="T10" s="88">
        <v>0.5453385159830626</v>
      </c>
      <c r="U10" s="88">
        <v>1.0995069849146333</v>
      </c>
      <c r="V10" s="88">
        <v>2.7394827957943901</v>
      </c>
      <c r="W10" s="88">
        <v>4.4496154653301589</v>
      </c>
      <c r="X10" s="88">
        <v>13.842680959444031</v>
      </c>
      <c r="Y10" s="88">
        <v>14.070740417756756</v>
      </c>
      <c r="Z10" s="88">
        <v>8.9558826875383968</v>
      </c>
      <c r="AA10" s="88">
        <v>8.9957232830484948</v>
      </c>
      <c r="AB10" s="29">
        <v>7.8002150327436404</v>
      </c>
    </row>
    <row r="11" spans="1:28" x14ac:dyDescent="0.3">
      <c r="B11" s="5" t="s">
        <v>191</v>
      </c>
      <c r="C11" s="89">
        <v>5.7449933509318818</v>
      </c>
      <c r="D11" s="89">
        <v>7.3342405330580007</v>
      </c>
      <c r="E11" s="89">
        <v>8.0204599108157915</v>
      </c>
      <c r="F11" s="89">
        <v>8.5961972754425631</v>
      </c>
      <c r="G11" s="89">
        <v>13.75863688200174</v>
      </c>
      <c r="H11" s="89">
        <v>15.367378228564665</v>
      </c>
      <c r="I11" s="89">
        <v>9.4890842590699584</v>
      </c>
      <c r="J11" s="89">
        <v>2.4903518964229487</v>
      </c>
      <c r="K11" s="89">
        <v>-3.31502897487157</v>
      </c>
      <c r="L11" s="89">
        <v>-5.3618446881461672</v>
      </c>
      <c r="M11" s="89">
        <v>-4.3110314615690815</v>
      </c>
      <c r="N11" s="89">
        <v>-5.5393703973456336</v>
      </c>
      <c r="O11" s="89">
        <v>-2.103846036165602</v>
      </c>
      <c r="P11" s="89">
        <v>0.86512436162697881</v>
      </c>
      <c r="Q11" s="89">
        <v>1.6838021578944096</v>
      </c>
      <c r="R11" s="89">
        <v>2.4549299723302553</v>
      </c>
      <c r="S11" s="89">
        <v>2.308662391586247</v>
      </c>
      <c r="T11" s="89">
        <v>1.7361777343636309</v>
      </c>
      <c r="U11" s="89">
        <v>3.2993661879261449</v>
      </c>
      <c r="V11" s="89">
        <v>3.6736635942150597</v>
      </c>
      <c r="W11" s="89">
        <v>4.8312040387222144</v>
      </c>
      <c r="X11" s="89">
        <v>12.509226782868987</v>
      </c>
      <c r="Y11" s="89">
        <v>14.748520442328928</v>
      </c>
      <c r="Z11" s="89">
        <v>6.7758114885965837</v>
      </c>
      <c r="AA11" s="89">
        <v>6.9987296522792342</v>
      </c>
      <c r="AB11" s="18">
        <v>4.7613208803066076</v>
      </c>
    </row>
    <row r="12" spans="1:28" x14ac:dyDescent="0.3">
      <c r="B12" s="28" t="s">
        <v>192</v>
      </c>
      <c r="C12" s="88">
        <v>13.980665405380478</v>
      </c>
      <c r="D12" s="88">
        <v>15.214112931793554</v>
      </c>
      <c r="E12" s="88">
        <v>15.233451926033293</v>
      </c>
      <c r="F12" s="88">
        <v>12.565560773312212</v>
      </c>
      <c r="G12" s="88">
        <v>19.935120785052018</v>
      </c>
      <c r="H12" s="88">
        <v>23.788926847172419</v>
      </c>
      <c r="I12" s="88">
        <v>11.860471481224689</v>
      </c>
      <c r="J12" s="88">
        <v>2.7395249260882881</v>
      </c>
      <c r="K12" s="88">
        <v>-5.9620628475488324</v>
      </c>
      <c r="L12" s="88">
        <v>-4.5783000312339173</v>
      </c>
      <c r="M12" s="88">
        <v>-0.23930111688598155</v>
      </c>
      <c r="N12" s="88">
        <v>1.03753757748275</v>
      </c>
      <c r="O12" s="88">
        <v>3.9469180336501708</v>
      </c>
      <c r="P12" s="88">
        <v>8.2455207119577203</v>
      </c>
      <c r="Q12" s="88">
        <v>7.9259279482369438</v>
      </c>
      <c r="R12" s="88">
        <v>6.6810975675861251</v>
      </c>
      <c r="S12" s="88">
        <v>6.489978286569853</v>
      </c>
      <c r="T12" s="88">
        <v>4.6540996539087942</v>
      </c>
      <c r="U12" s="88">
        <v>4.8285861051249324</v>
      </c>
      <c r="V12" s="88">
        <v>3.7879293097699218</v>
      </c>
      <c r="W12" s="88">
        <v>3.613363914971135</v>
      </c>
      <c r="X12" s="88">
        <v>8.123586144417505</v>
      </c>
      <c r="Y12" s="88">
        <v>7.2080137252750642</v>
      </c>
      <c r="Z12" s="88">
        <v>-3.5267272520044579</v>
      </c>
      <c r="AA12" s="88">
        <v>1.8244505792576415</v>
      </c>
      <c r="AB12" s="29">
        <v>0.64207943201581852</v>
      </c>
    </row>
    <row r="13" spans="1:28" x14ac:dyDescent="0.3">
      <c r="B13" s="5" t="s">
        <v>193</v>
      </c>
      <c r="C13" s="89">
        <v>6.7649184389841022</v>
      </c>
      <c r="D13" s="89">
        <v>9.9480236915266538</v>
      </c>
      <c r="E13" s="89">
        <v>10.215479331574318</v>
      </c>
      <c r="F13" s="89">
        <v>10.582332522044435</v>
      </c>
      <c r="G13" s="89">
        <v>17.226075896843795</v>
      </c>
      <c r="H13" s="89">
        <v>25.751396605057032</v>
      </c>
      <c r="I13" s="89">
        <v>15.886895437634617</v>
      </c>
      <c r="J13" s="89">
        <v>-2.5703981793892883</v>
      </c>
      <c r="K13" s="89">
        <v>-17.138072502018765</v>
      </c>
      <c r="L13" s="89">
        <v>-14.81137505232315</v>
      </c>
      <c r="M13" s="89">
        <v>-9.7128598848368668</v>
      </c>
      <c r="N13" s="89">
        <v>-7.6463235231591824</v>
      </c>
      <c r="O13" s="89">
        <v>-0.59480512305837285</v>
      </c>
      <c r="P13" s="89">
        <v>8.0649493798686365</v>
      </c>
      <c r="Q13" s="89">
        <v>9.2467514656975567</v>
      </c>
      <c r="R13" s="89">
        <v>9.2322056239015904</v>
      </c>
      <c r="S13" s="89">
        <v>9.1809542963447122</v>
      </c>
      <c r="T13" s="89">
        <v>8.5141936120522352</v>
      </c>
      <c r="U13" s="89">
        <v>7.6327547636513504</v>
      </c>
      <c r="V13" s="89">
        <v>5.6827590868382405</v>
      </c>
      <c r="W13" s="89">
        <v>6.2875081278713996</v>
      </c>
      <c r="X13" s="89">
        <v>17.680508266348415</v>
      </c>
      <c r="Y13" s="89">
        <v>24.912008590347767</v>
      </c>
      <c r="Z13" s="89">
        <v>6.833113874997454</v>
      </c>
      <c r="AA13" s="89">
        <v>4.2327501700316406</v>
      </c>
      <c r="AB13" s="18">
        <v>1.5959322285523436</v>
      </c>
    </row>
    <row r="14" spans="1:28" x14ac:dyDescent="0.3">
      <c r="B14" s="28" t="s">
        <v>194</v>
      </c>
      <c r="C14" s="88">
        <v>6.0315531249296672</v>
      </c>
      <c r="D14" s="88">
        <v>7.3090229872858847</v>
      </c>
      <c r="E14" s="88">
        <v>4.517717800876242</v>
      </c>
      <c r="F14" s="88">
        <v>3.8105241244878574</v>
      </c>
      <c r="G14" s="88">
        <v>4.5147117803624237</v>
      </c>
      <c r="H14" s="88">
        <v>5.6130680876671057</v>
      </c>
      <c r="I14" s="88">
        <v>4.5500714303409628</v>
      </c>
      <c r="J14" s="88">
        <v>2.9026831059894009</v>
      </c>
      <c r="K14" s="88">
        <v>-2.2505027555610124</v>
      </c>
      <c r="L14" s="88">
        <v>-4.5418138987043726</v>
      </c>
      <c r="M14" s="88">
        <v>-7.1722356579964508</v>
      </c>
      <c r="N14" s="88">
        <v>-7.5172578801386276</v>
      </c>
      <c r="O14" s="88">
        <v>-3.9381395883637871</v>
      </c>
      <c r="P14" s="88">
        <v>4.0078201368523914</v>
      </c>
      <c r="Q14" s="88">
        <v>6.721842872487338</v>
      </c>
      <c r="R14" s="88">
        <v>6.3191380379399975</v>
      </c>
      <c r="S14" s="88">
        <v>6.0990761792871329</v>
      </c>
      <c r="T14" s="88">
        <v>6.0264958694803639</v>
      </c>
      <c r="U14" s="88">
        <v>7.3639683231400355</v>
      </c>
      <c r="V14" s="88">
        <v>5.955421813219508</v>
      </c>
      <c r="W14" s="88">
        <v>5.9416796010699713</v>
      </c>
      <c r="X14" s="88">
        <v>15.284193988815531</v>
      </c>
      <c r="Y14" s="88">
        <v>21.178150197115464</v>
      </c>
      <c r="Z14" s="88">
        <v>7.2514604224402923</v>
      </c>
      <c r="AA14" s="88">
        <v>5.6306381278918849</v>
      </c>
      <c r="AB14" s="29">
        <v>3.8760586293242305</v>
      </c>
    </row>
    <row r="15" spans="1:28" x14ac:dyDescent="0.3">
      <c r="B15" s="5" t="s">
        <v>195</v>
      </c>
      <c r="C15" s="89">
        <v>2.9474545715960421</v>
      </c>
      <c r="D15" s="89">
        <v>8.2529382694828346</v>
      </c>
      <c r="E15" s="89">
        <v>7.654519471239718</v>
      </c>
      <c r="F15" s="89">
        <v>11.09083031426017</v>
      </c>
      <c r="G15" s="89">
        <v>22.795996946260843</v>
      </c>
      <c r="H15" s="89">
        <v>24.542671595293932</v>
      </c>
      <c r="I15" s="89">
        <v>14.448960102443342</v>
      </c>
      <c r="J15" s="89">
        <v>2.0149246655224884</v>
      </c>
      <c r="K15" s="89">
        <v>-4.8527716845744751</v>
      </c>
      <c r="L15" s="89">
        <v>-8.7039768675452045</v>
      </c>
      <c r="M15" s="89">
        <v>-3.9472698674256623</v>
      </c>
      <c r="N15" s="89">
        <v>-1.5010917030567672</v>
      </c>
      <c r="O15" s="89">
        <v>1.3565858596140012</v>
      </c>
      <c r="P15" s="89">
        <v>5.2867663467975667</v>
      </c>
      <c r="Q15" s="89">
        <v>6.6544437143644553</v>
      </c>
      <c r="R15" s="89">
        <v>6.3088128620685913</v>
      </c>
      <c r="S15" s="89">
        <v>6.1451965677752352</v>
      </c>
      <c r="T15" s="89">
        <v>3.8873551983304111</v>
      </c>
      <c r="U15" s="89">
        <v>3.7118033481669865</v>
      </c>
      <c r="V15" s="89">
        <v>3.1719437043333354</v>
      </c>
      <c r="W15" s="89">
        <v>2.0600467382263066</v>
      </c>
      <c r="X15" s="89">
        <v>9.9797804176643865</v>
      </c>
      <c r="Y15" s="89">
        <v>19.716570331632475</v>
      </c>
      <c r="Z15" s="89">
        <v>-1.480870129104539</v>
      </c>
      <c r="AA15" s="89">
        <v>6.4295886738711783</v>
      </c>
      <c r="AB15" s="18">
        <v>3.844974870012341</v>
      </c>
    </row>
    <row r="16" spans="1:28" x14ac:dyDescent="0.3">
      <c r="B16" s="28" t="s">
        <v>196</v>
      </c>
      <c r="C16" s="88">
        <v>1.7666920296747435</v>
      </c>
      <c r="D16" s="88">
        <v>5.2618051823640766</v>
      </c>
      <c r="E16" s="88">
        <v>3.067634458724533</v>
      </c>
      <c r="F16" s="88">
        <v>4.0079253978851259</v>
      </c>
      <c r="G16" s="88">
        <v>7.3445976725887263</v>
      </c>
      <c r="H16" s="88">
        <v>15.139561351054187</v>
      </c>
      <c r="I16" s="88">
        <v>16.868963553053739</v>
      </c>
      <c r="J16" s="88">
        <v>5.8888880924905296</v>
      </c>
      <c r="K16" s="88">
        <v>-2.5708541761150339</v>
      </c>
      <c r="L16" s="88">
        <v>-6.6543926077743398</v>
      </c>
      <c r="M16" s="88">
        <v>-9.2849646836413395</v>
      </c>
      <c r="N16" s="88">
        <v>-8.976715183538186</v>
      </c>
      <c r="O16" s="88">
        <v>1.0924725755131259</v>
      </c>
      <c r="P16" s="88">
        <v>5.358750991948491</v>
      </c>
      <c r="Q16" s="88">
        <v>5.8055398051843676</v>
      </c>
      <c r="R16" s="88">
        <v>6.2772449869224145</v>
      </c>
      <c r="S16" s="88">
        <v>7.3545017347653063</v>
      </c>
      <c r="T16" s="88">
        <v>9.0421541891294801</v>
      </c>
      <c r="U16" s="88">
        <v>12.2257154062273</v>
      </c>
      <c r="V16" s="88">
        <v>10.697938209295543</v>
      </c>
      <c r="W16" s="88">
        <v>10.944413681034604</v>
      </c>
      <c r="X16" s="88">
        <v>26.801599037219127</v>
      </c>
      <c r="Y16" s="88">
        <v>17.755926367368559</v>
      </c>
      <c r="Z16" s="88">
        <v>0.17057009774981147</v>
      </c>
      <c r="AA16" s="88">
        <v>4.2014788756552957</v>
      </c>
      <c r="AB16" s="29">
        <v>4.2197944848168634</v>
      </c>
    </row>
    <row r="17" spans="2:28" x14ac:dyDescent="0.3">
      <c r="B17" s="5" t="s">
        <v>197</v>
      </c>
      <c r="C17" s="89">
        <v>6.2961331428018852</v>
      </c>
      <c r="D17" s="89">
        <v>6.0091172813924398</v>
      </c>
      <c r="E17" s="89">
        <v>6.1757470584870022</v>
      </c>
      <c r="F17" s="89">
        <v>5.3513537784563026</v>
      </c>
      <c r="G17" s="89">
        <v>8.3570588335577725</v>
      </c>
      <c r="H17" s="89">
        <v>8.8657782532765026</v>
      </c>
      <c r="I17" s="89">
        <v>5.6406624851865761</v>
      </c>
      <c r="J17" s="89">
        <v>1.4467077992256661</v>
      </c>
      <c r="K17" s="89">
        <v>-3.9249135251400613</v>
      </c>
      <c r="L17" s="89">
        <v>-6.6931952164392854</v>
      </c>
      <c r="M17" s="89">
        <v>-5.1635564982587479</v>
      </c>
      <c r="N17" s="89">
        <v>-4.8776232095553818</v>
      </c>
      <c r="O17" s="89">
        <v>-1.8568236392742965</v>
      </c>
      <c r="P17" s="89">
        <v>0.24721983875490849</v>
      </c>
      <c r="Q17" s="89">
        <v>2.9762711864406821</v>
      </c>
      <c r="R17" s="89">
        <v>3.541214036473761</v>
      </c>
      <c r="S17" s="89">
        <v>2.987720065175048</v>
      </c>
      <c r="T17" s="89">
        <v>2.4233256671863046</v>
      </c>
      <c r="U17" s="89">
        <v>2.1640520216405168</v>
      </c>
      <c r="V17" s="89">
        <v>2.8063369374419223</v>
      </c>
      <c r="W17" s="89">
        <v>2.937779340129576</v>
      </c>
      <c r="X17" s="89">
        <v>8.7924954350947271</v>
      </c>
      <c r="Y17" s="89">
        <v>12.347695737402443</v>
      </c>
      <c r="Z17" s="89">
        <v>6.5766890755344143</v>
      </c>
      <c r="AA17" s="89">
        <v>7.8197644868413407</v>
      </c>
      <c r="AB17" s="18">
        <v>6.7481349122222811</v>
      </c>
    </row>
    <row r="18" spans="2:28" x14ac:dyDescent="0.3">
      <c r="B18" s="28" t="s">
        <v>198</v>
      </c>
      <c r="C18" s="88">
        <v>3.1312646816465728</v>
      </c>
      <c r="D18" s="88">
        <v>4.9478266054498787</v>
      </c>
      <c r="E18" s="88">
        <v>2.8748693241216206</v>
      </c>
      <c r="F18" s="88">
        <v>2.7150020986590695</v>
      </c>
      <c r="G18" s="88">
        <v>2.8013162422574123</v>
      </c>
      <c r="H18" s="88">
        <v>3.6214525560425592</v>
      </c>
      <c r="I18" s="88">
        <v>1.5445340655568796</v>
      </c>
      <c r="J18" s="88">
        <v>1.404726162900527</v>
      </c>
      <c r="K18" s="88">
        <v>-0.61763494833434462</v>
      </c>
      <c r="L18" s="88">
        <v>-1.5891962277551852</v>
      </c>
      <c r="M18" s="88">
        <v>-2.0047914515692766</v>
      </c>
      <c r="N18" s="88">
        <v>-1.6172093165986334</v>
      </c>
      <c r="O18" s="88">
        <v>0.21834061135370675</v>
      </c>
      <c r="P18" s="88">
        <v>0.880796763149716</v>
      </c>
      <c r="Q18" s="88">
        <v>1.9354374273696795</v>
      </c>
      <c r="R18" s="88">
        <v>3.7207049969229633</v>
      </c>
      <c r="S18" s="88">
        <v>3.3722728554893111</v>
      </c>
      <c r="T18" s="88">
        <v>4.3575219240468366</v>
      </c>
      <c r="U18" s="88">
        <v>6.2827413959443357</v>
      </c>
      <c r="V18" s="88">
        <v>5.696712619300115</v>
      </c>
      <c r="W18" s="88">
        <v>5.8656392968938098</v>
      </c>
      <c r="X18" s="88">
        <v>13.602177440143137</v>
      </c>
      <c r="Y18" s="88">
        <v>15.581390692676788</v>
      </c>
      <c r="Z18" s="88">
        <v>7.1356807132216371</v>
      </c>
      <c r="AA18" s="88">
        <v>6.4356702453326253</v>
      </c>
      <c r="AB18" s="29">
        <v>5.709099697139508</v>
      </c>
    </row>
    <row r="19" spans="2:28" x14ac:dyDescent="0.3">
      <c r="B19" s="5" t="s">
        <v>199</v>
      </c>
      <c r="C19" s="89">
        <v>4.1168622539276223</v>
      </c>
      <c r="D19" s="89">
        <v>5.2145715107612567</v>
      </c>
      <c r="E19" s="89">
        <v>3.6711157507518744</v>
      </c>
      <c r="F19" s="89">
        <v>3.6430112682809934</v>
      </c>
      <c r="G19" s="89">
        <v>4.5651696179692225</v>
      </c>
      <c r="H19" s="89">
        <v>4.9355131296595189</v>
      </c>
      <c r="I19" s="89">
        <v>2.6236454863600045</v>
      </c>
      <c r="J19" s="89">
        <v>2.1980956685189623</v>
      </c>
      <c r="K19" s="89">
        <v>0.47237605153922502</v>
      </c>
      <c r="L19" s="89">
        <v>-4.3014194684243279E-2</v>
      </c>
      <c r="M19" s="89">
        <v>-0.69352708058124657</v>
      </c>
      <c r="N19" s="89">
        <v>-0.26705364251089492</v>
      </c>
      <c r="O19" s="89">
        <v>1.109471939858131</v>
      </c>
      <c r="P19" s="89">
        <v>1.5799888071634127</v>
      </c>
      <c r="Q19" s="89">
        <v>1.9627133651433759</v>
      </c>
      <c r="R19" s="89">
        <v>3.2448861443458155</v>
      </c>
      <c r="S19" s="89">
        <v>3.4391559115164894</v>
      </c>
      <c r="T19" s="89">
        <v>3.7575779478330018</v>
      </c>
      <c r="U19" s="89">
        <v>3.4934954110865446</v>
      </c>
      <c r="V19" s="89">
        <v>3.2392683460380045</v>
      </c>
      <c r="W19" s="89">
        <v>3.2973660190376952</v>
      </c>
      <c r="X19" s="89">
        <v>9.3743589743589659</v>
      </c>
      <c r="Y19" s="89">
        <v>13.000605920710949</v>
      </c>
      <c r="Z19" s="89">
        <v>6.308129328779799</v>
      </c>
      <c r="AA19" s="89">
        <v>5.2648960891573671</v>
      </c>
      <c r="AB19" s="18">
        <v>4.0878598579891179</v>
      </c>
    </row>
    <row r="20" spans="2:28" x14ac:dyDescent="0.3">
      <c r="B20" s="28" t="s">
        <v>200</v>
      </c>
      <c r="C20" s="88">
        <v>5.0791489854736804</v>
      </c>
      <c r="D20" s="88">
        <v>5.4207900322518432</v>
      </c>
      <c r="E20" s="88">
        <v>4.3392994888020064</v>
      </c>
      <c r="F20" s="88">
        <v>3.4245545447710857</v>
      </c>
      <c r="G20" s="88">
        <v>4.3446128496831715</v>
      </c>
      <c r="H20" s="88">
        <v>4.5503628447024713</v>
      </c>
      <c r="I20" s="88">
        <v>3.1240282528541607</v>
      </c>
      <c r="J20" s="88">
        <v>2.6481579202429772</v>
      </c>
      <c r="K20" s="88">
        <v>-0.18569809895506717</v>
      </c>
      <c r="L20" s="88">
        <v>-0.38364918697905148</v>
      </c>
      <c r="M20" s="88">
        <v>-1.0255977377761738</v>
      </c>
      <c r="N20" s="88">
        <v>-1.5116948465917712</v>
      </c>
      <c r="O20" s="88">
        <v>0.21324038794598987</v>
      </c>
      <c r="P20" s="88">
        <v>0.8932718376340576</v>
      </c>
      <c r="Q20" s="88">
        <v>2.2899537512846901</v>
      </c>
      <c r="R20" s="88">
        <v>3.4046071566872893</v>
      </c>
      <c r="S20" s="88">
        <v>4.2489878542510073</v>
      </c>
      <c r="T20" s="88">
        <v>4.1777510242917426</v>
      </c>
      <c r="U20" s="88">
        <v>4.7250258618279251</v>
      </c>
      <c r="V20" s="88">
        <v>4.2591059970988887</v>
      </c>
      <c r="W20" s="88">
        <v>5.2954582312623399</v>
      </c>
      <c r="X20" s="88">
        <v>12.088909785102242</v>
      </c>
      <c r="Y20" s="88">
        <v>13.989614822743256</v>
      </c>
      <c r="Z20" s="88">
        <v>6.7777791876562299</v>
      </c>
      <c r="AA20" s="88">
        <v>7.0569990671475402</v>
      </c>
      <c r="AB20" s="29">
        <v>5.3052804815501675</v>
      </c>
    </row>
    <row r="21" spans="2:28" x14ac:dyDescent="0.3">
      <c r="B21" s="5" t="s">
        <v>201</v>
      </c>
      <c r="C21" s="89">
        <v>4.3445817096426476</v>
      </c>
      <c r="D21" s="89">
        <v>4.9106078665077435</v>
      </c>
      <c r="E21" s="89">
        <v>3.3358219452289228</v>
      </c>
      <c r="F21" s="89">
        <v>3.6595325850226068</v>
      </c>
      <c r="G21" s="89">
        <v>4.7232800331316493</v>
      </c>
      <c r="H21" s="89">
        <v>5.0127803231251544</v>
      </c>
      <c r="I21" s="89">
        <v>3.2138658240870033</v>
      </c>
      <c r="J21" s="89">
        <v>2.4045349778857528</v>
      </c>
      <c r="K21" s="89">
        <v>0.59179824980664097</v>
      </c>
      <c r="L21" s="89">
        <v>-0.76109680874958396</v>
      </c>
      <c r="M21" s="89">
        <v>-1.1682466724121432</v>
      </c>
      <c r="N21" s="89">
        <v>-1.2075996864292615</v>
      </c>
      <c r="O21" s="89">
        <v>0.55010699001427632</v>
      </c>
      <c r="P21" s="89">
        <v>0.55064419163481926</v>
      </c>
      <c r="Q21" s="89">
        <v>1.2469355720559294</v>
      </c>
      <c r="R21" s="89">
        <v>3.5623453994356069</v>
      </c>
      <c r="S21" s="89">
        <v>3.7543523237624443</v>
      </c>
      <c r="T21" s="89">
        <v>4.6228296289090975</v>
      </c>
      <c r="U21" s="89">
        <v>4.2651604955488809</v>
      </c>
      <c r="V21" s="89">
        <v>4.3463076077102647</v>
      </c>
      <c r="W21" s="89">
        <v>5.1280773092726939</v>
      </c>
      <c r="X21" s="89">
        <v>11.813119817915796</v>
      </c>
      <c r="Y21" s="89">
        <v>14.815555272835223</v>
      </c>
      <c r="Z21" s="89">
        <v>7.113836152766484</v>
      </c>
      <c r="AA21" s="89">
        <v>6.5403940886699541</v>
      </c>
      <c r="AB21" s="18">
        <v>5.501885622772118</v>
      </c>
    </row>
    <row r="22" spans="2:28" x14ac:dyDescent="0.3">
      <c r="B22" s="28" t="s">
        <v>202</v>
      </c>
      <c r="C22" s="88">
        <v>3.488353529064292</v>
      </c>
      <c r="D22" s="88">
        <v>5.4873345469130808</v>
      </c>
      <c r="E22" s="88">
        <v>3.8725339651062507</v>
      </c>
      <c r="F22" s="88">
        <v>4.9896518225463593</v>
      </c>
      <c r="G22" s="88">
        <v>5.5423690174464468</v>
      </c>
      <c r="H22" s="88">
        <v>6.8725858914413518</v>
      </c>
      <c r="I22" s="88">
        <v>10.869901204332265</v>
      </c>
      <c r="J22" s="88">
        <v>5.1406879986274356</v>
      </c>
      <c r="K22" s="88">
        <v>0.35288118306986416</v>
      </c>
      <c r="L22" s="88">
        <v>-0.31098825155493337</v>
      </c>
      <c r="M22" s="88">
        <v>-1.4700784993373572</v>
      </c>
      <c r="N22" s="88">
        <v>-1.1278039897359315</v>
      </c>
      <c r="O22" s="88">
        <v>1.284036919985776</v>
      </c>
      <c r="P22" s="88">
        <v>1.3679805755023811</v>
      </c>
      <c r="Q22" s="88">
        <v>2.2872519340733311</v>
      </c>
      <c r="R22" s="88">
        <v>3.7467738881747259</v>
      </c>
      <c r="S22" s="88">
        <v>3.4837148098700643</v>
      </c>
      <c r="T22" s="88">
        <v>2.3695934657508744</v>
      </c>
      <c r="U22" s="88">
        <v>1.732657557596573</v>
      </c>
      <c r="V22" s="88">
        <v>2.7806495312110435</v>
      </c>
      <c r="W22" s="88">
        <v>3.6419132184107195</v>
      </c>
      <c r="X22" s="88">
        <v>7.2981158595763151</v>
      </c>
      <c r="Y22" s="88">
        <v>10.297316896301666</v>
      </c>
      <c r="Z22" s="88">
        <v>1.1544470601542622</v>
      </c>
      <c r="AA22" s="88">
        <v>1.8576240862138826</v>
      </c>
      <c r="AB22" s="29">
        <v>2.2409891262350268</v>
      </c>
    </row>
    <row r="23" spans="2:28" x14ac:dyDescent="0.3">
      <c r="B23" s="5" t="s">
        <v>203</v>
      </c>
      <c r="C23" s="89">
        <v>8.3859410474283571</v>
      </c>
      <c r="D23" s="89">
        <v>9.8459471642081233</v>
      </c>
      <c r="E23" s="89">
        <v>9.9265386255561694</v>
      </c>
      <c r="F23" s="89">
        <v>9.2036305079783443</v>
      </c>
      <c r="G23" s="89">
        <v>12.538037722696615</v>
      </c>
      <c r="H23" s="89">
        <v>11.392495533055392</v>
      </c>
      <c r="I23" s="89">
        <v>4.2282438993091809</v>
      </c>
      <c r="J23" s="89">
        <v>1.4666352033487984</v>
      </c>
      <c r="K23" s="89">
        <v>-1.6633383048105355</v>
      </c>
      <c r="L23" s="89">
        <v>-4.1978355312202726</v>
      </c>
      <c r="M23" s="89">
        <v>-3.4378018675539468</v>
      </c>
      <c r="N23" s="89">
        <v>-1.9251503328998498</v>
      </c>
      <c r="O23" s="89">
        <v>-1.2478041593471989</v>
      </c>
      <c r="P23" s="89">
        <v>0.55489246448001683</v>
      </c>
      <c r="Q23" s="89">
        <v>1.2360544411789798</v>
      </c>
      <c r="R23" s="89">
        <v>2.9667251030151887</v>
      </c>
      <c r="S23" s="89">
        <v>3.769763062234488</v>
      </c>
      <c r="T23" s="89">
        <v>4.6209443418623097</v>
      </c>
      <c r="U23" s="89">
        <v>5.3739366342425265</v>
      </c>
      <c r="V23" s="89">
        <v>5.1970176966588122</v>
      </c>
      <c r="W23" s="89">
        <v>6.5342589138682294</v>
      </c>
      <c r="X23" s="89">
        <v>17.397412357487507</v>
      </c>
      <c r="Y23" s="89">
        <v>18.468863323064188</v>
      </c>
      <c r="Z23" s="89">
        <v>9.9478063307850473</v>
      </c>
      <c r="AA23" s="89">
        <v>7.4767320746919275</v>
      </c>
      <c r="AB23" s="18">
        <v>6.3389819747847964</v>
      </c>
    </row>
    <row r="24" spans="2:28" x14ac:dyDescent="0.3">
      <c r="B24" s="28" t="s">
        <v>204</v>
      </c>
      <c r="C24" s="88">
        <v>5.5320950530303614</v>
      </c>
      <c r="D24" s="88">
        <v>8.1048830917675794</v>
      </c>
      <c r="E24" s="88">
        <v>10.448939976401617</v>
      </c>
      <c r="F24" s="88">
        <v>10.742377641656553</v>
      </c>
      <c r="G24" s="88">
        <v>18.110034074465919</v>
      </c>
      <c r="H24" s="88">
        <v>21.539181009214794</v>
      </c>
      <c r="I24" s="88">
        <v>12.823945112235924</v>
      </c>
      <c r="J24" s="88">
        <v>1.7695799409179314</v>
      </c>
      <c r="K24" s="88">
        <v>-7.3701202157937296</v>
      </c>
      <c r="L24" s="88">
        <v>-9.3052880450844366</v>
      </c>
      <c r="M24" s="88">
        <v>-4.7923502179873179</v>
      </c>
      <c r="N24" s="88">
        <v>-4.0262713764737779</v>
      </c>
      <c r="O24" s="88">
        <v>-0.8153026026967547</v>
      </c>
      <c r="P24" s="88">
        <v>1.6309906827099985</v>
      </c>
      <c r="Q24" s="88">
        <v>2.6112575025618368</v>
      </c>
      <c r="R24" s="88">
        <v>2.5662059741417886</v>
      </c>
      <c r="S24" s="88">
        <v>2.7854087700385888</v>
      </c>
      <c r="T24" s="88">
        <v>2.5915149874822463</v>
      </c>
      <c r="U24" s="88">
        <v>2.5436398012575356</v>
      </c>
      <c r="V24" s="88">
        <v>2.9216602705657513</v>
      </c>
      <c r="W24" s="88">
        <v>4.1620014269124095</v>
      </c>
      <c r="X24" s="88">
        <v>11.051671124665653</v>
      </c>
      <c r="Y24" s="88">
        <v>11.268683594453455</v>
      </c>
      <c r="Z24" s="88">
        <v>4.938296581023649</v>
      </c>
      <c r="AA24" s="88">
        <v>5.8803570395789873</v>
      </c>
      <c r="AB24" s="29">
        <v>4.5080163470606616</v>
      </c>
    </row>
    <row r="25" spans="2:28" x14ac:dyDescent="0.3">
      <c r="B25" s="5" t="s">
        <v>205</v>
      </c>
      <c r="C25" s="89">
        <v>14.439403406775519</v>
      </c>
      <c r="D25" s="89">
        <v>12.088120786250101</v>
      </c>
      <c r="E25" s="89">
        <v>12.169074042697382</v>
      </c>
      <c r="F25" s="89">
        <v>9.5856915604186188</v>
      </c>
      <c r="G25" s="89">
        <v>11.270105188797096</v>
      </c>
      <c r="H25" s="89">
        <v>9.3892024558877019</v>
      </c>
      <c r="I25" s="89">
        <v>0.74458898970881648</v>
      </c>
      <c r="J25" s="89">
        <v>-3.2559822394581772</v>
      </c>
      <c r="K25" s="89">
        <v>-5.3480848344450322</v>
      </c>
      <c r="L25" s="89">
        <v>-4.5293427139996396</v>
      </c>
      <c r="M25" s="89">
        <v>-1.8993775891928077</v>
      </c>
      <c r="N25" s="89">
        <v>-1.8317058784979245</v>
      </c>
      <c r="O25" s="89">
        <v>-0.33003438031976584</v>
      </c>
      <c r="P25" s="89">
        <v>2.2588652927608255</v>
      </c>
      <c r="Q25" s="89">
        <v>4.2455900473642671</v>
      </c>
      <c r="R25" s="89">
        <v>4.4300367566209031</v>
      </c>
      <c r="S25" s="89">
        <v>4.8768656295477442</v>
      </c>
      <c r="T25" s="89">
        <v>5.3865570925571316</v>
      </c>
      <c r="U25" s="89">
        <v>5.2309974448916607</v>
      </c>
      <c r="V25" s="89">
        <v>4.3628110289172684</v>
      </c>
      <c r="W25" s="89">
        <v>4.9400539050156622</v>
      </c>
      <c r="X25" s="89">
        <v>12.652331018846553</v>
      </c>
      <c r="Y25" s="89">
        <v>13.495495212188867</v>
      </c>
      <c r="Z25" s="89">
        <v>6.3409160178437896</v>
      </c>
      <c r="AA25" s="89">
        <v>6.9894084081345564</v>
      </c>
      <c r="AB25" s="18">
        <v>5.2559383927155423</v>
      </c>
    </row>
    <row r="26" spans="2:28" x14ac:dyDescent="0.3">
      <c r="B26" s="28" t="s">
        <v>206</v>
      </c>
      <c r="C26" s="88">
        <v>7.228728365633752</v>
      </c>
      <c r="D26" s="88">
        <v>5.8425554535350033</v>
      </c>
      <c r="E26" s="88">
        <v>4.3548534380421833</v>
      </c>
      <c r="F26" s="88">
        <v>3.4048250334707264</v>
      </c>
      <c r="G26" s="88">
        <v>3.9333164085639361</v>
      </c>
      <c r="H26" s="88">
        <v>3.3138465045840171</v>
      </c>
      <c r="I26" s="88">
        <v>-1.5178740306412086</v>
      </c>
      <c r="J26" s="88">
        <v>-4.2380883788671557</v>
      </c>
      <c r="K26" s="88">
        <v>-7.7958651580231848</v>
      </c>
      <c r="L26" s="88">
        <v>-7.2604837905688839</v>
      </c>
      <c r="M26" s="88">
        <v>-6.8623810175322042</v>
      </c>
      <c r="N26" s="88">
        <v>-3.8760177956853825</v>
      </c>
      <c r="O26" s="88">
        <v>0.16919550267437966</v>
      </c>
      <c r="P26" s="88">
        <v>6.0197242957554575</v>
      </c>
      <c r="Q26" s="88">
        <v>6.9093114329471961</v>
      </c>
      <c r="R26" s="88">
        <v>5.6032535020334562</v>
      </c>
      <c r="S26" s="88">
        <v>5.3915275994865119</v>
      </c>
      <c r="T26" s="88">
        <v>6.5643869697048274</v>
      </c>
      <c r="U26" s="88">
        <v>6.1673151750972988</v>
      </c>
      <c r="V26" s="88">
        <v>5.2898417934151842</v>
      </c>
      <c r="W26" s="88">
        <v>5.1285026396704847</v>
      </c>
      <c r="X26" s="88">
        <v>12.997351139561818</v>
      </c>
      <c r="Y26" s="88">
        <v>13.681704413649975</v>
      </c>
      <c r="Z26" s="88">
        <v>6.5631343235493134</v>
      </c>
      <c r="AA26" s="88">
        <v>7.4202293846122647</v>
      </c>
      <c r="AB26" s="29">
        <v>5.9092989112818461</v>
      </c>
    </row>
    <row r="27" spans="2:28" x14ac:dyDescent="0.3">
      <c r="B27" s="5" t="s">
        <v>207</v>
      </c>
      <c r="C27" s="89">
        <v>10.494118758562054</v>
      </c>
      <c r="D27" s="89">
        <v>10.314016374169022</v>
      </c>
      <c r="E27" s="89">
        <v>9.0144556834476308</v>
      </c>
      <c r="F27" s="89">
        <v>7.423833054854434</v>
      </c>
      <c r="G27" s="89">
        <v>9.167776683847805</v>
      </c>
      <c r="H27" s="89">
        <v>8.1515725653656723</v>
      </c>
      <c r="I27" s="89">
        <v>2.6565105882023321</v>
      </c>
      <c r="J27" s="89">
        <v>-0.70854693270170355</v>
      </c>
      <c r="K27" s="89">
        <v>-4.9883472318660189</v>
      </c>
      <c r="L27" s="89">
        <v>-5.2263699051395385</v>
      </c>
      <c r="M27" s="89">
        <v>-5.1259734310581724</v>
      </c>
      <c r="N27" s="89">
        <v>-5.0649413355221888</v>
      </c>
      <c r="O27" s="89">
        <v>-0.48147017936459591</v>
      </c>
      <c r="P27" s="89">
        <v>4.3797485605260533</v>
      </c>
      <c r="Q27" s="89">
        <v>4.7019078550095461</v>
      </c>
      <c r="R27" s="89">
        <v>4.0815849362471734</v>
      </c>
      <c r="S27" s="89">
        <v>4.7107716500055963</v>
      </c>
      <c r="T27" s="89">
        <v>5.7810578105781163</v>
      </c>
      <c r="U27" s="89">
        <v>5.4624121146565674</v>
      </c>
      <c r="V27" s="89">
        <v>4.4339743589743685</v>
      </c>
      <c r="W27" s="89">
        <v>4.6121644763898129</v>
      </c>
      <c r="X27" s="89">
        <v>11.489693776366995</v>
      </c>
      <c r="Y27" s="89">
        <v>11.66972786072531</v>
      </c>
      <c r="Z27" s="89">
        <v>3.9276675762417224</v>
      </c>
      <c r="AA27" s="89">
        <v>4.3691983983384697</v>
      </c>
      <c r="AB27" s="18">
        <v>4.0134250034090213</v>
      </c>
    </row>
    <row r="28" spans="2:28" x14ac:dyDescent="0.3">
      <c r="B28" s="28" t="s">
        <v>208</v>
      </c>
      <c r="C28" s="88">
        <v>3.0527055516514467</v>
      </c>
      <c r="D28" s="88">
        <v>5.2944545975287083</v>
      </c>
      <c r="E28" s="88">
        <v>2.5439096419874518</v>
      </c>
      <c r="F28" s="88">
        <v>3.2955234438156733</v>
      </c>
      <c r="G28" s="88">
        <v>3.8788412389791693</v>
      </c>
      <c r="H28" s="88">
        <v>5.8081907968310365</v>
      </c>
      <c r="I28" s="88">
        <v>8.7380261005974624</v>
      </c>
      <c r="J28" s="88">
        <v>5.0042460889939244</v>
      </c>
      <c r="K28" s="88">
        <v>-0.11400397552325803</v>
      </c>
      <c r="L28" s="88">
        <v>-1.9071124074489409</v>
      </c>
      <c r="M28" s="88">
        <v>-3.2777755678428111</v>
      </c>
      <c r="N28" s="88">
        <v>-1.8157515936664592</v>
      </c>
      <c r="O28" s="88">
        <v>-0.25132469055646478</v>
      </c>
      <c r="P28" s="88">
        <v>-0.20996493585571097</v>
      </c>
      <c r="Q28" s="88">
        <v>1.3855282260609503</v>
      </c>
      <c r="R28" s="88">
        <v>2.9998651046476699</v>
      </c>
      <c r="S28" s="88">
        <v>2.5347061312486208</v>
      </c>
      <c r="T28" s="88">
        <v>2.2961740258209185</v>
      </c>
      <c r="U28" s="88">
        <v>2.3109062094798904</v>
      </c>
      <c r="V28" s="88">
        <v>3.6931684832099076</v>
      </c>
      <c r="W28" s="88">
        <v>4.0704359241319876</v>
      </c>
      <c r="X28" s="88">
        <v>10.105175248584185</v>
      </c>
      <c r="Y28" s="88">
        <v>14.325219053939797</v>
      </c>
      <c r="Z28" s="88">
        <v>5.3587471837896805</v>
      </c>
      <c r="AA28" s="88">
        <v>5.3295463490147688</v>
      </c>
      <c r="AB28" s="29">
        <v>4.1615874731378844</v>
      </c>
    </row>
    <row r="29" spans="2:28" x14ac:dyDescent="0.3">
      <c r="B29" s="5" t="s">
        <v>209</v>
      </c>
      <c r="C29" s="89">
        <v>5.7556021360482879</v>
      </c>
      <c r="D29" s="89">
        <v>5.9555691886598927</v>
      </c>
      <c r="E29" s="89">
        <v>5.491654511240518</v>
      </c>
      <c r="F29" s="89">
        <v>4.5228570523849321</v>
      </c>
      <c r="G29" s="89">
        <v>6.3155130975703466</v>
      </c>
      <c r="H29" s="89">
        <v>6.6109422492401038</v>
      </c>
      <c r="I29" s="89">
        <v>3.9593727726300543</v>
      </c>
      <c r="J29" s="89">
        <v>1.7834493161016152</v>
      </c>
      <c r="K29" s="89">
        <v>-1.5981139224519048</v>
      </c>
      <c r="L29" s="89">
        <v>-2.6508766375452408</v>
      </c>
      <c r="M29" s="89">
        <v>-2.8215067373361769</v>
      </c>
      <c r="N29" s="89">
        <v>-3.002017022585235</v>
      </c>
      <c r="O29" s="89">
        <v>-0.34595300261096584</v>
      </c>
      <c r="P29" s="89">
        <v>0.19369508463631391</v>
      </c>
      <c r="Q29" s="89">
        <v>2.1209234562366897</v>
      </c>
      <c r="R29" s="89">
        <v>3.7312409119591772</v>
      </c>
      <c r="S29" s="89">
        <v>4.2511923968719945</v>
      </c>
      <c r="T29" s="89">
        <v>4.2977107628817013</v>
      </c>
      <c r="U29" s="89">
        <v>5.1333403604933103</v>
      </c>
      <c r="V29" s="89">
        <v>4.8148262405330877</v>
      </c>
      <c r="W29" s="89">
        <v>5.2926676722710786</v>
      </c>
      <c r="X29" s="89">
        <v>12.738822345525435</v>
      </c>
      <c r="Y29" s="89">
        <v>15.326014864219871</v>
      </c>
      <c r="Z29" s="89">
        <v>7.2877475114484058</v>
      </c>
      <c r="AA29" s="89">
        <v>6.0988622871485099</v>
      </c>
      <c r="AB29" s="18">
        <v>5.3118922388603274</v>
      </c>
    </row>
    <row r="30" spans="2:28" x14ac:dyDescent="0.3">
      <c r="B30" s="28" t="s">
        <v>210</v>
      </c>
      <c r="C30" s="88">
        <v>3.846941649384239</v>
      </c>
      <c r="D30" s="88">
        <v>5.5967159358473406</v>
      </c>
      <c r="E30" s="88">
        <v>5.4798678480953544</v>
      </c>
      <c r="F30" s="88">
        <v>6.4070921828827121</v>
      </c>
      <c r="G30" s="88">
        <v>9.817769549208478</v>
      </c>
      <c r="H30" s="88">
        <v>12.491830916547443</v>
      </c>
      <c r="I30" s="88">
        <v>11.463332491369883</v>
      </c>
      <c r="J30" s="88">
        <v>7.1397816973222117</v>
      </c>
      <c r="K30" s="88">
        <v>1.3917384039425551</v>
      </c>
      <c r="L30" s="88">
        <v>-2.0937202300241209</v>
      </c>
      <c r="M30" s="88">
        <v>-4.1228693181818326</v>
      </c>
      <c r="N30" s="88">
        <v>-2.8578836253194351</v>
      </c>
      <c r="O30" s="88">
        <v>1.6517077560108673</v>
      </c>
      <c r="P30" s="88">
        <v>3.6840881300495898</v>
      </c>
      <c r="Q30" s="88">
        <v>3.9518427945070878</v>
      </c>
      <c r="R30" s="88">
        <v>4.188590996408581</v>
      </c>
      <c r="S30" s="88">
        <v>3.823800553128387</v>
      </c>
      <c r="T30" s="88">
        <v>4.9826918374962892</v>
      </c>
      <c r="U30" s="88">
        <v>5.6428580184111565</v>
      </c>
      <c r="V30" s="88">
        <v>5.1296926941619247</v>
      </c>
      <c r="W30" s="88">
        <v>6.1513925755058985</v>
      </c>
      <c r="X30" s="88">
        <v>19.36025535719854</v>
      </c>
      <c r="Y30" s="88">
        <v>20.962199312714791</v>
      </c>
      <c r="Z30" s="88">
        <v>6.1502621269731605</v>
      </c>
      <c r="AA30" s="88">
        <v>5.6514556882591771</v>
      </c>
      <c r="AB30" s="29">
        <v>4.3590110977960617</v>
      </c>
    </row>
    <row r="31" spans="2:28" x14ac:dyDescent="0.3">
      <c r="B31" s="5" t="s">
        <v>211</v>
      </c>
      <c r="C31" s="89">
        <v>3.4959391253106542</v>
      </c>
      <c r="D31" s="89">
        <v>4.1811587924397653</v>
      </c>
      <c r="E31" s="89">
        <v>3.2529791253311569</v>
      </c>
      <c r="F31" s="89">
        <v>3.0607430931915758</v>
      </c>
      <c r="G31" s="89">
        <v>4.762914912858518</v>
      </c>
      <c r="H31" s="89">
        <v>4.3939765327763336</v>
      </c>
      <c r="I31" s="89">
        <v>1.8630813834783044</v>
      </c>
      <c r="J31" s="89">
        <v>1.2136579108247059</v>
      </c>
      <c r="K31" s="89">
        <v>-0.29804340937896745</v>
      </c>
      <c r="L31" s="89">
        <v>-0.28800985192320994</v>
      </c>
      <c r="M31" s="89">
        <v>-0.70915628330394664</v>
      </c>
      <c r="N31" s="89">
        <v>-0.25780176348444428</v>
      </c>
      <c r="O31" s="89">
        <v>1.2410491592244055</v>
      </c>
      <c r="P31" s="89">
        <v>2.4288240319472409</v>
      </c>
      <c r="Q31" s="89">
        <v>3.3711243223322196</v>
      </c>
      <c r="R31" s="89">
        <v>4.4405040014260599</v>
      </c>
      <c r="S31" s="89">
        <v>4.0603665109594234</v>
      </c>
      <c r="T31" s="89">
        <v>5.817506906077341</v>
      </c>
      <c r="U31" s="89">
        <v>5.2513073201772009</v>
      </c>
      <c r="V31" s="89">
        <v>5.0916165436844851</v>
      </c>
      <c r="W31" s="89">
        <v>4.5130361028137278</v>
      </c>
      <c r="X31" s="89">
        <v>12.086461920623259</v>
      </c>
      <c r="Y31" s="89">
        <v>14.480170747524124</v>
      </c>
      <c r="Z31" s="89">
        <v>7.5119617224880253</v>
      </c>
      <c r="AA31" s="89">
        <v>5.5685997677618726</v>
      </c>
      <c r="AB31" s="18">
        <v>4.4694633397766026</v>
      </c>
    </row>
    <row r="32" spans="2:28" x14ac:dyDescent="0.3">
      <c r="B32" s="28" t="s">
        <v>212</v>
      </c>
      <c r="C32" s="88">
        <v>3.0976121752820829</v>
      </c>
      <c r="D32" s="88">
        <v>6.4684847482215924</v>
      </c>
      <c r="E32" s="88">
        <v>6.388649837445004</v>
      </c>
      <c r="F32" s="88">
        <v>8.8687660798346215</v>
      </c>
      <c r="G32" s="88">
        <v>28.738016366882356</v>
      </c>
      <c r="H32" s="88">
        <v>23.464340967206688</v>
      </c>
      <c r="I32" s="88">
        <v>8.4740590691000595</v>
      </c>
      <c r="J32" s="88">
        <v>-4.4261559180008962</v>
      </c>
      <c r="K32" s="88">
        <v>-20.085796593186377</v>
      </c>
      <c r="L32" s="88">
        <v>-19.925239211015068</v>
      </c>
      <c r="M32" s="88">
        <v>-13.83427447372798</v>
      </c>
      <c r="N32" s="88">
        <v>-12.786643193821345</v>
      </c>
      <c r="O32" s="88">
        <v>-1.2866761300741048</v>
      </c>
      <c r="P32" s="88">
        <v>16.318157231625751</v>
      </c>
      <c r="Q32" s="88">
        <v>15.708647128209785</v>
      </c>
      <c r="R32" s="88">
        <v>10.713795604697207</v>
      </c>
      <c r="S32" s="88">
        <v>9.1838722243864357</v>
      </c>
      <c r="T32" s="88">
        <v>9.4995986085095083</v>
      </c>
      <c r="U32" s="88">
        <v>13.124648241950275</v>
      </c>
      <c r="V32" s="88">
        <v>6.1547928436295196</v>
      </c>
      <c r="W32" s="88">
        <v>4.7261672041982949</v>
      </c>
      <c r="X32" s="88">
        <v>17.297806565582221</v>
      </c>
      <c r="Y32" s="88">
        <v>18.021495876024709</v>
      </c>
      <c r="Z32" s="88">
        <v>-0.34495959166312984</v>
      </c>
      <c r="AA32" s="88">
        <v>6.05448826022561</v>
      </c>
      <c r="AB32" s="29">
        <v>4.0319382494470535</v>
      </c>
    </row>
    <row r="33" spans="2:37" x14ac:dyDescent="0.3">
      <c r="B33" s="5" t="s">
        <v>213</v>
      </c>
      <c r="C33" s="89">
        <v>13.325661927602006</v>
      </c>
      <c r="D33" s="89">
        <v>12.305341772872636</v>
      </c>
      <c r="E33" s="89">
        <v>11.932163861285749</v>
      </c>
      <c r="F33" s="89">
        <v>9.4341901634394034</v>
      </c>
      <c r="G33" s="89">
        <v>11.276058553276025</v>
      </c>
      <c r="H33" s="89">
        <v>10.639893867632111</v>
      </c>
      <c r="I33" s="89">
        <v>2.9870399112460921</v>
      </c>
      <c r="J33" s="89">
        <v>-1.4929108497187205</v>
      </c>
      <c r="K33" s="89">
        <v>-4.694628240674259</v>
      </c>
      <c r="L33" s="89">
        <v>-6.094182825484773</v>
      </c>
      <c r="M33" s="89">
        <v>-3.824317152343204</v>
      </c>
      <c r="N33" s="89">
        <v>-3.2063909653822775</v>
      </c>
      <c r="O33" s="89">
        <v>-1.5114552397115122</v>
      </c>
      <c r="P33" s="89">
        <v>0.74242097894567927</v>
      </c>
      <c r="Q33" s="89">
        <v>3.1008010903915917</v>
      </c>
      <c r="R33" s="89">
        <v>4.0171859609103633</v>
      </c>
      <c r="S33" s="89">
        <v>3.9885116907875551</v>
      </c>
      <c r="T33" s="89">
        <v>5.1416007141444675</v>
      </c>
      <c r="U33" s="89">
        <v>5.9369212798085602</v>
      </c>
      <c r="V33" s="89">
        <v>5.1233365964908462</v>
      </c>
      <c r="W33" s="89">
        <v>6.5908032685390472</v>
      </c>
      <c r="X33" s="89">
        <v>15.950460829493075</v>
      </c>
      <c r="Y33" s="89">
        <v>16.676188583635554</v>
      </c>
      <c r="Z33" s="89">
        <v>9.0061704082972316</v>
      </c>
      <c r="AA33" s="89">
        <v>8.305041160635529</v>
      </c>
      <c r="AB33" s="18">
        <v>6.3825424273493692</v>
      </c>
    </row>
    <row r="34" spans="2:37" x14ac:dyDescent="0.3">
      <c r="B34" s="28" t="s">
        <v>214</v>
      </c>
      <c r="C34" s="88">
        <v>8.9462284584235885</v>
      </c>
      <c r="D34" s="88">
        <v>9.896274526752503</v>
      </c>
      <c r="E34" s="88">
        <v>12.102501986015323</v>
      </c>
      <c r="F34" s="88">
        <v>10.68366473485538</v>
      </c>
      <c r="G34" s="88">
        <v>14.963265357869581</v>
      </c>
      <c r="H34" s="88">
        <v>15.770465047034033</v>
      </c>
      <c r="I34" s="88">
        <v>8.6807424306650347</v>
      </c>
      <c r="J34" s="88">
        <v>-8.940114380876496E-2</v>
      </c>
      <c r="K34" s="88">
        <v>-5.4758949210679919</v>
      </c>
      <c r="L34" s="88">
        <v>-6.9253864322937231</v>
      </c>
      <c r="M34" s="88">
        <v>-3.4845168591983833</v>
      </c>
      <c r="N34" s="88">
        <v>-3.9977477477477374</v>
      </c>
      <c r="O34" s="88">
        <v>-2.676961984449433</v>
      </c>
      <c r="P34" s="88">
        <v>0.30740310720407393</v>
      </c>
      <c r="Q34" s="88">
        <v>2.1722355119993653</v>
      </c>
      <c r="R34" s="88">
        <v>2.6444836459564192</v>
      </c>
      <c r="S34" s="88">
        <v>2.4843773814967163</v>
      </c>
      <c r="T34" s="88">
        <v>1.955937557693499</v>
      </c>
      <c r="U34" s="88">
        <v>2.9213822242341703</v>
      </c>
      <c r="V34" s="88">
        <v>3.5695784339598857</v>
      </c>
      <c r="W34" s="88">
        <v>4.7583544889157281</v>
      </c>
      <c r="X34" s="88">
        <v>12.601911660045229</v>
      </c>
      <c r="Y34" s="88">
        <v>15.725069304712713</v>
      </c>
      <c r="Z34" s="88">
        <v>8.8726654291669824</v>
      </c>
      <c r="AA34" s="88">
        <v>9.7710510190150544</v>
      </c>
      <c r="AB34" s="29">
        <v>7.4637529264843572</v>
      </c>
    </row>
    <row r="35" spans="2:37" x14ac:dyDescent="0.3">
      <c r="B35" s="5" t="s">
        <v>215</v>
      </c>
      <c r="C35" s="89">
        <v>1.2116919418691419</v>
      </c>
      <c r="D35" s="89">
        <v>4.3176166256357895</v>
      </c>
      <c r="E35" s="89">
        <v>3.6345776031434074</v>
      </c>
      <c r="F35" s="89">
        <v>5.1358224482718651</v>
      </c>
      <c r="G35" s="89">
        <v>7.2422020164260692</v>
      </c>
      <c r="H35" s="89">
        <v>11.876153372975185</v>
      </c>
      <c r="I35" s="89">
        <v>13.306880246325292</v>
      </c>
      <c r="J35" s="89">
        <v>6.2630919163734866</v>
      </c>
      <c r="K35" s="89">
        <v>-1.1819863154449717</v>
      </c>
      <c r="L35" s="89">
        <v>-3.9811762531193229</v>
      </c>
      <c r="M35" s="89">
        <v>-3.7475835626108012</v>
      </c>
      <c r="N35" s="89">
        <v>-4.4851868827867953</v>
      </c>
      <c r="O35" s="89">
        <v>-1.7982253322048947</v>
      </c>
      <c r="P35" s="89">
        <v>0.70722865875327834</v>
      </c>
      <c r="Q35" s="89">
        <v>0.97222712354874119</v>
      </c>
      <c r="R35" s="89">
        <v>1.9327217125382212</v>
      </c>
      <c r="S35" s="89">
        <v>2.9006874560696838</v>
      </c>
      <c r="T35" s="89">
        <v>3.0863169118504619</v>
      </c>
      <c r="U35" s="89">
        <v>3.6920913770393859</v>
      </c>
      <c r="V35" s="89">
        <v>4.9758416458852706</v>
      </c>
      <c r="W35" s="89">
        <v>6.0762406740655361</v>
      </c>
      <c r="X35" s="89">
        <v>13.212261179928642</v>
      </c>
      <c r="Y35" s="89">
        <v>15.707583035068517</v>
      </c>
      <c r="Z35" s="89">
        <v>6.834099979164332</v>
      </c>
      <c r="AA35" s="89">
        <v>5.6313165408984123</v>
      </c>
      <c r="AB35" s="18">
        <v>4.9878041753893987</v>
      </c>
    </row>
    <row r="36" spans="2:37" x14ac:dyDescent="0.3">
      <c r="B36" s="28" t="s">
        <v>216</v>
      </c>
      <c r="C36" s="88">
        <v>9.1042975543265356</v>
      </c>
      <c r="D36" s="88">
        <v>9.3899882248198008</v>
      </c>
      <c r="E36" s="88">
        <v>10.517610302322232</v>
      </c>
      <c r="F36" s="88">
        <v>10.294694081174471</v>
      </c>
      <c r="G36" s="88">
        <v>12.829542517446392</v>
      </c>
      <c r="H36" s="88">
        <v>12.973303171739726</v>
      </c>
      <c r="I36" s="88">
        <v>6.5249533207729193</v>
      </c>
      <c r="J36" s="88">
        <v>0.58770343580469842</v>
      </c>
      <c r="K36" s="88">
        <v>-2.9789079440173616</v>
      </c>
      <c r="L36" s="88">
        <v>-4.2963257942087001</v>
      </c>
      <c r="M36" s="88">
        <v>-2.8171585548634859</v>
      </c>
      <c r="N36" s="88">
        <v>-2.0966769483498293</v>
      </c>
      <c r="O36" s="88">
        <v>-1.2923552013280548</v>
      </c>
      <c r="P36" s="88">
        <v>0.65554204284985484</v>
      </c>
      <c r="Q36" s="88">
        <v>1.837487255267467</v>
      </c>
      <c r="R36" s="88">
        <v>3.4291586542702479</v>
      </c>
      <c r="S36" s="88">
        <v>3.3845471563748397</v>
      </c>
      <c r="T36" s="88">
        <v>4.4414380228011474</v>
      </c>
      <c r="U36" s="88">
        <v>4.9432886277111621</v>
      </c>
      <c r="V36" s="88">
        <v>4.2456788683207458</v>
      </c>
      <c r="W36" s="88">
        <v>4.9485399496770777</v>
      </c>
      <c r="X36" s="88">
        <v>11.296819265338698</v>
      </c>
      <c r="Y36" s="88">
        <v>13.260559832612696</v>
      </c>
      <c r="Z36" s="88">
        <v>6.8614636515702765</v>
      </c>
      <c r="AA36" s="88">
        <v>8.0896397454623283</v>
      </c>
      <c r="AB36" s="29">
        <v>7.348807208733632</v>
      </c>
    </row>
    <row r="37" spans="2:37" x14ac:dyDescent="0.3">
      <c r="B37" s="5" t="s">
        <v>217</v>
      </c>
      <c r="C37" s="89">
        <v>3.7148123507149355</v>
      </c>
      <c r="D37" s="89">
        <v>5.3347775335724101</v>
      </c>
      <c r="E37" s="89">
        <v>3.1357945809955545</v>
      </c>
      <c r="F37" s="89">
        <v>3.1362831173105121</v>
      </c>
      <c r="G37" s="89">
        <v>3.9297211559218281</v>
      </c>
      <c r="H37" s="89">
        <v>6.4560117037224085</v>
      </c>
      <c r="I37" s="89">
        <v>7.1579447418202991</v>
      </c>
      <c r="J37" s="89">
        <v>5.318988925040169</v>
      </c>
      <c r="K37" s="89">
        <v>1.1026758869512987</v>
      </c>
      <c r="L37" s="89">
        <v>-2.2556446876370817</v>
      </c>
      <c r="M37" s="89">
        <v>-4.4990226130079858</v>
      </c>
      <c r="N37" s="89">
        <v>-3.6867423820067358</v>
      </c>
      <c r="O37" s="89">
        <v>-1.6728824351478933</v>
      </c>
      <c r="P37" s="89">
        <v>0.716532386927482</v>
      </c>
      <c r="Q37" s="89">
        <v>2.1501695085088368</v>
      </c>
      <c r="R37" s="89">
        <v>4.2572323085348973</v>
      </c>
      <c r="S37" s="89">
        <v>4.882351557538378</v>
      </c>
      <c r="T37" s="89">
        <v>5.2374259912684629</v>
      </c>
      <c r="U37" s="89">
        <v>6.2291332206231287</v>
      </c>
      <c r="V37" s="89">
        <v>5.6612479353764344</v>
      </c>
      <c r="W37" s="89">
        <v>5.8192887746900457</v>
      </c>
      <c r="X37" s="89">
        <v>15.403937704839588</v>
      </c>
      <c r="Y37" s="89">
        <v>22.00870646766171</v>
      </c>
      <c r="Z37" s="89">
        <v>7.7242299131794034</v>
      </c>
      <c r="AA37" s="89">
        <v>6.0178303162692792</v>
      </c>
      <c r="AB37" s="18">
        <v>4.2508595210808631</v>
      </c>
    </row>
    <row r="38" spans="2:37" x14ac:dyDescent="0.3">
      <c r="B38" s="28" t="s">
        <v>218</v>
      </c>
      <c r="C38" s="88">
        <v>1.8814854836403105</v>
      </c>
      <c r="D38" s="88">
        <v>5.0691747383525776</v>
      </c>
      <c r="E38" s="88">
        <v>4.4163710048542804</v>
      </c>
      <c r="F38" s="88">
        <v>5.2532059484204918</v>
      </c>
      <c r="G38" s="88">
        <v>7.0509097294449985</v>
      </c>
      <c r="H38" s="88">
        <v>8.0085296455654653</v>
      </c>
      <c r="I38" s="88">
        <v>6.3095794392523441</v>
      </c>
      <c r="J38" s="88">
        <v>4.8944517093218787</v>
      </c>
      <c r="K38" s="88">
        <v>3.1700801424755287</v>
      </c>
      <c r="L38" s="88">
        <v>1.54547577705344</v>
      </c>
      <c r="M38" s="88">
        <v>1.2219633410997632</v>
      </c>
      <c r="N38" s="88">
        <v>3.6927636453445434</v>
      </c>
      <c r="O38" s="88">
        <v>6.0535617312767354</v>
      </c>
      <c r="P38" s="88">
        <v>9.3184329437552051</v>
      </c>
      <c r="Q38" s="88">
        <v>7.2586079382036539</v>
      </c>
      <c r="R38" s="88">
        <v>5.3791285827019086</v>
      </c>
      <c r="S38" s="88">
        <v>2.3316175187576338</v>
      </c>
      <c r="T38" s="88">
        <v>1.3626901407450154</v>
      </c>
      <c r="U38" s="88">
        <v>1.0058246710918262</v>
      </c>
      <c r="V38" s="88">
        <v>2.6612724143674216</v>
      </c>
      <c r="W38" s="88">
        <v>2.405045322734356</v>
      </c>
      <c r="X38" s="88">
        <v>6.3545812788372125</v>
      </c>
      <c r="Y38" s="88">
        <v>10.360964226310166</v>
      </c>
      <c r="Z38" s="88">
        <v>4.8425918635908616</v>
      </c>
      <c r="AA38" s="88">
        <v>4.5717136282445336</v>
      </c>
      <c r="AB38" s="29">
        <v>5.5531038922606468</v>
      </c>
    </row>
    <row r="39" spans="2:37" x14ac:dyDescent="0.3">
      <c r="B39" s="5" t="s">
        <v>219</v>
      </c>
      <c r="C39" s="89">
        <v>3.7878787878787845</v>
      </c>
      <c r="D39" s="89">
        <v>5.3243741046456128</v>
      </c>
      <c r="E39" s="89">
        <v>3.3971307360989744</v>
      </c>
      <c r="F39" s="89">
        <v>3.2124363150421775</v>
      </c>
      <c r="G39" s="89">
        <v>3.5504395059730243</v>
      </c>
      <c r="H39" s="89">
        <v>3.5439724140625684</v>
      </c>
      <c r="I39" s="89">
        <v>0.42358890178209041</v>
      </c>
      <c r="J39" s="89">
        <v>-0.91218247407185427</v>
      </c>
      <c r="K39" s="89">
        <v>-2.60435924419542</v>
      </c>
      <c r="L39" s="89">
        <v>-2.4111749245595115</v>
      </c>
      <c r="M39" s="89">
        <v>-2.8138808813701344</v>
      </c>
      <c r="N39" s="89">
        <v>-3.3459233106166386</v>
      </c>
      <c r="O39" s="89">
        <v>-0.70721658242366425</v>
      </c>
      <c r="P39" s="89">
        <v>0.13795906145062098</v>
      </c>
      <c r="Q39" s="89">
        <v>2.6859614460404746</v>
      </c>
      <c r="R39" s="89">
        <v>3.8294331773270907</v>
      </c>
      <c r="S39" s="89">
        <v>3.8875310521676143</v>
      </c>
      <c r="T39" s="89">
        <v>4.6889011020797788</v>
      </c>
      <c r="U39" s="89">
        <v>5.416482463896255</v>
      </c>
      <c r="V39" s="89">
        <v>5.2465117904540559</v>
      </c>
      <c r="W39" s="89">
        <v>6.0583420497750451</v>
      </c>
      <c r="X39" s="89">
        <v>12.61740763932373</v>
      </c>
      <c r="Y39" s="89">
        <v>14.445371142618857</v>
      </c>
      <c r="Z39" s="89">
        <v>7.4764368653743363</v>
      </c>
      <c r="AA39" s="89">
        <v>7.5750812261618838</v>
      </c>
      <c r="AB39" s="18">
        <v>6.3969805994964046</v>
      </c>
    </row>
    <row r="40" spans="2:37" x14ac:dyDescent="0.3">
      <c r="B40" s="28" t="s">
        <v>220</v>
      </c>
      <c r="C40" s="88">
        <v>3.9636737006089495</v>
      </c>
      <c r="D40" s="88">
        <v>5.5647317247603523</v>
      </c>
      <c r="E40" s="88">
        <v>3.9261230744414677</v>
      </c>
      <c r="F40" s="88">
        <v>4.0556271244315711</v>
      </c>
      <c r="G40" s="88">
        <v>4.1078726768294382</v>
      </c>
      <c r="H40" s="88">
        <v>5.0991460828700763</v>
      </c>
      <c r="I40" s="88">
        <v>4.6867970826801386</v>
      </c>
      <c r="J40" s="88">
        <v>4.2647116273618613</v>
      </c>
      <c r="K40" s="88">
        <v>2.0020482589798716</v>
      </c>
      <c r="L40" s="88">
        <v>0.52160497606248413</v>
      </c>
      <c r="M40" s="88">
        <v>-0.68333800260667044</v>
      </c>
      <c r="N40" s="88">
        <v>-1.5759909733124022</v>
      </c>
      <c r="O40" s="88">
        <v>1.4865858369366158</v>
      </c>
      <c r="P40" s="88">
        <v>1.6944157949020378</v>
      </c>
      <c r="Q40" s="88">
        <v>2.8216458997392113</v>
      </c>
      <c r="R40" s="88">
        <v>3.8421343103063554</v>
      </c>
      <c r="S40" s="88">
        <v>2.5940542557642443</v>
      </c>
      <c r="T40" s="88">
        <v>3.3396893978639319</v>
      </c>
      <c r="U40" s="88">
        <v>2.6099384579284735</v>
      </c>
      <c r="V40" s="88">
        <v>3.914598145607262</v>
      </c>
      <c r="W40" s="88">
        <v>4.9554866459938118</v>
      </c>
      <c r="X40" s="88">
        <v>11.593153139415179</v>
      </c>
      <c r="Y40" s="88">
        <v>15.690762503416211</v>
      </c>
      <c r="Z40" s="88">
        <v>6.3531669865643181</v>
      </c>
      <c r="AA40" s="88">
        <v>5.146252412088903</v>
      </c>
      <c r="AB40" s="29">
        <v>4.1015415908360886</v>
      </c>
    </row>
    <row r="41" spans="2:37" x14ac:dyDescent="0.3">
      <c r="B41" s="5" t="s">
        <v>221</v>
      </c>
      <c r="C41" s="89">
        <v>2.890161566281102</v>
      </c>
      <c r="D41" s="89">
        <v>5.6408571314772837</v>
      </c>
      <c r="E41" s="89">
        <v>4.2538150490607274</v>
      </c>
      <c r="F41" s="89">
        <v>4.7944957778059294</v>
      </c>
      <c r="G41" s="89">
        <v>9.5057329456728734</v>
      </c>
      <c r="H41" s="89">
        <v>16.621365036595858</v>
      </c>
      <c r="I41" s="89">
        <v>16.621628925039154</v>
      </c>
      <c r="J41" s="89">
        <v>5.6114882869523042</v>
      </c>
      <c r="K41" s="89">
        <v>-3.5641609302580757</v>
      </c>
      <c r="L41" s="89">
        <v>-8.5469550726039127</v>
      </c>
      <c r="M41" s="89">
        <v>-7.1546737981217579</v>
      </c>
      <c r="N41" s="89">
        <v>-7.0220918237477115</v>
      </c>
      <c r="O41" s="89">
        <v>-0.62894894202573104</v>
      </c>
      <c r="P41" s="89">
        <v>6.7302254766910652</v>
      </c>
      <c r="Q41" s="89">
        <v>8.2506300394665999</v>
      </c>
      <c r="R41" s="89">
        <v>8.8699100772469777</v>
      </c>
      <c r="S41" s="89">
        <v>10.835533217287052</v>
      </c>
      <c r="T41" s="89">
        <v>8.2322289422911865</v>
      </c>
      <c r="U41" s="89">
        <v>6.0877461885519679</v>
      </c>
      <c r="V41" s="89">
        <v>4.6070301141793335</v>
      </c>
      <c r="W41" s="89">
        <v>5.3194206914467523</v>
      </c>
      <c r="X41" s="89">
        <v>16.240426555286504</v>
      </c>
      <c r="Y41" s="89">
        <v>13.331989418438518</v>
      </c>
      <c r="Z41" s="89">
        <v>0.45841355830651409</v>
      </c>
      <c r="AA41" s="89">
        <v>2.9656252135610517</v>
      </c>
      <c r="AB41" s="18">
        <v>2.3604529781089179</v>
      </c>
      <c r="AJ41" s="4"/>
      <c r="AK41" s="4"/>
    </row>
    <row r="42" spans="2:37" x14ac:dyDescent="0.3">
      <c r="B42" s="28" t="s">
        <v>222</v>
      </c>
      <c r="C42" s="88">
        <v>3.606405148305325</v>
      </c>
      <c r="D42" s="88">
        <v>6.7199566454409609</v>
      </c>
      <c r="E42" s="88">
        <v>6.4921241003506047</v>
      </c>
      <c r="F42" s="88">
        <v>6.8171189098478635</v>
      </c>
      <c r="G42" s="88">
        <v>10.309658920185782</v>
      </c>
      <c r="H42" s="88">
        <v>11.659869875167296</v>
      </c>
      <c r="I42" s="88">
        <v>7.6878040620600441</v>
      </c>
      <c r="J42" s="88">
        <v>2.8057526018743895</v>
      </c>
      <c r="K42" s="88">
        <v>-0.91287404226920721</v>
      </c>
      <c r="L42" s="88">
        <v>-2.4004218846297998</v>
      </c>
      <c r="M42" s="88">
        <v>-2.0916470825657063</v>
      </c>
      <c r="N42" s="88">
        <v>-2.1502945517892447</v>
      </c>
      <c r="O42" s="88">
        <v>-0.83172515017261306</v>
      </c>
      <c r="P42" s="88">
        <v>0.80992188570645496</v>
      </c>
      <c r="Q42" s="88">
        <v>1.4695286904745641</v>
      </c>
      <c r="R42" s="88">
        <v>2.6553414967444677</v>
      </c>
      <c r="S42" s="88">
        <v>2.6812747964084505</v>
      </c>
      <c r="T42" s="88">
        <v>3.3649599318746448</v>
      </c>
      <c r="U42" s="88">
        <v>3.9421587192287832</v>
      </c>
      <c r="V42" s="88">
        <v>4.2859508825060511</v>
      </c>
      <c r="W42" s="88">
        <v>5.1840508195791335</v>
      </c>
      <c r="X42" s="88">
        <v>11.804259908331073</v>
      </c>
      <c r="Y42" s="88">
        <v>13.081349081947158</v>
      </c>
      <c r="Z42" s="88">
        <v>6.5289340794322248</v>
      </c>
      <c r="AA42" s="88">
        <v>6.7609660009928962</v>
      </c>
      <c r="AB42" s="29">
        <v>5.9455732033937725</v>
      </c>
      <c r="AJ42" s="4"/>
      <c r="AK42" s="4"/>
    </row>
    <row r="43" spans="2:37" x14ac:dyDescent="0.3">
      <c r="B43" s="5" t="s">
        <v>223</v>
      </c>
      <c r="C43" s="89">
        <v>4.3518903199002867</v>
      </c>
      <c r="D43" s="89">
        <v>8.2031120400782864</v>
      </c>
      <c r="E43" s="89">
        <v>4.9534701887255395</v>
      </c>
      <c r="F43" s="89">
        <v>5.0571153115779088</v>
      </c>
      <c r="G43" s="89">
        <v>4.3117352614015614</v>
      </c>
      <c r="H43" s="89">
        <v>5.6317564415296895</v>
      </c>
      <c r="I43" s="89">
        <v>3.5118491785074424</v>
      </c>
      <c r="J43" s="89">
        <v>2.9355471845323056</v>
      </c>
      <c r="K43" s="89">
        <v>-0.59689472624561146</v>
      </c>
      <c r="L43" s="89">
        <v>0.42057355271467589</v>
      </c>
      <c r="M43" s="89">
        <v>0.53389649526609517</v>
      </c>
      <c r="N43" s="89">
        <v>-3.9086102719033122</v>
      </c>
      <c r="O43" s="89">
        <v>1.02918058557675</v>
      </c>
      <c r="P43" s="89">
        <v>-4.0103571515402114</v>
      </c>
      <c r="Q43" s="89">
        <v>-5.2087686638045643</v>
      </c>
      <c r="R43" s="89">
        <v>-4.8804275217100841</v>
      </c>
      <c r="S43" s="89">
        <v>-2.9032122139977856</v>
      </c>
      <c r="T43" s="89">
        <v>-5.6748155648777665</v>
      </c>
      <c r="U43" s="89">
        <v>-3.2726547763276881</v>
      </c>
      <c r="V43" s="89">
        <v>3.6164444373979254</v>
      </c>
      <c r="W43" s="89">
        <v>9.557180891758744</v>
      </c>
      <c r="X43" s="89">
        <v>8.5824022346368665</v>
      </c>
      <c r="Y43" s="89">
        <v>6.3013698630137061</v>
      </c>
      <c r="Z43" s="89">
        <v>3.3021150960747203</v>
      </c>
      <c r="AA43" s="89">
        <v>12.249774518875988</v>
      </c>
      <c r="AB43" s="18">
        <v>8.4624148281226219</v>
      </c>
      <c r="AJ43" s="4"/>
      <c r="AK43" s="4"/>
    </row>
    <row r="44" spans="2:37" x14ac:dyDescent="0.3">
      <c r="B44" s="28" t="s">
        <v>224</v>
      </c>
      <c r="C44" s="88">
        <v>10.488629203184964</v>
      </c>
      <c r="D44" s="88">
        <v>11.236692935158299</v>
      </c>
      <c r="E44" s="88">
        <v>15.425845943510552</v>
      </c>
      <c r="F44" s="88">
        <v>14.718352513628098</v>
      </c>
      <c r="G44" s="88">
        <v>18.692361844420979</v>
      </c>
      <c r="H44" s="88">
        <v>13.689496498173703</v>
      </c>
      <c r="I44" s="88">
        <v>4.0248674028345421</v>
      </c>
      <c r="J44" s="88">
        <v>-2.61202450705873</v>
      </c>
      <c r="K44" s="88">
        <v>-8.1247747051856436</v>
      </c>
      <c r="L44" s="88">
        <v>-8.0356850930661583</v>
      </c>
      <c r="M44" s="88">
        <v>-4.3216805237415556</v>
      </c>
      <c r="N44" s="88">
        <v>-4.4526547122336506</v>
      </c>
      <c r="O44" s="88">
        <v>-2.8350945031501151</v>
      </c>
      <c r="P44" s="88">
        <v>-0.35850901418598147</v>
      </c>
      <c r="Q44" s="88">
        <v>2.457765229766351</v>
      </c>
      <c r="R44" s="88">
        <v>4.7035234420068628</v>
      </c>
      <c r="S44" s="88">
        <v>4.4606702506084783</v>
      </c>
      <c r="T44" s="88">
        <v>5.8729849859691541</v>
      </c>
      <c r="U44" s="88">
        <v>6.1861254733909687</v>
      </c>
      <c r="V44" s="88">
        <v>4.5084562022018382</v>
      </c>
      <c r="W44" s="88">
        <v>5.6890442423106702</v>
      </c>
      <c r="X44" s="88">
        <v>15.687810832432959</v>
      </c>
      <c r="Y44" s="88">
        <v>15.80118059714264</v>
      </c>
      <c r="Z44" s="88">
        <v>8.3281003743104662</v>
      </c>
      <c r="AA44" s="88">
        <v>9.1768276222653498</v>
      </c>
      <c r="AB44" s="29">
        <v>7.183368858602357</v>
      </c>
      <c r="AJ44" s="4"/>
      <c r="AK44" s="4"/>
    </row>
    <row r="45" spans="2:37" x14ac:dyDescent="0.3">
      <c r="B45" s="5" t="s">
        <v>225</v>
      </c>
      <c r="C45" s="89">
        <v>4.4549237170596445</v>
      </c>
      <c r="D45" s="89">
        <v>6.1822817080943171</v>
      </c>
      <c r="E45" s="89">
        <v>3.5724289715886259</v>
      </c>
      <c r="F45" s="89">
        <v>3.4598332866484505</v>
      </c>
      <c r="G45" s="89">
        <v>4.5437995388047936</v>
      </c>
      <c r="H45" s="89">
        <v>7.6076085015181372</v>
      </c>
      <c r="I45" s="89">
        <v>7.5925941294118671</v>
      </c>
      <c r="J45" s="89">
        <v>4.4697951376033496</v>
      </c>
      <c r="K45" s="89">
        <v>0.58548614546338751</v>
      </c>
      <c r="L45" s="89">
        <v>-2.3077600634193507</v>
      </c>
      <c r="M45" s="89">
        <v>-4.567517206143112</v>
      </c>
      <c r="N45" s="89">
        <v>-4.0381693212505727</v>
      </c>
      <c r="O45" s="89">
        <v>-1.0944832791835002</v>
      </c>
      <c r="P45" s="89">
        <v>0.34259643301532972</v>
      </c>
      <c r="Q45" s="89">
        <v>2.356092358820483</v>
      </c>
      <c r="R45" s="89">
        <v>5.0342048088649838</v>
      </c>
      <c r="S45" s="89">
        <v>5.0297587007674061</v>
      </c>
      <c r="T45" s="89">
        <v>5.3584894609296718</v>
      </c>
      <c r="U45" s="89">
        <v>5.8003140939224318</v>
      </c>
      <c r="V45" s="89">
        <v>5.2800273229427264</v>
      </c>
      <c r="W45" s="89">
        <v>5.3882913682529621</v>
      </c>
      <c r="X45" s="89">
        <v>13.909393887372779</v>
      </c>
      <c r="Y45" s="89">
        <v>20.494112022283883</v>
      </c>
      <c r="Z45" s="89">
        <v>8.6491102466122136</v>
      </c>
      <c r="AA45" s="89">
        <v>6.8348179551914301</v>
      </c>
      <c r="AB45" s="18">
        <v>5.1727777903443517</v>
      </c>
      <c r="AJ45" s="4"/>
      <c r="AK45" s="4"/>
    </row>
    <row r="46" spans="2:37" x14ac:dyDescent="0.3">
      <c r="B46" s="28" t="s">
        <v>226</v>
      </c>
      <c r="C46" s="88">
        <v>3.9775373945448056</v>
      </c>
      <c r="D46" s="88">
        <v>5.2701660071181378</v>
      </c>
      <c r="E46" s="88">
        <v>4.3372383057699748</v>
      </c>
      <c r="F46" s="88">
        <v>4.1796016405701186</v>
      </c>
      <c r="G46" s="88">
        <v>5.7106502376265578</v>
      </c>
      <c r="H46" s="88">
        <v>6.9566469825723898</v>
      </c>
      <c r="I46" s="88">
        <v>4.6833519295140347</v>
      </c>
      <c r="J46" s="88">
        <v>4.0015436494445833</v>
      </c>
      <c r="K46" s="88">
        <v>2.5090999045835227</v>
      </c>
      <c r="L46" s="88">
        <v>0.43782535250114218</v>
      </c>
      <c r="M46" s="88">
        <v>-0.88727946728909268</v>
      </c>
      <c r="N46" s="88">
        <v>0.22683589894545442</v>
      </c>
      <c r="O46" s="88">
        <v>1.7198783732421452</v>
      </c>
      <c r="P46" s="88">
        <v>3.457178039149067</v>
      </c>
      <c r="Q46" s="88">
        <v>2.8926501731978416</v>
      </c>
      <c r="R46" s="88">
        <v>4.2863980853609984</v>
      </c>
      <c r="S46" s="88">
        <v>4.3343558516864</v>
      </c>
      <c r="T46" s="88">
        <v>4.9087536384898822</v>
      </c>
      <c r="U46" s="88">
        <v>4.6490173604316398</v>
      </c>
      <c r="V46" s="88">
        <v>4.4044184431265787</v>
      </c>
      <c r="W46" s="88">
        <v>4.9644664206075717</v>
      </c>
      <c r="X46" s="88">
        <v>13.521682958340421</v>
      </c>
      <c r="Y46" s="88">
        <v>17.349151814472876</v>
      </c>
      <c r="Z46" s="88">
        <v>6.3376609118106941</v>
      </c>
      <c r="AA46" s="88">
        <v>4.616006745478618</v>
      </c>
      <c r="AB46" s="29">
        <v>3.89892266064642</v>
      </c>
      <c r="AJ46" s="4"/>
      <c r="AK46" s="4"/>
    </row>
    <row r="47" spans="2:37" x14ac:dyDescent="0.3">
      <c r="B47" s="5" t="s">
        <v>227</v>
      </c>
      <c r="C47" s="89">
        <v>2.7054729214340156</v>
      </c>
      <c r="D47" s="89">
        <v>4.884303850349303</v>
      </c>
      <c r="E47" s="89">
        <v>2.8888175873781563</v>
      </c>
      <c r="F47" s="89">
        <v>3.3765619287265736</v>
      </c>
      <c r="G47" s="89">
        <v>4.0838829134333343</v>
      </c>
      <c r="H47" s="89">
        <v>6.5020987407555575</v>
      </c>
      <c r="I47" s="89">
        <v>7.1063941594879942</v>
      </c>
      <c r="J47" s="89">
        <v>4.6233101744364236</v>
      </c>
      <c r="K47" s="89">
        <v>0.38185837743687223</v>
      </c>
      <c r="L47" s="89">
        <v>-1.8136011745862213</v>
      </c>
      <c r="M47" s="89">
        <v>-2.8777039541878269</v>
      </c>
      <c r="N47" s="89">
        <v>-2.6629108309786487</v>
      </c>
      <c r="O47" s="89">
        <v>-0.13750707757018699</v>
      </c>
      <c r="P47" s="89">
        <v>1.5740590744640626</v>
      </c>
      <c r="Q47" s="89">
        <v>3.6371530085147707</v>
      </c>
      <c r="R47" s="89">
        <v>4.9210040352916984</v>
      </c>
      <c r="S47" s="89">
        <v>5.9409732407678995</v>
      </c>
      <c r="T47" s="89">
        <v>6.896896511940942</v>
      </c>
      <c r="U47" s="89">
        <v>6.9383085579427517</v>
      </c>
      <c r="V47" s="89">
        <v>5.7850294365012545</v>
      </c>
      <c r="W47" s="89">
        <v>6.3120535799469524</v>
      </c>
      <c r="X47" s="89">
        <v>16.428054347370889</v>
      </c>
      <c r="Y47" s="89">
        <v>22.351314964595126</v>
      </c>
      <c r="Z47" s="89">
        <v>6.5984048920004978</v>
      </c>
      <c r="AA47" s="89">
        <v>5.6206513431095173</v>
      </c>
      <c r="AB47" s="18">
        <v>4.1959390479071379</v>
      </c>
      <c r="AJ47" s="4"/>
      <c r="AK47" s="4"/>
    </row>
    <row r="48" spans="2:37" x14ac:dyDescent="0.3">
      <c r="B48" s="28" t="s">
        <v>228</v>
      </c>
      <c r="C48" s="88">
        <v>6.0961293898979418</v>
      </c>
      <c r="D48" s="88">
        <v>6.6556021698707557</v>
      </c>
      <c r="E48" s="88">
        <v>3.5502276525848808</v>
      </c>
      <c r="F48" s="88">
        <v>3.0736906550898668</v>
      </c>
      <c r="G48" s="88">
        <v>2.7390418078485856</v>
      </c>
      <c r="H48" s="88">
        <v>4.4398601949912075</v>
      </c>
      <c r="I48" s="88">
        <v>5.6501226646537006</v>
      </c>
      <c r="J48" s="88">
        <v>5.164570829760895</v>
      </c>
      <c r="K48" s="88">
        <v>1.7992820988982361</v>
      </c>
      <c r="L48" s="88">
        <v>0.16128673444415487</v>
      </c>
      <c r="M48" s="88">
        <v>-1.2104789720923326</v>
      </c>
      <c r="N48" s="88">
        <v>-1.4029250087120748</v>
      </c>
      <c r="O48" s="88">
        <v>1.461651597897573</v>
      </c>
      <c r="P48" s="88">
        <v>4.444269645245047</v>
      </c>
      <c r="Q48" s="88">
        <v>7.1116562304994302</v>
      </c>
      <c r="R48" s="88">
        <v>7.2250793523243262</v>
      </c>
      <c r="S48" s="88">
        <v>7.1260620708390565</v>
      </c>
      <c r="T48" s="88">
        <v>7.0665290846129603</v>
      </c>
      <c r="U48" s="88">
        <v>5.9614332268840498</v>
      </c>
      <c r="V48" s="88">
        <v>4.7974347906517778</v>
      </c>
      <c r="W48" s="88">
        <v>4.6476904972050592</v>
      </c>
      <c r="X48" s="88">
        <v>14.43993843082958</v>
      </c>
      <c r="Y48" s="88">
        <v>19.40377339949886</v>
      </c>
      <c r="Z48" s="88">
        <v>3.464699770597357</v>
      </c>
      <c r="AA48" s="88">
        <v>3.0812213527943833</v>
      </c>
      <c r="AB48" s="29">
        <v>2.412329793757273</v>
      </c>
      <c r="AJ48" s="4"/>
      <c r="AK48" s="4"/>
    </row>
    <row r="49" spans="2:37" x14ac:dyDescent="0.3">
      <c r="B49" s="5" t="s">
        <v>229</v>
      </c>
      <c r="C49" s="89">
        <v>1.0369115077053737</v>
      </c>
      <c r="D49" s="89">
        <v>4.343040442795143</v>
      </c>
      <c r="E49" s="89">
        <v>1.3020283914524144</v>
      </c>
      <c r="F49" s="89">
        <v>1.6909146807096986</v>
      </c>
      <c r="G49" s="89">
        <v>3.1217694903352911</v>
      </c>
      <c r="H49" s="89">
        <v>9.5887042623818974</v>
      </c>
      <c r="I49" s="89">
        <v>15.764856141804318</v>
      </c>
      <c r="J49" s="89">
        <v>12.207594710241088</v>
      </c>
      <c r="K49" s="89">
        <v>-1.2396858930920573</v>
      </c>
      <c r="L49" s="89">
        <v>-7.9054999461844799</v>
      </c>
      <c r="M49" s="89">
        <v>-6.1860866008297872</v>
      </c>
      <c r="N49" s="89">
        <v>-5.3622454938295538</v>
      </c>
      <c r="O49" s="89">
        <v>1.563991180438995</v>
      </c>
      <c r="P49" s="89">
        <v>6.8522223752318867</v>
      </c>
      <c r="Q49" s="89">
        <v>5.8010128271219319</v>
      </c>
      <c r="R49" s="89">
        <v>5.5968758956721043</v>
      </c>
      <c r="S49" s="89">
        <v>7.1900170318447865</v>
      </c>
      <c r="T49" s="89">
        <v>8.6258522349604849</v>
      </c>
      <c r="U49" s="89">
        <v>9.2445496028392693</v>
      </c>
      <c r="V49" s="89">
        <v>7.4540158757254948</v>
      </c>
      <c r="W49" s="89">
        <v>7.3956580234226355</v>
      </c>
      <c r="X49" s="89">
        <v>22.206299751301305</v>
      </c>
      <c r="Y49" s="89">
        <v>19.204959828115786</v>
      </c>
      <c r="Z49" s="89">
        <v>9.392799911147609E-2</v>
      </c>
      <c r="AA49" s="89">
        <v>4.046843842234904</v>
      </c>
      <c r="AB49" s="18">
        <v>3.8619127837735912</v>
      </c>
      <c r="AJ49" s="4"/>
      <c r="AK49" s="4"/>
    </row>
    <row r="50" spans="2:37" x14ac:dyDescent="0.3">
      <c r="B50" s="28" t="s">
        <v>230</v>
      </c>
      <c r="C50" s="88">
        <v>7.2326847275229866</v>
      </c>
      <c r="D50" s="88">
        <v>7.7104848590933139</v>
      </c>
      <c r="E50" s="88">
        <v>7.6848767187598588</v>
      </c>
      <c r="F50" s="88">
        <v>7.2823307482708044</v>
      </c>
      <c r="G50" s="88">
        <v>13.427528700150827</v>
      </c>
      <c r="H50" s="88">
        <v>13.997230317686693</v>
      </c>
      <c r="I50" s="88">
        <v>7.9941254328867117</v>
      </c>
      <c r="J50" s="88">
        <v>2.5821832712131787</v>
      </c>
      <c r="K50" s="88">
        <v>-0.15711947626840805</v>
      </c>
      <c r="L50" s="88">
        <v>-2.3058597250453561</v>
      </c>
      <c r="M50" s="88">
        <v>-1.4312720927110778</v>
      </c>
      <c r="N50" s="88">
        <v>-0.8920009305862231</v>
      </c>
      <c r="O50" s="88">
        <v>0.15744785613274193</v>
      </c>
      <c r="P50" s="88">
        <v>-0.13604975533910713</v>
      </c>
      <c r="Q50" s="88">
        <v>-4.2931229893872214E-2</v>
      </c>
      <c r="R50" s="88">
        <v>1.8010227747776719</v>
      </c>
      <c r="S50" s="88">
        <v>1.4305161783898068</v>
      </c>
      <c r="T50" s="88">
        <v>2.2156163517478067</v>
      </c>
      <c r="U50" s="88">
        <v>3.015094462470036</v>
      </c>
      <c r="V50" s="88">
        <v>3.6847621706177502</v>
      </c>
      <c r="W50" s="88">
        <v>5.2138840489893701</v>
      </c>
      <c r="X50" s="88">
        <v>13.941957194517297</v>
      </c>
      <c r="Y50" s="88">
        <v>17.628813559322044</v>
      </c>
      <c r="Z50" s="88">
        <v>10.611158340657912</v>
      </c>
      <c r="AA50" s="88">
        <v>8.4784456508641526</v>
      </c>
      <c r="AB50" s="29">
        <v>5.5917361149438127</v>
      </c>
      <c r="AJ50" s="4"/>
      <c r="AK50" s="4"/>
    </row>
    <row r="51" spans="2:37" x14ac:dyDescent="0.3">
      <c r="B51" s="5" t="s">
        <v>231</v>
      </c>
      <c r="C51" s="89">
        <v>6.9066346306412507</v>
      </c>
      <c r="D51" s="89">
        <v>8.6612670681027737</v>
      </c>
      <c r="E51" s="89">
        <v>8.6909012858787484</v>
      </c>
      <c r="F51" s="89">
        <v>8.1988402779024518</v>
      </c>
      <c r="G51" s="89">
        <v>14.965156794425072</v>
      </c>
      <c r="H51" s="89">
        <v>19.309563498076908</v>
      </c>
      <c r="I51" s="89">
        <v>10.473696306959091</v>
      </c>
      <c r="J51" s="89">
        <v>1.758506473953636</v>
      </c>
      <c r="K51" s="89">
        <v>-4.8981260794008774</v>
      </c>
      <c r="L51" s="89">
        <v>-5.4095031199968275</v>
      </c>
      <c r="M51" s="89">
        <v>-3.7559583973780009</v>
      </c>
      <c r="N51" s="89">
        <v>-2.752282175725973</v>
      </c>
      <c r="O51" s="89">
        <v>-0.25177005853335155</v>
      </c>
      <c r="P51" s="89">
        <v>1.4337147176773701</v>
      </c>
      <c r="Q51" s="89">
        <v>2.4226960388035401</v>
      </c>
      <c r="R51" s="89">
        <v>2.853143575956385</v>
      </c>
      <c r="S51" s="89">
        <v>2.3837073363749184</v>
      </c>
      <c r="T51" s="89">
        <v>2.9354413702239901</v>
      </c>
      <c r="U51" s="89">
        <v>3.3255967415295684</v>
      </c>
      <c r="V51" s="89">
        <v>4.0394419547000959</v>
      </c>
      <c r="W51" s="89">
        <v>4.9118647834853091</v>
      </c>
      <c r="X51" s="89">
        <v>11.477758218034539</v>
      </c>
      <c r="Y51" s="89">
        <v>14.332512850213575</v>
      </c>
      <c r="Z51" s="89">
        <v>6.8595558088363262</v>
      </c>
      <c r="AA51" s="89">
        <v>6.9791901991355987</v>
      </c>
      <c r="AB51" s="18">
        <v>5.5497850435370699</v>
      </c>
      <c r="AJ51" s="4"/>
      <c r="AK51" s="4"/>
    </row>
    <row r="52" spans="2:37" x14ac:dyDescent="0.3">
      <c r="B52" s="28" t="s">
        <v>232</v>
      </c>
      <c r="C52" s="88">
        <v>5.1992020409337592</v>
      </c>
      <c r="D52" s="88">
        <v>6.1283470238040705</v>
      </c>
      <c r="E52" s="88">
        <v>4.3716551125772218</v>
      </c>
      <c r="F52" s="88">
        <v>4.3399891356236342</v>
      </c>
      <c r="G52" s="88">
        <v>9.5061173296731916</v>
      </c>
      <c r="H52" s="88">
        <v>15.949201135266744</v>
      </c>
      <c r="I52" s="88">
        <v>15.61973869771316</v>
      </c>
      <c r="J52" s="88">
        <v>6.9874533193627242</v>
      </c>
      <c r="K52" s="88">
        <v>-2.6523160680833047</v>
      </c>
      <c r="L52" s="88">
        <v>-8.4538869513176689</v>
      </c>
      <c r="M52" s="88">
        <v>-6.6917640693860641</v>
      </c>
      <c r="N52" s="88">
        <v>-6.5930614611519056</v>
      </c>
      <c r="O52" s="88">
        <v>-1.4839769288467086</v>
      </c>
      <c r="P52" s="88">
        <v>5.0663901231975172</v>
      </c>
      <c r="Q52" s="88">
        <v>6.8011444563832013</v>
      </c>
      <c r="R52" s="88">
        <v>8.1216403549305927</v>
      </c>
      <c r="S52" s="88">
        <v>10.298190946074627</v>
      </c>
      <c r="T52" s="88">
        <v>10.392674265758961</v>
      </c>
      <c r="U52" s="88">
        <v>9.455598850150837</v>
      </c>
      <c r="V52" s="88">
        <v>5.5765054494530286</v>
      </c>
      <c r="W52" s="88">
        <v>6.8629297981875448</v>
      </c>
      <c r="X52" s="88">
        <v>17.044501930251887</v>
      </c>
      <c r="Y52" s="88">
        <v>15.998549107485927</v>
      </c>
      <c r="Z52" s="88">
        <v>0.88932937251398059</v>
      </c>
      <c r="AA52" s="88">
        <v>4.6259839934439828</v>
      </c>
      <c r="AB52" s="29">
        <v>3.7023105447355098</v>
      </c>
    </row>
    <row r="53" spans="2:37" x14ac:dyDescent="0.3">
      <c r="B53" s="5" t="s">
        <v>233</v>
      </c>
      <c r="C53" s="89">
        <v>1.5979999662156574</v>
      </c>
      <c r="D53" s="89">
        <v>5.438523568043907</v>
      </c>
      <c r="E53" s="89">
        <v>3.4707329380597951</v>
      </c>
      <c r="F53" s="89">
        <v>3.7749363731959473</v>
      </c>
      <c r="G53" s="89">
        <v>6.2839604076717848</v>
      </c>
      <c r="H53" s="89">
        <v>9.8752297127381539</v>
      </c>
      <c r="I53" s="89">
        <v>5.8802816901408539</v>
      </c>
      <c r="J53" s="89">
        <v>1.9537745261057449</v>
      </c>
      <c r="K53" s="89">
        <v>-0.49510140841788619</v>
      </c>
      <c r="L53" s="89">
        <v>-2.0768942586868899</v>
      </c>
      <c r="M53" s="89">
        <v>-1.3043686186365755</v>
      </c>
      <c r="N53" s="89">
        <v>-1.533597412508636</v>
      </c>
      <c r="O53" s="89">
        <v>0.50931906255768933</v>
      </c>
      <c r="P53" s="89">
        <v>1.4479981395121078</v>
      </c>
      <c r="Q53" s="89">
        <v>1.9750971260345862</v>
      </c>
      <c r="R53" s="89">
        <v>2.3071735349448064</v>
      </c>
      <c r="S53" s="89">
        <v>1.9729614081347213</v>
      </c>
      <c r="T53" s="89">
        <v>0.8369719308193968</v>
      </c>
      <c r="U53" s="89">
        <v>2.2347688189578552</v>
      </c>
      <c r="V53" s="89">
        <v>2.3410341034103554</v>
      </c>
      <c r="W53" s="89">
        <v>4.241733671582737</v>
      </c>
      <c r="X53" s="89">
        <v>9.5355456101635419</v>
      </c>
      <c r="Y53" s="89">
        <v>11.076905696613682</v>
      </c>
      <c r="Z53" s="89">
        <v>5.8786137455821397</v>
      </c>
      <c r="AA53" s="89">
        <v>7.0259279716305301</v>
      </c>
      <c r="AB53" s="18">
        <v>5.8630086932691894</v>
      </c>
    </row>
    <row r="54" spans="2:37" x14ac:dyDescent="0.3">
      <c r="B54" s="28" t="s">
        <v>234</v>
      </c>
      <c r="C54" s="88">
        <v>6.1341662264887686</v>
      </c>
      <c r="D54" s="88">
        <v>5.2473276496299848</v>
      </c>
      <c r="E54" s="88">
        <v>5.0309422479902999</v>
      </c>
      <c r="F54" s="88">
        <v>4.7811533492541969</v>
      </c>
      <c r="G54" s="88">
        <v>8.09381918043659</v>
      </c>
      <c r="H54" s="88">
        <v>7.811824890686303</v>
      </c>
      <c r="I54" s="88">
        <v>3.3912569532389414</v>
      </c>
      <c r="J54" s="88">
        <v>1.2605335173226484</v>
      </c>
      <c r="K54" s="88">
        <v>-1.626868985369645</v>
      </c>
      <c r="L54" s="88">
        <v>-2.9285414104938789</v>
      </c>
      <c r="M54" s="88">
        <v>-3.0569786179859171</v>
      </c>
      <c r="N54" s="88">
        <v>-3.016920557733338</v>
      </c>
      <c r="O54" s="88">
        <v>-0.77939797049543236</v>
      </c>
      <c r="P54" s="88">
        <v>-0.22345216404825452</v>
      </c>
      <c r="Q54" s="88">
        <v>1.3402701212789303</v>
      </c>
      <c r="R54" s="88">
        <v>3.3344099547818917</v>
      </c>
      <c r="S54" s="88">
        <v>3.9646308862841817</v>
      </c>
      <c r="T54" s="88">
        <v>4.9630127774041632</v>
      </c>
      <c r="U54" s="88">
        <v>5.408990864413421</v>
      </c>
      <c r="V54" s="88">
        <v>4.7903378049826806</v>
      </c>
      <c r="W54" s="88">
        <v>4.4956087974178383</v>
      </c>
      <c r="X54" s="88">
        <v>11.709581991889317</v>
      </c>
      <c r="Y54" s="88">
        <v>15.248272556149223</v>
      </c>
      <c r="Z54" s="88">
        <v>8.9218142899171191</v>
      </c>
      <c r="AA54" s="88">
        <v>7.665727524623378</v>
      </c>
      <c r="AB54" s="29">
        <v>6.4917260591786485</v>
      </c>
    </row>
    <row r="55" spans="2:37" x14ac:dyDescent="0.3">
      <c r="B55" s="5" t="s">
        <v>235</v>
      </c>
      <c r="C55" s="89">
        <v>4.4395455316262433</v>
      </c>
      <c r="D55" s="89">
        <v>5.7024095603039671</v>
      </c>
      <c r="E55" s="89">
        <v>6.4423963133640738</v>
      </c>
      <c r="F55" s="89">
        <v>6.1361734060668915</v>
      </c>
      <c r="G55" s="89">
        <v>9.2948630788894029</v>
      </c>
      <c r="H55" s="89">
        <v>11.394342016869441</v>
      </c>
      <c r="I55" s="89">
        <v>12.742765883785069</v>
      </c>
      <c r="J55" s="89">
        <v>9.8136719794752025</v>
      </c>
      <c r="K55" s="89">
        <v>2.1189269155135193</v>
      </c>
      <c r="L55" s="89">
        <v>-1.7967086840919633</v>
      </c>
      <c r="M55" s="89">
        <v>-3.1779298930495803</v>
      </c>
      <c r="N55" s="89">
        <v>-1.4669267930137453</v>
      </c>
      <c r="O55" s="89">
        <v>1.3605378037167437</v>
      </c>
      <c r="P55" s="89">
        <v>2.306890906384873</v>
      </c>
      <c r="Q55" s="89">
        <v>3.0295315682280943</v>
      </c>
      <c r="R55" s="89">
        <v>3.5608387165096067</v>
      </c>
      <c r="S55" s="89">
        <v>2.0792323883051633</v>
      </c>
      <c r="T55" s="89">
        <v>1.2763897120818601</v>
      </c>
      <c r="U55" s="89">
        <v>3.514671941971681</v>
      </c>
      <c r="V55" s="89">
        <v>4.2306344757293779</v>
      </c>
      <c r="W55" s="89">
        <v>5.0765105388206111</v>
      </c>
      <c r="X55" s="89">
        <v>11.581189745677678</v>
      </c>
      <c r="Y55" s="89">
        <v>15.121423591427696</v>
      </c>
      <c r="Z55" s="89">
        <v>4.7289419169336488</v>
      </c>
      <c r="AA55" s="89">
        <v>4.7251030897191182</v>
      </c>
      <c r="AB55" s="18">
        <v>5.7664103584822657</v>
      </c>
    </row>
    <row r="56" spans="2:37" x14ac:dyDescent="0.3">
      <c r="B56" s="28" t="s">
        <v>236</v>
      </c>
      <c r="C56" s="88">
        <v>6.3962804974383447</v>
      </c>
      <c r="D56" s="88">
        <v>7.4807492416367749</v>
      </c>
      <c r="E56" s="88">
        <v>6.3295011595204231</v>
      </c>
      <c r="F56" s="88">
        <v>6.2330044826402142</v>
      </c>
      <c r="G56" s="88">
        <v>9.3757917267286892</v>
      </c>
      <c r="H56" s="88">
        <v>11.354105929055791</v>
      </c>
      <c r="I56" s="88">
        <v>7.1665279889823186</v>
      </c>
      <c r="J56" s="88">
        <v>1.1110888000910091</v>
      </c>
      <c r="K56" s="88">
        <v>-5.1442113555271511</v>
      </c>
      <c r="L56" s="88">
        <v>-5.5509030511124102</v>
      </c>
      <c r="M56" s="88">
        <v>-4.0823715438383923</v>
      </c>
      <c r="N56" s="88">
        <v>-3.8694121544067261</v>
      </c>
      <c r="O56" s="88">
        <v>-0.27005369019954539</v>
      </c>
      <c r="P56" s="88">
        <v>3.7387608173366615</v>
      </c>
      <c r="Q56" s="88">
        <v>4.9649125524762638</v>
      </c>
      <c r="R56" s="88">
        <v>5.1314973877623515</v>
      </c>
      <c r="S56" s="88">
        <v>5.2179406190776989</v>
      </c>
      <c r="T56" s="88">
        <v>5.3947859963709988</v>
      </c>
      <c r="U56" s="88">
        <v>5.5237323645017655</v>
      </c>
      <c r="V56" s="88">
        <v>4.6383713816144923</v>
      </c>
      <c r="W56" s="88">
        <v>5.1693598775587324</v>
      </c>
      <c r="X56" s="88">
        <v>13.736925584158644</v>
      </c>
      <c r="Y56" s="88">
        <v>16.535519858917326</v>
      </c>
      <c r="Z56" s="88">
        <v>5.3541247733132513</v>
      </c>
      <c r="AA56" s="88">
        <v>5.728404313867852</v>
      </c>
      <c r="AB56" s="29">
        <v>4.3925695296829437</v>
      </c>
    </row>
    <row r="57" spans="2:37" x14ac:dyDescent="0.3">
      <c r="B57" t="s">
        <v>417</v>
      </c>
    </row>
  </sheetData>
  <mergeCells count="2">
    <mergeCell ref="B2:AA2"/>
    <mergeCell ref="B1:AA1"/>
  </mergeCells>
  <phoneticPr fontId="6" type="noConversion"/>
  <pageMargins left="0.7" right="0.7" top="0.75" bottom="0.75" header="0.3" footer="0.3"/>
  <pageSetup scale="48"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D36259C7B6234B8AF00E3ABD2030F7" ma:contentTypeVersion="0" ma:contentTypeDescription="Create a new document." ma:contentTypeScope="" ma:versionID="cc77aa1a55de2405cc9b5d1ec334020c">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3256D4FE-1A55-47CF-931F-E9FE16B86BA2}">
  <ds:schemaRefs>
    <ds:schemaRef ds:uri="http://schemas.microsoft.com/sharepoint/v3/contenttype/forms"/>
  </ds:schemaRefs>
</ds:datastoreItem>
</file>

<file path=customXml/itemProps2.xml><?xml version="1.0" encoding="utf-8"?>
<ds:datastoreItem xmlns:ds="http://schemas.openxmlformats.org/officeDocument/2006/customXml" ds:itemID="{251AB9B3-EBE2-4174-BB35-FCBF8682D4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8E6A575E-A9DE-4BE5-8F9D-F5FD94DF14CC}">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Metro Area Unemployment Rates</vt:lpstr>
      <vt:lpstr>State Unemployment Rates</vt:lpstr>
      <vt:lpstr>Metro Area House Price Growth</vt:lpstr>
      <vt:lpstr>State House Price Growth</vt:lpstr>
      <vt:lpstr>'Metro Area House Price Growth'!Print_Area</vt:lpstr>
      <vt:lpstr>'Metro Area Unemployment Rates'!Print_Area</vt:lpstr>
      <vt:lpstr>'State House Price Growth'!Print_Area</vt:lpstr>
      <vt:lpstr>'State Unemployment Rates'!Print_Area</vt:lpstr>
      <vt:lpstr>'Metro Area House Price Growth'!Print_Titles</vt:lpstr>
      <vt:lpstr>'Metro Area Unemployment Rates'!Print_Titles</vt:lpstr>
    </vt:vector>
  </TitlesOfParts>
  <Company>NCUA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Ralph M Monaco</dc:creator>
  <cp:lastModifiedBy>Bruslavski, Olga B</cp:lastModifiedBy>
  <cp:lastPrinted>2025-03-25T16:42:55Z</cp:lastPrinted>
  <dcterms:created xsi:type="dcterms:W3CDTF">2011-04-07T21:34:40Z</dcterms:created>
  <dcterms:modified xsi:type="dcterms:W3CDTF">2026-01-13T17:40:49Z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0x01010011D36259C7B6234B8AF00E3ABD2030F7</vt:lpwstr>
  </property>
  <property fmtid="{D5CDD505-2E9C-101B-9397-08002B2CF9AE}" pid="3" name="{A44787D4-0540-4523-9961-78E4036D8C6D}">
    <vt:lpwstr>{D896034B-FB10-4201-BBF4-32D8EE6E52DF}</vt:lpwstr>
  </property>
</Properties>
</file>