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f0982432972f4d4/Desktop/"/>
    </mc:Choice>
  </mc:AlternateContent>
  <xr:revisionPtr revIDLastSave="4" documentId="11_402EAE66BB4BD6437AE33498A4C7A8697B59AB16" xr6:coauthVersionLast="47" xr6:coauthVersionMax="47" xr10:uidLastSave="{C57A8D91-2906-4BE7-8EF3-684572BB9FC0}"/>
  <bookViews>
    <workbookView xWindow="13740" yWindow="-22995" windowWidth="33840" windowHeight="21090" activeTab="4" xr2:uid="{00000000-000D-0000-FFFF-FFFF00000000}"/>
  </bookViews>
  <sheets>
    <sheet name="Overview" sheetId="1" r:id="rId1"/>
    <sheet name="North America" sheetId="2" r:id="rId2"/>
    <sheet name="Latin America" sheetId="3" r:id="rId3"/>
    <sheet name="Caribbean" sheetId="4" r:id="rId4"/>
    <sheet name="Africa" sheetId="5" r:id="rId5"/>
    <sheet name="Demographics" sheetId="6" r:id="rId6"/>
    <sheet name="Loan Composition" sheetId="7" r:id="rId7"/>
    <sheet name="Performance" sheetId="8" r:id="rId8"/>
    <sheet name="Top Institutions" sheetId="9" r:id="rId9"/>
    <sheet name="Data Sources" sheetId="10" r:id="rId10"/>
  </sheets>
  <calcPr calcId="0"/>
</workbook>
</file>

<file path=xl/sharedStrings.xml><?xml version="1.0" encoding="utf-8"?>
<sst xmlns="http://schemas.openxmlformats.org/spreadsheetml/2006/main" count="631" uniqueCount="442">
  <si>
    <t>Credit Union Industry Data Report</t>
  </si>
  <si>
    <t>North America, Latin America &amp; Caribbean, Africa  |  Data Period: Jan 2025 - Jan 2026</t>
  </si>
  <si>
    <t>Generated: March 04, 2026  |  Prepared for: Coeus Institute</t>
  </si>
  <si>
    <t>GLOBAL CREDIT UNION SNAPSHOT (WOCCU 2024)</t>
  </si>
  <si>
    <t>Metric</t>
  </si>
  <si>
    <t>Value</t>
  </si>
  <si>
    <t>Context</t>
  </si>
  <si>
    <t>Total Credit Unions (Global)</t>
  </si>
  <si>
    <t>67,137</t>
  </si>
  <si>
    <t>Down from 74,634 in 2023</t>
  </si>
  <si>
    <t>Total Members (Global)</t>
  </si>
  <si>
    <t>412,681,905</t>
  </si>
  <si>
    <t>Up from 411,008,249 in 2023</t>
  </si>
  <si>
    <t>Total Assets (Global)</t>
  </si>
  <si>
    <t>$3,827,959,229,459</t>
  </si>
  <si>
    <t>Up from $3,747B in 2023</t>
  </si>
  <si>
    <t>Global Penetration Rate</t>
  </si>
  <si>
    <t>11.2%</t>
  </si>
  <si>
    <t>5% of people on Earth are CU members</t>
  </si>
  <si>
    <t>Countries with Credit Unions</t>
  </si>
  <si>
    <t>101</t>
  </si>
  <si>
    <t>Down from 104 in 2023</t>
  </si>
  <si>
    <t>REGIONAL SUMMARY (Focus Regions)</t>
  </si>
  <si>
    <t>Region</t>
  </si>
  <si>
    <t>Credit Unions</t>
  </si>
  <si>
    <t>Members</t>
  </si>
  <si>
    <t>Savings (USD)</t>
  </si>
  <si>
    <t>Loans (USD)</t>
  </si>
  <si>
    <t>Reserves (USD)</t>
  </si>
  <si>
    <t>Assets (USD)</t>
  </si>
  <si>
    <t>North America</t>
  </si>
  <si>
    <t>Latin America</t>
  </si>
  <si>
    <t>Caribbean</t>
  </si>
  <si>
    <t>Africa</t>
  </si>
  <si>
    <t>TOTAL (Focus)</t>
  </si>
  <si>
    <t>CONTENTS</t>
  </si>
  <si>
    <t>Overview</t>
  </si>
  <si>
    <t>Global snapshot and regional summary</t>
  </si>
  <si>
    <t>US and Canada credit union data</t>
  </si>
  <si>
    <t>16 Latin American countries by country</t>
  </si>
  <si>
    <t>17 Caribbean territories by country</t>
  </si>
  <si>
    <t>25+ African countries by country</t>
  </si>
  <si>
    <t>Demographics</t>
  </si>
  <si>
    <t>Gender, age, leadership, and inclusion data</t>
  </si>
  <si>
    <t>Loan Composition</t>
  </si>
  <si>
    <t>US loan breakdown and Latin America financial depth</t>
  </si>
  <si>
    <t>Performance</t>
  </si>
  <si>
    <t>Key performance metrics and risk indicators</t>
  </si>
  <si>
    <t>Top Institutions</t>
  </si>
  <si>
    <t>Largest credit unions by region</t>
  </si>
  <si>
    <t>Data Sources</t>
  </si>
  <si>
    <t>Source attribution and methodology notes</t>
  </si>
  <si>
    <t>KEY INSIGHTS</t>
  </si>
  <si>
    <t xml:space="preserve">  North America dominates with 73.5% of global CU assets ($2.82T), driven by the US ($2.33T) and Canada ($487B).</t>
  </si>
  <si>
    <t xml:space="preserve">  Brazil is the standout in Latin America with $130B in assets and 21.3M members — 516% asset growth over 10 years.</t>
  </si>
  <si>
    <t xml:space="preserve">  Ecuador has the highest CU penetration in Latin America (25.8% of national financial system).</t>
  </si>
  <si>
    <t xml:space="preserve">  Africa's CU membership exceeds 46 million, with Kenya alone holding ~$8.3B in assets (largest in Africa).</t>
  </si>
  <si>
    <t xml:space="preserve">  Global consolidation continues: credit unions declined from 74,634 (2023) to 67,137 (2024), a 10% drop.</t>
  </si>
  <si>
    <t xml:space="preserve">  US credit unions: 4,488 (Q2 2025), down from 4,645 a year earlier; ~180 expected to close in 2025.</t>
  </si>
  <si>
    <t xml:space="preserve">  Africa has the youngest CU membership globally (median age 39) and 48% women participation.</t>
  </si>
  <si>
    <t xml:space="preserve">  Caribbean CU assets grew 4.5% YoY to $10.7B, with Jamaica and Trinidad &amp; Tobago as largest markets.</t>
  </si>
  <si>
    <t>Sources: WOCCU 2024 Statistical Report, NCUA, TruStage, CCUA, FSRA Ontario, DGRV, CCCU, SASRA, CUA Ghana, UCA Uganda</t>
  </si>
  <si>
    <t>North America — Credit Union Industry Data</t>
  </si>
  <si>
    <t>Data Period: 2024-2025  |  Sources: WOCCU, NCUA, TruStage, CCUA, FSRA Ontario</t>
  </si>
  <si>
    <t>AGGREGATE DATA BY COUNTRY (WOCCU 2024, as of Dec 31, 2024)</t>
  </si>
  <si>
    <t>Country</t>
  </si>
  <si>
    <t>Penetration Rate</t>
  </si>
  <si>
    <t>United States</t>
  </si>
  <si>
    <t>N/A</t>
  </si>
  <si>
    <t>Canada</t>
  </si>
  <si>
    <t>TOTAL</t>
  </si>
  <si>
    <t>UNITED STATES — QUARTERLY PERFORMANCE (2024-2025)</t>
  </si>
  <si>
    <t>Period</t>
  </si>
  <si>
    <t>Total Assets</t>
  </si>
  <si>
    <t>Total Loans</t>
  </si>
  <si>
    <t>Shares &amp; Deposits</t>
  </si>
  <si>
    <t>Net Worth Ratio</t>
  </si>
  <si>
    <t>Delinquency 60+</t>
  </si>
  <si>
    <t>Net Charge-Off</t>
  </si>
  <si>
    <t>Q4 2024</t>
  </si>
  <si>
    <t>Q1 2025</t>
  </si>
  <si>
    <t>Q2 2025</t>
  </si>
  <si>
    <t>Q3 2025</t>
  </si>
  <si>
    <t>CANADA — NATIONAL &amp; ONTARIO DATA (2024-2025)</t>
  </si>
  <si>
    <t>Q3 2024</t>
  </si>
  <si>
    <t>YoY Change</t>
  </si>
  <si>
    <t>Ontario CU Count</t>
  </si>
  <si>
    <t>-9.1%</t>
  </si>
  <si>
    <t>Ontario Membership (thousands)</t>
  </si>
  <si>
    <t>-0.3%</t>
  </si>
  <si>
    <t>Ontario Total Assets ($B CAD)</t>
  </si>
  <si>
    <t>+4.1%</t>
  </si>
  <si>
    <t>Ontario Total Loans ($B CAD)</t>
  </si>
  <si>
    <t>+5.8%</t>
  </si>
  <si>
    <t>Ontario Total Deposits ($B CAD)</t>
  </si>
  <si>
    <t>+5.5%</t>
  </si>
  <si>
    <t>Ontario Equity &amp; Capital ($B CAD)</t>
  </si>
  <si>
    <t>+3.2%</t>
  </si>
  <si>
    <t>Ontario Leverage Ratio (%)</t>
  </si>
  <si>
    <t>Ontario Delinquency &gt;30d (%)</t>
  </si>
  <si>
    <t>Canada National (WOCCU 2024): 388 CUs, 11.3M members, $487.3B assets</t>
  </si>
  <si>
    <t>Note: Excludes NCUSIF data per user request. US data from NCUA press releases and TruStage.</t>
  </si>
  <si>
    <t>Latin America — Credit Union Industry Data</t>
  </si>
  <si>
    <t>Data Period: Dec 2024  |  Sources: WOCCU 2024, DGRV November 2025</t>
  </si>
  <si>
    <t>COUNTRY-LEVEL DATA (WOCCU 2024 Statistical Report, as of Dec 31, 2024)</t>
  </si>
  <si>
    <t>Loans (DGRV, USD M)</t>
  </si>
  <si>
    <t>Deposits (DGRV, USD M)</t>
  </si>
  <si>
    <t>Equity (DGRV, USD M)</t>
  </si>
  <si>
    <t>Bolivia</t>
  </si>
  <si>
    <t>Brazil</t>
  </si>
  <si>
    <t>Chile</t>
  </si>
  <si>
    <t>Colombia</t>
  </si>
  <si>
    <t>Costa Rica</t>
  </si>
  <si>
    <t>Dominican Rep.</t>
  </si>
  <si>
    <t>Ecuador</t>
  </si>
  <si>
    <t>El Salvador</t>
  </si>
  <si>
    <t>Guatemala</t>
  </si>
  <si>
    <t>Honduras</t>
  </si>
  <si>
    <t>Mexico</t>
  </si>
  <si>
    <t>Panama</t>
  </si>
  <si>
    <t>Paraguay</t>
  </si>
  <si>
    <t>Peru</t>
  </si>
  <si>
    <t>Uruguay</t>
  </si>
  <si>
    <t>CU SHARE OF NATIONAL FINANCIAL SYSTEM (DGRV, Dec 2024)</t>
  </si>
  <si>
    <t>Total Fin. System (USD M)</t>
  </si>
  <si>
    <t>CU Assets (USD M)</t>
  </si>
  <si>
    <t>CU % of Nat. System</t>
  </si>
  <si>
    <t>CU % of LatAm CU System</t>
  </si>
  <si>
    <t>Note: Argentina excluded from CU data (cooperative banks exist but no traditional CACs). Sorted by CU penetration descending.</t>
  </si>
  <si>
    <t>Caribbean — Credit Union Industry Data</t>
  </si>
  <si>
    <t>Data Period: Dec 31, 2024  |  Source: CCCU Annual Report 2024, WOCCU 2024</t>
  </si>
  <si>
    <t>COUNTRY-LEVEL DATA (CCCU Annual Report 2024)</t>
  </si>
  <si>
    <t>Country/Territory</t>
  </si>
  <si>
    <t>Total Savings (USD)</t>
  </si>
  <si>
    <t>Loans Outstanding (USD)</t>
  </si>
  <si>
    <t>Total Assets (USD)</t>
  </si>
  <si>
    <t>Employees</t>
  </si>
  <si>
    <t>Anguilla</t>
  </si>
  <si>
    <t>Antigua &amp; Barbuda</t>
  </si>
  <si>
    <t>Bahamas</t>
  </si>
  <si>
    <t>Barbados</t>
  </si>
  <si>
    <t>Belize</t>
  </si>
  <si>
    <t>Bermuda</t>
  </si>
  <si>
    <t>Cayman Islands</t>
  </si>
  <si>
    <t>Curacao</t>
  </si>
  <si>
    <t>Dominica</t>
  </si>
  <si>
    <t>Grenada</t>
  </si>
  <si>
    <t>Guyana</t>
  </si>
  <si>
    <t>Jamaica</t>
  </si>
  <si>
    <t>Montserrat</t>
  </si>
  <si>
    <t>St. Kitts &amp; Nevis</t>
  </si>
  <si>
    <t>St. Lucia</t>
  </si>
  <si>
    <t>St. Vincent &amp; Grenadines</t>
  </si>
  <si>
    <t>Trinidad &amp; Tobago</t>
  </si>
  <si>
    <t>YEAR-OVER-YEAR CHANGES (2023 to 2024)</t>
  </si>
  <si>
    <t>2023</t>
  </si>
  <si>
    <t>2024</t>
  </si>
  <si>
    <t>Change</t>
  </si>
  <si>
    <t>% Change</t>
  </si>
  <si>
    <t>Total Membership</t>
  </si>
  <si>
    <t>Total Savings</t>
  </si>
  <si>
    <t>Loans Outstanding</t>
  </si>
  <si>
    <t>Reserves</t>
  </si>
  <si>
    <t>Africa — Credit Union / SACCO Industry Data</t>
  </si>
  <si>
    <t>Data Period: Dec 2024  |  Sources: WOCCU 2024, SASRA Kenya 2024, CUA Ghana, UCA Uganda</t>
  </si>
  <si>
    <t>Data Source</t>
  </si>
  <si>
    <t>Benin</t>
  </si>
  <si>
    <t>BCEAO</t>
  </si>
  <si>
    <t>Botswana</t>
  </si>
  <si>
    <t>WOCCU</t>
  </si>
  <si>
    <t>Burkina Faso</t>
  </si>
  <si>
    <t>Cameroon</t>
  </si>
  <si>
    <t>Eswatini</t>
  </si>
  <si>
    <t>Ethiopia</t>
  </si>
  <si>
    <t>IMF FAS</t>
  </si>
  <si>
    <t>Gambia</t>
  </si>
  <si>
    <t>Ghana</t>
  </si>
  <si>
    <t>CUA Ghana</t>
  </si>
  <si>
    <t>Guinea-Bissau</t>
  </si>
  <si>
    <t>Ivory Coast</t>
  </si>
  <si>
    <t>Kenya</t>
  </si>
  <si>
    <t>SASRA</t>
  </si>
  <si>
    <t>Malawi</t>
  </si>
  <si>
    <t>Mali</t>
  </si>
  <si>
    <t>Mauritania</t>
  </si>
  <si>
    <t>Mauritius</t>
  </si>
  <si>
    <t>Mozambique</t>
  </si>
  <si>
    <t>Namibia</t>
  </si>
  <si>
    <t>Niger</t>
  </si>
  <si>
    <t>Rwanda</t>
  </si>
  <si>
    <t>Senegal</t>
  </si>
  <si>
    <t>Seychelles</t>
  </si>
  <si>
    <t>Sierra Leone</t>
  </si>
  <si>
    <t>South Africa</t>
  </si>
  <si>
    <t>Tanzania</t>
  </si>
  <si>
    <t>Togo</t>
  </si>
  <si>
    <t>Uganda</t>
  </si>
  <si>
    <t>FinScope</t>
  </si>
  <si>
    <t>Zimbabwe</t>
  </si>
  <si>
    <t>KENYA — DETAILED SACCO DATA (SASRA 2024)</t>
  </si>
  <si>
    <t>Regulated SACCO Members</t>
  </si>
  <si>
    <t>+7.94%</t>
  </si>
  <si>
    <t>Total SACCO Members (all)</t>
  </si>
  <si>
    <t>Total Deposits (KSh B)</t>
  </si>
  <si>
    <t>Total Assets (KSh T)</t>
  </si>
  <si>
    <t>Loan Disbursements (KSh B)</t>
  </si>
  <si>
    <t>+17.8%</t>
  </si>
  <si>
    <t>Stable</t>
  </si>
  <si>
    <t>TOP 5 KENYAN SACCOs BY ASSETS (2024)</t>
  </si>
  <si>
    <t>Rank</t>
  </si>
  <si>
    <t>SACCO Name</t>
  </si>
  <si>
    <t>Assets (KSh B)</t>
  </si>
  <si>
    <t>Assets (USD M est.)</t>
  </si>
  <si>
    <t>Mwalimu National</t>
  </si>
  <si>
    <t>120,000+</t>
  </si>
  <si>
    <t>Stima DT</t>
  </si>
  <si>
    <t>1,000,000+</t>
  </si>
  <si>
    <t>Kenya Police</t>
  </si>
  <si>
    <t>Harambee</t>
  </si>
  <si>
    <t>Kenya Bankers</t>
  </si>
  <si>
    <t>Credit Union Demographics &amp; Inclusion Data</t>
  </si>
  <si>
    <t>Source: WOCCU 2024 Statistical Report  |  Data Period: End of 2024</t>
  </si>
  <si>
    <t>WOMEN MEMBERSHIP (% of Total Members)</t>
  </si>
  <si>
    <t>Median %</t>
  </si>
  <si>
    <t>41% per earlier WOCCU reports; improving</t>
  </si>
  <si>
    <t>Asia</t>
  </si>
  <si>
    <t>Women majority in many Asian CU systems</t>
  </si>
  <si>
    <t>Europe</t>
  </si>
  <si>
    <t>Most gender-equitable leadership globally</t>
  </si>
  <si>
    <t>Nearly balanced; women ~50% of members</t>
  </si>
  <si>
    <t>Highest women membership share globally</t>
  </si>
  <si>
    <t>Oceania</t>
  </si>
  <si>
    <t>Balanced membership</t>
  </si>
  <si>
    <t>YOUTH MEMBERSHIP (% of Members Under 35)</t>
  </si>
  <si>
    <t>Average Member Age</t>
  </si>
  <si>
    <t>WOMEN IN LEADERSHIP (% on National Association Boards)</t>
  </si>
  <si>
    <t>Board %</t>
  </si>
  <si>
    <t>CEO %</t>
  </si>
  <si>
    <t>Notes</t>
  </si>
  <si>
    <t>Men hold &gt;60% of leadership positions</t>
  </si>
  <si>
    <t>&gt;70% of CEOs and board directors are men</t>
  </si>
  <si>
    <t>Most gender-equitable in leadership</t>
  </si>
  <si>
    <t>Lowest women board representation</t>
  </si>
  <si>
    <t>Highest women board representation</t>
  </si>
  <si>
    <t>MEMBERSHIP GROWTH TARGET GROUPS (Global Priority Ranking)</t>
  </si>
  <si>
    <t>Target Group</t>
  </si>
  <si>
    <t>Priority Level (%)</t>
  </si>
  <si>
    <t>Youth</t>
  </si>
  <si>
    <t>Women</t>
  </si>
  <si>
    <t>People with Disabilities</t>
  </si>
  <si>
    <t>Indigenous People</t>
  </si>
  <si>
    <t>Ethnic Minorities</t>
  </si>
  <si>
    <t>Migrants, Immigrants &amp; Refugees</t>
  </si>
  <si>
    <t>Climate Vulnerable Populations</t>
  </si>
  <si>
    <t>LGBTQ+</t>
  </si>
  <si>
    <t>TOP 10 LARGEST CU SYSTEMS BY MEMBERSHIP (2024)</t>
  </si>
  <si>
    <t>India</t>
  </si>
  <si>
    <t>Philippines</t>
  </si>
  <si>
    <t>Nepal</t>
  </si>
  <si>
    <t>South Korea</t>
  </si>
  <si>
    <t>Loan Composition &amp; Financial Depth</t>
  </si>
  <si>
    <t>Sources: TruStage (Q1 2025), DGRV (Dec 2024)  |  Data Period: Q1 2025 / Dec 2024</t>
  </si>
  <si>
    <t>US CREDIT UNION LOAN COMPOSITION (Q1 2025, $ Billions)</t>
  </si>
  <si>
    <t>Loan Category</t>
  </si>
  <si>
    <t>Q1 2025 ($B)</t>
  </si>
  <si>
    <t>Q4 2024 ($B)</t>
  </si>
  <si>
    <t>Q2 2024 ($B)</t>
  </si>
  <si>
    <t>Q1 2024 ($B)</t>
  </si>
  <si>
    <t>Share of Total</t>
  </si>
  <si>
    <t>New Auto</t>
  </si>
  <si>
    <t>Used Auto</t>
  </si>
  <si>
    <t>Total Auto</t>
  </si>
  <si>
    <t>Unsecured (ex CCs)</t>
  </si>
  <si>
    <t>Credit Cards</t>
  </si>
  <si>
    <t>1st Mortgage</t>
  </si>
  <si>
    <t>Other Real Estate</t>
  </si>
  <si>
    <t>Total Real Estate</t>
  </si>
  <si>
    <t>Member Business Loans</t>
  </si>
  <si>
    <t>TOTAL LOANS</t>
  </si>
  <si>
    <t>LATIN AMERICA CU DISTRIBUTION BY ASSET SIZE (DGRV, Dec 2024)</t>
  </si>
  <si>
    <t>Asset Range (USD)</t>
  </si>
  <si>
    <t>Number of CUs</t>
  </si>
  <si>
    <t>Assets (USD M)</t>
  </si>
  <si>
    <t>% of Total Assets</t>
  </si>
  <si>
    <t>&gt;= $1 Billion</t>
  </si>
  <si>
    <t>$500M - $1B</t>
  </si>
  <si>
    <t>$100M - $500M</t>
  </si>
  <si>
    <t>$50M - $100M</t>
  </si>
  <si>
    <t>$10M - $50M</t>
  </si>
  <si>
    <t>&lt; $10M</t>
  </si>
  <si>
    <t>No Data</t>
  </si>
  <si>
    <t>Performance Metrics &amp; Risk Indicators</t>
  </si>
  <si>
    <t>Sources: NCUA, TruStage, WOCCU, FSRA Ontario  |  Data Period: 2024-2025</t>
  </si>
  <si>
    <t>US CREDIT UNION PERFORMANCE METRICS</t>
  </si>
  <si>
    <t>2024 Full Year</t>
  </si>
  <si>
    <t>Forecast 2025</t>
  </si>
  <si>
    <t>Return on Avg Assets</t>
  </si>
  <si>
    <t>Operating Expense Ratio</t>
  </si>
  <si>
    <t>Delinquency Rate (60+ days)</t>
  </si>
  <si>
    <t>Net Charge-Off Rate</t>
  </si>
  <si>
    <t>Total Assets Growth YoY</t>
  </si>
  <si>
    <t>Total Loans Growth YoY</t>
  </si>
  <si>
    <t>Membership Growth YoY</t>
  </si>
  <si>
    <t>GLOBAL STRATEGIC PRIORITIES (WOCCU Survey 2024)</t>
  </si>
  <si>
    <t>Priority</t>
  </si>
  <si>
    <t>% of Responses</t>
  </si>
  <si>
    <t>Regulatory Reform</t>
  </si>
  <si>
    <t>Member &amp; Asset Growth</t>
  </si>
  <si>
    <t>Digital Transformation</t>
  </si>
  <si>
    <t>Institutional Capacity</t>
  </si>
  <si>
    <t>Youth Relevance</t>
  </si>
  <si>
    <t>Financial Inclusion</t>
  </si>
  <si>
    <t>DEI</t>
  </si>
  <si>
    <t>Sustainability &amp; Climate</t>
  </si>
  <si>
    <t>TOP AREAS OF RISK (WOCCU Survey 2024)</t>
  </si>
  <si>
    <t>Risk Area</t>
  </si>
  <si>
    <t>Regulation</t>
  </si>
  <si>
    <t>Credit</t>
  </si>
  <si>
    <t>Technology</t>
  </si>
  <si>
    <t>Economic Environment</t>
  </si>
  <si>
    <t>Fraud &amp; Cybersecurity</t>
  </si>
  <si>
    <t>Capital Adequacy</t>
  </si>
  <si>
    <t>Governance</t>
  </si>
  <si>
    <t>Personnel</t>
  </si>
  <si>
    <t>Liquidity</t>
  </si>
  <si>
    <t>REGULATORY FRAMEWORKS (% of Countries)</t>
  </si>
  <si>
    <t>Framework Type</t>
  </si>
  <si>
    <t>% of Countries</t>
  </si>
  <si>
    <t>Mixed (Multiple Supervisory Relationships)</t>
  </si>
  <si>
    <t>Prudential Authority Same as Banks</t>
  </si>
  <si>
    <t>Prudential Authority Specific to CUs</t>
  </si>
  <si>
    <t>Cooperative Authority (Non-Prudential)</t>
  </si>
  <si>
    <t>DEPOSIT GUARANTEE SCHEMES</t>
  </si>
  <si>
    <t>Scheme Type</t>
  </si>
  <si>
    <t>No DGS for Credit Unions</t>
  </si>
  <si>
    <t>Public DGS for Banks/Credit Unions</t>
  </si>
  <si>
    <t>Credit Union Sector Specific DGS</t>
  </si>
  <si>
    <t>Partial Coverage for Credit Unions</t>
  </si>
  <si>
    <t>Largest Credit Unions by Region</t>
  </si>
  <si>
    <t>Sources: DGRV Nov 2025, SASRA 2024, CCCU 2024  |  Data as of Dec 2024</t>
  </si>
  <si>
    <t>TOP 15 LARGEST CREDIT UNIONS IN LATIN AMERICA (Assets, Dec 2024)</t>
  </si>
  <si>
    <t>Name</t>
  </si>
  <si>
    <t>% Nat. Fin. System</t>
  </si>
  <si>
    <t>% Nat. CU System</t>
  </si>
  <si>
    <t>% LatAm CU System</t>
  </si>
  <si>
    <t>MEX</t>
  </si>
  <si>
    <t>Caja Popular Mexicana</t>
  </si>
  <si>
    <t>CHL</t>
  </si>
  <si>
    <t>Coopeuch</t>
  </si>
  <si>
    <t>ECU</t>
  </si>
  <si>
    <t>Juventud Ecuatoriana Progresista</t>
  </si>
  <si>
    <t>BRA</t>
  </si>
  <si>
    <t>CREDICITRUS</t>
  </si>
  <si>
    <t>VIACREDI</t>
  </si>
  <si>
    <t>SICOOB COCRED</t>
  </si>
  <si>
    <t>CR</t>
  </si>
  <si>
    <t>COOPENAE</t>
  </si>
  <si>
    <t>SICREDI DEXIS</t>
  </si>
  <si>
    <t>SICREDI OURO VERDE MT</t>
  </si>
  <si>
    <t>SICREDI VALE DO PIQUIRI</t>
  </si>
  <si>
    <t>JARDIN AZUAYO</t>
  </si>
  <si>
    <t>COOPEALIANZA</t>
  </si>
  <si>
    <t>RD</t>
  </si>
  <si>
    <t>COOPNAMA</t>
  </si>
  <si>
    <t>POLICIA NACIONAL</t>
  </si>
  <si>
    <t>COOPEANDE No 1</t>
  </si>
  <si>
    <t>COOPERATIVE BANKS IN LATIN AMERICA (Dec 2024)</t>
  </si>
  <si>
    <t>Legal Form</t>
  </si>
  <si>
    <t>Business Type</t>
  </si>
  <si>
    <t>Banco SICREDI</t>
  </si>
  <si>
    <t>S.A.</t>
  </si>
  <si>
    <t>Subsidiary bank</t>
  </si>
  <si>
    <t>Banco SICOOB</t>
  </si>
  <si>
    <t>Argentina</t>
  </si>
  <si>
    <t>Banco Credicoop</t>
  </si>
  <si>
    <t>Coop.</t>
  </si>
  <si>
    <t>Retail</t>
  </si>
  <si>
    <t>BANCOOMEVA</t>
  </si>
  <si>
    <t>Bancop S.A.</t>
  </si>
  <si>
    <t>Banco Coopcentral</t>
  </si>
  <si>
    <t>Wholesale</t>
  </si>
  <si>
    <t>Banco Bica</t>
  </si>
  <si>
    <t>Data Sources &amp; Methodology</t>
  </si>
  <si>
    <t>Report generated: March 04, 2026  |  Prepared for: Coeus Institute</t>
  </si>
  <si>
    <t>PRIMARY DATA SOURCES</t>
  </si>
  <si>
    <t>Source</t>
  </si>
  <si>
    <t>Data Period</t>
  </si>
  <si>
    <t>URL</t>
  </si>
  <si>
    <t>WOCCU 2024 Statistical Report</t>
  </si>
  <si>
    <t>Global</t>
  </si>
  <si>
    <t>Dec 2024</t>
  </si>
  <si>
    <t>https://www.woccu.org/documents/2024_Statistical_Report_EN</t>
  </si>
  <si>
    <t>Most comprehensive global CU data</t>
  </si>
  <si>
    <t>NCUA Press Releases</t>
  </si>
  <si>
    <t>Q2-Q3 2025</t>
  </si>
  <si>
    <t>https://ncua.gov/newsroom/press-release/</t>
  </si>
  <si>
    <t>Quarterly US CU system performance</t>
  </si>
  <si>
    <t>TruStage CU Trends Report</t>
  </si>
  <si>
    <t>https://www.trustage.com/</t>
  </si>
  <si>
    <t>Detailed US loan composition &amp; forecasts</t>
  </si>
  <si>
    <t>FSRA Ontario Sector Outlook</t>
  </si>
  <si>
    <t>Canada (Ontario)</t>
  </si>
  <si>
    <t>https://www.fsrao.ca/</t>
  </si>
  <si>
    <t>Ontario CU quarterly data</t>
  </si>
  <si>
    <t>CCUA / WOCCU</t>
  </si>
  <si>
    <t>Canada (National)</t>
  </si>
  <si>
    <t>https://ccua.com/</t>
  </si>
  <si>
    <t>National Canadian CU statistics</t>
  </si>
  <si>
    <t>DGRV Cifras y Ranking</t>
  </si>
  <si>
    <t>https://www.dgrv.coop/</t>
  </si>
  <si>
    <t>16 LatAm countries, financial system depth</t>
  </si>
  <si>
    <t>CCCU Annual Report 2024</t>
  </si>
  <si>
    <t>https://caribccu.coop/</t>
  </si>
  <si>
    <t>17 Caribbean territories</t>
  </si>
  <si>
    <t>SASRA Annual Report 2024</t>
  </si>
  <si>
    <t>https://www.sasra.go.ke/</t>
  </si>
  <si>
    <t>Kenya regulated SACCO data</t>
  </si>
  <si>
    <t>https://cua.org.gh/</t>
  </si>
  <si>
    <t>Ghana credit union statistics</t>
  </si>
  <si>
    <t>UCA Uganda</t>
  </si>
  <si>
    <t>2024-2025</t>
  </si>
  <si>
    <t>https://www.uca.co.ug/</t>
  </si>
  <si>
    <t>Africa-wide SACCO context</t>
  </si>
  <si>
    <t>BCEAO / IMF FAS</t>
  </si>
  <si>
    <t>West Africa</t>
  </si>
  <si>
    <t>https://www.bceao.int/</t>
  </si>
  <si>
    <t>West African CU/microfinance data</t>
  </si>
  <si>
    <t>METHODOLOGY NOTES</t>
  </si>
  <si>
    <t xml:space="preserve">  1. All monetary values are in US Dollars (USD) unless otherwise noted.</t>
  </si>
  <si>
    <t xml:space="preserve">  2. WOCCU data represents the best available survey-based data; not all countries/CUs respond to the annual survey.</t>
  </si>
  <si>
    <t xml:space="preserve">  3. DGRV data uses December 2024 figures from national supervisory authorities and central banks.</t>
  </si>
  <si>
    <t xml:space="preserve">  4. NCUSIF data has been excluded per user request (covered in separate repository).</t>
  </si>
  <si>
    <t xml:space="preserve">  5. Caribbean data includes both CCCU-affiliated and non-affiliated credit unions.</t>
  </si>
  <si>
    <t xml:space="preserve">  6. Africa data combines WOCCU survey responses with national regulatory data (SASRA, CUA, etc.).</t>
  </si>
  <si>
    <t xml:space="preserve">  7. Some African countries (BCEAO zone) report through the Central Bank of West African States.</t>
  </si>
  <si>
    <t xml:space="preserve">  8. Penetration rates = CU members / economically active population (15-64 age group).</t>
  </si>
  <si>
    <t xml:space="preserve">  9. YoY changes calculated where prior year data is available from the same source.</t>
  </si>
  <si>
    <t xml:space="preserve">  10. Exchange rates used are as of the reporting date for each source.</t>
  </si>
  <si>
    <t>EXCLUSIONS</t>
  </si>
  <si>
    <t xml:space="preserve">  - NCUSIF data (National Credit Union Share Insurance Fund) — covered in https://github.com/CoeusInstitute/NCUSIF-Data-2025Q4</t>
  </si>
  <si>
    <t xml:space="preserve">  - Individual US credit union call report data (5300 data) — available through NCUA</t>
  </si>
  <si>
    <t xml:space="preserve">  - Asia, Europe, and Oceania regional data (outside scope of this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</si>
</sst>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8"/>
      <color rgb="FF1E3A5F"/>
      <name val="Georgia"/>
    </font>
    <font>
      <sz val="12"/>
      <color rgb="FF666666"/>
      <name val="Georgia"/>
    </font>
    <font>
      <i/>
      <sz val="9"/>
      <color rgb="FF666666"/>
      <name val="Calibri"/>
    </font>
    <font>
      <b/>
      <sz val="14"/>
      <color rgb="FF1E3A5F"/>
      <name val="Georgia"/>
    </font>
    <font>
      <b/>
      <sz val="10"/>
      <color rgb="FFFFFFFF"/>
      <name val="Georgia"/>
    </font>
    <font>
      <sz val="11"/>
      <name val="Calibri"/>
    </font>
    <font>
      <b/>
      <sz val="11"/>
      <name val="Calibri"/>
    </font>
    <font>
      <u/>
      <sz val="11"/>
      <color rgb="FF1E3A5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CE6"/>
        <bgColor rgb="FFD3DCE6"/>
      </patternFill>
    </fill>
    <fill>
      <patternFill patternType="solid">
        <fgColor rgb="FF1E3A5F"/>
        <bgColor rgb="FF1E3A5F"/>
      </patternFill>
    </fill>
    <fill>
      <patternFill patternType="solid">
        <fgColor rgb="FFF5F7FA"/>
        <bgColor rgb="FFF5F7FA"/>
      </patternFill>
    </fill>
    <fill>
      <patternFill patternType="solid">
        <fgColor rgb="FFE8EDF2"/>
        <bgColor rgb="FFE8EDF2"/>
      </patternFill>
    </fill>
  </fills>
  <borders count="7">
    <border>
      <left/>
      <right/>
      <top/>
      <bottom/>
      <diagonal/>
    </border>
    <border>
      <left style="thin">
        <color rgb="FFD1D1D1"/>
      </left>
      <right/>
      <top style="thin">
        <color rgb="FFD1D1D1"/>
      </top>
      <bottom style="medium">
        <color rgb="FF1E3A5F"/>
      </bottom>
      <diagonal/>
    </border>
    <border>
      <left/>
      <right/>
      <top style="thin">
        <color rgb="FFD1D1D1"/>
      </top>
      <bottom style="medium">
        <color rgb="FF1E3A5F"/>
      </bottom>
      <diagonal/>
    </border>
    <border>
      <left/>
      <right style="thin">
        <color rgb="FFD1D1D1"/>
      </right>
      <top style="thin">
        <color rgb="FFD1D1D1"/>
      </top>
      <bottom style="medium">
        <color rgb="FF1E3A5F"/>
      </bottom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  <border>
      <left/>
      <right/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 style="thin">
        <color rgb="FFD1D1D1"/>
      </top>
      <bottom style="thin">
        <color rgb="FFD1D1D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inden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3" fontId="6" fillId="0" borderId="5" xfId="0" applyNumberFormat="1" applyFont="1" applyBorder="1" applyAlignment="1">
      <alignment horizontal="right" vertical="center"/>
    </xf>
    <xf numFmtId="164" fontId="6" fillId="0" borderId="5" xfId="0" applyNumberFormat="1" applyFont="1" applyBorder="1" applyAlignment="1">
      <alignment horizontal="right" vertical="center"/>
    </xf>
    <xf numFmtId="164" fontId="6" fillId="0" borderId="6" xfId="0" applyNumberFormat="1" applyFont="1" applyBorder="1" applyAlignment="1">
      <alignment horizontal="right" vertical="center"/>
    </xf>
    <xf numFmtId="3" fontId="6" fillId="4" borderId="5" xfId="0" applyNumberFormat="1" applyFont="1" applyFill="1" applyBorder="1" applyAlignment="1">
      <alignment horizontal="right" vertical="center"/>
    </xf>
    <xf numFmtId="164" fontId="6" fillId="4" borderId="5" xfId="0" applyNumberFormat="1" applyFont="1" applyFill="1" applyBorder="1" applyAlignment="1">
      <alignment horizontal="right" vertical="center"/>
    </xf>
    <xf numFmtId="164" fontId="6" fillId="4" borderId="6" xfId="0" applyNumberFormat="1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left" vertical="center" indent="1"/>
    </xf>
    <xf numFmtId="3" fontId="7" fillId="5" borderId="5" xfId="0" applyNumberFormat="1" applyFont="1" applyFill="1" applyBorder="1" applyAlignment="1">
      <alignment horizontal="right" vertical="center"/>
    </xf>
    <xf numFmtId="164" fontId="7" fillId="5" borderId="5" xfId="0" applyNumberFormat="1" applyFont="1" applyFill="1" applyBorder="1" applyAlignment="1">
      <alignment horizontal="right" vertical="center"/>
    </xf>
    <xf numFmtId="164" fontId="7" fillId="5" borderId="6" xfId="0" applyNumberFormat="1" applyFont="1" applyFill="1" applyBorder="1" applyAlignment="1">
      <alignment horizontal="right" vertical="center"/>
    </xf>
    <xf numFmtId="0" fontId="8" fillId="0" borderId="0" xfId="0" applyFont="1"/>
    <xf numFmtId="0" fontId="6" fillId="0" borderId="0" xfId="0" applyFont="1"/>
    <xf numFmtId="0" fontId="7" fillId="5" borderId="6" xfId="0" applyFont="1" applyFill="1" applyBorder="1" applyAlignment="1">
      <alignment horizontal="center" vertical="center"/>
    </xf>
    <xf numFmtId="10" fontId="6" fillId="0" borderId="5" xfId="0" applyNumberFormat="1" applyFont="1" applyBorder="1" applyAlignment="1">
      <alignment horizontal="right" vertical="center"/>
    </xf>
    <xf numFmtId="10" fontId="6" fillId="0" borderId="6" xfId="0" applyNumberFormat="1" applyFont="1" applyBorder="1" applyAlignment="1">
      <alignment horizontal="right" vertical="center"/>
    </xf>
    <xf numFmtId="4" fontId="6" fillId="0" borderId="5" xfId="0" applyNumberFormat="1" applyFont="1" applyBorder="1" applyAlignment="1">
      <alignment horizontal="right" vertical="center"/>
    </xf>
    <xf numFmtId="4" fontId="6" fillId="4" borderId="5" xfId="0" applyNumberFormat="1" applyFont="1" applyFill="1" applyBorder="1" applyAlignment="1">
      <alignment horizontal="right" vertical="center"/>
    </xf>
    <xf numFmtId="3" fontId="6" fillId="0" borderId="6" xfId="0" applyNumberFormat="1" applyFont="1" applyBorder="1" applyAlignment="1">
      <alignment horizontal="right" vertical="center"/>
    </xf>
    <xf numFmtId="3" fontId="6" fillId="4" borderId="6" xfId="0" applyNumberFormat="1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horizontal="right" vertical="center"/>
    </xf>
    <xf numFmtId="165" fontId="6" fillId="0" borderId="6" xfId="0" applyNumberFormat="1" applyFont="1" applyBorder="1" applyAlignment="1">
      <alignment horizontal="right" vertical="center"/>
    </xf>
    <xf numFmtId="165" fontId="6" fillId="4" borderId="5" xfId="0" applyNumberFormat="1" applyFont="1" applyFill="1" applyBorder="1" applyAlignment="1">
      <alignment horizontal="right" vertical="center"/>
    </xf>
    <xf numFmtId="165" fontId="6" fillId="4" borderId="6" xfId="0" applyNumberFormat="1" applyFont="1" applyFill="1" applyBorder="1" applyAlignment="1">
      <alignment horizontal="right" vertical="center"/>
    </xf>
    <xf numFmtId="3" fontId="7" fillId="5" borderId="6" xfId="0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9" fontId="6" fillId="0" borderId="5" xfId="0" applyNumberFormat="1" applyFont="1" applyBorder="1" applyAlignment="1">
      <alignment horizontal="right" vertical="center"/>
    </xf>
    <xf numFmtId="9" fontId="6" fillId="4" borderId="5" xfId="0" applyNumberFormat="1" applyFont="1" applyFill="1" applyBorder="1" applyAlignment="1">
      <alignment horizontal="right" vertical="center"/>
    </xf>
    <xf numFmtId="166" fontId="6" fillId="0" borderId="5" xfId="0" applyNumberFormat="1" applyFont="1" applyBorder="1" applyAlignment="1">
      <alignment horizontal="right" vertical="center"/>
    </xf>
    <xf numFmtId="166" fontId="6" fillId="4" borderId="5" xfId="0" applyNumberFormat="1" applyFont="1" applyFill="1" applyBorder="1" applyAlignment="1">
      <alignment horizontal="right" vertical="center"/>
    </xf>
    <xf numFmtId="166" fontId="7" fillId="5" borderId="5" xfId="0" applyNumberFormat="1" applyFont="1" applyFill="1" applyBorder="1" applyAlignment="1">
      <alignment horizontal="right" vertical="center"/>
    </xf>
    <xf numFmtId="165" fontId="7" fillId="5" borderId="6" xfId="0" applyNumberFormat="1" applyFont="1" applyFill="1" applyBorder="1" applyAlignment="1">
      <alignment horizontal="right" vertical="center"/>
    </xf>
    <xf numFmtId="10" fontId="6" fillId="4" borderId="5" xfId="0" applyNumberFormat="1" applyFont="1" applyFill="1" applyBorder="1" applyAlignment="1">
      <alignment horizontal="right" vertical="center"/>
    </xf>
    <xf numFmtId="9" fontId="6" fillId="0" borderId="6" xfId="0" applyNumberFormat="1" applyFont="1" applyBorder="1" applyAlignment="1">
      <alignment horizontal="right" vertical="center"/>
    </xf>
    <xf numFmtId="9" fontId="6" fillId="4" borderId="6" xfId="0" applyNumberFormat="1" applyFont="1" applyFill="1" applyBorder="1" applyAlignment="1">
      <alignment horizontal="right" vertical="center"/>
    </xf>
    <xf numFmtId="10" fontId="6" fillId="4" borderId="6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 indent="1"/>
    </xf>
    <xf numFmtId="0" fontId="4" fillId="0" borderId="0" xfId="0" applyFont="1"/>
    <xf numFmtId="0" fontId="0" fillId="0" borderId="0" xfId="0"/>
    <xf numFmtId="0" fontId="6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  <xf numFmtId="0" fontId="2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sra.go.ke/" TargetMode="External"/><Relationship Id="rId3" Type="http://schemas.openxmlformats.org/officeDocument/2006/relationships/hyperlink" Target="https://www.trustage.com/" TargetMode="External"/><Relationship Id="rId7" Type="http://schemas.openxmlformats.org/officeDocument/2006/relationships/hyperlink" Target="https://caribccu.coop/" TargetMode="External"/><Relationship Id="rId2" Type="http://schemas.openxmlformats.org/officeDocument/2006/relationships/hyperlink" Target="https://ncua.gov/newsroom/press-release/" TargetMode="External"/><Relationship Id="rId1" Type="http://schemas.openxmlformats.org/officeDocument/2006/relationships/hyperlink" Target="https://www.woccu.org/documents/2024_Statistical_Report_EN" TargetMode="External"/><Relationship Id="rId6" Type="http://schemas.openxmlformats.org/officeDocument/2006/relationships/hyperlink" Target="https://www.dgrv.coop/" TargetMode="External"/><Relationship Id="rId11" Type="http://schemas.openxmlformats.org/officeDocument/2006/relationships/hyperlink" Target="https://www.bceao.int/" TargetMode="External"/><Relationship Id="rId5" Type="http://schemas.openxmlformats.org/officeDocument/2006/relationships/hyperlink" Target="https://ccua.com/" TargetMode="External"/><Relationship Id="rId10" Type="http://schemas.openxmlformats.org/officeDocument/2006/relationships/hyperlink" Target="https://www.uca.co.ug/" TargetMode="External"/><Relationship Id="rId4" Type="http://schemas.openxmlformats.org/officeDocument/2006/relationships/hyperlink" Target="https://www.fsrao.ca/" TargetMode="External"/><Relationship Id="rId9" Type="http://schemas.openxmlformats.org/officeDocument/2006/relationships/hyperlink" Target="https://cua.org.g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9"/>
  <sheetViews>
    <sheetView showGridLines="0" workbookViewId="0"/>
  </sheetViews>
  <sheetFormatPr defaultRowHeight="15" x14ac:dyDescent="0.25"/>
  <cols>
    <col min="1" max="1" width="3" customWidth="1"/>
    <col min="2" max="2" width="37.7109375" customWidth="1"/>
    <col min="3" max="3" width="28.140625" customWidth="1"/>
    <col min="4" max="4" width="39.5703125" customWidth="1"/>
    <col min="5" max="8" width="22" customWidth="1"/>
  </cols>
  <sheetData>
    <row r="2" spans="2:8" ht="35.1" customHeight="1" x14ac:dyDescent="0.35">
      <c r="B2" s="56" t="s">
        <v>0</v>
      </c>
      <c r="C2" s="52"/>
      <c r="D2" s="52"/>
      <c r="E2" s="52"/>
      <c r="F2" s="52"/>
      <c r="G2" s="52"/>
      <c r="H2" s="52"/>
    </row>
    <row r="3" spans="2:8" ht="21.95" customHeight="1" x14ac:dyDescent="0.25">
      <c r="B3" s="57" t="s">
        <v>1</v>
      </c>
      <c r="C3" s="52"/>
      <c r="D3" s="52"/>
      <c r="E3" s="52"/>
      <c r="F3" s="52"/>
      <c r="G3" s="52"/>
      <c r="H3" s="52"/>
    </row>
    <row r="4" spans="2:8" x14ac:dyDescent="0.25">
      <c r="B4" s="54" t="s">
        <v>2</v>
      </c>
      <c r="C4" s="52"/>
      <c r="D4" s="52"/>
      <c r="E4" s="52"/>
      <c r="F4" s="52"/>
      <c r="G4" s="52"/>
      <c r="H4" s="52"/>
    </row>
    <row r="6" spans="2:8" ht="24.95" customHeight="1" x14ac:dyDescent="0.25">
      <c r="B6" s="55" t="s">
        <v>3</v>
      </c>
      <c r="C6" s="52"/>
      <c r="D6" s="52"/>
      <c r="E6" s="52"/>
      <c r="F6" s="52"/>
      <c r="G6" s="52"/>
      <c r="H6" s="52"/>
    </row>
    <row r="8" spans="2:8" ht="30" customHeight="1" x14ac:dyDescent="0.25">
      <c r="B8" s="1" t="s">
        <v>4</v>
      </c>
      <c r="C8" s="2" t="s">
        <v>5</v>
      </c>
      <c r="D8" s="3" t="s">
        <v>6</v>
      </c>
    </row>
    <row r="9" spans="2:8" ht="18" customHeight="1" x14ac:dyDescent="0.25">
      <c r="B9" s="4" t="s">
        <v>7</v>
      </c>
      <c r="C9" s="5" t="s">
        <v>8</v>
      </c>
      <c r="D9" s="6" t="s">
        <v>9</v>
      </c>
    </row>
    <row r="10" spans="2:8" ht="18" customHeight="1" x14ac:dyDescent="0.25">
      <c r="B10" s="7" t="s">
        <v>10</v>
      </c>
      <c r="C10" s="8" t="s">
        <v>11</v>
      </c>
      <c r="D10" s="9" t="s">
        <v>12</v>
      </c>
    </row>
    <row r="11" spans="2:8" ht="18" customHeight="1" x14ac:dyDescent="0.25">
      <c r="B11" s="4" t="s">
        <v>13</v>
      </c>
      <c r="C11" s="5" t="s">
        <v>14</v>
      </c>
      <c r="D11" s="6" t="s">
        <v>15</v>
      </c>
    </row>
    <row r="12" spans="2:8" ht="18" customHeight="1" x14ac:dyDescent="0.25">
      <c r="B12" s="7" t="s">
        <v>16</v>
      </c>
      <c r="C12" s="8" t="s">
        <v>17</v>
      </c>
      <c r="D12" s="9" t="s">
        <v>18</v>
      </c>
    </row>
    <row r="13" spans="2:8" ht="18" customHeight="1" x14ac:dyDescent="0.25">
      <c r="B13" s="4" t="s">
        <v>19</v>
      </c>
      <c r="C13" s="5" t="s">
        <v>20</v>
      </c>
      <c r="D13" s="6" t="s">
        <v>21</v>
      </c>
    </row>
    <row r="16" spans="2:8" ht="24.95" customHeight="1" x14ac:dyDescent="0.25">
      <c r="B16" s="55" t="s">
        <v>22</v>
      </c>
      <c r="C16" s="52"/>
      <c r="D16" s="52"/>
      <c r="E16" s="52"/>
      <c r="F16" s="52"/>
      <c r="G16" s="52"/>
      <c r="H16" s="52"/>
    </row>
    <row r="18" spans="2:8" ht="30" customHeight="1" x14ac:dyDescent="0.25">
      <c r="B18" s="1" t="s">
        <v>23</v>
      </c>
      <c r="C18" s="2" t="s">
        <v>24</v>
      </c>
      <c r="D18" s="2" t="s">
        <v>25</v>
      </c>
      <c r="E18" s="2" t="s">
        <v>26</v>
      </c>
      <c r="F18" s="2" t="s">
        <v>27</v>
      </c>
      <c r="G18" s="2" t="s">
        <v>28</v>
      </c>
      <c r="H18" s="3" t="s">
        <v>29</v>
      </c>
    </row>
    <row r="19" spans="2:8" ht="18" customHeight="1" x14ac:dyDescent="0.25">
      <c r="B19" s="4" t="s">
        <v>30</v>
      </c>
      <c r="C19" s="10">
        <v>4937</v>
      </c>
      <c r="D19" s="10">
        <v>154984725</v>
      </c>
      <c r="E19" s="11">
        <v>2403123112087</v>
      </c>
      <c r="F19" s="11">
        <v>2090156457008</v>
      </c>
      <c r="G19" s="11">
        <v>258156231731</v>
      </c>
      <c r="H19" s="12">
        <v>2817719699173</v>
      </c>
    </row>
    <row r="20" spans="2:8" ht="18" customHeight="1" x14ac:dyDescent="0.25">
      <c r="B20" s="7" t="s">
        <v>31</v>
      </c>
      <c r="C20" s="13">
        <v>3630</v>
      </c>
      <c r="D20" s="13">
        <v>56500506</v>
      </c>
      <c r="E20" s="14">
        <v>144823377275</v>
      </c>
      <c r="F20" s="14">
        <v>134418766149</v>
      </c>
      <c r="G20" s="14">
        <v>27568576370</v>
      </c>
      <c r="H20" s="15">
        <v>216937388824</v>
      </c>
    </row>
    <row r="21" spans="2:8" ht="18" customHeight="1" x14ac:dyDescent="0.25">
      <c r="B21" s="4" t="s">
        <v>32</v>
      </c>
      <c r="C21" s="10">
        <v>220</v>
      </c>
      <c r="D21" s="10">
        <v>2903638</v>
      </c>
      <c r="E21" s="11">
        <v>8978038714</v>
      </c>
      <c r="F21" s="11">
        <v>6507353870</v>
      </c>
      <c r="G21" s="11">
        <v>1618610833</v>
      </c>
      <c r="H21" s="12">
        <v>10690425633</v>
      </c>
    </row>
    <row r="22" spans="2:8" ht="18" customHeight="1" x14ac:dyDescent="0.25">
      <c r="B22" s="7" t="s">
        <v>33</v>
      </c>
      <c r="C22" s="13">
        <v>29181</v>
      </c>
      <c r="D22" s="13">
        <v>46364168</v>
      </c>
      <c r="E22" s="14">
        <v>12533361819</v>
      </c>
      <c r="F22" s="14">
        <v>13134597354</v>
      </c>
      <c r="G22" s="14">
        <v>1616157123</v>
      </c>
      <c r="H22" s="15">
        <v>13606786611</v>
      </c>
    </row>
    <row r="23" spans="2:8" ht="18" customHeight="1" x14ac:dyDescent="0.25">
      <c r="B23" s="16" t="s">
        <v>34</v>
      </c>
      <c r="C23" s="17">
        <v>37968</v>
      </c>
      <c r="D23" s="17">
        <v>260752037</v>
      </c>
      <c r="E23" s="18">
        <v>2569457889895</v>
      </c>
      <c r="F23" s="18">
        <v>2244216174381</v>
      </c>
      <c r="G23" s="18">
        <v>288959575057</v>
      </c>
      <c r="H23" s="19">
        <v>3058954300241</v>
      </c>
    </row>
    <row r="26" spans="2:8" ht="24.95" customHeight="1" x14ac:dyDescent="0.25">
      <c r="B26" s="51" t="s">
        <v>35</v>
      </c>
      <c r="C26" s="52"/>
      <c r="D26" s="52"/>
      <c r="E26" s="52"/>
      <c r="F26" s="52"/>
      <c r="G26" s="52"/>
      <c r="H26" s="52"/>
    </row>
    <row r="27" spans="2:8" ht="18" customHeight="1" x14ac:dyDescent="0.25">
      <c r="B27" s="20" t="s">
        <v>36</v>
      </c>
      <c r="C27" s="21" t="s">
        <v>37</v>
      </c>
    </row>
    <row r="28" spans="2:8" ht="18" customHeight="1" x14ac:dyDescent="0.25">
      <c r="B28" s="20" t="s">
        <v>30</v>
      </c>
      <c r="C28" s="21" t="s">
        <v>38</v>
      </c>
    </row>
    <row r="29" spans="2:8" ht="18" customHeight="1" x14ac:dyDescent="0.25">
      <c r="B29" s="20" t="s">
        <v>31</v>
      </c>
      <c r="C29" s="21" t="s">
        <v>39</v>
      </c>
    </row>
    <row r="30" spans="2:8" ht="18" customHeight="1" x14ac:dyDescent="0.25">
      <c r="B30" s="20" t="s">
        <v>32</v>
      </c>
      <c r="C30" s="21" t="s">
        <v>40</v>
      </c>
    </row>
    <row r="31" spans="2:8" ht="18" customHeight="1" x14ac:dyDescent="0.25">
      <c r="B31" s="20" t="s">
        <v>33</v>
      </c>
      <c r="C31" s="21" t="s">
        <v>41</v>
      </c>
    </row>
    <row r="32" spans="2:8" ht="18" customHeight="1" x14ac:dyDescent="0.25">
      <c r="B32" s="20" t="s">
        <v>42</v>
      </c>
      <c r="C32" s="21" t="s">
        <v>43</v>
      </c>
    </row>
    <row r="33" spans="2:8" ht="18" customHeight="1" x14ac:dyDescent="0.25">
      <c r="B33" s="20" t="s">
        <v>44</v>
      </c>
      <c r="C33" s="21" t="s">
        <v>45</v>
      </c>
    </row>
    <row r="34" spans="2:8" ht="18" customHeight="1" x14ac:dyDescent="0.25">
      <c r="B34" s="20" t="s">
        <v>46</v>
      </c>
      <c r="C34" s="21" t="s">
        <v>47</v>
      </c>
    </row>
    <row r="35" spans="2:8" ht="18" customHeight="1" x14ac:dyDescent="0.25">
      <c r="B35" s="20" t="s">
        <v>48</v>
      </c>
      <c r="C35" s="21" t="s">
        <v>49</v>
      </c>
    </row>
    <row r="36" spans="2:8" ht="18" customHeight="1" x14ac:dyDescent="0.25">
      <c r="B36" s="20" t="s">
        <v>50</v>
      </c>
      <c r="C36" s="21" t="s">
        <v>51</v>
      </c>
    </row>
    <row r="39" spans="2:8" ht="24.95" customHeight="1" x14ac:dyDescent="0.25">
      <c r="B39" s="55" t="s">
        <v>52</v>
      </c>
      <c r="C39" s="52"/>
      <c r="D39" s="52"/>
      <c r="E39" s="52"/>
      <c r="F39" s="52"/>
      <c r="G39" s="52"/>
      <c r="H39" s="52"/>
    </row>
    <row r="40" spans="2:8" ht="20.100000000000001" customHeight="1" x14ac:dyDescent="0.25">
      <c r="B40" s="53" t="s">
        <v>53</v>
      </c>
      <c r="C40" s="52"/>
      <c r="D40" s="52"/>
      <c r="E40" s="52"/>
      <c r="F40" s="52"/>
      <c r="G40" s="52"/>
      <c r="H40" s="52"/>
    </row>
    <row r="41" spans="2:8" ht="20.100000000000001" customHeight="1" x14ac:dyDescent="0.25">
      <c r="B41" s="53" t="s">
        <v>54</v>
      </c>
      <c r="C41" s="52"/>
      <c r="D41" s="52"/>
      <c r="E41" s="52"/>
      <c r="F41" s="52"/>
      <c r="G41" s="52"/>
      <c r="H41" s="52"/>
    </row>
    <row r="42" spans="2:8" ht="20.100000000000001" customHeight="1" x14ac:dyDescent="0.25">
      <c r="B42" s="53" t="s">
        <v>55</v>
      </c>
      <c r="C42" s="52"/>
      <c r="D42" s="52"/>
      <c r="E42" s="52"/>
      <c r="F42" s="52"/>
      <c r="G42" s="52"/>
      <c r="H42" s="52"/>
    </row>
    <row r="43" spans="2:8" ht="20.100000000000001" customHeight="1" x14ac:dyDescent="0.25">
      <c r="B43" s="53" t="s">
        <v>56</v>
      </c>
      <c r="C43" s="52"/>
      <c r="D43" s="52"/>
      <c r="E43" s="52"/>
      <c r="F43" s="52"/>
      <c r="G43" s="52"/>
      <c r="H43" s="52"/>
    </row>
    <row r="44" spans="2:8" ht="20.100000000000001" customHeight="1" x14ac:dyDescent="0.25">
      <c r="B44" s="53" t="s">
        <v>57</v>
      </c>
      <c r="C44" s="52"/>
      <c r="D44" s="52"/>
      <c r="E44" s="52"/>
      <c r="F44" s="52"/>
      <c r="G44" s="52"/>
      <c r="H44" s="52"/>
    </row>
    <row r="45" spans="2:8" ht="20.100000000000001" customHeight="1" x14ac:dyDescent="0.25">
      <c r="B45" s="53" t="s">
        <v>58</v>
      </c>
      <c r="C45" s="52"/>
      <c r="D45" s="52"/>
      <c r="E45" s="52"/>
      <c r="F45" s="52"/>
      <c r="G45" s="52"/>
      <c r="H45" s="52"/>
    </row>
    <row r="46" spans="2:8" ht="20.100000000000001" customHeight="1" x14ac:dyDescent="0.25">
      <c r="B46" s="53" t="s">
        <v>59</v>
      </c>
      <c r="C46" s="52"/>
      <c r="D46" s="52"/>
      <c r="E46" s="52"/>
      <c r="F46" s="52"/>
      <c r="G46" s="52"/>
      <c r="H46" s="52"/>
    </row>
    <row r="47" spans="2:8" ht="20.100000000000001" customHeight="1" x14ac:dyDescent="0.25">
      <c r="B47" s="53" t="s">
        <v>60</v>
      </c>
      <c r="C47" s="52"/>
      <c r="D47" s="52"/>
      <c r="E47" s="52"/>
      <c r="F47" s="52"/>
      <c r="G47" s="52"/>
      <c r="H47" s="52"/>
    </row>
    <row r="49" spans="2:8" x14ac:dyDescent="0.25">
      <c r="B49" s="54" t="s">
        <v>61</v>
      </c>
      <c r="C49" s="52"/>
      <c r="D49" s="52"/>
      <c r="E49" s="52"/>
      <c r="F49" s="52"/>
      <c r="G49" s="52"/>
      <c r="H49" s="52"/>
    </row>
  </sheetData>
  <mergeCells count="16">
    <mergeCell ref="B2:H2"/>
    <mergeCell ref="B42:H42"/>
    <mergeCell ref="B3:H3"/>
    <mergeCell ref="B45:H45"/>
    <mergeCell ref="B46:H46"/>
    <mergeCell ref="B26:H26"/>
    <mergeCell ref="B40:H40"/>
    <mergeCell ref="B41:H41"/>
    <mergeCell ref="B49:H49"/>
    <mergeCell ref="B4:H4"/>
    <mergeCell ref="B44:H44"/>
    <mergeCell ref="B43:H43"/>
    <mergeCell ref="B39:H39"/>
    <mergeCell ref="B6:H6"/>
    <mergeCell ref="B47:H47"/>
    <mergeCell ref="B16:H16"/>
  </mergeCells>
  <hyperlinks>
    <hyperlink ref="B28" location="'North America'!A1" display="North America" xr:uid="{00000000-0004-0000-0000-000000000000}"/>
    <hyperlink ref="B29" location="'Latin America'!A1" display="Latin America" xr:uid="{00000000-0004-0000-0000-000001000000}"/>
    <hyperlink ref="B30" location="'Caribbean'!A1" display="Caribbean" xr:uid="{00000000-0004-0000-0000-000002000000}"/>
    <hyperlink ref="B31" location="'Africa'!A1" display="Africa" xr:uid="{00000000-0004-0000-0000-000003000000}"/>
    <hyperlink ref="B32" location="'Demographics'!A1" display="Demographics" xr:uid="{00000000-0004-0000-0000-000004000000}"/>
    <hyperlink ref="B33" location="'Loan Composition'!A1" display="Loan Composition" xr:uid="{00000000-0004-0000-0000-000005000000}"/>
    <hyperlink ref="B34" location="'Performance'!A1" display="Performance" xr:uid="{00000000-0004-0000-0000-000006000000}"/>
    <hyperlink ref="B35" location="'Top Institutions'!A1" display="Top Institutions" xr:uid="{00000000-0004-0000-0000-000007000000}"/>
    <hyperlink ref="B36" location="'Data Sources'!A1" display="Data Sources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5"/>
  <sheetViews>
    <sheetView showGridLines="0" workbookViewId="0"/>
  </sheetViews>
  <sheetFormatPr defaultRowHeight="15" x14ac:dyDescent="0.25"/>
  <cols>
    <col min="1" max="1" width="3" customWidth="1"/>
    <col min="2" max="2" width="30" customWidth="1"/>
    <col min="3" max="5" width="20" customWidth="1"/>
    <col min="6" max="6" width="18" customWidth="1"/>
    <col min="7" max="7" width="20" customWidth="1"/>
    <col min="8" max="10" width="16" customWidth="1"/>
  </cols>
  <sheetData>
    <row r="2" spans="2:10" ht="35.1" customHeight="1" x14ac:dyDescent="0.35">
      <c r="B2" s="56" t="s">
        <v>62</v>
      </c>
      <c r="C2" s="52"/>
      <c r="D2" s="52"/>
      <c r="E2" s="52"/>
      <c r="F2" s="52"/>
      <c r="G2" s="52"/>
      <c r="H2" s="52"/>
      <c r="I2" s="52"/>
      <c r="J2" s="52"/>
    </row>
    <row r="3" spans="2:10" ht="15.75" x14ac:dyDescent="0.25">
      <c r="B3" s="57" t="s">
        <v>63</v>
      </c>
      <c r="C3" s="52"/>
      <c r="D3" s="52"/>
      <c r="E3" s="52"/>
      <c r="F3" s="52"/>
      <c r="G3" s="52"/>
      <c r="H3" s="52"/>
      <c r="I3" s="52"/>
      <c r="J3" s="52"/>
    </row>
    <row r="5" spans="2:10" ht="24.95" customHeight="1" x14ac:dyDescent="0.25">
      <c r="B5" s="55" t="s">
        <v>64</v>
      </c>
      <c r="C5" s="52"/>
      <c r="D5" s="52"/>
      <c r="E5" s="52"/>
      <c r="F5" s="52"/>
      <c r="G5" s="52"/>
      <c r="H5" s="52"/>
      <c r="I5" s="52"/>
      <c r="J5" s="52"/>
    </row>
    <row r="7" spans="2:10" ht="30" customHeight="1" x14ac:dyDescent="0.25">
      <c r="B7" s="1" t="s">
        <v>65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3" t="s">
        <v>66</v>
      </c>
    </row>
    <row r="8" spans="2:10" ht="18" customHeight="1" x14ac:dyDescent="0.25">
      <c r="B8" s="4" t="s">
        <v>67</v>
      </c>
      <c r="C8" s="10">
        <v>4549</v>
      </c>
      <c r="D8" s="10">
        <v>143662741</v>
      </c>
      <c r="E8" s="11">
        <v>1979158925789</v>
      </c>
      <c r="F8" s="11">
        <v>1663552560982</v>
      </c>
      <c r="G8" s="11">
        <v>225178409019</v>
      </c>
      <c r="H8" s="11">
        <v>2330397955260</v>
      </c>
      <c r="I8" s="6" t="s">
        <v>68</v>
      </c>
    </row>
    <row r="9" spans="2:10" ht="18" customHeight="1" x14ac:dyDescent="0.25">
      <c r="B9" s="7" t="s">
        <v>69</v>
      </c>
      <c r="C9" s="13">
        <v>388</v>
      </c>
      <c r="D9" s="13">
        <v>11321984</v>
      </c>
      <c r="E9" s="14">
        <v>423964186298</v>
      </c>
      <c r="F9" s="14">
        <v>426603896026</v>
      </c>
      <c r="G9" s="14">
        <v>32977822712</v>
      </c>
      <c r="H9" s="14">
        <v>487321743913</v>
      </c>
      <c r="I9" s="9" t="s">
        <v>68</v>
      </c>
    </row>
    <row r="10" spans="2:10" ht="18" customHeight="1" x14ac:dyDescent="0.25">
      <c r="B10" s="16" t="s">
        <v>70</v>
      </c>
      <c r="C10" s="17">
        <v>4937</v>
      </c>
      <c r="D10" s="17">
        <v>154984725</v>
      </c>
      <c r="E10" s="18">
        <v>2403123112087</v>
      </c>
      <c r="F10" s="18">
        <v>2090156457008</v>
      </c>
      <c r="G10" s="18">
        <v>258156231731</v>
      </c>
      <c r="H10" s="18">
        <v>2817719699173</v>
      </c>
      <c r="I10" s="22" t="s">
        <v>68</v>
      </c>
    </row>
    <row r="13" spans="2:10" ht="24.95" customHeight="1" x14ac:dyDescent="0.25">
      <c r="B13" s="55" t="s">
        <v>71</v>
      </c>
      <c r="C13" s="52"/>
      <c r="D13" s="52"/>
      <c r="E13" s="52"/>
      <c r="F13" s="52"/>
      <c r="G13" s="52"/>
      <c r="H13" s="52"/>
      <c r="I13" s="52"/>
      <c r="J13" s="52"/>
    </row>
    <row r="15" spans="2:10" ht="30" customHeight="1" x14ac:dyDescent="0.25">
      <c r="B15" s="1" t="s">
        <v>72</v>
      </c>
      <c r="C15" s="2" t="s">
        <v>24</v>
      </c>
      <c r="D15" s="2" t="s">
        <v>25</v>
      </c>
      <c r="E15" s="2" t="s">
        <v>73</v>
      </c>
      <c r="F15" s="2" t="s">
        <v>74</v>
      </c>
      <c r="G15" s="2" t="s">
        <v>75</v>
      </c>
      <c r="H15" s="2" t="s">
        <v>76</v>
      </c>
      <c r="I15" s="2" t="s">
        <v>77</v>
      </c>
      <c r="J15" s="3" t="s">
        <v>78</v>
      </c>
    </row>
    <row r="16" spans="2:10" ht="18" customHeight="1" x14ac:dyDescent="0.25">
      <c r="B16" s="4" t="s">
        <v>79</v>
      </c>
      <c r="C16" s="10">
        <v>4530</v>
      </c>
      <c r="D16" s="5"/>
      <c r="E16" s="11">
        <v>2310000000000</v>
      </c>
      <c r="F16" s="11">
        <v>1650000000000</v>
      </c>
      <c r="G16" s="5"/>
      <c r="H16" s="5"/>
      <c r="I16" s="5"/>
      <c r="J16" s="6"/>
    </row>
    <row r="17" spans="2:10" ht="18" customHeight="1" x14ac:dyDescent="0.25">
      <c r="B17" s="7" t="s">
        <v>80</v>
      </c>
      <c r="C17" s="13">
        <v>4504</v>
      </c>
      <c r="D17" s="8"/>
      <c r="E17" s="8"/>
      <c r="F17" s="14">
        <v>1668400000000</v>
      </c>
      <c r="G17" s="8"/>
      <c r="H17" s="8"/>
      <c r="I17" s="8"/>
      <c r="J17" s="9"/>
    </row>
    <row r="18" spans="2:10" ht="18" customHeight="1" x14ac:dyDescent="0.25">
      <c r="B18" s="4" t="s">
        <v>81</v>
      </c>
      <c r="C18" s="10">
        <v>4488</v>
      </c>
      <c r="D18" s="10">
        <v>141100000</v>
      </c>
      <c r="E18" s="11">
        <v>2370000000000</v>
      </c>
      <c r="F18" s="11">
        <v>1670000000000</v>
      </c>
      <c r="G18" s="11">
        <v>1840000000000</v>
      </c>
      <c r="H18" s="23">
        <v>0.10630000000000001</v>
      </c>
      <c r="I18" s="23">
        <v>9.5999999999999992E-3</v>
      </c>
      <c r="J18" s="24">
        <v>9.5999999999999992E-3</v>
      </c>
    </row>
    <row r="19" spans="2:10" ht="18" customHeight="1" x14ac:dyDescent="0.25">
      <c r="B19" s="7" t="s">
        <v>82</v>
      </c>
      <c r="C19" s="13">
        <v>4460</v>
      </c>
      <c r="D19" s="13">
        <v>141000000</v>
      </c>
      <c r="E19" s="14">
        <v>2400000000000</v>
      </c>
      <c r="F19" s="14">
        <v>1680000000000</v>
      </c>
      <c r="G19" s="14">
        <v>1880000000000</v>
      </c>
      <c r="H19" s="8"/>
      <c r="I19" s="8"/>
      <c r="J19" s="9"/>
    </row>
    <row r="22" spans="2:10" ht="24.95" customHeight="1" x14ac:dyDescent="0.25">
      <c r="B22" s="55" t="s">
        <v>83</v>
      </c>
      <c r="C22" s="52"/>
      <c r="D22" s="52"/>
      <c r="E22" s="52"/>
      <c r="F22" s="52"/>
      <c r="G22" s="52"/>
      <c r="H22" s="52"/>
      <c r="I22" s="52"/>
      <c r="J22" s="52"/>
    </row>
    <row r="24" spans="2:10" ht="30" customHeight="1" x14ac:dyDescent="0.25">
      <c r="B24" s="1" t="s">
        <v>4</v>
      </c>
      <c r="C24" s="2" t="s">
        <v>84</v>
      </c>
      <c r="D24" s="2" t="s">
        <v>81</v>
      </c>
      <c r="E24" s="2" t="s">
        <v>82</v>
      </c>
      <c r="F24" s="3" t="s">
        <v>85</v>
      </c>
    </row>
    <row r="25" spans="2:10" ht="18" customHeight="1" x14ac:dyDescent="0.25">
      <c r="B25" s="4" t="s">
        <v>86</v>
      </c>
      <c r="C25" s="25">
        <v>55</v>
      </c>
      <c r="D25" s="25">
        <v>52</v>
      </c>
      <c r="E25" s="25">
        <v>50</v>
      </c>
      <c r="F25" s="6" t="s">
        <v>87</v>
      </c>
    </row>
    <row r="26" spans="2:10" ht="18" customHeight="1" x14ac:dyDescent="0.25">
      <c r="B26" s="7" t="s">
        <v>88</v>
      </c>
      <c r="C26" s="26">
        <v>1761</v>
      </c>
      <c r="D26" s="26">
        <v>1751</v>
      </c>
      <c r="E26" s="26">
        <v>1755</v>
      </c>
      <c r="F26" s="9" t="s">
        <v>89</v>
      </c>
    </row>
    <row r="27" spans="2:10" ht="18" customHeight="1" x14ac:dyDescent="0.25">
      <c r="B27" s="4" t="s">
        <v>90</v>
      </c>
      <c r="C27" s="25">
        <v>98.76</v>
      </c>
      <c r="D27" s="25">
        <v>102.14</v>
      </c>
      <c r="E27" s="25">
        <v>102.83</v>
      </c>
      <c r="F27" s="6" t="s">
        <v>91</v>
      </c>
    </row>
    <row r="28" spans="2:10" ht="18" customHeight="1" x14ac:dyDescent="0.25">
      <c r="B28" s="7" t="s">
        <v>92</v>
      </c>
      <c r="C28" s="26">
        <v>85.62</v>
      </c>
      <c r="D28" s="26">
        <v>89.06</v>
      </c>
      <c r="E28" s="26">
        <v>90.55</v>
      </c>
      <c r="F28" s="9" t="s">
        <v>93</v>
      </c>
    </row>
    <row r="29" spans="2:10" ht="18" customHeight="1" x14ac:dyDescent="0.25">
      <c r="B29" s="4" t="s">
        <v>94</v>
      </c>
      <c r="C29" s="25">
        <v>77.599999999999994</v>
      </c>
      <c r="D29" s="25">
        <v>81.150000000000006</v>
      </c>
      <c r="E29" s="25">
        <v>81.88</v>
      </c>
      <c r="F29" s="6" t="s">
        <v>95</v>
      </c>
    </row>
    <row r="30" spans="2:10" ht="18" customHeight="1" x14ac:dyDescent="0.25">
      <c r="B30" s="7" t="s">
        <v>96</v>
      </c>
      <c r="C30" s="26">
        <v>7.08</v>
      </c>
      <c r="D30" s="26">
        <v>7.2</v>
      </c>
      <c r="E30" s="26">
        <v>7.31</v>
      </c>
      <c r="F30" s="9" t="s">
        <v>97</v>
      </c>
    </row>
    <row r="31" spans="2:10" ht="18" customHeight="1" x14ac:dyDescent="0.25">
      <c r="B31" s="4" t="s">
        <v>98</v>
      </c>
      <c r="C31" s="25">
        <v>7.2099999999999997E-2</v>
      </c>
      <c r="D31" s="25">
        <v>6.9599999999999995E-2</v>
      </c>
      <c r="E31" s="25">
        <v>6.8599999999999994E-2</v>
      </c>
      <c r="F31" s="6"/>
    </row>
    <row r="32" spans="2:10" ht="18" customHeight="1" x14ac:dyDescent="0.25">
      <c r="B32" s="7" t="s">
        <v>99</v>
      </c>
      <c r="C32" s="26">
        <v>8.8000000000000005E-3</v>
      </c>
      <c r="D32" s="26">
        <v>1.18E-2</v>
      </c>
      <c r="E32" s="26">
        <v>1.3299999999999999E-2</v>
      </c>
      <c r="F32" s="9"/>
    </row>
    <row r="34" spans="2:6" x14ac:dyDescent="0.25">
      <c r="B34" s="58" t="s">
        <v>100</v>
      </c>
      <c r="C34" s="52"/>
      <c r="D34" s="52"/>
      <c r="E34" s="52"/>
      <c r="F34" s="52"/>
    </row>
    <row r="35" spans="2:6" x14ac:dyDescent="0.25">
      <c r="B35" s="54" t="s">
        <v>101</v>
      </c>
      <c r="C35" s="52"/>
      <c r="D35" s="52"/>
      <c r="E35" s="52"/>
      <c r="F35" s="52"/>
    </row>
  </sheetData>
  <mergeCells count="7">
    <mergeCell ref="B2:J2"/>
    <mergeCell ref="B35:F35"/>
    <mergeCell ref="B3:J3"/>
    <mergeCell ref="B5:J5"/>
    <mergeCell ref="B34:F34"/>
    <mergeCell ref="B22:J22"/>
    <mergeCell ref="B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5"/>
  <sheetViews>
    <sheetView showGridLines="0" workbookViewId="0"/>
  </sheetViews>
  <sheetFormatPr defaultRowHeight="15" x14ac:dyDescent="0.25"/>
  <cols>
    <col min="1" max="1" width="3" customWidth="1"/>
    <col min="2" max="2" width="18" customWidth="1"/>
    <col min="3" max="3" width="24" customWidth="1"/>
    <col min="4" max="4" width="22" customWidth="1"/>
    <col min="5" max="5" width="20" customWidth="1"/>
    <col min="6" max="6" width="22" customWidth="1"/>
    <col min="7" max="7" width="20" customWidth="1"/>
    <col min="8" max="8" width="22" customWidth="1"/>
    <col min="9" max="11" width="18" customWidth="1"/>
  </cols>
  <sheetData>
    <row r="2" spans="2:11" ht="35.1" customHeight="1" x14ac:dyDescent="0.35">
      <c r="B2" s="56" t="s">
        <v>102</v>
      </c>
      <c r="C2" s="52"/>
      <c r="D2" s="52"/>
      <c r="E2" s="52"/>
      <c r="F2" s="52"/>
      <c r="G2" s="52"/>
      <c r="H2" s="52"/>
      <c r="I2" s="52"/>
      <c r="J2" s="52"/>
      <c r="K2" s="52"/>
    </row>
    <row r="3" spans="2:11" ht="15.75" x14ac:dyDescent="0.25">
      <c r="B3" s="57" t="s">
        <v>103</v>
      </c>
      <c r="C3" s="52"/>
      <c r="D3" s="52"/>
      <c r="E3" s="52"/>
      <c r="F3" s="52"/>
      <c r="G3" s="52"/>
      <c r="H3" s="52"/>
      <c r="I3" s="52"/>
      <c r="J3" s="52"/>
      <c r="K3" s="52"/>
    </row>
    <row r="5" spans="2:11" ht="24.95" customHeight="1" x14ac:dyDescent="0.25">
      <c r="B5" s="55" t="s">
        <v>104</v>
      </c>
      <c r="C5" s="52"/>
      <c r="D5" s="52"/>
      <c r="E5" s="52"/>
      <c r="F5" s="52"/>
      <c r="G5" s="52"/>
      <c r="H5" s="52"/>
      <c r="I5" s="52"/>
      <c r="J5" s="52"/>
      <c r="K5" s="52"/>
    </row>
    <row r="7" spans="2:11" ht="30" customHeight="1" x14ac:dyDescent="0.25">
      <c r="B7" s="1" t="s">
        <v>65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105</v>
      </c>
      <c r="J7" s="2" t="s">
        <v>106</v>
      </c>
      <c r="K7" s="3" t="s">
        <v>107</v>
      </c>
    </row>
    <row r="8" spans="2:11" ht="18" customHeight="1" x14ac:dyDescent="0.25">
      <c r="B8" s="4" t="s">
        <v>108</v>
      </c>
      <c r="C8" s="10">
        <v>41</v>
      </c>
      <c r="D8" s="10">
        <v>1148406</v>
      </c>
      <c r="E8" s="11">
        <v>1061000000</v>
      </c>
      <c r="F8" s="11">
        <v>1060000000</v>
      </c>
      <c r="G8" s="11">
        <v>198000000</v>
      </c>
      <c r="H8" s="11">
        <v>1549000000</v>
      </c>
      <c r="I8" s="10">
        <v>1081</v>
      </c>
      <c r="J8" s="10">
        <v>1088</v>
      </c>
      <c r="K8" s="27">
        <v>214</v>
      </c>
    </row>
    <row r="9" spans="2:11" ht="18" customHeight="1" x14ac:dyDescent="0.25">
      <c r="B9" s="7" t="s">
        <v>109</v>
      </c>
      <c r="C9" s="13">
        <v>753</v>
      </c>
      <c r="D9" s="13">
        <v>21343774</v>
      </c>
      <c r="E9" s="14">
        <v>83217362644</v>
      </c>
      <c r="F9" s="14">
        <v>73506972715</v>
      </c>
      <c r="G9" s="14">
        <v>18887241950</v>
      </c>
      <c r="H9" s="14">
        <v>129958516964</v>
      </c>
      <c r="I9" s="13">
        <v>73405</v>
      </c>
      <c r="J9" s="13">
        <v>83102</v>
      </c>
      <c r="K9" s="28">
        <v>18861</v>
      </c>
    </row>
    <row r="10" spans="2:11" ht="18" customHeight="1" x14ac:dyDescent="0.25">
      <c r="B10" s="4" t="s">
        <v>110</v>
      </c>
      <c r="C10" s="10">
        <v>42</v>
      </c>
      <c r="D10" s="10">
        <v>2017263</v>
      </c>
      <c r="E10" s="11">
        <v>2621000000</v>
      </c>
      <c r="F10" s="11">
        <v>3180000000</v>
      </c>
      <c r="G10" s="11">
        <v>907000000</v>
      </c>
      <c r="H10" s="11">
        <v>4293000000</v>
      </c>
      <c r="I10" s="10">
        <v>3038</v>
      </c>
      <c r="J10" s="10">
        <v>3229</v>
      </c>
      <c r="K10" s="27">
        <v>865</v>
      </c>
    </row>
    <row r="11" spans="2:11" ht="18" customHeight="1" x14ac:dyDescent="0.25">
      <c r="B11" s="7" t="s">
        <v>111</v>
      </c>
      <c r="C11" s="13">
        <v>172</v>
      </c>
      <c r="D11" s="13">
        <v>4400000</v>
      </c>
      <c r="E11" s="14">
        <v>2973422952</v>
      </c>
      <c r="F11" s="14">
        <v>3860910260</v>
      </c>
      <c r="G11" s="14">
        <v>1541186400</v>
      </c>
      <c r="H11" s="14">
        <v>6108803826</v>
      </c>
      <c r="I11" s="13">
        <v>4832</v>
      </c>
      <c r="J11" s="13">
        <v>3665</v>
      </c>
      <c r="K11" s="28">
        <v>1996</v>
      </c>
    </row>
    <row r="12" spans="2:11" ht="18" customHeight="1" x14ac:dyDescent="0.25">
      <c r="B12" s="4" t="s">
        <v>112</v>
      </c>
      <c r="C12" s="10">
        <v>52</v>
      </c>
      <c r="D12" s="10">
        <v>701621</v>
      </c>
      <c r="E12" s="11">
        <v>4409002273</v>
      </c>
      <c r="F12" s="11">
        <v>4557533082</v>
      </c>
      <c r="G12" s="11">
        <v>257585726</v>
      </c>
      <c r="H12" s="11">
        <v>7166481361</v>
      </c>
      <c r="I12" s="10">
        <v>4722</v>
      </c>
      <c r="J12" s="10">
        <v>5697</v>
      </c>
      <c r="K12" s="27">
        <v>1542</v>
      </c>
    </row>
    <row r="13" spans="2:11" ht="18" customHeight="1" x14ac:dyDescent="0.25">
      <c r="B13" s="7" t="s">
        <v>113</v>
      </c>
      <c r="C13" s="13">
        <v>17</v>
      </c>
      <c r="D13" s="13">
        <v>1458374</v>
      </c>
      <c r="E13" s="14">
        <v>1624111836</v>
      </c>
      <c r="F13" s="14">
        <v>2108729795</v>
      </c>
      <c r="G13" s="14">
        <v>450602900</v>
      </c>
      <c r="H13" s="14">
        <v>2869371842</v>
      </c>
      <c r="I13" s="13">
        <v>2142</v>
      </c>
      <c r="J13" s="13">
        <v>1650</v>
      </c>
      <c r="K13" s="28">
        <v>966</v>
      </c>
    </row>
    <row r="14" spans="2:11" ht="18" customHeight="1" x14ac:dyDescent="0.25">
      <c r="B14" s="4" t="s">
        <v>114</v>
      </c>
      <c r="C14" s="10">
        <v>398</v>
      </c>
      <c r="D14" s="10">
        <v>6068627</v>
      </c>
      <c r="E14" s="11">
        <v>23036000000</v>
      </c>
      <c r="F14" s="11">
        <v>19567000000</v>
      </c>
      <c r="G14" s="11">
        <v>152565375</v>
      </c>
      <c r="H14" s="11">
        <v>28307000000</v>
      </c>
      <c r="I14" s="10">
        <v>19462</v>
      </c>
      <c r="J14" s="10">
        <v>18551</v>
      </c>
      <c r="K14" s="27">
        <v>5495</v>
      </c>
    </row>
    <row r="15" spans="2:11" ht="18" customHeight="1" x14ac:dyDescent="0.25">
      <c r="B15" s="7" t="s">
        <v>115</v>
      </c>
      <c r="C15" s="13">
        <v>344</v>
      </c>
      <c r="D15" s="13">
        <v>610000</v>
      </c>
      <c r="E15" s="14">
        <v>3543000000</v>
      </c>
      <c r="F15" s="14">
        <v>4378000000</v>
      </c>
      <c r="G15" s="14">
        <v>947000000</v>
      </c>
      <c r="H15" s="14">
        <v>5568000000</v>
      </c>
      <c r="I15" s="13">
        <v>5177</v>
      </c>
      <c r="J15" s="13">
        <v>4331</v>
      </c>
      <c r="K15" s="28">
        <v>1116</v>
      </c>
    </row>
    <row r="16" spans="2:11" ht="18" customHeight="1" x14ac:dyDescent="0.25">
      <c r="B16" s="4" t="s">
        <v>116</v>
      </c>
      <c r="C16" s="10">
        <v>473</v>
      </c>
      <c r="D16" s="10">
        <v>2926834</v>
      </c>
      <c r="E16" s="11">
        <v>3816519212</v>
      </c>
      <c r="F16" s="11">
        <v>3668487679</v>
      </c>
      <c r="G16" s="11">
        <v>477007820</v>
      </c>
      <c r="H16" s="11">
        <v>4944675213</v>
      </c>
      <c r="I16" s="10">
        <v>3656</v>
      </c>
      <c r="J16" s="10">
        <v>3761</v>
      </c>
      <c r="K16" s="27">
        <v>801</v>
      </c>
    </row>
    <row r="17" spans="2:11" ht="18" customHeight="1" x14ac:dyDescent="0.25">
      <c r="B17" s="7" t="s">
        <v>117</v>
      </c>
      <c r="C17" s="13">
        <v>341</v>
      </c>
      <c r="D17" s="13">
        <v>1105958</v>
      </c>
      <c r="E17" s="14">
        <v>1280000000</v>
      </c>
      <c r="F17" s="14">
        <v>2069000000</v>
      </c>
      <c r="G17" s="14">
        <v>1238000000</v>
      </c>
      <c r="H17" s="14">
        <v>2899000000</v>
      </c>
      <c r="I17" s="13">
        <v>2243</v>
      </c>
      <c r="J17" s="13">
        <v>1313</v>
      </c>
      <c r="K17" s="28">
        <v>1297</v>
      </c>
    </row>
    <row r="18" spans="2:11" ht="18" customHeight="1" x14ac:dyDescent="0.25">
      <c r="B18" s="4" t="s">
        <v>118</v>
      </c>
      <c r="C18" s="10">
        <v>155</v>
      </c>
      <c r="D18" s="10">
        <v>9440381</v>
      </c>
      <c r="E18" s="11">
        <v>10869039510</v>
      </c>
      <c r="F18" s="11">
        <v>7574525531</v>
      </c>
      <c r="G18" s="11">
        <v>567814233</v>
      </c>
      <c r="H18" s="11">
        <v>13751868351</v>
      </c>
      <c r="I18" s="10">
        <v>8054</v>
      </c>
      <c r="J18" s="10">
        <v>11032</v>
      </c>
      <c r="K18" s="27">
        <v>2575</v>
      </c>
    </row>
    <row r="19" spans="2:11" ht="18" customHeight="1" x14ac:dyDescent="0.25">
      <c r="B19" s="7" t="s">
        <v>119</v>
      </c>
      <c r="C19" s="13">
        <v>450</v>
      </c>
      <c r="D19" s="13">
        <v>228121</v>
      </c>
      <c r="E19" s="14">
        <v>2051535017</v>
      </c>
      <c r="F19" s="14">
        <v>3578785695</v>
      </c>
      <c r="G19" s="14">
        <v>217368626</v>
      </c>
      <c r="H19" s="14">
        <v>2687946499</v>
      </c>
      <c r="I19" s="8"/>
      <c r="J19" s="13">
        <v>1285</v>
      </c>
      <c r="K19" s="28">
        <v>409</v>
      </c>
    </row>
    <row r="20" spans="2:11" ht="18" customHeight="1" x14ac:dyDescent="0.25">
      <c r="B20" s="4" t="s">
        <v>120</v>
      </c>
      <c r="C20" s="10">
        <v>56</v>
      </c>
      <c r="D20" s="10">
        <v>1823696</v>
      </c>
      <c r="E20" s="11">
        <v>2316278723</v>
      </c>
      <c r="F20" s="11">
        <v>2521032643</v>
      </c>
      <c r="G20" s="11">
        <v>639856001</v>
      </c>
      <c r="H20" s="11">
        <v>3352845445</v>
      </c>
      <c r="I20" s="10">
        <v>2542</v>
      </c>
      <c r="J20" s="10">
        <v>2313</v>
      </c>
      <c r="K20" s="27">
        <v>682</v>
      </c>
    </row>
    <row r="21" spans="2:11" ht="18" customHeight="1" x14ac:dyDescent="0.25">
      <c r="B21" s="7" t="s">
        <v>121</v>
      </c>
      <c r="C21" s="13">
        <v>247</v>
      </c>
      <c r="D21" s="13">
        <v>2677451</v>
      </c>
      <c r="E21" s="14">
        <v>2005105108</v>
      </c>
      <c r="F21" s="14">
        <v>2547788748</v>
      </c>
      <c r="G21" s="14">
        <v>789347338</v>
      </c>
      <c r="H21" s="14">
        <v>3121879324</v>
      </c>
      <c r="I21" s="13">
        <v>2667</v>
      </c>
      <c r="J21" s="13">
        <v>2170</v>
      </c>
      <c r="K21" s="28">
        <v>584</v>
      </c>
    </row>
    <row r="22" spans="2:11" ht="18" customHeight="1" x14ac:dyDescent="0.25">
      <c r="B22" s="4" t="s">
        <v>122</v>
      </c>
      <c r="C22" s="10">
        <v>89</v>
      </c>
      <c r="D22" s="10">
        <v>550000</v>
      </c>
      <c r="E22" s="5"/>
      <c r="F22" s="11">
        <v>240000000</v>
      </c>
      <c r="G22" s="11">
        <v>298000000</v>
      </c>
      <c r="H22" s="11">
        <v>359000000</v>
      </c>
      <c r="I22" s="10">
        <v>231</v>
      </c>
      <c r="J22" s="5"/>
      <c r="K22" s="27">
        <v>284</v>
      </c>
    </row>
    <row r="23" spans="2:11" ht="18" customHeight="1" x14ac:dyDescent="0.25">
      <c r="B23" s="16" t="s">
        <v>70</v>
      </c>
      <c r="C23" s="17">
        <v>3630</v>
      </c>
      <c r="D23" s="17">
        <v>56500506</v>
      </c>
      <c r="E23" s="18">
        <v>144823377275</v>
      </c>
      <c r="F23" s="18">
        <v>134418766149</v>
      </c>
      <c r="G23" s="18">
        <v>27568576370</v>
      </c>
      <c r="H23" s="18">
        <v>216937388824</v>
      </c>
      <c r="I23" s="29"/>
      <c r="J23" s="29"/>
      <c r="K23" s="22"/>
    </row>
    <row r="26" spans="2:11" ht="24.95" customHeight="1" x14ac:dyDescent="0.25">
      <c r="B26" s="55" t="s">
        <v>123</v>
      </c>
      <c r="C26" s="52"/>
      <c r="D26" s="52"/>
      <c r="E26" s="52"/>
      <c r="F26" s="52"/>
      <c r="G26" s="52"/>
      <c r="H26" s="52"/>
    </row>
    <row r="28" spans="2:11" ht="30" customHeight="1" x14ac:dyDescent="0.25">
      <c r="B28" s="1" t="s">
        <v>65</v>
      </c>
      <c r="C28" s="2" t="s">
        <v>124</v>
      </c>
      <c r="D28" s="2" t="s">
        <v>125</v>
      </c>
      <c r="E28" s="2" t="s">
        <v>126</v>
      </c>
      <c r="F28" s="3" t="s">
        <v>127</v>
      </c>
    </row>
    <row r="29" spans="2:11" ht="18" customHeight="1" x14ac:dyDescent="0.25">
      <c r="B29" s="4" t="s">
        <v>114</v>
      </c>
      <c r="C29" s="10">
        <v>104543</v>
      </c>
      <c r="D29" s="10">
        <v>26939</v>
      </c>
      <c r="E29" s="30">
        <v>0.25800000000000001</v>
      </c>
      <c r="F29" s="31">
        <v>0.123</v>
      </c>
    </row>
    <row r="30" spans="2:11" ht="18" customHeight="1" x14ac:dyDescent="0.25">
      <c r="B30" s="7" t="s">
        <v>115</v>
      </c>
      <c r="C30" s="13">
        <v>31030</v>
      </c>
      <c r="D30" s="13">
        <v>5697</v>
      </c>
      <c r="E30" s="32">
        <v>0.184</v>
      </c>
      <c r="F30" s="33">
        <v>2.5999999999999999E-2</v>
      </c>
    </row>
    <row r="31" spans="2:11" ht="18" customHeight="1" x14ac:dyDescent="0.25">
      <c r="B31" s="4" t="s">
        <v>120</v>
      </c>
      <c r="C31" s="10">
        <v>35858</v>
      </c>
      <c r="D31" s="10">
        <v>3570</v>
      </c>
      <c r="E31" s="30">
        <v>0.1</v>
      </c>
      <c r="F31" s="31">
        <v>1.6E-2</v>
      </c>
    </row>
    <row r="32" spans="2:11" ht="18" customHeight="1" x14ac:dyDescent="0.25">
      <c r="B32" s="7" t="s">
        <v>112</v>
      </c>
      <c r="C32" s="13">
        <v>82642</v>
      </c>
      <c r="D32" s="13">
        <v>7477</v>
      </c>
      <c r="E32" s="32">
        <v>0.09</v>
      </c>
      <c r="F32" s="33">
        <v>3.4000000000000002E-2</v>
      </c>
    </row>
    <row r="33" spans="2:8" ht="18" customHeight="1" x14ac:dyDescent="0.25">
      <c r="B33" s="4" t="s">
        <v>113</v>
      </c>
      <c r="C33" s="10">
        <v>61414</v>
      </c>
      <c r="D33" s="10">
        <v>4872</v>
      </c>
      <c r="E33" s="30">
        <v>7.9000000000000001E-2</v>
      </c>
      <c r="F33" s="31">
        <v>2.1999999999999999E-2</v>
      </c>
    </row>
    <row r="34" spans="2:8" ht="18" customHeight="1" x14ac:dyDescent="0.25">
      <c r="B34" s="7" t="s">
        <v>117</v>
      </c>
      <c r="C34" s="13">
        <v>48316</v>
      </c>
      <c r="D34" s="13">
        <v>3028</v>
      </c>
      <c r="E34" s="32">
        <v>6.3E-2</v>
      </c>
      <c r="F34" s="33">
        <v>1.4E-2</v>
      </c>
    </row>
    <row r="35" spans="2:8" ht="18" customHeight="1" x14ac:dyDescent="0.25">
      <c r="B35" s="4" t="s">
        <v>116</v>
      </c>
      <c r="C35" s="10">
        <v>81787</v>
      </c>
      <c r="D35" s="10">
        <v>4838</v>
      </c>
      <c r="E35" s="30">
        <v>5.8999999999999997E-2</v>
      </c>
      <c r="F35" s="31">
        <v>2.1999999999999999E-2</v>
      </c>
    </row>
    <row r="36" spans="2:8" ht="18" customHeight="1" x14ac:dyDescent="0.25">
      <c r="B36" s="7" t="s">
        <v>109</v>
      </c>
      <c r="C36" s="13">
        <v>2824126</v>
      </c>
      <c r="D36" s="13">
        <v>129856</v>
      </c>
      <c r="E36" s="32">
        <v>4.5999999999999999E-2</v>
      </c>
      <c r="F36" s="33">
        <v>0.59399999999999997</v>
      </c>
    </row>
    <row r="37" spans="2:8" ht="18" customHeight="1" x14ac:dyDescent="0.25">
      <c r="B37" s="4" t="s">
        <v>108</v>
      </c>
      <c r="C37" s="10">
        <v>49085</v>
      </c>
      <c r="D37" s="10">
        <v>1518</v>
      </c>
      <c r="E37" s="30">
        <v>3.1E-2</v>
      </c>
      <c r="F37" s="31">
        <v>7.0000000000000001E-3</v>
      </c>
    </row>
    <row r="38" spans="2:8" ht="18" customHeight="1" x14ac:dyDescent="0.25">
      <c r="B38" s="7" t="s">
        <v>111</v>
      </c>
      <c r="C38" s="13">
        <v>240129</v>
      </c>
      <c r="D38" s="13">
        <v>6113</v>
      </c>
      <c r="E38" s="32">
        <v>2.5000000000000001E-2</v>
      </c>
      <c r="F38" s="33">
        <v>2.8000000000000001E-2</v>
      </c>
    </row>
    <row r="39" spans="2:8" ht="18" customHeight="1" x14ac:dyDescent="0.25">
      <c r="B39" s="4" t="s">
        <v>118</v>
      </c>
      <c r="C39" s="10">
        <v>758341</v>
      </c>
      <c r="D39" s="10">
        <v>14448</v>
      </c>
      <c r="E39" s="30">
        <v>1.9E-2</v>
      </c>
      <c r="F39" s="31">
        <v>6.6000000000000003E-2</v>
      </c>
    </row>
    <row r="40" spans="2:8" ht="18" customHeight="1" x14ac:dyDescent="0.25">
      <c r="B40" s="7" t="s">
        <v>121</v>
      </c>
      <c r="C40" s="13">
        <v>181060</v>
      </c>
      <c r="D40" s="13">
        <v>3280</v>
      </c>
      <c r="E40" s="32">
        <v>1.7999999999999999E-2</v>
      </c>
      <c r="F40" s="33">
        <v>1.4999999999999999E-2</v>
      </c>
    </row>
    <row r="41" spans="2:8" ht="18" customHeight="1" x14ac:dyDescent="0.25">
      <c r="B41" s="4" t="s">
        <v>119</v>
      </c>
      <c r="C41" s="10">
        <v>193181</v>
      </c>
      <c r="D41" s="10">
        <v>2484</v>
      </c>
      <c r="E41" s="30">
        <v>1.2999999999999999E-2</v>
      </c>
      <c r="F41" s="31">
        <v>1.0999999999999999E-2</v>
      </c>
    </row>
    <row r="42" spans="2:8" ht="18" customHeight="1" x14ac:dyDescent="0.25">
      <c r="B42" s="7" t="s">
        <v>110</v>
      </c>
      <c r="C42" s="13">
        <v>406872</v>
      </c>
      <c r="D42" s="13">
        <v>4294</v>
      </c>
      <c r="E42" s="32">
        <v>1.0999999999999999E-2</v>
      </c>
      <c r="F42" s="33">
        <v>0.02</v>
      </c>
    </row>
    <row r="43" spans="2:8" ht="18" customHeight="1" x14ac:dyDescent="0.25">
      <c r="B43" s="4" t="s">
        <v>122</v>
      </c>
      <c r="C43" s="10">
        <v>53723</v>
      </c>
      <c r="D43" s="10">
        <v>347</v>
      </c>
      <c r="E43" s="30">
        <v>6.0000000000000001E-3</v>
      </c>
      <c r="F43" s="31">
        <v>2E-3</v>
      </c>
    </row>
    <row r="45" spans="2:8" x14ac:dyDescent="0.25">
      <c r="B45" s="54" t="s">
        <v>128</v>
      </c>
      <c r="C45" s="52"/>
      <c r="D45" s="52"/>
      <c r="E45" s="52"/>
      <c r="F45" s="52"/>
      <c r="G45" s="52"/>
      <c r="H45" s="52"/>
    </row>
  </sheetData>
  <mergeCells count="5">
    <mergeCell ref="B26:H26"/>
    <mergeCell ref="B2:K2"/>
    <mergeCell ref="B5:K5"/>
    <mergeCell ref="B3:K3"/>
    <mergeCell ref="B45:H45"/>
  </mergeCells>
  <conditionalFormatting sqref="E29:E43">
    <cfRule type="dataBar" priority="1">
      <dataBar>
        <cfvo type="min"/>
        <cfvo type="max"/>
        <color rgb="FF1E3A5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5"/>
  <sheetViews>
    <sheetView showGridLines="0" workbookViewId="0"/>
  </sheetViews>
  <sheetFormatPr defaultRowHeight="15" x14ac:dyDescent="0.25"/>
  <cols>
    <col min="1" max="1" width="3" customWidth="1"/>
    <col min="2" max="2" width="25" customWidth="1"/>
    <col min="3" max="5" width="22" customWidth="1"/>
    <col min="6" max="6" width="14" customWidth="1"/>
    <col min="7" max="7" width="20" customWidth="1"/>
    <col min="8" max="8" width="22" customWidth="1"/>
    <col min="9" max="9" width="12" customWidth="1"/>
  </cols>
  <sheetData>
    <row r="2" spans="2:9" ht="35.1" customHeight="1" x14ac:dyDescent="0.35">
      <c r="B2" s="56" t="s">
        <v>129</v>
      </c>
      <c r="C2" s="52"/>
      <c r="D2" s="52"/>
      <c r="E2" s="52"/>
      <c r="F2" s="52"/>
      <c r="G2" s="52"/>
      <c r="H2" s="52"/>
      <c r="I2" s="52"/>
    </row>
    <row r="3" spans="2:9" ht="15.75" x14ac:dyDescent="0.25">
      <c r="B3" s="57" t="s">
        <v>130</v>
      </c>
      <c r="C3" s="52"/>
      <c r="D3" s="52"/>
      <c r="E3" s="52"/>
      <c r="F3" s="52"/>
      <c r="G3" s="52"/>
      <c r="H3" s="52"/>
      <c r="I3" s="52"/>
    </row>
    <row r="5" spans="2:9" ht="24.95" customHeight="1" x14ac:dyDescent="0.25">
      <c r="B5" s="55" t="s">
        <v>131</v>
      </c>
      <c r="C5" s="52"/>
      <c r="D5" s="52"/>
      <c r="E5" s="52"/>
      <c r="F5" s="52"/>
      <c r="G5" s="52"/>
      <c r="H5" s="52"/>
      <c r="I5" s="52"/>
    </row>
    <row r="7" spans="2:9" ht="30" customHeight="1" x14ac:dyDescent="0.25">
      <c r="B7" s="1" t="s">
        <v>132</v>
      </c>
      <c r="C7" s="2" t="s">
        <v>24</v>
      </c>
      <c r="D7" s="2" t="s">
        <v>25</v>
      </c>
      <c r="E7" s="2" t="s">
        <v>133</v>
      </c>
      <c r="F7" s="2" t="s">
        <v>134</v>
      </c>
      <c r="G7" s="2" t="s">
        <v>28</v>
      </c>
      <c r="H7" s="2" t="s">
        <v>135</v>
      </c>
      <c r="I7" s="3" t="s">
        <v>136</v>
      </c>
    </row>
    <row r="8" spans="2:9" ht="18" customHeight="1" x14ac:dyDescent="0.25">
      <c r="B8" s="4" t="s">
        <v>137</v>
      </c>
      <c r="C8" s="10">
        <v>1</v>
      </c>
      <c r="D8" s="10">
        <v>4512</v>
      </c>
      <c r="E8" s="11">
        <v>18530249</v>
      </c>
      <c r="F8" s="11">
        <v>16473517</v>
      </c>
      <c r="G8" s="11">
        <v>893670</v>
      </c>
      <c r="H8" s="11">
        <v>23941076</v>
      </c>
      <c r="I8" s="27">
        <v>27</v>
      </c>
    </row>
    <row r="9" spans="2:9" ht="18" customHeight="1" x14ac:dyDescent="0.25">
      <c r="B9" s="7" t="s">
        <v>138</v>
      </c>
      <c r="C9" s="13">
        <v>8</v>
      </c>
      <c r="D9" s="13">
        <v>48266</v>
      </c>
      <c r="E9" s="14">
        <v>206173411</v>
      </c>
      <c r="F9" s="14">
        <v>180216318</v>
      </c>
      <c r="G9" s="14">
        <v>9517416</v>
      </c>
      <c r="H9" s="14">
        <v>243040633</v>
      </c>
      <c r="I9" s="28">
        <v>132</v>
      </c>
    </row>
    <row r="10" spans="2:9" ht="18" customHeight="1" x14ac:dyDescent="0.25">
      <c r="B10" s="4" t="s">
        <v>139</v>
      </c>
      <c r="C10" s="10">
        <v>6</v>
      </c>
      <c r="D10" s="10">
        <v>50690</v>
      </c>
      <c r="E10" s="11">
        <v>447646000</v>
      </c>
      <c r="F10" s="11">
        <v>253827000</v>
      </c>
      <c r="G10" s="11">
        <v>103341000</v>
      </c>
      <c r="H10" s="11">
        <v>517819000</v>
      </c>
      <c r="I10" s="27">
        <v>200</v>
      </c>
    </row>
    <row r="11" spans="2:9" ht="18" customHeight="1" x14ac:dyDescent="0.25">
      <c r="B11" s="7" t="s">
        <v>140</v>
      </c>
      <c r="C11" s="13">
        <v>25</v>
      </c>
      <c r="D11" s="13">
        <v>248089</v>
      </c>
      <c r="E11" s="14">
        <v>1422231380</v>
      </c>
      <c r="F11" s="14">
        <v>1011979969</v>
      </c>
      <c r="G11" s="14">
        <v>170711731</v>
      </c>
      <c r="H11" s="14">
        <v>1632943759</v>
      </c>
      <c r="I11" s="28">
        <v>606</v>
      </c>
    </row>
    <row r="12" spans="2:9" ht="18" customHeight="1" x14ac:dyDescent="0.25">
      <c r="B12" s="4" t="s">
        <v>141</v>
      </c>
      <c r="C12" s="10">
        <v>8</v>
      </c>
      <c r="D12" s="10">
        <v>174447</v>
      </c>
      <c r="E12" s="11">
        <v>585186216</v>
      </c>
      <c r="F12" s="11">
        <v>388339095</v>
      </c>
      <c r="G12" s="11">
        <v>106752337</v>
      </c>
      <c r="H12" s="11">
        <v>729925898</v>
      </c>
      <c r="I12" s="27">
        <v>382</v>
      </c>
    </row>
    <row r="13" spans="2:9" ht="18" customHeight="1" x14ac:dyDescent="0.25">
      <c r="B13" s="7" t="s">
        <v>142</v>
      </c>
      <c r="C13" s="13">
        <v>1</v>
      </c>
      <c r="D13" s="13">
        <v>7457</v>
      </c>
      <c r="E13" s="14">
        <v>37335979</v>
      </c>
      <c r="F13" s="14">
        <v>21038986</v>
      </c>
      <c r="G13" s="14">
        <v>1202031</v>
      </c>
      <c r="H13" s="14">
        <v>39442780</v>
      </c>
      <c r="I13" s="28">
        <v>9</v>
      </c>
    </row>
    <row r="14" spans="2:9" ht="18" customHeight="1" x14ac:dyDescent="0.25">
      <c r="B14" s="4" t="s">
        <v>143</v>
      </c>
      <c r="C14" s="10">
        <v>1</v>
      </c>
      <c r="D14" s="10">
        <v>20271</v>
      </c>
      <c r="E14" s="11">
        <v>719315374</v>
      </c>
      <c r="F14" s="11">
        <v>571042064</v>
      </c>
      <c r="G14" s="11">
        <v>64980525</v>
      </c>
      <c r="H14" s="11">
        <v>788090476</v>
      </c>
      <c r="I14" s="27">
        <v>69</v>
      </c>
    </row>
    <row r="15" spans="2:9" ht="18" customHeight="1" x14ac:dyDescent="0.25">
      <c r="B15" s="7" t="s">
        <v>144</v>
      </c>
      <c r="C15" s="13">
        <v>5</v>
      </c>
      <c r="D15" s="13">
        <v>28645</v>
      </c>
      <c r="E15" s="14">
        <v>177860979</v>
      </c>
      <c r="F15" s="14">
        <v>89009983</v>
      </c>
      <c r="G15" s="14">
        <v>8369303</v>
      </c>
      <c r="H15" s="14">
        <v>197570213</v>
      </c>
      <c r="I15" s="28">
        <v>144</v>
      </c>
    </row>
    <row r="16" spans="2:9" ht="18" customHeight="1" x14ac:dyDescent="0.25">
      <c r="B16" s="4" t="s">
        <v>145</v>
      </c>
      <c r="C16" s="10">
        <v>6</v>
      </c>
      <c r="D16" s="10">
        <v>88802</v>
      </c>
      <c r="E16" s="11">
        <v>446949080</v>
      </c>
      <c r="F16" s="11">
        <v>367638875</v>
      </c>
      <c r="G16" s="11">
        <v>46258328</v>
      </c>
      <c r="H16" s="11">
        <v>492954953</v>
      </c>
      <c r="I16" s="27">
        <v>315</v>
      </c>
    </row>
    <row r="17" spans="2:9" ht="18" customHeight="1" x14ac:dyDescent="0.25">
      <c r="B17" s="7" t="s">
        <v>146</v>
      </c>
      <c r="C17" s="13">
        <v>10</v>
      </c>
      <c r="D17" s="13">
        <v>90617</v>
      </c>
      <c r="E17" s="14">
        <v>438136800</v>
      </c>
      <c r="F17" s="14">
        <v>410919411</v>
      </c>
      <c r="G17" s="14">
        <v>15154834</v>
      </c>
      <c r="H17" s="14">
        <v>568328633</v>
      </c>
      <c r="I17" s="28">
        <v>338</v>
      </c>
    </row>
    <row r="18" spans="2:9" ht="18" customHeight="1" x14ac:dyDescent="0.25">
      <c r="B18" s="4" t="s">
        <v>147</v>
      </c>
      <c r="C18" s="10">
        <v>20</v>
      </c>
      <c r="D18" s="10">
        <v>45467</v>
      </c>
      <c r="E18" s="11">
        <v>47055669</v>
      </c>
      <c r="F18" s="11">
        <v>38253018</v>
      </c>
      <c r="G18" s="11">
        <v>4639324</v>
      </c>
      <c r="H18" s="11">
        <v>69073337</v>
      </c>
      <c r="I18" s="27">
        <v>131</v>
      </c>
    </row>
    <row r="19" spans="2:9" ht="18" customHeight="1" x14ac:dyDescent="0.25">
      <c r="B19" s="7" t="s">
        <v>148</v>
      </c>
      <c r="C19" s="13">
        <v>24</v>
      </c>
      <c r="D19" s="13">
        <v>1064618</v>
      </c>
      <c r="E19" s="14">
        <v>985923968</v>
      </c>
      <c r="F19" s="14">
        <v>858219283</v>
      </c>
      <c r="G19" s="14">
        <v>210511675</v>
      </c>
      <c r="H19" s="14">
        <v>1250771342</v>
      </c>
      <c r="I19" s="28">
        <v>1534</v>
      </c>
    </row>
    <row r="20" spans="2:9" ht="18" customHeight="1" x14ac:dyDescent="0.25">
      <c r="B20" s="4" t="s">
        <v>149</v>
      </c>
      <c r="C20" s="10">
        <v>1</v>
      </c>
      <c r="D20" s="10">
        <v>4299</v>
      </c>
      <c r="E20" s="11">
        <v>26892380</v>
      </c>
      <c r="F20" s="11">
        <v>19685453</v>
      </c>
      <c r="G20" s="11">
        <v>1276424</v>
      </c>
      <c r="H20" s="11">
        <v>29681468</v>
      </c>
      <c r="I20" s="27">
        <v>15</v>
      </c>
    </row>
    <row r="21" spans="2:9" ht="18" customHeight="1" x14ac:dyDescent="0.25">
      <c r="B21" s="7" t="s">
        <v>150</v>
      </c>
      <c r="C21" s="13">
        <v>4</v>
      </c>
      <c r="D21" s="13">
        <v>39583</v>
      </c>
      <c r="E21" s="14">
        <v>210365774</v>
      </c>
      <c r="F21" s="14">
        <v>169071287</v>
      </c>
      <c r="G21" s="14">
        <v>30990849</v>
      </c>
      <c r="H21" s="14">
        <v>259371259</v>
      </c>
      <c r="I21" s="28">
        <v>139</v>
      </c>
    </row>
    <row r="22" spans="2:9" ht="18" customHeight="1" x14ac:dyDescent="0.25">
      <c r="B22" s="4" t="s">
        <v>151</v>
      </c>
      <c r="C22" s="10">
        <v>16</v>
      </c>
      <c r="D22" s="10">
        <v>143748</v>
      </c>
      <c r="E22" s="11">
        <v>527078510</v>
      </c>
      <c r="F22" s="11">
        <v>465363808</v>
      </c>
      <c r="G22" s="11">
        <v>133308550</v>
      </c>
      <c r="H22" s="11">
        <v>660256183</v>
      </c>
      <c r="I22" s="27">
        <v>257</v>
      </c>
    </row>
    <row r="23" spans="2:9" ht="18" customHeight="1" x14ac:dyDescent="0.25">
      <c r="B23" s="7" t="s">
        <v>152</v>
      </c>
      <c r="C23" s="13">
        <v>4</v>
      </c>
      <c r="D23" s="13">
        <v>82332</v>
      </c>
      <c r="E23" s="14">
        <v>258484293</v>
      </c>
      <c r="F23" s="14">
        <v>179232062</v>
      </c>
      <c r="G23" s="14">
        <v>17987090</v>
      </c>
      <c r="H23" s="14">
        <v>260635888</v>
      </c>
      <c r="I23" s="28">
        <v>215</v>
      </c>
    </row>
    <row r="24" spans="2:9" ht="18" customHeight="1" x14ac:dyDescent="0.25">
      <c r="B24" s="4" t="s">
        <v>153</v>
      </c>
      <c r="C24" s="10">
        <v>80</v>
      </c>
      <c r="D24" s="10">
        <v>761795</v>
      </c>
      <c r="E24" s="11">
        <v>2422872652</v>
      </c>
      <c r="F24" s="11">
        <v>1467043741</v>
      </c>
      <c r="G24" s="11">
        <v>692715746</v>
      </c>
      <c r="H24" s="11">
        <v>2926578735</v>
      </c>
      <c r="I24" s="27">
        <v>1060</v>
      </c>
    </row>
    <row r="25" spans="2:9" ht="18" customHeight="1" x14ac:dyDescent="0.25">
      <c r="B25" s="16" t="s">
        <v>70</v>
      </c>
      <c r="C25" s="17">
        <v>220</v>
      </c>
      <c r="D25" s="17">
        <v>2903638</v>
      </c>
      <c r="E25" s="18">
        <v>8978038714</v>
      </c>
      <c r="F25" s="18">
        <v>6507353870</v>
      </c>
      <c r="G25" s="18">
        <v>1618610833</v>
      </c>
      <c r="H25" s="18">
        <v>10690425633</v>
      </c>
      <c r="I25" s="34">
        <v>4674</v>
      </c>
    </row>
    <row r="28" spans="2:9" ht="24.95" customHeight="1" x14ac:dyDescent="0.25">
      <c r="B28" s="55" t="s">
        <v>154</v>
      </c>
      <c r="C28" s="52"/>
      <c r="D28" s="52"/>
      <c r="E28" s="52"/>
      <c r="F28" s="52"/>
      <c r="G28" s="52"/>
    </row>
    <row r="30" spans="2:9" ht="30" customHeight="1" x14ac:dyDescent="0.25">
      <c r="B30" s="1" t="s">
        <v>4</v>
      </c>
      <c r="C30" s="2" t="s">
        <v>155</v>
      </c>
      <c r="D30" s="2" t="s">
        <v>156</v>
      </c>
      <c r="E30" s="2" t="s">
        <v>157</v>
      </c>
      <c r="F30" s="3" t="s">
        <v>158</v>
      </c>
    </row>
    <row r="31" spans="2:9" ht="18" customHeight="1" x14ac:dyDescent="0.25">
      <c r="B31" s="4" t="s">
        <v>159</v>
      </c>
      <c r="C31" s="11">
        <v>2802296</v>
      </c>
      <c r="D31" s="11">
        <v>2903638</v>
      </c>
      <c r="E31" s="11">
        <v>101342</v>
      </c>
      <c r="F31" s="31">
        <v>3.5999999999999997E-2</v>
      </c>
    </row>
    <row r="32" spans="2:9" ht="18" customHeight="1" x14ac:dyDescent="0.25">
      <c r="B32" s="7" t="s">
        <v>160</v>
      </c>
      <c r="C32" s="14">
        <v>8543445966</v>
      </c>
      <c r="D32" s="14">
        <v>8978038714</v>
      </c>
      <c r="E32" s="14">
        <v>434592748</v>
      </c>
      <c r="F32" s="33">
        <v>5.0999999999999997E-2</v>
      </c>
    </row>
    <row r="33" spans="2:6" ht="18" customHeight="1" x14ac:dyDescent="0.25">
      <c r="B33" s="4" t="s">
        <v>161</v>
      </c>
      <c r="C33" s="11">
        <v>6040213801</v>
      </c>
      <c r="D33" s="11">
        <v>6507398870</v>
      </c>
      <c r="E33" s="11">
        <v>467185069</v>
      </c>
      <c r="F33" s="31">
        <v>7.6999999999999999E-2</v>
      </c>
    </row>
    <row r="34" spans="2:6" ht="18" customHeight="1" x14ac:dyDescent="0.25">
      <c r="B34" s="7" t="s">
        <v>162</v>
      </c>
      <c r="C34" s="14">
        <v>1279479324</v>
      </c>
      <c r="D34" s="14">
        <v>1618610833</v>
      </c>
      <c r="E34" s="14">
        <v>339131509</v>
      </c>
      <c r="F34" s="33">
        <v>0.26500000000000001</v>
      </c>
    </row>
    <row r="35" spans="2:6" ht="18" customHeight="1" x14ac:dyDescent="0.25">
      <c r="B35" s="4" t="s">
        <v>73</v>
      </c>
      <c r="C35" s="11">
        <v>10226963096</v>
      </c>
      <c r="D35" s="11">
        <v>10690425633</v>
      </c>
      <c r="E35" s="11">
        <v>463462537</v>
      </c>
      <c r="F35" s="31">
        <v>4.4999999999999998E-2</v>
      </c>
    </row>
  </sheetData>
  <mergeCells count="4">
    <mergeCell ref="B3:I3"/>
    <mergeCell ref="B5:I5"/>
    <mergeCell ref="B2:I2"/>
    <mergeCell ref="B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56"/>
  <sheetViews>
    <sheetView showGridLines="0" tabSelected="1" workbookViewId="0"/>
  </sheetViews>
  <sheetFormatPr defaultRowHeight="15" x14ac:dyDescent="0.25"/>
  <cols>
    <col min="1" max="1" width="3" customWidth="1"/>
    <col min="2" max="2" width="26.7109375" customWidth="1"/>
    <col min="3" max="3" width="25" customWidth="1"/>
    <col min="4" max="5" width="18" customWidth="1"/>
    <col min="6" max="6" width="16" customWidth="1"/>
    <col min="7" max="7" width="18" customWidth="1"/>
    <col min="8" max="8" width="20" customWidth="1"/>
    <col min="9" max="9" width="16" customWidth="1"/>
  </cols>
  <sheetData>
    <row r="2" spans="2:9" ht="35.1" customHeight="1" x14ac:dyDescent="0.35">
      <c r="B2" s="56" t="s">
        <v>163</v>
      </c>
      <c r="C2" s="52"/>
      <c r="D2" s="52"/>
      <c r="E2" s="52"/>
      <c r="F2" s="52"/>
      <c r="G2" s="52"/>
      <c r="H2" s="52"/>
      <c r="I2" s="52"/>
    </row>
    <row r="3" spans="2:9" ht="15.75" x14ac:dyDescent="0.25">
      <c r="B3" s="57" t="s">
        <v>164</v>
      </c>
      <c r="C3" s="52"/>
      <c r="D3" s="52"/>
      <c r="E3" s="52"/>
      <c r="F3" s="52"/>
      <c r="G3" s="52"/>
      <c r="H3" s="52"/>
      <c r="I3" s="52"/>
    </row>
    <row r="5" spans="2:9" ht="24.95" customHeight="1" x14ac:dyDescent="0.25">
      <c r="B5" s="55" t="s">
        <v>104</v>
      </c>
      <c r="C5" s="52"/>
      <c r="D5" s="52"/>
      <c r="E5" s="52"/>
      <c r="F5" s="52"/>
      <c r="G5" s="52"/>
      <c r="H5" s="52"/>
      <c r="I5" s="52"/>
    </row>
    <row r="7" spans="2:9" ht="30" customHeight="1" x14ac:dyDescent="0.25">
      <c r="B7" s="1" t="s">
        <v>65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3" t="s">
        <v>165</v>
      </c>
    </row>
    <row r="8" spans="2:9" ht="18" customHeight="1" x14ac:dyDescent="0.25">
      <c r="B8" s="4" t="s">
        <v>166</v>
      </c>
      <c r="C8" s="10">
        <v>55</v>
      </c>
      <c r="D8" s="10">
        <v>3514965</v>
      </c>
      <c r="E8" s="11">
        <v>313727235</v>
      </c>
      <c r="F8" s="11">
        <v>384868405</v>
      </c>
      <c r="G8" s="5"/>
      <c r="H8" s="5"/>
      <c r="I8" s="6" t="s">
        <v>167</v>
      </c>
    </row>
    <row r="9" spans="2:9" ht="18" customHeight="1" x14ac:dyDescent="0.25">
      <c r="B9" s="7" t="s">
        <v>168</v>
      </c>
      <c r="C9" s="13">
        <v>92</v>
      </c>
      <c r="D9" s="13">
        <v>68457</v>
      </c>
      <c r="E9" s="14">
        <v>136314402</v>
      </c>
      <c r="F9" s="14">
        <v>141842270</v>
      </c>
      <c r="G9" s="14">
        <v>59843297</v>
      </c>
      <c r="H9" s="14">
        <v>206617681</v>
      </c>
      <c r="I9" s="9" t="s">
        <v>169</v>
      </c>
    </row>
    <row r="10" spans="2:9" ht="18" customHeight="1" x14ac:dyDescent="0.25">
      <c r="B10" s="4" t="s">
        <v>170</v>
      </c>
      <c r="C10" s="10">
        <v>74</v>
      </c>
      <c r="D10" s="10">
        <v>2043344</v>
      </c>
      <c r="E10" s="11">
        <v>722908291</v>
      </c>
      <c r="F10" s="11">
        <v>627105118</v>
      </c>
      <c r="G10" s="5"/>
      <c r="H10" s="5"/>
      <c r="I10" s="6" t="s">
        <v>167</v>
      </c>
    </row>
    <row r="11" spans="2:9" ht="18" customHeight="1" x14ac:dyDescent="0.25">
      <c r="B11" s="7" t="s">
        <v>171</v>
      </c>
      <c r="C11" s="13">
        <v>200</v>
      </c>
      <c r="D11" s="13">
        <v>602355</v>
      </c>
      <c r="E11" s="14">
        <v>368808075</v>
      </c>
      <c r="F11" s="14">
        <v>302965410</v>
      </c>
      <c r="G11" s="14">
        <v>41977978</v>
      </c>
      <c r="H11" s="14">
        <v>511088064</v>
      </c>
      <c r="I11" s="9" t="s">
        <v>169</v>
      </c>
    </row>
    <row r="12" spans="2:9" ht="18" customHeight="1" x14ac:dyDescent="0.25">
      <c r="B12" s="4" t="s">
        <v>172</v>
      </c>
      <c r="C12" s="10">
        <v>64</v>
      </c>
      <c r="D12" s="10">
        <v>278430</v>
      </c>
      <c r="E12" s="11">
        <v>117837840</v>
      </c>
      <c r="F12" s="11">
        <v>122702700</v>
      </c>
      <c r="G12" s="11">
        <v>232850</v>
      </c>
      <c r="H12" s="11">
        <v>162707700</v>
      </c>
      <c r="I12" s="6" t="s">
        <v>169</v>
      </c>
    </row>
    <row r="13" spans="2:9" ht="18" customHeight="1" x14ac:dyDescent="0.25">
      <c r="B13" s="7" t="s">
        <v>173</v>
      </c>
      <c r="C13" s="13">
        <v>22850</v>
      </c>
      <c r="D13" s="13">
        <v>7716348</v>
      </c>
      <c r="E13" s="14">
        <v>853754396</v>
      </c>
      <c r="F13" s="14">
        <v>351647830</v>
      </c>
      <c r="G13" s="8"/>
      <c r="H13" s="14">
        <v>1205402226</v>
      </c>
      <c r="I13" s="9" t="s">
        <v>174</v>
      </c>
    </row>
    <row r="14" spans="2:9" ht="18" customHeight="1" x14ac:dyDescent="0.25">
      <c r="B14" s="4" t="s">
        <v>175</v>
      </c>
      <c r="C14" s="10">
        <v>51</v>
      </c>
      <c r="D14" s="10">
        <v>115485</v>
      </c>
      <c r="E14" s="11">
        <v>43711824</v>
      </c>
      <c r="F14" s="11">
        <v>35688155</v>
      </c>
      <c r="G14" s="11">
        <v>3199887</v>
      </c>
      <c r="H14" s="11">
        <v>54169884</v>
      </c>
      <c r="I14" s="6" t="s">
        <v>169</v>
      </c>
    </row>
    <row r="15" spans="2:9" ht="18" customHeight="1" x14ac:dyDescent="0.25">
      <c r="B15" s="7" t="s">
        <v>176</v>
      </c>
      <c r="C15" s="13">
        <v>495</v>
      </c>
      <c r="D15" s="13">
        <v>2234736</v>
      </c>
      <c r="E15" s="14">
        <v>459152545</v>
      </c>
      <c r="F15" s="14">
        <v>339175909</v>
      </c>
      <c r="G15" s="14">
        <v>107618113</v>
      </c>
      <c r="H15" s="14">
        <v>589484623</v>
      </c>
      <c r="I15" s="9" t="s">
        <v>177</v>
      </c>
    </row>
    <row r="16" spans="2:9" ht="18" customHeight="1" x14ac:dyDescent="0.25">
      <c r="B16" s="4" t="s">
        <v>178</v>
      </c>
      <c r="C16" s="10">
        <v>6</v>
      </c>
      <c r="D16" s="10">
        <v>3127</v>
      </c>
      <c r="E16" s="5"/>
      <c r="F16" s="11">
        <v>23669</v>
      </c>
      <c r="G16" s="5"/>
      <c r="H16" s="5"/>
      <c r="I16" s="6" t="s">
        <v>167</v>
      </c>
    </row>
    <row r="17" spans="2:9" ht="18" customHeight="1" x14ac:dyDescent="0.25">
      <c r="B17" s="7" t="s">
        <v>179</v>
      </c>
      <c r="C17" s="13">
        <v>45</v>
      </c>
      <c r="D17" s="13">
        <v>2917480</v>
      </c>
      <c r="E17" s="14">
        <v>961345206</v>
      </c>
      <c r="F17" s="14">
        <v>1014541279</v>
      </c>
      <c r="G17" s="14">
        <v>94988490</v>
      </c>
      <c r="H17" s="14">
        <v>1346708108</v>
      </c>
      <c r="I17" s="9" t="s">
        <v>167</v>
      </c>
    </row>
    <row r="18" spans="2:9" ht="18" customHeight="1" x14ac:dyDescent="0.25">
      <c r="B18" s="4" t="s">
        <v>180</v>
      </c>
      <c r="C18" s="10">
        <v>355</v>
      </c>
      <c r="D18" s="10">
        <v>7385423</v>
      </c>
      <c r="E18" s="11">
        <v>5810000000</v>
      </c>
      <c r="F18" s="11">
        <v>6550000000</v>
      </c>
      <c r="G18" s="11">
        <v>1050000000</v>
      </c>
      <c r="H18" s="11">
        <v>8340000000</v>
      </c>
      <c r="I18" s="6" t="s">
        <v>181</v>
      </c>
    </row>
    <row r="19" spans="2:9" ht="18" customHeight="1" x14ac:dyDescent="0.25">
      <c r="B19" s="7" t="s">
        <v>182</v>
      </c>
      <c r="C19" s="13">
        <v>39</v>
      </c>
      <c r="D19" s="13">
        <v>251447</v>
      </c>
      <c r="E19" s="14">
        <v>36000000</v>
      </c>
      <c r="F19" s="14">
        <v>45700000</v>
      </c>
      <c r="G19" s="14">
        <v>18600000</v>
      </c>
      <c r="H19" s="14">
        <v>64500000</v>
      </c>
      <c r="I19" s="9" t="s">
        <v>169</v>
      </c>
    </row>
    <row r="20" spans="2:9" ht="18" customHeight="1" x14ac:dyDescent="0.25">
      <c r="B20" s="4" t="s">
        <v>183</v>
      </c>
      <c r="C20" s="10">
        <v>116</v>
      </c>
      <c r="D20" s="10">
        <v>1606031</v>
      </c>
      <c r="E20" s="11">
        <v>259256042</v>
      </c>
      <c r="F20" s="11">
        <v>313839899</v>
      </c>
      <c r="G20" s="5"/>
      <c r="H20" s="5"/>
      <c r="I20" s="6" t="s">
        <v>167</v>
      </c>
    </row>
    <row r="21" spans="2:9" ht="18" customHeight="1" x14ac:dyDescent="0.25">
      <c r="B21" s="7" t="s">
        <v>184</v>
      </c>
      <c r="C21" s="13">
        <v>34</v>
      </c>
      <c r="D21" s="13">
        <v>552749</v>
      </c>
      <c r="E21" s="14">
        <v>26149389</v>
      </c>
      <c r="F21" s="14">
        <v>15247530</v>
      </c>
      <c r="G21" s="8"/>
      <c r="H21" s="8"/>
      <c r="I21" s="9" t="s">
        <v>169</v>
      </c>
    </row>
    <row r="22" spans="2:9" ht="18" customHeight="1" x14ac:dyDescent="0.25">
      <c r="B22" s="4" t="s">
        <v>185</v>
      </c>
      <c r="C22" s="10">
        <v>212</v>
      </c>
      <c r="D22" s="10">
        <v>46012</v>
      </c>
      <c r="E22" s="11">
        <v>40573694</v>
      </c>
      <c r="F22" s="11">
        <v>34364252</v>
      </c>
      <c r="G22" s="5"/>
      <c r="H22" s="5"/>
      <c r="I22" s="6" t="s">
        <v>169</v>
      </c>
    </row>
    <row r="23" spans="2:9" ht="18" customHeight="1" x14ac:dyDescent="0.25">
      <c r="B23" s="7" t="s">
        <v>186</v>
      </c>
      <c r="C23" s="13">
        <v>4</v>
      </c>
      <c r="D23" s="8"/>
      <c r="E23" s="14">
        <v>50591523</v>
      </c>
      <c r="F23" s="14">
        <v>33203030</v>
      </c>
      <c r="G23" s="8"/>
      <c r="H23" s="8"/>
      <c r="I23" s="9" t="s">
        <v>169</v>
      </c>
    </row>
    <row r="24" spans="2:9" ht="18" customHeight="1" x14ac:dyDescent="0.25">
      <c r="B24" s="4" t="s">
        <v>187</v>
      </c>
      <c r="C24" s="10">
        <v>10</v>
      </c>
      <c r="D24" s="10">
        <v>2065</v>
      </c>
      <c r="E24" s="11">
        <v>370432</v>
      </c>
      <c r="F24" s="11">
        <v>1128283</v>
      </c>
      <c r="G24" s="11">
        <v>11064</v>
      </c>
      <c r="H24" s="11">
        <v>231607</v>
      </c>
      <c r="I24" s="6" t="s">
        <v>169</v>
      </c>
    </row>
    <row r="25" spans="2:9" ht="18" customHeight="1" x14ac:dyDescent="0.25">
      <c r="B25" s="7" t="s">
        <v>188</v>
      </c>
      <c r="C25" s="13">
        <v>40</v>
      </c>
      <c r="D25" s="13">
        <v>327216</v>
      </c>
      <c r="E25" s="14">
        <v>41497819</v>
      </c>
      <c r="F25" s="14">
        <v>20498651</v>
      </c>
      <c r="G25" s="8"/>
      <c r="H25" s="8"/>
      <c r="I25" s="9" t="s">
        <v>167</v>
      </c>
    </row>
    <row r="26" spans="2:9" ht="18" customHeight="1" x14ac:dyDescent="0.25">
      <c r="B26" s="4" t="s">
        <v>189</v>
      </c>
      <c r="C26" s="10">
        <v>412</v>
      </c>
      <c r="D26" s="10">
        <v>5081366</v>
      </c>
      <c r="E26" s="11">
        <v>201082000</v>
      </c>
      <c r="F26" s="11">
        <v>265442000</v>
      </c>
      <c r="G26" s="11">
        <v>148614000</v>
      </c>
      <c r="H26" s="11">
        <v>388706000</v>
      </c>
      <c r="I26" s="6" t="s">
        <v>169</v>
      </c>
    </row>
    <row r="27" spans="2:9" ht="18" customHeight="1" x14ac:dyDescent="0.25">
      <c r="B27" s="7" t="s">
        <v>190</v>
      </c>
      <c r="C27" s="13">
        <v>128</v>
      </c>
      <c r="D27" s="13">
        <v>4190110</v>
      </c>
      <c r="E27" s="14">
        <v>916919707</v>
      </c>
      <c r="F27" s="14">
        <v>1205854129</v>
      </c>
      <c r="G27" s="8"/>
      <c r="H27" s="8"/>
      <c r="I27" s="9" t="s">
        <v>167</v>
      </c>
    </row>
    <row r="28" spans="2:9" ht="18" customHeight="1" x14ac:dyDescent="0.25">
      <c r="B28" s="4" t="s">
        <v>191</v>
      </c>
      <c r="C28" s="10">
        <v>1</v>
      </c>
      <c r="D28" s="10">
        <v>20537</v>
      </c>
      <c r="E28" s="11">
        <v>29687000</v>
      </c>
      <c r="F28" s="11">
        <v>25598000</v>
      </c>
      <c r="G28" s="11">
        <v>14229521</v>
      </c>
      <c r="H28" s="11">
        <v>48289000</v>
      </c>
      <c r="I28" s="6" t="s">
        <v>169</v>
      </c>
    </row>
    <row r="29" spans="2:9" ht="18" customHeight="1" x14ac:dyDescent="0.25">
      <c r="B29" s="7" t="s">
        <v>192</v>
      </c>
      <c r="C29" s="13">
        <v>25</v>
      </c>
      <c r="D29" s="13">
        <v>18705</v>
      </c>
      <c r="E29" s="14">
        <v>1300000</v>
      </c>
      <c r="F29" s="14">
        <v>1200000</v>
      </c>
      <c r="G29" s="14">
        <v>65000</v>
      </c>
      <c r="H29" s="14">
        <v>1933000</v>
      </c>
      <c r="I29" s="9" t="s">
        <v>169</v>
      </c>
    </row>
    <row r="30" spans="2:9" ht="18" customHeight="1" x14ac:dyDescent="0.25">
      <c r="B30" s="4" t="s">
        <v>193</v>
      </c>
      <c r="C30" s="10">
        <v>29</v>
      </c>
      <c r="D30" s="10">
        <v>31000</v>
      </c>
      <c r="E30" s="5"/>
      <c r="F30" s="11">
        <v>20000000</v>
      </c>
      <c r="G30" s="11">
        <v>3700000</v>
      </c>
      <c r="H30" s="11">
        <v>32110000</v>
      </c>
      <c r="I30" s="6" t="s">
        <v>169</v>
      </c>
    </row>
    <row r="31" spans="2:9" ht="18" customHeight="1" x14ac:dyDescent="0.25">
      <c r="B31" s="7" t="s">
        <v>194</v>
      </c>
      <c r="C31" s="13">
        <v>968</v>
      </c>
      <c r="D31" s="13">
        <v>1824329</v>
      </c>
      <c r="E31" s="14">
        <v>387615384</v>
      </c>
      <c r="F31" s="14">
        <v>434615384</v>
      </c>
      <c r="G31" s="14">
        <v>73076923</v>
      </c>
      <c r="H31" s="14">
        <v>528461538</v>
      </c>
      <c r="I31" s="9" t="s">
        <v>169</v>
      </c>
    </row>
    <row r="32" spans="2:9" ht="18" customHeight="1" x14ac:dyDescent="0.25">
      <c r="B32" s="4" t="s">
        <v>195</v>
      </c>
      <c r="C32" s="10">
        <v>73</v>
      </c>
      <c r="D32" s="10">
        <v>4468352</v>
      </c>
      <c r="E32" s="11">
        <v>665376714</v>
      </c>
      <c r="F32" s="11">
        <v>625268888</v>
      </c>
      <c r="G32" s="5"/>
      <c r="H32" s="5"/>
      <c r="I32" s="6" t="s">
        <v>167</v>
      </c>
    </row>
    <row r="33" spans="2:9" ht="18" customHeight="1" x14ac:dyDescent="0.25">
      <c r="B33" s="7" t="s">
        <v>196</v>
      </c>
      <c r="C33" s="13">
        <v>1368</v>
      </c>
      <c r="D33" s="13">
        <v>1000000</v>
      </c>
      <c r="E33" s="14">
        <v>83082300</v>
      </c>
      <c r="F33" s="14">
        <v>216576562</v>
      </c>
      <c r="G33" s="8"/>
      <c r="H33" s="14">
        <v>124877180</v>
      </c>
      <c r="I33" s="9" t="s">
        <v>197</v>
      </c>
    </row>
    <row r="34" spans="2:9" ht="18" customHeight="1" x14ac:dyDescent="0.25">
      <c r="B34" s="4" t="s">
        <v>198</v>
      </c>
      <c r="C34" s="10">
        <v>1435</v>
      </c>
      <c r="D34" s="10">
        <v>64099</v>
      </c>
      <c r="E34" s="11">
        <v>6300000</v>
      </c>
      <c r="F34" s="11">
        <v>5500000</v>
      </c>
      <c r="G34" s="5"/>
      <c r="H34" s="11">
        <v>1500000</v>
      </c>
      <c r="I34" s="6" t="s">
        <v>169</v>
      </c>
    </row>
    <row r="35" spans="2:9" ht="18" customHeight="1" x14ac:dyDescent="0.25">
      <c r="B35" s="16" t="s">
        <v>70</v>
      </c>
      <c r="C35" s="17">
        <v>29181</v>
      </c>
      <c r="D35" s="17">
        <v>46364168</v>
      </c>
      <c r="E35" s="18">
        <v>12533361819</v>
      </c>
      <c r="F35" s="18">
        <v>13134597354</v>
      </c>
      <c r="G35" s="18">
        <v>1616157123</v>
      </c>
      <c r="H35" s="18">
        <v>13606786611</v>
      </c>
      <c r="I35" s="22"/>
    </row>
    <row r="38" spans="2:9" ht="24.95" customHeight="1" x14ac:dyDescent="0.25">
      <c r="B38" s="55" t="s">
        <v>199</v>
      </c>
      <c r="C38" s="52"/>
      <c r="D38" s="52"/>
      <c r="E38" s="52"/>
      <c r="F38" s="52"/>
      <c r="G38" s="52"/>
      <c r="H38" s="52"/>
    </row>
    <row r="40" spans="2:9" ht="30" customHeight="1" x14ac:dyDescent="0.25">
      <c r="B40" s="1" t="s">
        <v>4</v>
      </c>
      <c r="C40" s="2" t="s">
        <v>155</v>
      </c>
      <c r="D40" s="2" t="s">
        <v>156</v>
      </c>
      <c r="E40" s="3" t="s">
        <v>85</v>
      </c>
    </row>
    <row r="41" spans="2:9" ht="18" customHeight="1" x14ac:dyDescent="0.25">
      <c r="B41" s="4" t="s">
        <v>200</v>
      </c>
      <c r="C41" s="10">
        <v>6840000</v>
      </c>
      <c r="D41" s="10">
        <v>7390000</v>
      </c>
      <c r="E41" s="6" t="s">
        <v>201</v>
      </c>
    </row>
    <row r="42" spans="2:9" ht="18" customHeight="1" x14ac:dyDescent="0.25">
      <c r="B42" s="7" t="s">
        <v>202</v>
      </c>
      <c r="C42" s="8"/>
      <c r="D42" s="13">
        <v>14000000</v>
      </c>
      <c r="E42" s="9" t="s">
        <v>68</v>
      </c>
    </row>
    <row r="43" spans="2:9" ht="18" customHeight="1" x14ac:dyDescent="0.25">
      <c r="B43" s="4" t="s">
        <v>203</v>
      </c>
      <c r="C43" s="5"/>
      <c r="D43" s="10">
        <v>732</v>
      </c>
      <c r="E43" s="6" t="s">
        <v>68</v>
      </c>
    </row>
    <row r="44" spans="2:9" ht="18" customHeight="1" x14ac:dyDescent="0.25">
      <c r="B44" s="7" t="s">
        <v>204</v>
      </c>
      <c r="C44" s="8"/>
      <c r="D44" s="13">
        <v>1</v>
      </c>
      <c r="E44" s="9" t="s">
        <v>68</v>
      </c>
    </row>
    <row r="45" spans="2:9" ht="18" customHeight="1" x14ac:dyDescent="0.25">
      <c r="B45" s="4" t="s">
        <v>205</v>
      </c>
      <c r="C45" s="10">
        <v>460</v>
      </c>
      <c r="D45" s="10">
        <v>542</v>
      </c>
      <c r="E45" s="6" t="s">
        <v>206</v>
      </c>
    </row>
    <row r="46" spans="2:9" ht="18" customHeight="1" x14ac:dyDescent="0.25">
      <c r="B46" s="7" t="s">
        <v>66</v>
      </c>
      <c r="C46" s="13">
        <v>0.13500000000000001</v>
      </c>
      <c r="D46" s="13">
        <v>0.13500000000000001</v>
      </c>
      <c r="E46" s="9" t="s">
        <v>207</v>
      </c>
    </row>
    <row r="49" spans="2:6" ht="24.95" customHeight="1" x14ac:dyDescent="0.25">
      <c r="B49" s="55" t="s">
        <v>208</v>
      </c>
      <c r="C49" s="52"/>
      <c r="D49" s="52"/>
      <c r="E49" s="52"/>
      <c r="F49" s="52"/>
    </row>
    <row r="51" spans="2:6" ht="30" customHeight="1" x14ac:dyDescent="0.25">
      <c r="B51" s="1" t="s">
        <v>209</v>
      </c>
      <c r="C51" s="2" t="s">
        <v>210</v>
      </c>
      <c r="D51" s="2" t="s">
        <v>211</v>
      </c>
      <c r="E51" s="2" t="s">
        <v>212</v>
      </c>
      <c r="F51" s="3" t="s">
        <v>25</v>
      </c>
    </row>
    <row r="52" spans="2:6" ht="18" customHeight="1" x14ac:dyDescent="0.25">
      <c r="B52" s="35">
        <v>1</v>
      </c>
      <c r="C52" s="5" t="s">
        <v>213</v>
      </c>
      <c r="D52" s="25">
        <v>68.89</v>
      </c>
      <c r="E52" s="10">
        <v>534</v>
      </c>
      <c r="F52" s="6" t="s">
        <v>214</v>
      </c>
    </row>
    <row r="53" spans="2:6" ht="18" customHeight="1" x14ac:dyDescent="0.25">
      <c r="B53" s="36">
        <v>2</v>
      </c>
      <c r="C53" s="8" t="s">
        <v>215</v>
      </c>
      <c r="D53" s="26">
        <v>66.81</v>
      </c>
      <c r="E53" s="13">
        <v>518</v>
      </c>
      <c r="F53" s="9" t="s">
        <v>216</v>
      </c>
    </row>
    <row r="54" spans="2:6" ht="18" customHeight="1" x14ac:dyDescent="0.25">
      <c r="B54" s="35">
        <v>3</v>
      </c>
      <c r="C54" s="5" t="s">
        <v>217</v>
      </c>
      <c r="D54" s="25">
        <v>65.66</v>
      </c>
      <c r="E54" s="10">
        <v>509</v>
      </c>
      <c r="F54" s="6" t="s">
        <v>68</v>
      </c>
    </row>
    <row r="55" spans="2:6" ht="18" customHeight="1" x14ac:dyDescent="0.25">
      <c r="B55" s="36">
        <v>4</v>
      </c>
      <c r="C55" s="8" t="s">
        <v>218</v>
      </c>
      <c r="D55" s="26">
        <v>55.37</v>
      </c>
      <c r="E55" s="13">
        <v>429</v>
      </c>
      <c r="F55" s="9" t="s">
        <v>68</v>
      </c>
    </row>
    <row r="56" spans="2:6" ht="18" customHeight="1" x14ac:dyDescent="0.25">
      <c r="B56" s="35">
        <v>5</v>
      </c>
      <c r="C56" s="5" t="s">
        <v>219</v>
      </c>
      <c r="D56" s="25">
        <v>48.23</v>
      </c>
      <c r="E56" s="10">
        <v>374</v>
      </c>
      <c r="F56" s="6" t="s">
        <v>68</v>
      </c>
    </row>
  </sheetData>
  <mergeCells count="5">
    <mergeCell ref="B2:I2"/>
    <mergeCell ref="B3:I3"/>
    <mergeCell ref="B5:I5"/>
    <mergeCell ref="B38:H38"/>
    <mergeCell ref="B49:F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63"/>
  <sheetViews>
    <sheetView showGridLines="0" workbookViewId="0"/>
  </sheetViews>
  <sheetFormatPr defaultRowHeight="15" x14ac:dyDescent="0.25"/>
  <cols>
    <col min="1" max="1" width="3" customWidth="1"/>
    <col min="2" max="2" width="8" customWidth="1"/>
    <col min="3" max="4" width="20" customWidth="1"/>
    <col min="5" max="5" width="18" customWidth="1"/>
  </cols>
  <sheetData>
    <row r="2" spans="2:8" ht="35.1" customHeight="1" x14ac:dyDescent="0.35">
      <c r="B2" s="56" t="s">
        <v>220</v>
      </c>
      <c r="C2" s="52"/>
      <c r="D2" s="52"/>
      <c r="E2" s="52"/>
      <c r="F2" s="52"/>
      <c r="G2" s="52"/>
      <c r="H2" s="52"/>
    </row>
    <row r="3" spans="2:8" ht="15.75" x14ac:dyDescent="0.25">
      <c r="B3" s="57" t="s">
        <v>221</v>
      </c>
      <c r="C3" s="52"/>
      <c r="D3" s="52"/>
      <c r="E3" s="52"/>
      <c r="F3" s="52"/>
      <c r="G3" s="52"/>
      <c r="H3" s="52"/>
    </row>
    <row r="5" spans="2:8" ht="24.95" customHeight="1" x14ac:dyDescent="0.25">
      <c r="B5" s="55" t="s">
        <v>222</v>
      </c>
      <c r="C5" s="52"/>
      <c r="D5" s="52"/>
      <c r="E5" s="52"/>
      <c r="F5" s="52"/>
      <c r="G5" s="52"/>
    </row>
    <row r="7" spans="2:8" ht="30" customHeight="1" x14ac:dyDescent="0.25">
      <c r="B7" s="1" t="s">
        <v>23</v>
      </c>
      <c r="C7" s="2" t="s">
        <v>223</v>
      </c>
      <c r="D7" s="3" t="s">
        <v>6</v>
      </c>
    </row>
    <row r="8" spans="2:8" ht="18" customHeight="1" x14ac:dyDescent="0.25">
      <c r="B8" s="4" t="s">
        <v>33</v>
      </c>
      <c r="C8" s="37">
        <v>0.48</v>
      </c>
      <c r="D8" s="6" t="s">
        <v>224</v>
      </c>
    </row>
    <row r="9" spans="2:8" ht="18" customHeight="1" x14ac:dyDescent="0.25">
      <c r="B9" s="7" t="s">
        <v>225</v>
      </c>
      <c r="C9" s="38">
        <v>0.52</v>
      </c>
      <c r="D9" s="9" t="s">
        <v>226</v>
      </c>
    </row>
    <row r="10" spans="2:8" ht="18" customHeight="1" x14ac:dyDescent="0.25">
      <c r="B10" s="4" t="s">
        <v>227</v>
      </c>
      <c r="C10" s="37">
        <v>0.52</v>
      </c>
      <c r="D10" s="6" t="s">
        <v>228</v>
      </c>
    </row>
    <row r="11" spans="2:8" ht="18" customHeight="1" x14ac:dyDescent="0.25">
      <c r="B11" s="7" t="s">
        <v>31</v>
      </c>
      <c r="C11" s="38">
        <v>0.5</v>
      </c>
      <c r="D11" s="9" t="s">
        <v>229</v>
      </c>
    </row>
    <row r="12" spans="2:8" ht="18" customHeight="1" x14ac:dyDescent="0.25">
      <c r="B12" s="4" t="s">
        <v>30</v>
      </c>
      <c r="C12" s="37">
        <v>0.54</v>
      </c>
      <c r="D12" s="6" t="s">
        <v>230</v>
      </c>
    </row>
    <row r="13" spans="2:8" ht="18" customHeight="1" x14ac:dyDescent="0.25">
      <c r="B13" s="7" t="s">
        <v>231</v>
      </c>
      <c r="C13" s="38">
        <v>0.5</v>
      </c>
      <c r="D13" s="9" t="s">
        <v>232</v>
      </c>
    </row>
    <row r="16" spans="2:8" ht="24.95" customHeight="1" x14ac:dyDescent="0.25">
      <c r="B16" s="55" t="s">
        <v>233</v>
      </c>
      <c r="C16" s="52"/>
      <c r="D16" s="52"/>
      <c r="E16" s="52"/>
      <c r="F16" s="52"/>
      <c r="G16" s="52"/>
    </row>
    <row r="18" spans="2:7" ht="30" customHeight="1" x14ac:dyDescent="0.25">
      <c r="B18" s="1" t="s">
        <v>23</v>
      </c>
      <c r="C18" s="2" t="s">
        <v>223</v>
      </c>
      <c r="D18" s="3" t="s">
        <v>234</v>
      </c>
    </row>
    <row r="19" spans="2:7" ht="18" customHeight="1" x14ac:dyDescent="0.25">
      <c r="B19" s="4" t="s">
        <v>33</v>
      </c>
      <c r="C19" s="37">
        <v>0.31</v>
      </c>
      <c r="D19" s="27">
        <v>39</v>
      </c>
    </row>
    <row r="20" spans="2:7" ht="18" customHeight="1" x14ac:dyDescent="0.25">
      <c r="B20" s="7" t="s">
        <v>225</v>
      </c>
      <c r="C20" s="38">
        <v>0.27</v>
      </c>
      <c r="D20" s="9"/>
    </row>
    <row r="21" spans="2:7" ht="18" customHeight="1" x14ac:dyDescent="0.25">
      <c r="B21" s="4" t="s">
        <v>227</v>
      </c>
      <c r="C21" s="37">
        <v>0.22</v>
      </c>
      <c r="D21" s="6"/>
    </row>
    <row r="22" spans="2:7" ht="18" customHeight="1" x14ac:dyDescent="0.25">
      <c r="B22" s="7" t="s">
        <v>31</v>
      </c>
      <c r="C22" s="38">
        <v>0.28999999999999998</v>
      </c>
      <c r="D22" s="9"/>
    </row>
    <row r="23" spans="2:7" ht="18" customHeight="1" x14ac:dyDescent="0.25">
      <c r="B23" s="4" t="s">
        <v>30</v>
      </c>
      <c r="C23" s="5"/>
      <c r="D23" s="27">
        <v>53</v>
      </c>
    </row>
    <row r="24" spans="2:7" ht="18" customHeight="1" x14ac:dyDescent="0.25">
      <c r="B24" s="7" t="s">
        <v>231</v>
      </c>
      <c r="C24" s="38">
        <v>0.31</v>
      </c>
      <c r="D24" s="9"/>
    </row>
    <row r="27" spans="2:7" ht="24.95" customHeight="1" x14ac:dyDescent="0.25">
      <c r="B27" s="55" t="s">
        <v>235</v>
      </c>
      <c r="C27" s="52"/>
      <c r="D27" s="52"/>
      <c r="E27" s="52"/>
      <c r="F27" s="52"/>
      <c r="G27" s="52"/>
    </row>
    <row r="29" spans="2:7" ht="30" customHeight="1" x14ac:dyDescent="0.25">
      <c r="B29" s="1" t="s">
        <v>23</v>
      </c>
      <c r="C29" s="2" t="s">
        <v>236</v>
      </c>
      <c r="D29" s="2" t="s">
        <v>237</v>
      </c>
      <c r="E29" s="3" t="s">
        <v>238</v>
      </c>
    </row>
    <row r="30" spans="2:7" ht="18" customHeight="1" x14ac:dyDescent="0.25">
      <c r="B30" s="4" t="s">
        <v>33</v>
      </c>
      <c r="C30" s="37">
        <v>0.35</v>
      </c>
      <c r="D30" s="37">
        <v>0.39</v>
      </c>
      <c r="E30" s="6" t="s">
        <v>239</v>
      </c>
    </row>
    <row r="31" spans="2:7" ht="18" customHeight="1" x14ac:dyDescent="0.25">
      <c r="B31" s="7" t="s">
        <v>225</v>
      </c>
      <c r="C31" s="8"/>
      <c r="D31" s="8"/>
      <c r="E31" s="9" t="s">
        <v>240</v>
      </c>
    </row>
    <row r="32" spans="2:7" ht="18" customHeight="1" x14ac:dyDescent="0.25">
      <c r="B32" s="4" t="s">
        <v>227</v>
      </c>
      <c r="C32" s="37">
        <v>0.6</v>
      </c>
      <c r="D32" s="37">
        <v>0.51</v>
      </c>
      <c r="E32" s="6" t="s">
        <v>241</v>
      </c>
    </row>
    <row r="33" spans="2:6" ht="18" customHeight="1" x14ac:dyDescent="0.25">
      <c r="B33" s="7" t="s">
        <v>31</v>
      </c>
      <c r="C33" s="38">
        <v>0.48</v>
      </c>
      <c r="D33" s="8"/>
      <c r="E33" s="9" t="s">
        <v>239</v>
      </c>
    </row>
    <row r="34" spans="2:6" ht="18" customHeight="1" x14ac:dyDescent="0.25">
      <c r="B34" s="4" t="s">
        <v>30</v>
      </c>
      <c r="C34" s="37">
        <v>0.11</v>
      </c>
      <c r="D34" s="5"/>
      <c r="E34" s="6" t="s">
        <v>242</v>
      </c>
    </row>
    <row r="35" spans="2:6" ht="18" customHeight="1" x14ac:dyDescent="0.25">
      <c r="B35" s="7" t="s">
        <v>231</v>
      </c>
      <c r="C35" s="38">
        <v>0.63</v>
      </c>
      <c r="D35" s="8"/>
      <c r="E35" s="9" t="s">
        <v>243</v>
      </c>
    </row>
    <row r="38" spans="2:6" ht="24.95" customHeight="1" x14ac:dyDescent="0.25">
      <c r="B38" s="55" t="s">
        <v>244</v>
      </c>
      <c r="C38" s="52"/>
      <c r="D38" s="52"/>
      <c r="E38" s="52"/>
      <c r="F38" s="52"/>
    </row>
    <row r="40" spans="2:6" ht="30" customHeight="1" x14ac:dyDescent="0.25">
      <c r="B40" s="1" t="s">
        <v>245</v>
      </c>
      <c r="C40" s="2" t="s">
        <v>246</v>
      </c>
      <c r="D40" s="3" t="s">
        <v>209</v>
      </c>
    </row>
    <row r="41" spans="2:6" ht="18" customHeight="1" x14ac:dyDescent="0.25">
      <c r="B41" s="4" t="s">
        <v>247</v>
      </c>
      <c r="C41" s="37">
        <v>0.8</v>
      </c>
      <c r="D41" s="27">
        <v>1</v>
      </c>
    </row>
    <row r="42" spans="2:6" ht="18" customHeight="1" x14ac:dyDescent="0.25">
      <c r="B42" s="7" t="s">
        <v>248</v>
      </c>
      <c r="C42" s="38">
        <v>0.7</v>
      </c>
      <c r="D42" s="28">
        <v>2</v>
      </c>
    </row>
    <row r="43" spans="2:6" ht="18" customHeight="1" x14ac:dyDescent="0.25">
      <c r="B43" s="4" t="s">
        <v>249</v>
      </c>
      <c r="C43" s="37">
        <v>0.4</v>
      </c>
      <c r="D43" s="27">
        <v>3</v>
      </c>
    </row>
    <row r="44" spans="2:6" ht="18" customHeight="1" x14ac:dyDescent="0.25">
      <c r="B44" s="7" t="s">
        <v>250</v>
      </c>
      <c r="C44" s="38">
        <v>0.3</v>
      </c>
      <c r="D44" s="28">
        <v>4</v>
      </c>
    </row>
    <row r="45" spans="2:6" ht="18" customHeight="1" x14ac:dyDescent="0.25">
      <c r="B45" s="4" t="s">
        <v>251</v>
      </c>
      <c r="C45" s="37">
        <v>0.25</v>
      </c>
      <c r="D45" s="27">
        <v>5</v>
      </c>
    </row>
    <row r="46" spans="2:6" ht="18" customHeight="1" x14ac:dyDescent="0.25">
      <c r="B46" s="7" t="s">
        <v>252</v>
      </c>
      <c r="C46" s="38">
        <v>0.2</v>
      </c>
      <c r="D46" s="28">
        <v>6</v>
      </c>
    </row>
    <row r="47" spans="2:6" ht="18" customHeight="1" x14ac:dyDescent="0.25">
      <c r="B47" s="4" t="s">
        <v>253</v>
      </c>
      <c r="C47" s="37">
        <v>0.15</v>
      </c>
      <c r="D47" s="27">
        <v>7</v>
      </c>
    </row>
    <row r="48" spans="2:6" ht="18" customHeight="1" x14ac:dyDescent="0.25">
      <c r="B48" s="7" t="s">
        <v>254</v>
      </c>
      <c r="C48" s="38">
        <v>0.1</v>
      </c>
      <c r="D48" s="28">
        <v>8</v>
      </c>
    </row>
    <row r="51" spans="2:6" ht="24.95" customHeight="1" x14ac:dyDescent="0.25">
      <c r="B51" s="55" t="s">
        <v>255</v>
      </c>
      <c r="C51" s="52"/>
      <c r="D51" s="52"/>
      <c r="E51" s="52"/>
      <c r="F51" s="52"/>
    </row>
    <row r="53" spans="2:6" ht="30" customHeight="1" x14ac:dyDescent="0.25">
      <c r="B53" s="1" t="s">
        <v>209</v>
      </c>
      <c r="C53" s="2" t="s">
        <v>65</v>
      </c>
      <c r="D53" s="2" t="s">
        <v>25</v>
      </c>
      <c r="E53" s="3" t="s">
        <v>23</v>
      </c>
    </row>
    <row r="54" spans="2:6" ht="18" customHeight="1" x14ac:dyDescent="0.25">
      <c r="B54" s="35">
        <v>1</v>
      </c>
      <c r="C54" s="5" t="s">
        <v>67</v>
      </c>
      <c r="D54" s="10">
        <v>143662741</v>
      </c>
      <c r="E54" s="6" t="s">
        <v>30</v>
      </c>
    </row>
    <row r="55" spans="2:6" ht="18" customHeight="1" x14ac:dyDescent="0.25">
      <c r="B55" s="36">
        <v>2</v>
      </c>
      <c r="C55" s="8" t="s">
        <v>256</v>
      </c>
      <c r="D55" s="13">
        <v>94312457</v>
      </c>
      <c r="E55" s="9" t="s">
        <v>225</v>
      </c>
    </row>
    <row r="56" spans="2:6" ht="18" customHeight="1" x14ac:dyDescent="0.25">
      <c r="B56" s="35">
        <v>3</v>
      </c>
      <c r="C56" s="5" t="s">
        <v>109</v>
      </c>
      <c r="D56" s="10">
        <v>21343774</v>
      </c>
      <c r="E56" s="6" t="s">
        <v>31</v>
      </c>
    </row>
    <row r="57" spans="2:6" ht="18" customHeight="1" x14ac:dyDescent="0.25">
      <c r="B57" s="36">
        <v>4</v>
      </c>
      <c r="C57" s="8" t="s">
        <v>69</v>
      </c>
      <c r="D57" s="13">
        <v>11321984</v>
      </c>
      <c r="E57" s="9" t="s">
        <v>30</v>
      </c>
    </row>
    <row r="58" spans="2:6" ht="18" customHeight="1" x14ac:dyDescent="0.25">
      <c r="B58" s="35">
        <v>5</v>
      </c>
      <c r="C58" s="5" t="s">
        <v>257</v>
      </c>
      <c r="D58" s="10">
        <v>10102369</v>
      </c>
      <c r="E58" s="6" t="s">
        <v>225</v>
      </c>
    </row>
    <row r="59" spans="2:6" ht="18" customHeight="1" x14ac:dyDescent="0.25">
      <c r="B59" s="36">
        <v>6</v>
      </c>
      <c r="C59" s="8" t="s">
        <v>118</v>
      </c>
      <c r="D59" s="13">
        <v>9440381</v>
      </c>
      <c r="E59" s="9" t="s">
        <v>31</v>
      </c>
    </row>
    <row r="60" spans="2:6" ht="18" customHeight="1" x14ac:dyDescent="0.25">
      <c r="B60" s="35">
        <v>7</v>
      </c>
      <c r="C60" s="5" t="s">
        <v>173</v>
      </c>
      <c r="D60" s="10">
        <v>7716348</v>
      </c>
      <c r="E60" s="6" t="s">
        <v>33</v>
      </c>
    </row>
    <row r="61" spans="2:6" ht="18" customHeight="1" x14ac:dyDescent="0.25">
      <c r="B61" s="36">
        <v>8</v>
      </c>
      <c r="C61" s="8" t="s">
        <v>258</v>
      </c>
      <c r="D61" s="13">
        <v>7400000</v>
      </c>
      <c r="E61" s="9" t="s">
        <v>225</v>
      </c>
    </row>
    <row r="62" spans="2:6" ht="18" customHeight="1" x14ac:dyDescent="0.25">
      <c r="B62" s="35">
        <v>9</v>
      </c>
      <c r="C62" s="5" t="s">
        <v>180</v>
      </c>
      <c r="D62" s="10">
        <v>7385423</v>
      </c>
      <c r="E62" s="6" t="s">
        <v>33</v>
      </c>
    </row>
    <row r="63" spans="2:6" ht="18" customHeight="1" x14ac:dyDescent="0.25">
      <c r="B63" s="36">
        <v>10</v>
      </c>
      <c r="C63" s="8" t="s">
        <v>259</v>
      </c>
      <c r="D63" s="13">
        <v>6698705</v>
      </c>
      <c r="E63" s="9" t="s">
        <v>225</v>
      </c>
    </row>
  </sheetData>
  <mergeCells count="7">
    <mergeCell ref="B2:H2"/>
    <mergeCell ref="B3:H3"/>
    <mergeCell ref="B16:G16"/>
    <mergeCell ref="B38:F38"/>
    <mergeCell ref="B5:G5"/>
    <mergeCell ref="B27:G27"/>
    <mergeCell ref="B51:F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0"/>
  <sheetViews>
    <sheetView showGridLines="0" workbookViewId="0"/>
  </sheetViews>
  <sheetFormatPr defaultRowHeight="15" x14ac:dyDescent="0.25"/>
  <cols>
    <col min="1" max="1" width="3" customWidth="1"/>
    <col min="2" max="2" width="25" customWidth="1"/>
    <col min="3" max="3" width="16" customWidth="1"/>
    <col min="4" max="4" width="20" customWidth="1"/>
    <col min="5" max="6" width="18" customWidth="1"/>
    <col min="7" max="7" width="16" customWidth="1"/>
  </cols>
  <sheetData>
    <row r="2" spans="2:8" ht="35.1" customHeight="1" x14ac:dyDescent="0.35">
      <c r="B2" s="56" t="s">
        <v>260</v>
      </c>
      <c r="C2" s="52"/>
      <c r="D2" s="52"/>
      <c r="E2" s="52"/>
      <c r="F2" s="52"/>
      <c r="G2" s="52"/>
      <c r="H2" s="52"/>
    </row>
    <row r="3" spans="2:8" ht="15.75" x14ac:dyDescent="0.25">
      <c r="B3" s="57" t="s">
        <v>261</v>
      </c>
      <c r="C3" s="52"/>
      <c r="D3" s="52"/>
      <c r="E3" s="52"/>
      <c r="F3" s="52"/>
      <c r="G3" s="52"/>
      <c r="H3" s="52"/>
    </row>
    <row r="5" spans="2:8" ht="24.95" customHeight="1" x14ac:dyDescent="0.25">
      <c r="B5" s="55" t="s">
        <v>262</v>
      </c>
      <c r="C5" s="52"/>
      <c r="D5" s="52"/>
      <c r="E5" s="52"/>
      <c r="F5" s="52"/>
      <c r="G5" s="52"/>
    </row>
    <row r="7" spans="2:8" ht="30" customHeight="1" x14ac:dyDescent="0.25">
      <c r="B7" s="1" t="s">
        <v>263</v>
      </c>
      <c r="C7" s="2" t="s">
        <v>264</v>
      </c>
      <c r="D7" s="2" t="s">
        <v>265</v>
      </c>
      <c r="E7" s="2" t="s">
        <v>266</v>
      </c>
      <c r="F7" s="2" t="s">
        <v>267</v>
      </c>
      <c r="G7" s="3" t="s">
        <v>268</v>
      </c>
    </row>
    <row r="8" spans="2:8" ht="18" customHeight="1" x14ac:dyDescent="0.25">
      <c r="B8" s="4" t="s">
        <v>269</v>
      </c>
      <c r="C8" s="39">
        <v>165.2</v>
      </c>
      <c r="D8" s="39">
        <v>168.4</v>
      </c>
      <c r="E8" s="39">
        <v>171.6</v>
      </c>
      <c r="F8" s="39">
        <v>177.4</v>
      </c>
      <c r="G8" s="31">
        <v>9.9017022296811308E-2</v>
      </c>
    </row>
    <row r="9" spans="2:8" ht="18" customHeight="1" x14ac:dyDescent="0.25">
      <c r="B9" s="7" t="s">
        <v>270</v>
      </c>
      <c r="C9" s="40">
        <v>322</v>
      </c>
      <c r="D9" s="40">
        <v>323.60000000000002</v>
      </c>
      <c r="E9" s="40">
        <v>325.89999999999998</v>
      </c>
      <c r="F9" s="40">
        <v>328.2</v>
      </c>
      <c r="G9" s="33">
        <v>0.19299928074802211</v>
      </c>
    </row>
    <row r="10" spans="2:8" ht="18" customHeight="1" x14ac:dyDescent="0.25">
      <c r="B10" s="16" t="s">
        <v>271</v>
      </c>
      <c r="C10" s="41">
        <v>487.2</v>
      </c>
      <c r="D10" s="41">
        <v>492</v>
      </c>
      <c r="E10" s="41">
        <v>497.5</v>
      </c>
      <c r="F10" s="41">
        <v>505.6</v>
      </c>
      <c r="G10" s="42">
        <v>0.29201630304483328</v>
      </c>
    </row>
    <row r="11" spans="2:8" ht="18" customHeight="1" x14ac:dyDescent="0.25">
      <c r="B11" s="7" t="s">
        <v>272</v>
      </c>
      <c r="C11" s="40">
        <v>70.099999999999994</v>
      </c>
      <c r="D11" s="40">
        <v>73</v>
      </c>
      <c r="E11" s="40">
        <v>70.400000000000006</v>
      </c>
      <c r="F11" s="40">
        <v>70.2</v>
      </c>
      <c r="G11" s="33">
        <v>4.2016303044833371E-2</v>
      </c>
    </row>
    <row r="12" spans="2:8" ht="18" customHeight="1" x14ac:dyDescent="0.25">
      <c r="B12" s="4" t="s">
        <v>273</v>
      </c>
      <c r="C12" s="39">
        <v>85.1</v>
      </c>
      <c r="D12" s="39">
        <v>87.3</v>
      </c>
      <c r="E12" s="39">
        <v>82.9</v>
      </c>
      <c r="F12" s="39">
        <v>82.7</v>
      </c>
      <c r="G12" s="31">
        <v>5.1006952769120109E-2</v>
      </c>
    </row>
    <row r="13" spans="2:8" ht="18" customHeight="1" x14ac:dyDescent="0.25">
      <c r="B13" s="7" t="s">
        <v>274</v>
      </c>
      <c r="C13" s="40">
        <v>602.29999999999995</v>
      </c>
      <c r="D13" s="40">
        <v>613.79999999999995</v>
      </c>
      <c r="E13" s="40">
        <v>591</v>
      </c>
      <c r="F13" s="40">
        <v>586.1</v>
      </c>
      <c r="G13" s="33">
        <v>0.36100455526252689</v>
      </c>
    </row>
    <row r="14" spans="2:8" ht="18" customHeight="1" x14ac:dyDescent="0.25">
      <c r="B14" s="4" t="s">
        <v>275</v>
      </c>
      <c r="C14" s="39">
        <v>163.4</v>
      </c>
      <c r="D14" s="39">
        <v>160.69999999999999</v>
      </c>
      <c r="E14" s="39">
        <v>145.9</v>
      </c>
      <c r="F14" s="39">
        <v>136.6</v>
      </c>
      <c r="G14" s="31">
        <v>9.7938144329896906E-2</v>
      </c>
    </row>
    <row r="15" spans="2:8" ht="18" customHeight="1" x14ac:dyDescent="0.25">
      <c r="B15" s="16" t="s">
        <v>276</v>
      </c>
      <c r="C15" s="41">
        <v>765.7</v>
      </c>
      <c r="D15" s="41">
        <v>774.5</v>
      </c>
      <c r="E15" s="41">
        <v>736.9</v>
      </c>
      <c r="F15" s="41">
        <v>722.7</v>
      </c>
      <c r="G15" s="42">
        <v>0.4589426995924239</v>
      </c>
    </row>
    <row r="16" spans="2:8" ht="18" customHeight="1" x14ac:dyDescent="0.25">
      <c r="B16" s="4" t="s">
        <v>277</v>
      </c>
      <c r="C16" s="39">
        <v>181.8</v>
      </c>
      <c r="D16" s="39">
        <v>249.9</v>
      </c>
      <c r="E16" s="39">
        <v>249.9</v>
      </c>
      <c r="F16" s="39">
        <v>246.7</v>
      </c>
      <c r="G16" s="31">
        <v>0.1089666746583553</v>
      </c>
    </row>
    <row r="17" spans="2:7" ht="18" customHeight="1" x14ac:dyDescent="0.25">
      <c r="B17" s="16" t="s">
        <v>278</v>
      </c>
      <c r="C17" s="41">
        <v>1668.4</v>
      </c>
      <c r="D17" s="41">
        <v>1677.1</v>
      </c>
      <c r="E17" s="41">
        <v>1641.4</v>
      </c>
      <c r="F17" s="41">
        <v>1629.8</v>
      </c>
      <c r="G17" s="42">
        <v>1</v>
      </c>
    </row>
    <row r="20" spans="2:7" ht="24.95" customHeight="1" x14ac:dyDescent="0.25">
      <c r="B20" s="55" t="s">
        <v>279</v>
      </c>
      <c r="C20" s="52"/>
      <c r="D20" s="52"/>
      <c r="E20" s="52"/>
      <c r="F20" s="52"/>
      <c r="G20" s="52"/>
    </row>
    <row r="22" spans="2:7" ht="30" customHeight="1" x14ac:dyDescent="0.25">
      <c r="B22" s="1" t="s">
        <v>280</v>
      </c>
      <c r="C22" s="2" t="s">
        <v>281</v>
      </c>
      <c r="D22" s="2" t="s">
        <v>282</v>
      </c>
      <c r="E22" s="3" t="s">
        <v>283</v>
      </c>
    </row>
    <row r="23" spans="2:7" ht="18" customHeight="1" x14ac:dyDescent="0.25">
      <c r="B23" s="4" t="s">
        <v>284</v>
      </c>
      <c r="C23" s="10">
        <v>36</v>
      </c>
      <c r="D23" s="10">
        <v>63188</v>
      </c>
      <c r="E23" s="31">
        <v>0.2888</v>
      </c>
    </row>
    <row r="24" spans="2:7" ht="18" customHeight="1" x14ac:dyDescent="0.25">
      <c r="B24" s="7" t="s">
        <v>285</v>
      </c>
      <c r="C24" s="13">
        <v>65</v>
      </c>
      <c r="D24" s="13">
        <v>42832</v>
      </c>
      <c r="E24" s="33">
        <v>0.1958</v>
      </c>
    </row>
    <row r="25" spans="2:7" ht="18" customHeight="1" x14ac:dyDescent="0.25">
      <c r="B25" s="4" t="s">
        <v>286</v>
      </c>
      <c r="C25" s="10">
        <v>332</v>
      </c>
      <c r="D25" s="10">
        <v>76175</v>
      </c>
      <c r="E25" s="31">
        <v>0.34820000000000001</v>
      </c>
    </row>
    <row r="26" spans="2:7" ht="18" customHeight="1" x14ac:dyDescent="0.25">
      <c r="B26" s="7" t="s">
        <v>287</v>
      </c>
      <c r="C26" s="13">
        <v>243</v>
      </c>
      <c r="D26" s="13">
        <v>17014</v>
      </c>
      <c r="E26" s="33">
        <v>7.7799999999999994E-2</v>
      </c>
    </row>
    <row r="27" spans="2:7" ht="18" customHeight="1" x14ac:dyDescent="0.25">
      <c r="B27" s="4" t="s">
        <v>288</v>
      </c>
      <c r="C27" s="10">
        <v>527</v>
      </c>
      <c r="D27" s="10">
        <v>12915</v>
      </c>
      <c r="E27" s="31">
        <v>5.8999999999999997E-2</v>
      </c>
    </row>
    <row r="28" spans="2:7" ht="18" customHeight="1" x14ac:dyDescent="0.25">
      <c r="B28" s="7" t="s">
        <v>289</v>
      </c>
      <c r="C28" s="13">
        <v>785</v>
      </c>
      <c r="D28" s="13">
        <v>2401</v>
      </c>
      <c r="E28" s="33">
        <v>1.0999999999999999E-2</v>
      </c>
    </row>
    <row r="29" spans="2:7" ht="18" customHeight="1" x14ac:dyDescent="0.25">
      <c r="B29" s="4" t="s">
        <v>290</v>
      </c>
      <c r="C29" s="10">
        <v>2600</v>
      </c>
      <c r="D29" s="10">
        <v>4237</v>
      </c>
      <c r="E29" s="31">
        <v>1.9400000000000001E-2</v>
      </c>
    </row>
    <row r="30" spans="2:7" ht="18" customHeight="1" x14ac:dyDescent="0.25">
      <c r="B30" s="16" t="s">
        <v>70</v>
      </c>
      <c r="C30" s="17">
        <v>4588</v>
      </c>
      <c r="D30" s="17">
        <v>218762</v>
      </c>
      <c r="E30" s="42">
        <v>1</v>
      </c>
    </row>
  </sheetData>
  <mergeCells count="4">
    <mergeCell ref="B5:G5"/>
    <mergeCell ref="B3:H3"/>
    <mergeCell ref="B20:G20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61"/>
  <sheetViews>
    <sheetView showGridLines="0" workbookViewId="0"/>
  </sheetViews>
  <sheetFormatPr defaultRowHeight="15" x14ac:dyDescent="0.25"/>
  <cols>
    <col min="1" max="1" width="3" customWidth="1"/>
    <col min="2" max="2" width="40" customWidth="1"/>
    <col min="3" max="3" width="18" customWidth="1"/>
    <col min="4" max="4" width="10" customWidth="1"/>
    <col min="5" max="6" width="18" customWidth="1"/>
  </cols>
  <sheetData>
    <row r="2" spans="2:8" ht="35.1" customHeight="1" x14ac:dyDescent="0.35">
      <c r="B2" s="56" t="s">
        <v>291</v>
      </c>
      <c r="C2" s="52"/>
      <c r="D2" s="52"/>
      <c r="E2" s="52"/>
      <c r="F2" s="52"/>
      <c r="G2" s="52"/>
      <c r="H2" s="52"/>
    </row>
    <row r="3" spans="2:8" ht="15.75" x14ac:dyDescent="0.25">
      <c r="B3" s="57" t="s">
        <v>292</v>
      </c>
      <c r="C3" s="52"/>
      <c r="D3" s="52"/>
      <c r="E3" s="52"/>
      <c r="F3" s="52"/>
      <c r="G3" s="52"/>
      <c r="H3" s="52"/>
    </row>
    <row r="5" spans="2:8" ht="24.95" customHeight="1" x14ac:dyDescent="0.25">
      <c r="B5" s="55" t="s">
        <v>293</v>
      </c>
      <c r="C5" s="52"/>
      <c r="D5" s="52"/>
      <c r="E5" s="52"/>
      <c r="F5" s="52"/>
      <c r="G5" s="52"/>
    </row>
    <row r="7" spans="2:8" ht="30" customHeight="1" x14ac:dyDescent="0.25">
      <c r="B7" s="1" t="s">
        <v>4</v>
      </c>
      <c r="C7" s="2" t="s">
        <v>81</v>
      </c>
      <c r="D7" s="2" t="s">
        <v>80</v>
      </c>
      <c r="E7" s="2" t="s">
        <v>294</v>
      </c>
      <c r="F7" s="3" t="s">
        <v>295</v>
      </c>
    </row>
    <row r="8" spans="2:8" ht="18" customHeight="1" x14ac:dyDescent="0.25">
      <c r="B8" s="4" t="s">
        <v>296</v>
      </c>
      <c r="C8" s="5"/>
      <c r="D8" s="23">
        <v>6.4999999999999997E-3</v>
      </c>
      <c r="E8" s="23">
        <v>6.1000000000000004E-3</v>
      </c>
      <c r="F8" s="24">
        <v>7.0000000000000001E-3</v>
      </c>
    </row>
    <row r="9" spans="2:8" ht="18" customHeight="1" x14ac:dyDescent="0.25">
      <c r="B9" s="7" t="s">
        <v>297</v>
      </c>
      <c r="C9" s="8"/>
      <c r="D9" s="43">
        <v>3.0599999999999999E-2</v>
      </c>
      <c r="E9" s="43">
        <v>2.9600000000000001E-2</v>
      </c>
      <c r="F9" s="9"/>
    </row>
    <row r="10" spans="2:8" ht="18" customHeight="1" x14ac:dyDescent="0.25">
      <c r="B10" s="4" t="s">
        <v>76</v>
      </c>
      <c r="C10" s="23">
        <v>0.10630000000000001</v>
      </c>
      <c r="D10" s="5"/>
      <c r="E10" s="5"/>
      <c r="F10" s="6"/>
    </row>
    <row r="11" spans="2:8" ht="18" customHeight="1" x14ac:dyDescent="0.25">
      <c r="B11" s="7" t="s">
        <v>298</v>
      </c>
      <c r="C11" s="43">
        <v>9.5999999999999992E-3</v>
      </c>
      <c r="D11" s="8"/>
      <c r="E11" s="8"/>
      <c r="F11" s="9"/>
    </row>
    <row r="12" spans="2:8" ht="18" customHeight="1" x14ac:dyDescent="0.25">
      <c r="B12" s="4" t="s">
        <v>299</v>
      </c>
      <c r="C12" s="23">
        <v>9.5999999999999992E-3</v>
      </c>
      <c r="D12" s="5"/>
      <c r="E12" s="5"/>
      <c r="F12" s="6"/>
    </row>
    <row r="13" spans="2:8" ht="18" customHeight="1" x14ac:dyDescent="0.25">
      <c r="B13" s="7" t="s">
        <v>300</v>
      </c>
      <c r="C13" s="43">
        <v>3.3000000000000002E-2</v>
      </c>
      <c r="D13" s="8"/>
      <c r="E13" s="8"/>
      <c r="F13" s="9"/>
    </row>
    <row r="14" spans="2:8" ht="18" customHeight="1" x14ac:dyDescent="0.25">
      <c r="B14" s="4" t="s">
        <v>301</v>
      </c>
      <c r="C14" s="23">
        <v>1.2999999999999999E-2</v>
      </c>
      <c r="D14" s="5"/>
      <c r="E14" s="5"/>
      <c r="F14" s="6"/>
    </row>
    <row r="15" spans="2:8" ht="18" customHeight="1" x14ac:dyDescent="0.25">
      <c r="B15" s="7" t="s">
        <v>302</v>
      </c>
      <c r="C15" s="43">
        <v>0.02</v>
      </c>
      <c r="D15" s="8"/>
      <c r="E15" s="8"/>
      <c r="F15" s="9"/>
    </row>
    <row r="18" spans="2:6" ht="24.95" customHeight="1" x14ac:dyDescent="0.25">
      <c r="B18" s="55" t="s">
        <v>303</v>
      </c>
      <c r="C18" s="52"/>
      <c r="D18" s="52"/>
      <c r="E18" s="52"/>
      <c r="F18" s="52"/>
    </row>
    <row r="20" spans="2:6" ht="30" customHeight="1" x14ac:dyDescent="0.25">
      <c r="B20" s="1" t="s">
        <v>304</v>
      </c>
      <c r="C20" s="2" t="s">
        <v>305</v>
      </c>
      <c r="D20" s="3" t="s">
        <v>209</v>
      </c>
    </row>
    <row r="21" spans="2:6" ht="18" customHeight="1" x14ac:dyDescent="0.25">
      <c r="B21" s="4" t="s">
        <v>306</v>
      </c>
      <c r="C21" s="37">
        <v>0.75</v>
      </c>
      <c r="D21" s="27">
        <v>1</v>
      </c>
    </row>
    <row r="22" spans="2:6" ht="18" customHeight="1" x14ac:dyDescent="0.25">
      <c r="B22" s="7" t="s">
        <v>307</v>
      </c>
      <c r="C22" s="38">
        <v>0.65</v>
      </c>
      <c r="D22" s="28">
        <v>2</v>
      </c>
    </row>
    <row r="23" spans="2:6" ht="18" customHeight="1" x14ac:dyDescent="0.25">
      <c r="B23" s="4" t="s">
        <v>308</v>
      </c>
      <c r="C23" s="37">
        <v>0.55000000000000004</v>
      </c>
      <c r="D23" s="27">
        <v>3</v>
      </c>
    </row>
    <row r="24" spans="2:6" ht="18" customHeight="1" x14ac:dyDescent="0.25">
      <c r="B24" s="7" t="s">
        <v>309</v>
      </c>
      <c r="C24" s="38">
        <v>0.4</v>
      </c>
      <c r="D24" s="28">
        <v>4</v>
      </c>
    </row>
    <row r="25" spans="2:6" ht="18" customHeight="1" x14ac:dyDescent="0.25">
      <c r="B25" s="4" t="s">
        <v>310</v>
      </c>
      <c r="C25" s="37">
        <v>0.35</v>
      </c>
      <c r="D25" s="27">
        <v>5</v>
      </c>
    </row>
    <row r="26" spans="2:6" ht="18" customHeight="1" x14ac:dyDescent="0.25">
      <c r="B26" s="7" t="s">
        <v>311</v>
      </c>
      <c r="C26" s="38">
        <v>0.3</v>
      </c>
      <c r="D26" s="28">
        <v>6</v>
      </c>
    </row>
    <row r="27" spans="2:6" ht="18" customHeight="1" x14ac:dyDescent="0.25">
      <c r="B27" s="4" t="s">
        <v>312</v>
      </c>
      <c r="C27" s="37">
        <v>0.25</v>
      </c>
      <c r="D27" s="27">
        <v>7</v>
      </c>
    </row>
    <row r="28" spans="2:6" ht="18" customHeight="1" x14ac:dyDescent="0.25">
      <c r="B28" s="7" t="s">
        <v>313</v>
      </c>
      <c r="C28" s="38">
        <v>0.15</v>
      </c>
      <c r="D28" s="28">
        <v>8</v>
      </c>
    </row>
    <row r="31" spans="2:6" ht="24.95" customHeight="1" x14ac:dyDescent="0.25">
      <c r="B31" s="55" t="s">
        <v>314</v>
      </c>
      <c r="C31" s="52"/>
      <c r="D31" s="52"/>
      <c r="E31" s="52"/>
      <c r="F31" s="52"/>
    </row>
    <row r="33" spans="2:6" ht="30" customHeight="1" x14ac:dyDescent="0.25">
      <c r="B33" s="1" t="s">
        <v>315</v>
      </c>
      <c r="C33" s="2" t="s">
        <v>305</v>
      </c>
      <c r="D33" s="3" t="s">
        <v>209</v>
      </c>
    </row>
    <row r="34" spans="2:6" ht="18" customHeight="1" x14ac:dyDescent="0.25">
      <c r="B34" s="4" t="s">
        <v>316</v>
      </c>
      <c r="C34" s="37">
        <v>0.7</v>
      </c>
      <c r="D34" s="27">
        <v>1</v>
      </c>
    </row>
    <row r="35" spans="2:6" ht="18" customHeight="1" x14ac:dyDescent="0.25">
      <c r="B35" s="7" t="s">
        <v>317</v>
      </c>
      <c r="C35" s="38">
        <v>0.55000000000000004</v>
      </c>
      <c r="D35" s="28">
        <v>2</v>
      </c>
    </row>
    <row r="36" spans="2:6" ht="18" customHeight="1" x14ac:dyDescent="0.25">
      <c r="B36" s="4" t="s">
        <v>318</v>
      </c>
      <c r="C36" s="37">
        <v>0.5</v>
      </c>
      <c r="D36" s="27">
        <v>3</v>
      </c>
    </row>
    <row r="37" spans="2:6" ht="18" customHeight="1" x14ac:dyDescent="0.25">
      <c r="B37" s="7" t="s">
        <v>319</v>
      </c>
      <c r="C37" s="38">
        <v>0.45</v>
      </c>
      <c r="D37" s="28">
        <v>4</v>
      </c>
    </row>
    <row r="38" spans="2:6" ht="18" customHeight="1" x14ac:dyDescent="0.25">
      <c r="B38" s="4" t="s">
        <v>320</v>
      </c>
      <c r="C38" s="37">
        <v>0.4</v>
      </c>
      <c r="D38" s="27">
        <v>5</v>
      </c>
    </row>
    <row r="39" spans="2:6" ht="18" customHeight="1" x14ac:dyDescent="0.25">
      <c r="B39" s="7" t="s">
        <v>321</v>
      </c>
      <c r="C39" s="38">
        <v>0.35</v>
      </c>
      <c r="D39" s="28">
        <v>6</v>
      </c>
    </row>
    <row r="40" spans="2:6" ht="18" customHeight="1" x14ac:dyDescent="0.25">
      <c r="B40" s="4" t="s">
        <v>322</v>
      </c>
      <c r="C40" s="37">
        <v>0.3</v>
      </c>
      <c r="D40" s="27">
        <v>7</v>
      </c>
    </row>
    <row r="41" spans="2:6" ht="18" customHeight="1" x14ac:dyDescent="0.25">
      <c r="B41" s="7" t="s">
        <v>323</v>
      </c>
      <c r="C41" s="38">
        <v>0.25</v>
      </c>
      <c r="D41" s="28">
        <v>8</v>
      </c>
    </row>
    <row r="42" spans="2:6" ht="18" customHeight="1" x14ac:dyDescent="0.25">
      <c r="B42" s="4" t="s">
        <v>324</v>
      </c>
      <c r="C42" s="37">
        <v>0.2</v>
      </c>
      <c r="D42" s="27">
        <v>9</v>
      </c>
    </row>
    <row r="43" spans="2:6" ht="18" customHeight="1" x14ac:dyDescent="0.25">
      <c r="B43" s="7" t="s">
        <v>313</v>
      </c>
      <c r="C43" s="38">
        <v>0.1</v>
      </c>
      <c r="D43" s="28">
        <v>10</v>
      </c>
    </row>
    <row r="46" spans="2:6" ht="24.95" customHeight="1" x14ac:dyDescent="0.25">
      <c r="B46" s="55" t="s">
        <v>325</v>
      </c>
      <c r="C46" s="52"/>
      <c r="D46" s="52"/>
      <c r="E46" s="52"/>
      <c r="F46" s="52"/>
    </row>
    <row r="48" spans="2:6" ht="30" customHeight="1" x14ac:dyDescent="0.25">
      <c r="B48" s="1" t="s">
        <v>326</v>
      </c>
      <c r="C48" s="3" t="s">
        <v>327</v>
      </c>
    </row>
    <row r="49" spans="2:6" ht="18" customHeight="1" x14ac:dyDescent="0.25">
      <c r="B49" s="4" t="s">
        <v>328</v>
      </c>
      <c r="C49" s="44">
        <v>0.55000000000000004</v>
      </c>
    </row>
    <row r="50" spans="2:6" ht="18" customHeight="1" x14ac:dyDescent="0.25">
      <c r="B50" s="7" t="s">
        <v>329</v>
      </c>
      <c r="C50" s="45">
        <v>0.19</v>
      </c>
    </row>
    <row r="51" spans="2:6" ht="18" customHeight="1" x14ac:dyDescent="0.25">
      <c r="B51" s="4" t="s">
        <v>330</v>
      </c>
      <c r="C51" s="44">
        <v>0.14000000000000001</v>
      </c>
    </row>
    <row r="52" spans="2:6" ht="18" customHeight="1" x14ac:dyDescent="0.25">
      <c r="B52" s="7" t="s">
        <v>331</v>
      </c>
      <c r="C52" s="45">
        <v>0.12</v>
      </c>
    </row>
    <row r="55" spans="2:6" ht="24.95" customHeight="1" x14ac:dyDescent="0.25">
      <c r="B55" s="55" t="s">
        <v>332</v>
      </c>
      <c r="C55" s="52"/>
      <c r="D55" s="52"/>
      <c r="E55" s="52"/>
      <c r="F55" s="52"/>
    </row>
    <row r="57" spans="2:6" ht="30" customHeight="1" x14ac:dyDescent="0.25">
      <c r="B57" s="1" t="s">
        <v>333</v>
      </c>
      <c r="C57" s="3" t="s">
        <v>327</v>
      </c>
    </row>
    <row r="58" spans="2:6" ht="18" customHeight="1" x14ac:dyDescent="0.25">
      <c r="B58" s="4" t="s">
        <v>334</v>
      </c>
      <c r="C58" s="44">
        <v>0.4</v>
      </c>
    </row>
    <row r="59" spans="2:6" ht="18" customHeight="1" x14ac:dyDescent="0.25">
      <c r="B59" s="7" t="s">
        <v>335</v>
      </c>
      <c r="C59" s="45">
        <v>0.31</v>
      </c>
    </row>
    <row r="60" spans="2:6" ht="18" customHeight="1" x14ac:dyDescent="0.25">
      <c r="B60" s="4" t="s">
        <v>336</v>
      </c>
      <c r="C60" s="44">
        <v>0.14000000000000001</v>
      </c>
    </row>
    <row r="61" spans="2:6" ht="18" customHeight="1" x14ac:dyDescent="0.25">
      <c r="B61" s="7" t="s">
        <v>337</v>
      </c>
      <c r="C61" s="45">
        <v>0.14000000000000001</v>
      </c>
    </row>
  </sheetData>
  <mergeCells count="7">
    <mergeCell ref="B55:F55"/>
    <mergeCell ref="B5:G5"/>
    <mergeCell ref="B2:H2"/>
    <mergeCell ref="B31:F31"/>
    <mergeCell ref="B46:F46"/>
    <mergeCell ref="B3:H3"/>
    <mergeCell ref="B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4"/>
  <sheetViews>
    <sheetView showGridLines="0" workbookViewId="0"/>
  </sheetViews>
  <sheetFormatPr defaultRowHeight="15" x14ac:dyDescent="0.25"/>
  <cols>
    <col min="1" max="1" width="3" customWidth="1"/>
    <col min="2" max="2" width="14" customWidth="1"/>
    <col min="3" max="3" width="25" customWidth="1"/>
    <col min="4" max="4" width="18" customWidth="1"/>
    <col min="5" max="5" width="14" customWidth="1"/>
    <col min="6" max="6" width="25" customWidth="1"/>
    <col min="7" max="8" width="18" customWidth="1"/>
  </cols>
  <sheetData>
    <row r="2" spans="2:8" ht="35.1" customHeight="1" x14ac:dyDescent="0.35">
      <c r="B2" s="56" t="s">
        <v>338</v>
      </c>
      <c r="C2" s="52"/>
      <c r="D2" s="52"/>
      <c r="E2" s="52"/>
      <c r="F2" s="52"/>
      <c r="G2" s="52"/>
      <c r="H2" s="52"/>
    </row>
    <row r="3" spans="2:8" ht="15.75" x14ac:dyDescent="0.25">
      <c r="B3" s="57" t="s">
        <v>339</v>
      </c>
      <c r="C3" s="52"/>
      <c r="D3" s="52"/>
      <c r="E3" s="52"/>
      <c r="F3" s="52"/>
      <c r="G3" s="52"/>
      <c r="H3" s="52"/>
    </row>
    <row r="5" spans="2:8" ht="24.95" customHeight="1" x14ac:dyDescent="0.25">
      <c r="B5" s="55" t="s">
        <v>340</v>
      </c>
      <c r="C5" s="52"/>
      <c r="D5" s="52"/>
      <c r="E5" s="52"/>
      <c r="F5" s="52"/>
      <c r="G5" s="52"/>
      <c r="H5" s="52"/>
    </row>
    <row r="7" spans="2:8" ht="30" customHeight="1" x14ac:dyDescent="0.25">
      <c r="B7" s="1" t="s">
        <v>209</v>
      </c>
      <c r="C7" s="2" t="s">
        <v>65</v>
      </c>
      <c r="D7" s="2" t="s">
        <v>341</v>
      </c>
      <c r="E7" s="2" t="s">
        <v>282</v>
      </c>
      <c r="F7" s="2" t="s">
        <v>342</v>
      </c>
      <c r="G7" s="2" t="s">
        <v>343</v>
      </c>
      <c r="H7" s="3" t="s">
        <v>344</v>
      </c>
    </row>
    <row r="8" spans="2:8" ht="18" customHeight="1" x14ac:dyDescent="0.25">
      <c r="B8" s="35">
        <v>1</v>
      </c>
      <c r="C8" s="5" t="s">
        <v>345</v>
      </c>
      <c r="D8" s="5" t="s">
        <v>346</v>
      </c>
      <c r="E8" s="39">
        <v>5360.6</v>
      </c>
      <c r="F8" s="23">
        <v>7.1000000000000004E-3</v>
      </c>
      <c r="G8" s="30">
        <v>0.371</v>
      </c>
      <c r="H8" s="24">
        <v>2.4500000000000001E-2</v>
      </c>
    </row>
    <row r="9" spans="2:8" ht="18" customHeight="1" x14ac:dyDescent="0.25">
      <c r="B9" s="36">
        <v>2</v>
      </c>
      <c r="C9" s="8" t="s">
        <v>347</v>
      </c>
      <c r="D9" s="8" t="s">
        <v>348</v>
      </c>
      <c r="E9" s="40">
        <v>3587.4</v>
      </c>
      <c r="F9" s="43">
        <v>8.8000000000000005E-3</v>
      </c>
      <c r="G9" s="32">
        <v>0.83540000000000003</v>
      </c>
      <c r="H9" s="46">
        <v>1.6400000000000001E-2</v>
      </c>
    </row>
    <row r="10" spans="2:8" ht="18" customHeight="1" x14ac:dyDescent="0.25">
      <c r="B10" s="35">
        <v>3</v>
      </c>
      <c r="C10" s="5" t="s">
        <v>349</v>
      </c>
      <c r="D10" s="5" t="s">
        <v>350</v>
      </c>
      <c r="E10" s="39">
        <v>3493.1</v>
      </c>
      <c r="F10" s="23">
        <v>3.3399999999999999E-2</v>
      </c>
      <c r="G10" s="30">
        <v>0.12970000000000001</v>
      </c>
      <c r="H10" s="24">
        <v>1.6E-2</v>
      </c>
    </row>
    <row r="11" spans="2:8" ht="18" customHeight="1" x14ac:dyDescent="0.25">
      <c r="B11" s="36">
        <v>4</v>
      </c>
      <c r="C11" s="8" t="s">
        <v>351</v>
      </c>
      <c r="D11" s="8" t="s">
        <v>352</v>
      </c>
      <c r="E11" s="40">
        <v>2554.3000000000002</v>
      </c>
      <c r="F11" s="43">
        <v>8.9999999999999998E-4</v>
      </c>
      <c r="G11" s="32">
        <v>1.9699999999999999E-2</v>
      </c>
      <c r="H11" s="46">
        <v>1.17E-2</v>
      </c>
    </row>
    <row r="12" spans="2:8" ht="18" customHeight="1" x14ac:dyDescent="0.25">
      <c r="B12" s="35">
        <v>5</v>
      </c>
      <c r="C12" s="5" t="s">
        <v>351</v>
      </c>
      <c r="D12" s="5" t="s">
        <v>353</v>
      </c>
      <c r="E12" s="39">
        <v>2343.5</v>
      </c>
      <c r="F12" s="23">
        <v>8.0000000000000004E-4</v>
      </c>
      <c r="G12" s="30">
        <v>1.7999999999999999E-2</v>
      </c>
      <c r="H12" s="24">
        <v>1.0699999999999999E-2</v>
      </c>
    </row>
    <row r="13" spans="2:8" ht="18" customHeight="1" x14ac:dyDescent="0.25">
      <c r="B13" s="36">
        <v>6</v>
      </c>
      <c r="C13" s="8" t="s">
        <v>351</v>
      </c>
      <c r="D13" s="8" t="s">
        <v>354</v>
      </c>
      <c r="E13" s="40">
        <v>2078.6</v>
      </c>
      <c r="F13" s="43">
        <v>6.9999999999999999E-4</v>
      </c>
      <c r="G13" s="32">
        <v>1.6E-2</v>
      </c>
      <c r="H13" s="46">
        <v>9.4999999999999998E-3</v>
      </c>
    </row>
    <row r="14" spans="2:8" ht="18" customHeight="1" x14ac:dyDescent="0.25">
      <c r="B14" s="35">
        <v>7</v>
      </c>
      <c r="C14" s="5" t="s">
        <v>355</v>
      </c>
      <c r="D14" s="5" t="s">
        <v>356</v>
      </c>
      <c r="E14" s="39">
        <v>2001.1</v>
      </c>
      <c r="F14" s="23">
        <v>2.4199999999999999E-2</v>
      </c>
      <c r="G14" s="30">
        <v>0.2676</v>
      </c>
      <c r="H14" s="24">
        <v>9.1000000000000004E-3</v>
      </c>
    </row>
    <row r="15" spans="2:8" ht="18" customHeight="1" x14ac:dyDescent="0.25">
      <c r="B15" s="36">
        <v>8</v>
      </c>
      <c r="C15" s="8" t="s">
        <v>351</v>
      </c>
      <c r="D15" s="8" t="s">
        <v>357</v>
      </c>
      <c r="E15" s="40">
        <v>1970.9</v>
      </c>
      <c r="F15" s="43">
        <v>6.9999999999999999E-4</v>
      </c>
      <c r="G15" s="32">
        <v>1.52E-2</v>
      </c>
      <c r="H15" s="46">
        <v>8.9999999999999993E-3</v>
      </c>
    </row>
    <row r="16" spans="2:8" ht="18" customHeight="1" x14ac:dyDescent="0.25">
      <c r="B16" s="35">
        <v>9</v>
      </c>
      <c r="C16" s="5" t="s">
        <v>351</v>
      </c>
      <c r="D16" s="5" t="s">
        <v>358</v>
      </c>
      <c r="E16" s="39">
        <v>1842.9</v>
      </c>
      <c r="F16" s="23">
        <v>6.9999999999999999E-4</v>
      </c>
      <c r="G16" s="30">
        <v>1.4200000000000001E-2</v>
      </c>
      <c r="H16" s="24">
        <v>8.3999999999999995E-3</v>
      </c>
    </row>
    <row r="17" spans="2:8" ht="18" customHeight="1" x14ac:dyDescent="0.25">
      <c r="B17" s="36">
        <v>10</v>
      </c>
      <c r="C17" s="8" t="s">
        <v>351</v>
      </c>
      <c r="D17" s="8" t="s">
        <v>359</v>
      </c>
      <c r="E17" s="40">
        <v>1832.2</v>
      </c>
      <c r="F17" s="43">
        <v>5.9999999999999995E-4</v>
      </c>
      <c r="G17" s="32">
        <v>1.41E-2</v>
      </c>
      <c r="H17" s="46">
        <v>8.3999999999999995E-3</v>
      </c>
    </row>
    <row r="18" spans="2:8" ht="18" customHeight="1" x14ac:dyDescent="0.25">
      <c r="B18" s="35">
        <v>11</v>
      </c>
      <c r="C18" s="5" t="s">
        <v>349</v>
      </c>
      <c r="D18" s="5" t="s">
        <v>360</v>
      </c>
      <c r="E18" s="39">
        <v>1774.3</v>
      </c>
      <c r="F18" s="23">
        <v>1.7000000000000001E-2</v>
      </c>
      <c r="G18" s="30">
        <v>6.59E-2</v>
      </c>
      <c r="H18" s="24">
        <v>8.0999999999999996E-3</v>
      </c>
    </row>
    <row r="19" spans="2:8" ht="18" customHeight="1" x14ac:dyDescent="0.25">
      <c r="B19" s="36">
        <v>12</v>
      </c>
      <c r="C19" s="8" t="s">
        <v>355</v>
      </c>
      <c r="D19" s="8" t="s">
        <v>361</v>
      </c>
      <c r="E19" s="40">
        <v>1664</v>
      </c>
      <c r="F19" s="43">
        <v>2.01E-2</v>
      </c>
      <c r="G19" s="32">
        <v>0.2225</v>
      </c>
      <c r="H19" s="46">
        <v>7.6E-3</v>
      </c>
    </row>
    <row r="20" spans="2:8" ht="18" customHeight="1" x14ac:dyDescent="0.25">
      <c r="B20" s="35">
        <v>13</v>
      </c>
      <c r="C20" s="5" t="s">
        <v>362</v>
      </c>
      <c r="D20" s="5" t="s">
        <v>363</v>
      </c>
      <c r="E20" s="39">
        <v>1634.5</v>
      </c>
      <c r="F20" s="23">
        <v>2.6599999999999999E-2</v>
      </c>
      <c r="G20" s="30">
        <v>0.33550000000000002</v>
      </c>
      <c r="H20" s="24">
        <v>7.4999999999999997E-3</v>
      </c>
    </row>
    <row r="21" spans="2:8" ht="18" customHeight="1" x14ac:dyDescent="0.25">
      <c r="B21" s="36">
        <v>14</v>
      </c>
      <c r="C21" s="8" t="s">
        <v>349</v>
      </c>
      <c r="D21" s="8" t="s">
        <v>364</v>
      </c>
      <c r="E21" s="40">
        <v>1500</v>
      </c>
      <c r="F21" s="43">
        <v>1.44E-2</v>
      </c>
      <c r="G21" s="32">
        <v>5.57E-2</v>
      </c>
      <c r="H21" s="46">
        <v>6.8999999999999999E-3</v>
      </c>
    </row>
    <row r="22" spans="2:8" ht="18" customHeight="1" x14ac:dyDescent="0.25">
      <c r="B22" s="35">
        <v>15</v>
      </c>
      <c r="C22" s="5" t="s">
        <v>355</v>
      </c>
      <c r="D22" s="5" t="s">
        <v>365</v>
      </c>
      <c r="E22" s="39">
        <v>1488</v>
      </c>
      <c r="F22" s="23">
        <v>1.7999999999999999E-2</v>
      </c>
      <c r="G22" s="30">
        <v>0.19900000000000001</v>
      </c>
      <c r="H22" s="24">
        <v>6.7999999999999996E-3</v>
      </c>
    </row>
    <row r="25" spans="2:8" ht="24.95" customHeight="1" x14ac:dyDescent="0.25">
      <c r="B25" s="55" t="s">
        <v>366</v>
      </c>
      <c r="C25" s="52"/>
      <c r="D25" s="52"/>
      <c r="E25" s="52"/>
      <c r="F25" s="52"/>
      <c r="G25" s="52"/>
      <c r="H25" s="52"/>
    </row>
    <row r="27" spans="2:8" ht="30" customHeight="1" x14ac:dyDescent="0.25">
      <c r="B27" s="1" t="s">
        <v>65</v>
      </c>
      <c r="C27" s="2" t="s">
        <v>341</v>
      </c>
      <c r="D27" s="2" t="s">
        <v>282</v>
      </c>
      <c r="E27" s="2" t="s">
        <v>367</v>
      </c>
      <c r="F27" s="3" t="s">
        <v>368</v>
      </c>
    </row>
    <row r="28" spans="2:8" ht="18" customHeight="1" x14ac:dyDescent="0.25">
      <c r="B28" s="4" t="s">
        <v>109</v>
      </c>
      <c r="C28" s="5" t="s">
        <v>369</v>
      </c>
      <c r="D28" s="39">
        <v>30891</v>
      </c>
      <c r="E28" s="5" t="s">
        <v>370</v>
      </c>
      <c r="F28" s="6" t="s">
        <v>371</v>
      </c>
    </row>
    <row r="29" spans="2:8" ht="18" customHeight="1" x14ac:dyDescent="0.25">
      <c r="B29" s="7" t="s">
        <v>109</v>
      </c>
      <c r="C29" s="8" t="s">
        <v>372</v>
      </c>
      <c r="D29" s="40">
        <v>24805.9</v>
      </c>
      <c r="E29" s="8" t="s">
        <v>370</v>
      </c>
      <c r="F29" s="9" t="s">
        <v>371</v>
      </c>
    </row>
    <row r="30" spans="2:8" ht="18" customHeight="1" x14ac:dyDescent="0.25">
      <c r="B30" s="4" t="s">
        <v>373</v>
      </c>
      <c r="C30" s="5" t="s">
        <v>374</v>
      </c>
      <c r="D30" s="39">
        <v>7369.3</v>
      </c>
      <c r="E30" s="5" t="s">
        <v>375</v>
      </c>
      <c r="F30" s="6" t="s">
        <v>376</v>
      </c>
    </row>
    <row r="31" spans="2:8" ht="18" customHeight="1" x14ac:dyDescent="0.25">
      <c r="B31" s="7" t="s">
        <v>111</v>
      </c>
      <c r="C31" s="8" t="s">
        <v>377</v>
      </c>
      <c r="D31" s="40">
        <v>1261.7</v>
      </c>
      <c r="E31" s="8" t="s">
        <v>370</v>
      </c>
      <c r="F31" s="9" t="s">
        <v>376</v>
      </c>
    </row>
    <row r="32" spans="2:8" ht="18" customHeight="1" x14ac:dyDescent="0.25">
      <c r="B32" s="4" t="s">
        <v>120</v>
      </c>
      <c r="C32" s="5" t="s">
        <v>378</v>
      </c>
      <c r="D32" s="39">
        <v>824.1</v>
      </c>
      <c r="E32" s="5" t="s">
        <v>370</v>
      </c>
      <c r="F32" s="6" t="s">
        <v>376</v>
      </c>
    </row>
    <row r="33" spans="2:6" ht="18" customHeight="1" x14ac:dyDescent="0.25">
      <c r="B33" s="7" t="s">
        <v>111</v>
      </c>
      <c r="C33" s="8" t="s">
        <v>379</v>
      </c>
      <c r="D33" s="40">
        <v>302.3</v>
      </c>
      <c r="E33" s="8" t="s">
        <v>375</v>
      </c>
      <c r="F33" s="9" t="s">
        <v>380</v>
      </c>
    </row>
    <row r="34" spans="2:6" ht="18" customHeight="1" x14ac:dyDescent="0.25">
      <c r="B34" s="4" t="s">
        <v>373</v>
      </c>
      <c r="C34" s="5" t="s">
        <v>381</v>
      </c>
      <c r="D34" s="39">
        <v>132.4</v>
      </c>
      <c r="E34" s="5" t="s">
        <v>370</v>
      </c>
      <c r="F34" s="6" t="s">
        <v>376</v>
      </c>
    </row>
  </sheetData>
  <mergeCells count="4">
    <mergeCell ref="B3:H3"/>
    <mergeCell ref="B5:H5"/>
    <mergeCell ref="B2:H2"/>
    <mergeCell ref="B25:H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36"/>
  <sheetViews>
    <sheetView showGridLines="0" workbookViewId="0"/>
  </sheetViews>
  <sheetFormatPr defaultRowHeight="15" x14ac:dyDescent="0.25"/>
  <cols>
    <col min="1" max="1" width="3" customWidth="1"/>
    <col min="2" max="2" width="30" customWidth="1"/>
    <col min="3" max="3" width="18" customWidth="1"/>
    <col min="4" max="4" width="16" customWidth="1"/>
    <col min="5" max="5" width="40" customWidth="1"/>
    <col min="6" max="6" width="30" customWidth="1"/>
  </cols>
  <sheetData>
    <row r="2" spans="2:8" ht="35.1" customHeight="1" x14ac:dyDescent="0.35">
      <c r="B2" s="56" t="s">
        <v>382</v>
      </c>
      <c r="C2" s="52"/>
      <c r="D2" s="52"/>
      <c r="E2" s="52"/>
      <c r="F2" s="52"/>
      <c r="G2" s="52"/>
      <c r="H2" s="52"/>
    </row>
    <row r="3" spans="2:8" ht="15.75" x14ac:dyDescent="0.25">
      <c r="B3" s="57" t="s">
        <v>383</v>
      </c>
      <c r="C3" s="52"/>
      <c r="D3" s="52"/>
      <c r="E3" s="52"/>
      <c r="F3" s="52"/>
      <c r="G3" s="52"/>
      <c r="H3" s="52"/>
    </row>
    <row r="5" spans="2:8" ht="24.95" customHeight="1" x14ac:dyDescent="0.25">
      <c r="B5" s="55" t="s">
        <v>384</v>
      </c>
      <c r="C5" s="52"/>
      <c r="D5" s="52"/>
      <c r="E5" s="52"/>
      <c r="F5" s="52"/>
      <c r="G5" s="52"/>
      <c r="H5" s="52"/>
    </row>
    <row r="7" spans="2:8" ht="30" customHeight="1" x14ac:dyDescent="0.25">
      <c r="B7" s="1" t="s">
        <v>385</v>
      </c>
      <c r="C7" s="2" t="s">
        <v>23</v>
      </c>
      <c r="D7" s="2" t="s">
        <v>386</v>
      </c>
      <c r="E7" s="2" t="s">
        <v>387</v>
      </c>
      <c r="F7" s="3" t="s">
        <v>238</v>
      </c>
    </row>
    <row r="8" spans="2:8" ht="18" customHeight="1" x14ac:dyDescent="0.25">
      <c r="B8" s="4" t="s">
        <v>388</v>
      </c>
      <c r="C8" s="5" t="s">
        <v>389</v>
      </c>
      <c r="D8" s="5" t="s">
        <v>390</v>
      </c>
      <c r="E8" s="47" t="s">
        <v>391</v>
      </c>
      <c r="F8" s="48" t="s">
        <v>392</v>
      </c>
    </row>
    <row r="9" spans="2:8" ht="18" customHeight="1" x14ac:dyDescent="0.25">
      <c r="B9" s="7" t="s">
        <v>393</v>
      </c>
      <c r="C9" s="8" t="s">
        <v>67</v>
      </c>
      <c r="D9" s="8" t="s">
        <v>394</v>
      </c>
      <c r="E9" s="49" t="s">
        <v>395</v>
      </c>
      <c r="F9" s="50" t="s">
        <v>396</v>
      </c>
    </row>
    <row r="10" spans="2:8" ht="18" customHeight="1" x14ac:dyDescent="0.25">
      <c r="B10" s="4" t="s">
        <v>397</v>
      </c>
      <c r="C10" s="5" t="s">
        <v>67</v>
      </c>
      <c r="D10" s="5" t="s">
        <v>80</v>
      </c>
      <c r="E10" s="47" t="s">
        <v>398</v>
      </c>
      <c r="F10" s="48" t="s">
        <v>399</v>
      </c>
    </row>
    <row r="11" spans="2:8" ht="18" customHeight="1" x14ac:dyDescent="0.25">
      <c r="B11" s="7" t="s">
        <v>400</v>
      </c>
      <c r="C11" s="8" t="s">
        <v>401</v>
      </c>
      <c r="D11" s="8" t="s">
        <v>82</v>
      </c>
      <c r="E11" s="49" t="s">
        <v>402</v>
      </c>
      <c r="F11" s="50" t="s">
        <v>403</v>
      </c>
    </row>
    <row r="12" spans="2:8" ht="18" customHeight="1" x14ac:dyDescent="0.25">
      <c r="B12" s="4" t="s">
        <v>404</v>
      </c>
      <c r="C12" s="5" t="s">
        <v>405</v>
      </c>
      <c r="D12" s="5" t="s">
        <v>390</v>
      </c>
      <c r="E12" s="47" t="s">
        <v>406</v>
      </c>
      <c r="F12" s="48" t="s">
        <v>407</v>
      </c>
    </row>
    <row r="13" spans="2:8" ht="18" customHeight="1" x14ac:dyDescent="0.25">
      <c r="B13" s="7" t="s">
        <v>408</v>
      </c>
      <c r="C13" s="8" t="s">
        <v>31</v>
      </c>
      <c r="D13" s="8" t="s">
        <v>390</v>
      </c>
      <c r="E13" s="49" t="s">
        <v>409</v>
      </c>
      <c r="F13" s="50" t="s">
        <v>410</v>
      </c>
    </row>
    <row r="14" spans="2:8" ht="18" customHeight="1" x14ac:dyDescent="0.25">
      <c r="B14" s="4" t="s">
        <v>411</v>
      </c>
      <c r="C14" s="5" t="s">
        <v>32</v>
      </c>
      <c r="D14" s="5" t="s">
        <v>390</v>
      </c>
      <c r="E14" s="47" t="s">
        <v>412</v>
      </c>
      <c r="F14" s="48" t="s">
        <v>413</v>
      </c>
    </row>
    <row r="15" spans="2:8" ht="18" customHeight="1" x14ac:dyDescent="0.25">
      <c r="B15" s="7" t="s">
        <v>414</v>
      </c>
      <c r="C15" s="8" t="s">
        <v>180</v>
      </c>
      <c r="D15" s="8" t="s">
        <v>390</v>
      </c>
      <c r="E15" s="49" t="s">
        <v>415</v>
      </c>
      <c r="F15" s="50" t="s">
        <v>416</v>
      </c>
    </row>
    <row r="16" spans="2:8" ht="18" customHeight="1" x14ac:dyDescent="0.25">
      <c r="B16" s="4" t="s">
        <v>177</v>
      </c>
      <c r="C16" s="5" t="s">
        <v>176</v>
      </c>
      <c r="D16" s="5" t="s">
        <v>156</v>
      </c>
      <c r="E16" s="47" t="s">
        <v>417</v>
      </c>
      <c r="F16" s="48" t="s">
        <v>418</v>
      </c>
    </row>
    <row r="17" spans="2:8" ht="18" customHeight="1" x14ac:dyDescent="0.25">
      <c r="B17" s="7" t="s">
        <v>419</v>
      </c>
      <c r="C17" s="8" t="s">
        <v>33</v>
      </c>
      <c r="D17" s="8" t="s">
        <v>420</v>
      </c>
      <c r="E17" s="49" t="s">
        <v>421</v>
      </c>
      <c r="F17" s="50" t="s">
        <v>422</v>
      </c>
    </row>
    <row r="18" spans="2:8" ht="18" customHeight="1" x14ac:dyDescent="0.25">
      <c r="B18" s="4" t="s">
        <v>423</v>
      </c>
      <c r="C18" s="5" t="s">
        <v>424</v>
      </c>
      <c r="D18" s="5" t="s">
        <v>156</v>
      </c>
      <c r="E18" s="47" t="s">
        <v>425</v>
      </c>
      <c r="F18" s="48" t="s">
        <v>426</v>
      </c>
    </row>
    <row r="21" spans="2:8" ht="24.95" customHeight="1" x14ac:dyDescent="0.25">
      <c r="B21" s="55" t="s">
        <v>427</v>
      </c>
      <c r="C21" s="52"/>
      <c r="D21" s="52"/>
      <c r="E21" s="52"/>
      <c r="F21" s="52"/>
      <c r="G21" s="52"/>
      <c r="H21" s="52"/>
    </row>
    <row r="22" spans="2:8" ht="20.100000000000001" customHeight="1" x14ac:dyDescent="0.25">
      <c r="B22" s="53" t="s">
        <v>428</v>
      </c>
      <c r="C22" s="52"/>
      <c r="D22" s="52"/>
      <c r="E22" s="52"/>
      <c r="F22" s="52"/>
      <c r="G22" s="52"/>
      <c r="H22" s="52"/>
    </row>
    <row r="23" spans="2:8" ht="20.100000000000001" customHeight="1" x14ac:dyDescent="0.25">
      <c r="B23" s="53" t="s">
        <v>429</v>
      </c>
      <c r="C23" s="52"/>
      <c r="D23" s="52"/>
      <c r="E23" s="52"/>
      <c r="F23" s="52"/>
      <c r="G23" s="52"/>
      <c r="H23" s="52"/>
    </row>
    <row r="24" spans="2:8" ht="20.100000000000001" customHeight="1" x14ac:dyDescent="0.25">
      <c r="B24" s="53" t="s">
        <v>430</v>
      </c>
      <c r="C24" s="52"/>
      <c r="D24" s="52"/>
      <c r="E24" s="52"/>
      <c r="F24" s="52"/>
      <c r="G24" s="52"/>
      <c r="H24" s="52"/>
    </row>
    <row r="25" spans="2:8" ht="20.100000000000001" customHeight="1" x14ac:dyDescent="0.25">
      <c r="B25" s="53" t="s">
        <v>431</v>
      </c>
      <c r="C25" s="52"/>
      <c r="D25" s="52"/>
      <c r="E25" s="52"/>
      <c r="F25" s="52"/>
      <c r="G25" s="52"/>
      <c r="H25" s="52"/>
    </row>
    <row r="26" spans="2:8" ht="20.100000000000001" customHeight="1" x14ac:dyDescent="0.25">
      <c r="B26" s="53" t="s">
        <v>432</v>
      </c>
      <c r="C26" s="52"/>
      <c r="D26" s="52"/>
      <c r="E26" s="52"/>
      <c r="F26" s="52"/>
      <c r="G26" s="52"/>
      <c r="H26" s="52"/>
    </row>
    <row r="27" spans="2:8" ht="20.100000000000001" customHeight="1" x14ac:dyDescent="0.25">
      <c r="B27" s="53" t="s">
        <v>433</v>
      </c>
      <c r="C27" s="52"/>
      <c r="D27" s="52"/>
      <c r="E27" s="52"/>
      <c r="F27" s="52"/>
      <c r="G27" s="52"/>
      <c r="H27" s="52"/>
    </row>
    <row r="28" spans="2:8" ht="20.100000000000001" customHeight="1" x14ac:dyDescent="0.25">
      <c r="B28" s="53" t="s">
        <v>434</v>
      </c>
      <c r="C28" s="52"/>
      <c r="D28" s="52"/>
      <c r="E28" s="52"/>
      <c r="F28" s="52"/>
      <c r="G28" s="52"/>
      <c r="H28" s="52"/>
    </row>
    <row r="29" spans="2:8" ht="20.100000000000001" customHeight="1" x14ac:dyDescent="0.25">
      <c r="B29" s="53" t="s">
        <v>435</v>
      </c>
      <c r="C29" s="52"/>
      <c r="D29" s="52"/>
      <c r="E29" s="52"/>
      <c r="F29" s="52"/>
      <c r="G29" s="52"/>
      <c r="H29" s="52"/>
    </row>
    <row r="30" spans="2:8" ht="20.100000000000001" customHeight="1" x14ac:dyDescent="0.25">
      <c r="B30" s="53" t="s">
        <v>436</v>
      </c>
      <c r="C30" s="52"/>
      <c r="D30" s="52"/>
      <c r="E30" s="52"/>
      <c r="F30" s="52"/>
      <c r="G30" s="52"/>
      <c r="H30" s="52"/>
    </row>
    <row r="31" spans="2:8" ht="20.100000000000001" customHeight="1" x14ac:dyDescent="0.25">
      <c r="B31" s="53" t="s">
        <v>437</v>
      </c>
      <c r="C31" s="52"/>
      <c r="D31" s="52"/>
      <c r="E31" s="52"/>
      <c r="F31" s="52"/>
      <c r="G31" s="52"/>
      <c r="H31" s="52"/>
    </row>
    <row r="33" spans="2:8" ht="24.95" customHeight="1" x14ac:dyDescent="0.25">
      <c r="B33" s="55" t="s">
        <v>438</v>
      </c>
      <c r="C33" s="52"/>
      <c r="D33" s="52"/>
      <c r="E33" s="52"/>
      <c r="F33" s="52"/>
      <c r="G33" s="52"/>
      <c r="H33" s="52"/>
    </row>
    <row r="34" spans="2:8" ht="20.100000000000001" customHeight="1" x14ac:dyDescent="0.25">
      <c r="B34" s="53" t="s">
        <v>439</v>
      </c>
      <c r="C34" s="52"/>
      <c r="D34" s="52"/>
      <c r="E34" s="52"/>
      <c r="F34" s="52"/>
      <c r="G34" s="52"/>
      <c r="H34" s="52"/>
    </row>
    <row r="35" spans="2:8" ht="20.100000000000001" customHeight="1" x14ac:dyDescent="0.25">
      <c r="B35" s="53" t="s">
        <v>440</v>
      </c>
      <c r="C35" s="52"/>
      <c r="D35" s="52"/>
      <c r="E35" s="52"/>
      <c r="F35" s="52"/>
      <c r="G35" s="52"/>
      <c r="H35" s="52"/>
    </row>
    <row r="36" spans="2:8" ht="20.100000000000001" customHeight="1" x14ac:dyDescent="0.25">
      <c r="B36" s="53" t="s">
        <v>441</v>
      </c>
      <c r="C36" s="52"/>
      <c r="D36" s="52"/>
      <c r="E36" s="52"/>
      <c r="F36" s="52"/>
      <c r="G36" s="52"/>
      <c r="H36" s="52"/>
    </row>
  </sheetData>
  <mergeCells count="18">
    <mergeCell ref="B21:H21"/>
    <mergeCell ref="B31:H31"/>
    <mergeCell ref="B24:H24"/>
    <mergeCell ref="B2:H2"/>
    <mergeCell ref="B30:H30"/>
    <mergeCell ref="B29:H29"/>
    <mergeCell ref="B25:H25"/>
    <mergeCell ref="B3:H3"/>
    <mergeCell ref="B5:H5"/>
    <mergeCell ref="B28:H28"/>
    <mergeCell ref="B23:H23"/>
    <mergeCell ref="B22:H22"/>
    <mergeCell ref="B36:H36"/>
    <mergeCell ref="B26:H26"/>
    <mergeCell ref="B27:H27"/>
    <mergeCell ref="B35:H35"/>
    <mergeCell ref="B33:H33"/>
    <mergeCell ref="B34:H34"/>
  </mergeCells>
  <hyperlinks>
    <hyperlink ref="E8" r:id="rId1" xr:uid="{00000000-0004-0000-0900-000000000000}"/>
    <hyperlink ref="E9" r:id="rId2" xr:uid="{00000000-0004-0000-0900-000001000000}"/>
    <hyperlink ref="E10" r:id="rId3" xr:uid="{00000000-0004-0000-0900-000002000000}"/>
    <hyperlink ref="E11" r:id="rId4" xr:uid="{00000000-0004-0000-0900-000003000000}"/>
    <hyperlink ref="E12" r:id="rId5" xr:uid="{00000000-0004-0000-0900-000004000000}"/>
    <hyperlink ref="E13" r:id="rId6" xr:uid="{00000000-0004-0000-0900-000005000000}"/>
    <hyperlink ref="E14" r:id="rId7" xr:uid="{00000000-0004-0000-0900-000006000000}"/>
    <hyperlink ref="E15" r:id="rId8" xr:uid="{00000000-0004-0000-0900-000007000000}"/>
    <hyperlink ref="E16" r:id="rId9" xr:uid="{00000000-0004-0000-0900-000008000000}"/>
    <hyperlink ref="E17" r:id="rId10" xr:uid="{00000000-0004-0000-0900-000009000000}"/>
    <hyperlink ref="E18" r:id="rId11" xr:uid="{00000000-0004-0000-0900-00000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North America</vt:lpstr>
      <vt:lpstr>Latin America</vt:lpstr>
      <vt:lpstr>Caribbean</vt:lpstr>
      <vt:lpstr>Africa</vt:lpstr>
      <vt:lpstr>Demographics</vt:lpstr>
      <vt:lpstr>Loan Composition</vt:lpstr>
      <vt:lpstr>Performance</vt:lpstr>
      <vt:lpstr>Top Institutions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Michai Morin</cp:lastModifiedBy>
  <dcterms:created xsi:type="dcterms:W3CDTF">2026-03-04T17:39:32Z</dcterms:created>
  <dcterms:modified xsi:type="dcterms:W3CDTF">2026-03-04T17:45:52Z</dcterms:modified>
</cp:coreProperties>
</file>