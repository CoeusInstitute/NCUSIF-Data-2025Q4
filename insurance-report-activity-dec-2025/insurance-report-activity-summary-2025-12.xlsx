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D:\Confidential\Shipment\Aditya\20260219\insurance-report-activity-summary-2025-12\"/>
    </mc:Choice>
  </mc:AlternateContent>
  <xr:revisionPtr revIDLastSave="0" documentId="13_ncr:1_{EAAD5644-62FD-48CD-8021-B83AC2607FD8}" xr6:coauthVersionLast="47" xr6:coauthVersionMax="47" xr10:uidLastSave="{00000000-0000-0000-0000-000000000000}"/>
  <bookViews>
    <workbookView xWindow="-108" yWindow="-108" windowWidth="23256" windowHeight="12456" xr2:uid="{00000000-000D-0000-FFFF-FFFF00000000}"/>
  </bookViews>
  <sheets>
    <sheet name="Single_Common_Bond_Expansion" sheetId="1" r:id="rId1"/>
    <sheet name="Multiple_Common_Bond_Expansion" sheetId="2" r:id="rId2"/>
    <sheet name="Community_Expansion" sheetId="3" r:id="rId3"/>
    <sheet name="Community_Conversion" sheetId="4" r:id="rId4"/>
    <sheet name="Low_Income_Community_Expansion" sheetId="5" r:id="rId5"/>
    <sheet name="Underserved_Area" sheetId="6" r:id="rId6"/>
    <sheet name="Charter_Conversions" sheetId="7" r:id="rId7"/>
    <sheet name="Insurance_Applications" sheetId="8" r:id="rId8"/>
    <sheet name="Insurance_Conversion" sheetId="9" r:id="rId9"/>
    <sheet name="Charter_Applications" sheetId="10" r:id="rId10"/>
    <sheet name="Housekeeping" sheetId="11" r:id="rId11"/>
    <sheet name="TIP" sheetId="12" r:id="rId12"/>
    <sheet name="Mergers_Approved" sheetId="13" r:id="rId13"/>
    <sheet name="Merging_Credit_Union_Assets" sheetId="14" r:id="rId14"/>
  </sheets>
  <definedNames>
    <definedName name="Charter_Applications">Charter_Applications!$A$2:$G$5</definedName>
    <definedName name="Charter_Conversions">Charter_Conversions!$A$2:$E$5</definedName>
    <definedName name="Community_Conversion">Community_Conversion!$A$2:$G$5</definedName>
    <definedName name="Community_Expansion">Community_Expansion!$A$2:$G$5</definedName>
    <definedName name="Housekeeping">Housekeeping!$A$2:$E$5</definedName>
    <definedName name="Insurance_Applications">Insurance_Applications!$A$2:$E$5</definedName>
    <definedName name="Insurance_Conversion">Insurance_Conversion!$A$2:$I$5</definedName>
    <definedName name="Low_Income_Community_Expansion">Low_Income_Community_Expansion!$A$2:$G$5</definedName>
    <definedName name="Mergers_Approved">Mergers_Approved!$A$2:$I$5</definedName>
    <definedName name="Merging_Credit_Union_Assets">Merging_Credit_Union_Assets!$A$2:$I$5</definedName>
    <definedName name="Multiple_Common_Bond_Expansion">Multiple_Common_Bond_Expansion!$A$2:$F$5</definedName>
    <definedName name="Single_Common_Bond_Expansion">Single_Common_Bond_Expansion!$A$2:$F$5</definedName>
    <definedName name="TIP">TIP!$A$2:$E$5</definedName>
    <definedName name="TitleRegion1.A1.F6.1">Single_Common_Bond_Expansion_Table[[#Headers],[Region]]</definedName>
    <definedName name="TitleRegion11.A1.E5.11">Housekeeping_Table[[#Headers],[Region]]</definedName>
    <definedName name="TitleRegion12.A1.E5.12">TIP_Table[[#Headers],[Region]]</definedName>
    <definedName name="TitleRegion13.A1.J5.13">Mergers_Approved_Table[[#Headers],[Region]]</definedName>
    <definedName name="TitleRegion14.A1.J5.14">Table14[[#Headers],[Region]]</definedName>
    <definedName name="TitleRegion2.A1.F6.2">Multiple_Common_Bond_Expansion_Table[[#Headers],[Region]]</definedName>
    <definedName name="TitleRegion3.A1.G6.3">Community_Expansion_Table[[#Headers],[Region]]</definedName>
    <definedName name="TitleRegion4.A1.G6.4">Community_Conversion_Table[[#Headers],[Region]]</definedName>
    <definedName name="TitleRegion5.A1.G6.5">Low_Income_Community_Expansion_Table[[#Headers],[Region]]</definedName>
    <definedName name="TitleRegion6.A1.G6.6">Underserved_Area_Table[[#Headers],[Region]]</definedName>
    <definedName name="TitleRegion7.A1.E5.7">Charter_Conversions_Table[[#Headers],[Region]]</definedName>
    <definedName name="TitleRegion8.A1.E5.8">Insurance_Applications_Table[[#Headers],[Region]]</definedName>
    <definedName name="TitleRegion9.A1.I5.9">Insurance_Conversion_Table[[#Headers],[Region]]</definedName>
    <definedName name="Underserved_Area">Underserved_Area!$A$2:$G$5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14" l="1"/>
  <c r="J4" i="14"/>
  <c r="J3" i="14"/>
  <c r="B6" i="14"/>
  <c r="C6" i="14"/>
  <c r="D6" i="14"/>
  <c r="E6" i="14"/>
  <c r="F6" i="14"/>
  <c r="G6" i="14"/>
  <c r="H6" i="14"/>
  <c r="I6" i="14"/>
  <c r="J5" i="13"/>
  <c r="J4" i="13"/>
  <c r="J3" i="13"/>
  <c r="B6" i="13"/>
  <c r="C6" i="13"/>
  <c r="D6" i="13"/>
  <c r="E6" i="13"/>
  <c r="F6" i="13"/>
  <c r="G6" i="13"/>
  <c r="H6" i="13"/>
  <c r="I6" i="13"/>
  <c r="B6" i="12"/>
  <c r="C6" i="12"/>
  <c r="D6" i="12"/>
  <c r="E6" i="12"/>
  <c r="B6" i="11"/>
  <c r="C6" i="11"/>
  <c r="D6" i="11"/>
  <c r="E6" i="11"/>
  <c r="B6" i="10"/>
  <c r="C6" i="10"/>
  <c r="D6" i="10"/>
  <c r="E6" i="10"/>
  <c r="F6" i="10"/>
  <c r="G6" i="10"/>
  <c r="B6" i="9"/>
  <c r="C6" i="9"/>
  <c r="D6" i="9"/>
  <c r="E6" i="9"/>
  <c r="F6" i="9"/>
  <c r="G6" i="9"/>
  <c r="H6" i="9"/>
  <c r="I6" i="9"/>
  <c r="B6" i="8"/>
  <c r="C6" i="8"/>
  <c r="D6" i="8"/>
  <c r="E6" i="8"/>
  <c r="B6" i="7"/>
  <c r="C6" i="7"/>
  <c r="D6" i="7"/>
  <c r="E6" i="7"/>
  <c r="B6" i="6"/>
  <c r="C6" i="6"/>
  <c r="C7" i="6" s="1"/>
  <c r="D6" i="6"/>
  <c r="D7" i="6" s="1"/>
  <c r="E6" i="6"/>
  <c r="F6" i="6"/>
  <c r="G6" i="6"/>
  <c r="B6" i="5"/>
  <c r="C6" i="5"/>
  <c r="D6" i="5"/>
  <c r="E6" i="5"/>
  <c r="F6" i="5"/>
  <c r="G6" i="5"/>
  <c r="B6" i="4"/>
  <c r="C6" i="4"/>
  <c r="D6" i="4"/>
  <c r="E6" i="4"/>
  <c r="F6" i="4"/>
  <c r="G6" i="4"/>
  <c r="B6" i="3"/>
  <c r="C6" i="3"/>
  <c r="D6" i="3"/>
  <c r="D7" i="3" s="1"/>
  <c r="E6" i="3"/>
  <c r="F6" i="3"/>
  <c r="G6" i="3"/>
  <c r="B6" i="2"/>
  <c r="C6" i="2"/>
  <c r="D6" i="2"/>
  <c r="D7" i="2" s="1"/>
  <c r="E6" i="2"/>
  <c r="F6" i="2"/>
  <c r="B6" i="1"/>
  <c r="C6" i="1"/>
  <c r="D6" i="1"/>
  <c r="E6" i="1"/>
  <c r="F6" i="1"/>
  <c r="C7" i="3" l="1"/>
  <c r="B7" i="3"/>
  <c r="B7" i="6"/>
  <c r="J6" i="14"/>
  <c r="J6" i="13"/>
  <c r="C7" i="2"/>
  <c r="B7" i="2"/>
  <c r="C7" i="1"/>
  <c r="D7" i="1"/>
  <c r="B7" i="1"/>
</calcChain>
</file>

<file path=xl/sharedStrings.xml><?xml version="1.0" encoding="utf-8"?>
<sst xmlns="http://schemas.openxmlformats.org/spreadsheetml/2006/main" count="130" uniqueCount="54">
  <si>
    <t>Region</t>
  </si>
  <si>
    <t>Approved</t>
  </si>
  <si>
    <t>Denied</t>
  </si>
  <si>
    <t>Deferred</t>
  </si>
  <si>
    <t>Number of FCU</t>
  </si>
  <si>
    <t>Pot Mem</t>
  </si>
  <si>
    <t>Dup</t>
  </si>
  <si>
    <t>FISCU to FCU Number</t>
  </si>
  <si>
    <t>FISCU to FCU Assets</t>
  </si>
  <si>
    <t>FCU to FISCU Number</t>
  </si>
  <si>
    <t>FCU to FISCU Assets</t>
  </si>
  <si>
    <t>NFICU to FCU Number</t>
  </si>
  <si>
    <t>NFICU to FISCU Number</t>
  </si>
  <si>
    <t>Non CU to FCU Number</t>
  </si>
  <si>
    <t>Non CU to FISCU Number</t>
  </si>
  <si>
    <t>FCU to NFICU Number</t>
  </si>
  <si>
    <t>FCU to NFICU Assets</t>
  </si>
  <si>
    <t>FCU to Non CU Number</t>
  </si>
  <si>
    <t>FCU to Non CU Assets</t>
  </si>
  <si>
    <t>FISCU to NFICU Number</t>
  </si>
  <si>
    <t>FISCU to NFICU Assets</t>
  </si>
  <si>
    <t>FISCU to Non CU Number</t>
  </si>
  <si>
    <t>FISCU to Non CU Assets</t>
  </si>
  <si>
    <t>FCU Number Denied</t>
  </si>
  <si>
    <t>FCU Number Approved</t>
  </si>
  <si>
    <t>FCU Potential Members</t>
  </si>
  <si>
    <t>FISCU Number Denied</t>
  </si>
  <si>
    <t>FISCU Number Approved</t>
  </si>
  <si>
    <t>FISCU Potential Members</t>
  </si>
  <si>
    <t>FCU into FCU</t>
  </si>
  <si>
    <t>FCU into FISCU</t>
  </si>
  <si>
    <t>FCU into NFICU</t>
  </si>
  <si>
    <t>FISCU into FCU</t>
  </si>
  <si>
    <t>FISCU into FISCU</t>
  </si>
  <si>
    <t>FISCU into NFICU</t>
  </si>
  <si>
    <t>NFICU into FCU</t>
  </si>
  <si>
    <t>NFICU into FISCU</t>
  </si>
  <si>
    <t>Total</t>
  </si>
  <si>
    <t>Percentage of total</t>
  </si>
  <si>
    <t>This worksheet provides a regional summary of multiple common bond expansion application outcomes, including approved, denied, and deferred counts, number of credit unions, potential membership, totals, and percentage distribution by status.</t>
  </si>
  <si>
    <t>Percent of total</t>
  </si>
  <si>
    <t>This worksheet summarizes community expansion application outcomes by region, including the number of approved, denied, and deferred applications, the total number of credit unions, potential membership, overall totals, and the percentage of total by application status.</t>
  </si>
  <si>
    <t>This worksheet is intended to summarize community conversion application outcomes by region, including the number of approved, denied, and deferred applications, the total number of credit unions, potential membership, overall totals, and the percentage of total by application status. The table currently contains no data.</t>
  </si>
  <si>
    <t>This worksheet is intended to summarize low-income community expansion application outcomes by region, including the number of approved, denied, and deferred applications, the total number of credit unions, potential membership, overall totals, and the percentage of total by application status. The table currently contains no data.</t>
  </si>
  <si>
    <t>This worksheet summarizes underserved area application outcomes by region, including the number of approved, denied, and deferred applications, the total number of credit unions, potential membership, overall totals, and the percentage of total by application status.</t>
  </si>
  <si>
    <t>This worksheet summarizes charter conversion activity by region, including the number and total assets of FISCU-to-FCU conversions and FCU-to-FISCU conversions, along with overall total</t>
  </si>
  <si>
    <t>This worksheet summarizes insurance application activity by region, including the number of applications for conversions from NFICU to FCU, NFICU to FISCU, non–credit union to FCU, and non–credit union to FISCU, along with overall totals.</t>
  </si>
  <si>
    <t>This worksheet is intended to summarize insurance conversion activity by region, including the number and total assets for FCU-to-NFICU, FCU-to–non–credit union, FISCU-to-NFICU, and FISCU-to–non–credit union conversions, along with overall totals. The table currently contains no dat</t>
  </si>
  <si>
    <t>This worksheet summarizes charter application activity by region, including the number of FCU applications denied and approved, FCU potential membership, and the number of FISCU applications denied and approved along with their potential membership, with overall totals.</t>
  </si>
  <si>
    <t>This worksheet summarizes approved merger activity by region, including the number of approvals, denials, and deferrals, along with the number of credit unions involved and overall totals.</t>
  </si>
  <si>
    <t>This worksheet summarizes TIP activity by region, including the number of approvals, denials, and deferrals, along with overall totals. The table currently contains no data.</t>
  </si>
  <si>
    <t>This worksheet summarizes approved mergers by region, showing counts for each merger type, including FCU into FCU, FCU into FISCU, FISCU into FCU, FISCU into FISCU, and related combinations, along with regional and overall totals.</t>
  </si>
  <si>
    <t>This worksheet summarizes the total assets involved in approved mergers by region and merger type, including FCU, FISCU, and NFICU combinations, with regional totals and a grand total.</t>
  </si>
  <si>
    <t>This worksheet provides a regional summary of single common bond expansion application outcomes, including counts of approved, denied, and deferred applications, the number of credit unions, potential membership, totals, and the percentage distribution by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</si>
</sst>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quot;##,##0"/>
    <numFmt numFmtId="165" formatCode="&quot;$&quot;#,##0"/>
    <numFmt numFmtId="166" formatCode="&quot;Approved &quot;0%"/>
    <numFmt numFmtId="167" formatCode="&quot;Approved &quot;0.0%"/>
    <numFmt numFmtId="168" formatCode="&quot;Denied &quot;0%"/>
    <numFmt numFmtId="169" formatCode="&quot;Deferred &quot;0.0%"/>
    <numFmt numFmtId="170" formatCode="&quot;Denied &quot;0.0%"/>
    <numFmt numFmtId="171" formatCode="&quot;Deferred &quot;0.\2%"/>
    <numFmt numFmtId="172" formatCode="&quot;Deferred &quot;00.0%"/>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5">
    <xf numFmtId="0" fontId="0" fillId="0" borderId="0" xfId="0"/>
    <xf numFmtId="0" fontId="0" fillId="0" borderId="0" xfId="0" applyAlignment="1">
      <alignment vertical="top"/>
    </xf>
    <xf numFmtId="3" fontId="0" fillId="0" borderId="0" xfId="0" applyNumberFormat="1" applyAlignment="1">
      <alignment vertical="top"/>
    </xf>
    <xf numFmtId="164" fontId="0" fillId="0" borderId="0" xfId="0" applyNumberFormat="1" applyAlignment="1">
      <alignment vertical="top"/>
    </xf>
    <xf numFmtId="165" fontId="0" fillId="0" borderId="0" xfId="0" applyNumberFormat="1" applyAlignment="1">
      <alignment vertical="top"/>
    </xf>
    <xf numFmtId="167" fontId="0" fillId="0" borderId="0" xfId="0" applyNumberFormat="1" applyAlignment="1">
      <alignment vertical="top"/>
    </xf>
    <xf numFmtId="169" fontId="0" fillId="0" borderId="0" xfId="0" applyNumberFormat="1" applyAlignment="1">
      <alignment vertical="top"/>
    </xf>
    <xf numFmtId="0" fontId="0" fillId="0" borderId="0" xfId="0" applyAlignment="1">
      <alignment horizontal="centerContinuous" vertical="center" wrapText="1"/>
    </xf>
    <xf numFmtId="3" fontId="0" fillId="0" borderId="0" xfId="0" applyNumberFormat="1" applyAlignment="1">
      <alignment horizontal="centerContinuous" vertical="center" wrapText="1"/>
    </xf>
    <xf numFmtId="0" fontId="0" fillId="2" borderId="0" xfId="0" applyFill="1" applyAlignment="1">
      <alignment vertical="top"/>
    </xf>
    <xf numFmtId="3" fontId="0" fillId="2" borderId="0" xfId="0" applyNumberFormat="1" applyFill="1" applyAlignment="1">
      <alignment vertical="top"/>
    </xf>
    <xf numFmtId="166" fontId="0" fillId="0" borderId="0" xfId="0" applyNumberFormat="1" applyAlignment="1">
      <alignment vertical="top"/>
    </xf>
    <xf numFmtId="168" fontId="0" fillId="0" borderId="0" xfId="0" applyNumberFormat="1" applyAlignment="1">
      <alignment vertical="top"/>
    </xf>
    <xf numFmtId="170" fontId="0" fillId="0" borderId="0" xfId="0" applyNumberFormat="1" applyAlignment="1">
      <alignment vertical="top"/>
    </xf>
    <xf numFmtId="171" fontId="0" fillId="0" borderId="0" xfId="0" applyNumberFormat="1" applyAlignment="1">
      <alignment vertical="top"/>
    </xf>
    <xf numFmtId="172" fontId="0" fillId="0" borderId="0" xfId="0" applyNumberFormat="1" applyAlignment="1">
      <alignment vertical="top"/>
    </xf>
    <xf numFmtId="164" fontId="0" fillId="0" borderId="0" xfId="0" applyNumberFormat="1" applyAlignment="1">
      <alignment horizontal="centerContinuous" vertical="center" wrapText="1"/>
    </xf>
    <xf numFmtId="164" fontId="0" fillId="2" borderId="0" xfId="0" applyNumberFormat="1" applyFill="1" applyAlignment="1">
      <alignment vertical="top"/>
    </xf>
    <xf numFmtId="165" fontId="0" fillId="0" borderId="0" xfId="0" applyNumberFormat="1" applyAlignment="1">
      <alignment horizontal="centerContinuous" vertical="center" wrapText="1"/>
    </xf>
    <xf numFmtId="165" fontId="0" fillId="2" borderId="0" xfId="0" applyNumberFormat="1" applyFill="1" applyAlignment="1">
      <alignment vertical="top"/>
    </xf>
    <xf numFmtId="0" fontId="0" fillId="0" borderId="0" xfId="0" applyAlignment="1">
      <alignment horizontal="centerContinuous" vertical="center" wrapText="1"/>
    </xf>
    <xf numFmtId="0" fontId="0" fillId="0" borderId="1" xfId="0" applyBorder="1" applyAlignment="1">
      <alignment horizontal="centerContinuous" vertical="center" wrapText="1"/>
    </xf>
    <xf numFmtId="3" fontId="0" fillId="0" borderId="1" xfId="0" applyNumberFormat="1" applyBorder="1" applyAlignment="1">
      <alignment horizontal="centerContinuous" vertical="center" wrapText="1"/>
    </xf>
    <xf numFmtId="0" fontId="0" fillId="0" borderId="2" xfId="0" applyBorder="1" applyAlignment="1">
      <alignment horizontal="centerContinuous" vertical="center" wrapText="1"/>
    </xf>
    <xf numFmtId="3" fontId="0" fillId="0" borderId="0" xfId="0" applyNumberFormat="1" applyBorder="1" applyAlignment="1">
      <alignment horizontal="centerContinuous" vertical="center" wrapText="1"/>
    </xf>
  </cellXfs>
  <cellStyles count="1">
    <cellStyle name="Normal" xfId="0" builtinId="0"/>
  </cellStyles>
  <dxfs count="234">
    <dxf>
      <numFmt numFmtId="165" formatCode="&quot;$&quot;#,##0"/>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3" formatCode="#,##0"/>
      <alignment horizontal="general" vertical="top" textRotation="0" wrapText="0" indent="0" justifyLastLine="0" shrinkToFit="0" readingOrder="0"/>
    </dxf>
    <dxf>
      <numFmt numFmtId="3" formatCode="#,##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3" formatCode="#,##0"/>
      <alignment horizontal="general" vertical="top" textRotation="0" wrapText="0" indent="0" justifyLastLine="0" shrinkToFit="0" readingOrder="0"/>
    </dxf>
    <dxf>
      <numFmt numFmtId="3" formatCode="#,##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164" formatCode="&quot;$&quot;##,##0"/>
      <alignment horizontal="general" vertical="top" textRotation="0" wrapText="0" indent="0" justifyLastLine="0" shrinkToFit="0" readingOrder="0"/>
    </dxf>
    <dxf>
      <numFmt numFmtId="164" formatCode="&quot;$&quot;##,##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164" formatCode="&quot;$&quot;##,##0"/>
      <alignment horizontal="general" vertical="top" textRotation="0" wrapText="0" indent="0" justifyLastLine="0" shrinkToFit="0" readingOrder="0"/>
    </dxf>
    <dxf>
      <numFmt numFmtId="164" formatCode="&quot;$&quot;##,##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3" formatCode="#,##0"/>
      <alignment horizontal="general" vertical="top" textRotation="0" wrapText="0" indent="0" justifyLastLine="0" shrinkToFit="0" readingOrder="0"/>
    </dxf>
    <dxf>
      <numFmt numFmtId="3" formatCode="#,##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3" formatCode="#,##0"/>
      <alignment horizontal="general" vertical="top" textRotation="0" wrapText="0" indent="0" justifyLastLine="0" shrinkToFit="0" readingOrder="0"/>
    </dxf>
    <dxf>
      <numFmt numFmtId="3" formatCode="#,##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3" formatCode="#,##0"/>
      <alignment horizontal="general" vertical="top" textRotation="0" wrapText="0" indent="0" justifyLastLine="0" shrinkToFit="0" readingOrder="0"/>
    </dxf>
    <dxf>
      <numFmt numFmtId="3" formatCode="#,##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3" formatCode="#,##0"/>
      <alignment horizontal="general" vertical="top" textRotation="0" wrapText="0" indent="0" justifyLastLine="0" shrinkToFit="0" readingOrder="0"/>
    </dxf>
    <dxf>
      <numFmt numFmtId="3" formatCode="#,##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3" formatCode="#,##0"/>
      <alignment horizontal="general" vertical="top" textRotation="0" wrapText="0" indent="0" justifyLastLine="0" shrinkToFit="0" readingOrder="0"/>
    </dxf>
    <dxf>
      <numFmt numFmtId="3" formatCode="#,##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3" formatCode="#,##0"/>
      <alignment horizontal="general" vertical="top" textRotation="0" wrapText="0" indent="0" justifyLastLine="0" shrinkToFit="0" readingOrder="0"/>
    </dxf>
    <dxf>
      <numFmt numFmtId="3" formatCode="#,##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3" formatCode="#,##0"/>
      <alignment horizontal="general" vertical="top" textRotation="0" wrapText="0" indent="0" justifyLastLine="0" shrinkToFit="0" readingOrder="0"/>
    </dxf>
    <dxf>
      <numFmt numFmtId="3" formatCode="#,##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3" formatCode="#,##0"/>
      <alignment horizontal="general" vertical="top" textRotation="0" wrapText="0" indent="0" justifyLastLine="0" shrinkToFit="0" readingOrder="0"/>
    </dxf>
    <dxf>
      <numFmt numFmtId="3" formatCode="#,##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3" formatCode="#,##0"/>
      <alignment horizontal="general" vertical="top" textRotation="0" wrapText="0" indent="0" justifyLastLine="0" shrinkToFit="0" readingOrder="0"/>
    </dxf>
    <dxf>
      <numFmt numFmtId="3" formatCode="#,##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3" formatCode="#,##0"/>
      <alignment horizontal="general" vertical="top" textRotation="0" wrapText="0" indent="0" justifyLastLine="0" shrinkToFit="0" readingOrder="0"/>
    </dxf>
    <dxf>
      <numFmt numFmtId="3" formatCode="#,##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3" formatCode="#,##0"/>
      <alignment horizontal="general" vertical="top" textRotation="0" wrapText="0" indent="0" justifyLastLine="0" shrinkToFit="0" readingOrder="0"/>
    </dxf>
    <dxf>
      <numFmt numFmtId="3" formatCode="#,##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3" formatCode="#,##0"/>
      <alignment horizontal="general" vertical="top" textRotation="0" wrapText="0" indent="0" justifyLastLine="0" shrinkToFit="0" readingOrder="0"/>
    </dxf>
    <dxf>
      <numFmt numFmtId="3" formatCode="#,##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numFmt numFmtId="165" formatCode="&quot;$&quot;#,##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ingle_Common_Bond_Expansion_Table" displayName="Single_Common_Bond_Expansion_Table" ref="A2:F6" totalsRowCount="1" headerRowDxfId="212" dataDxfId="211" totalsRowDxfId="210">
  <autoFilter ref="A2:F5" xr:uid="{00000000-0009-0000-0100-000001000000}"/>
  <tableColumns count="6">
    <tableColumn id="1" xr3:uid="{00000000-0010-0000-0000-000001000000}" name="Region" totalsRowLabel="Total" dataDxfId="209" totalsRowDxfId="208"/>
    <tableColumn id="2" xr3:uid="{00000000-0010-0000-0000-000002000000}" name="Approved" totalsRowFunction="custom" dataDxfId="207" totalsRowDxfId="206">
      <totalsRowFormula>SUBTOTAL(109,B3:B5)</totalsRowFormula>
    </tableColumn>
    <tableColumn id="3" xr3:uid="{00000000-0010-0000-0000-000003000000}" name="Denied" totalsRowFunction="custom" dataDxfId="205" totalsRowDxfId="204">
      <totalsRowFormula>SUBTOTAL(109,C3:C5)</totalsRowFormula>
    </tableColumn>
    <tableColumn id="4" xr3:uid="{00000000-0010-0000-0000-000004000000}" name="Deferred" totalsRowFunction="custom" dataDxfId="203" totalsRowDxfId="202">
      <totalsRowFormula>SUBTOTAL(109,D3:D5)</totalsRowFormula>
    </tableColumn>
    <tableColumn id="5" xr3:uid="{00000000-0010-0000-0000-000005000000}" name="Number of FCU" totalsRowFunction="custom" dataDxfId="201" totalsRowDxfId="200">
      <totalsRowFormula>SUBTOTAL(109,E3:E5)</totalsRowFormula>
    </tableColumn>
    <tableColumn id="6" xr3:uid="{00000000-0010-0000-0000-000006000000}" name="Pot Mem" totalsRowFunction="custom" dataDxfId="199" totalsRowDxfId="198">
      <totalsRowFormula>SUBTOTAL(109,F3:F5)</totalsRowFormula>
    </tableColumn>
  </tableColumns>
  <tableStyleInfo name="TableStyleLight16" showFirstColumn="0" showLastColumn="0" showRowStripes="1" showColumnStripes="0"/>
  <extLst>
    <ext xmlns:x14="http://schemas.microsoft.com/office/spreadsheetml/2009/9/main" uri="{504A1905-F514-4f6f-8877-14C23A59335A}">
      <x14:table altText="Single Common Bond Expansion" altTextSummary="Single Bond Expansion Approvals, Denials, Deferrals, Number of Federal Credit Unions and Potential Members across NCUA Regions with totals and percentag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ultiple_Common_Bond_Expansion_Table" displayName="Multiple_Common_Bond_Expansion_Table" ref="A2:F6" totalsRowCount="1" headerRowDxfId="197" dataDxfId="196" totalsRowDxfId="195">
  <autoFilter ref="A2:F5" xr:uid="{00000000-0009-0000-0100-000002000000}"/>
  <tableColumns count="6">
    <tableColumn id="1" xr3:uid="{00000000-0010-0000-0100-000001000000}" name="Region" totalsRowLabel="Total" dataDxfId="194" totalsRowDxfId="193"/>
    <tableColumn id="2" xr3:uid="{00000000-0010-0000-0100-000002000000}" name="Approved" totalsRowFunction="custom" dataDxfId="192" totalsRowDxfId="191">
      <totalsRowFormula>SUBTOTAL(109,B3:B5)</totalsRowFormula>
    </tableColumn>
    <tableColumn id="3" xr3:uid="{00000000-0010-0000-0100-000003000000}" name="Denied" totalsRowFunction="custom" dataDxfId="190" totalsRowDxfId="189">
      <totalsRowFormula>SUBTOTAL(109,C3:C5)</totalsRowFormula>
    </tableColumn>
    <tableColumn id="4" xr3:uid="{00000000-0010-0000-0100-000004000000}" name="Deferred" totalsRowFunction="custom" dataDxfId="188" totalsRowDxfId="187">
      <totalsRowFormula>SUBTOTAL(109,D3:D5)</totalsRowFormula>
    </tableColumn>
    <tableColumn id="5" xr3:uid="{00000000-0010-0000-0100-000005000000}" name="Number of FCU" totalsRowFunction="custom" dataDxfId="186" totalsRowDxfId="185">
      <totalsRowFormula>SUBTOTAL(109,E3:E5)</totalsRowFormula>
    </tableColumn>
    <tableColumn id="6" xr3:uid="{00000000-0010-0000-0100-000006000000}" name="Pot Mem" totalsRowFunction="custom" dataDxfId="184" totalsRowDxfId="183">
      <totalsRowFormula>SUBTOTAL(109,F3:F5)</totalsRowFormula>
    </tableColumn>
  </tableColumns>
  <tableStyleInfo name="TableStyleLight16" showFirstColumn="0" showLastColumn="0" showRowStripes="1" showColumnStripes="0"/>
  <extLst>
    <ext xmlns:x14="http://schemas.microsoft.com/office/spreadsheetml/2009/9/main" uri="{504A1905-F514-4f6f-8877-14C23A59335A}">
      <x14:table altText="Multiple Common Bond Expansion" altTextSummary="Multiple Bond Expansion Approvals, Denials, Deferrals, Number of Federal Credit Unions and Potential Members across NCUA Regions with totals and percentage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mmunity_Expansion_Table" displayName="Community_Expansion_Table" ref="A2:G6" totalsRowCount="1" headerRowDxfId="182" dataDxfId="181" totalsRowDxfId="180">
  <autoFilter ref="A2:G5" xr:uid="{00000000-0009-0000-0100-000003000000}"/>
  <tableColumns count="7">
    <tableColumn id="1" xr3:uid="{00000000-0010-0000-0200-000001000000}" name="Region" totalsRowLabel="Total" dataDxfId="179" totalsRowDxfId="178"/>
    <tableColumn id="2" xr3:uid="{00000000-0010-0000-0200-000002000000}" name="Approved" totalsRowFunction="custom" dataDxfId="177" totalsRowDxfId="176">
      <totalsRowFormula>SUBTOTAL(109,B3:B5)</totalsRowFormula>
    </tableColumn>
    <tableColumn id="3" xr3:uid="{00000000-0010-0000-0200-000003000000}" name="Denied" totalsRowFunction="custom" dataDxfId="175" totalsRowDxfId="174">
      <totalsRowFormula>SUBTOTAL(109,C3:C5)</totalsRowFormula>
    </tableColumn>
    <tableColumn id="4" xr3:uid="{00000000-0010-0000-0200-000004000000}" name="Deferred" totalsRowFunction="custom" dataDxfId="173" totalsRowDxfId="172">
      <totalsRowFormula>SUBTOTAL(109,D3:D5)</totalsRowFormula>
    </tableColumn>
    <tableColumn id="5" xr3:uid="{00000000-0010-0000-0200-000005000000}" name="Number of FCU" totalsRowFunction="custom" dataDxfId="171" totalsRowDxfId="170">
      <totalsRowFormula>SUBTOTAL(109,E3:E5)</totalsRowFormula>
    </tableColumn>
    <tableColumn id="6" xr3:uid="{00000000-0010-0000-0200-000006000000}" name="Pot Mem" totalsRowFunction="custom" dataDxfId="169" totalsRowDxfId="168">
      <totalsRowFormula>SUBTOTAL(109,F3:F5)</totalsRowFormula>
    </tableColumn>
    <tableColumn id="7" xr3:uid="{00000000-0010-0000-0200-000007000000}" name="Dup" totalsRowFunction="custom" dataDxfId="167" totalsRowDxfId="166">
      <totalsRowFormula>SUBTOTAL(109,G3:G5)</totalsRowFormula>
    </tableColumn>
  </tableColumns>
  <tableStyleInfo name="TableStyleLight16" showFirstColumn="0" showLastColumn="0" showRowStripes="1" showColumnStripes="0"/>
  <extLst>
    <ext xmlns:x14="http://schemas.microsoft.com/office/spreadsheetml/2009/9/main" uri="{504A1905-F514-4f6f-8877-14C23A59335A}">
      <x14:table altText="Community Expansion" altTextSummary="Community Expansion Approvals, Denials, Deferrals, Number of Federal Credit Unions and Potential Members across NCUA Regions with totals and percentag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ommunity_Conversion_Table" displayName="Community_Conversion_Table" ref="A2:G6" totalsRowCount="1" headerRowDxfId="165" dataDxfId="164" totalsRowDxfId="163">
  <autoFilter ref="A2:G5" xr:uid="{00000000-0009-0000-0100-000004000000}"/>
  <tableColumns count="7">
    <tableColumn id="1" xr3:uid="{00000000-0010-0000-0300-000001000000}" name="Region" totalsRowLabel="Total" dataDxfId="162" totalsRowDxfId="161"/>
    <tableColumn id="2" xr3:uid="{00000000-0010-0000-0300-000002000000}" name="Approved" totalsRowFunction="custom" dataDxfId="160" totalsRowDxfId="159">
      <totalsRowFormula>SUBTOTAL(109,B3:B5)</totalsRowFormula>
    </tableColumn>
    <tableColumn id="3" xr3:uid="{00000000-0010-0000-0300-000003000000}" name="Denied" totalsRowFunction="custom" dataDxfId="158" totalsRowDxfId="157">
      <totalsRowFormula>SUBTOTAL(109,C3:C5)</totalsRowFormula>
    </tableColumn>
    <tableColumn id="4" xr3:uid="{00000000-0010-0000-0300-000004000000}" name="Deferred" totalsRowFunction="custom" dataDxfId="156" totalsRowDxfId="155">
      <totalsRowFormula>SUBTOTAL(109,D3:D5)</totalsRowFormula>
    </tableColumn>
    <tableColumn id="5" xr3:uid="{00000000-0010-0000-0300-000005000000}" name="Number of FCU" totalsRowFunction="custom" dataDxfId="154" totalsRowDxfId="153">
      <totalsRowFormula>SUBTOTAL(109,E3:E5)</totalsRowFormula>
    </tableColumn>
    <tableColumn id="6" xr3:uid="{00000000-0010-0000-0300-000006000000}" name="Pot Mem" totalsRowFunction="custom" dataDxfId="152" totalsRowDxfId="151">
      <totalsRowFormula>SUBTOTAL(109,F3:F5)</totalsRowFormula>
    </tableColumn>
    <tableColumn id="7" xr3:uid="{00000000-0010-0000-0300-000007000000}" name="Dup" totalsRowFunction="custom" dataDxfId="150" totalsRowDxfId="149">
      <totalsRowFormula>SUBTOTAL(109,G3:G5)</totalsRowFormula>
    </tableColumn>
  </tableColumns>
  <tableStyleInfo name="TableStyleLight16" showFirstColumn="0" showLastColumn="0" showRowStripes="1" showColumnStripes="0"/>
  <extLst>
    <ext xmlns:x14="http://schemas.microsoft.com/office/spreadsheetml/2009/9/main" uri="{504A1905-F514-4f6f-8877-14C23A59335A}">
      <x14:table altText="Community Conversion" altTextSummary="Community Conversion Approvals, Denials, Deferrals, Number of Federal Credit Unions and Potential Members across NCUA Regions with totals and percentag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Low_Income_Community_Expansion_Table" displayName="Low_Income_Community_Expansion_Table" ref="A2:G6" totalsRowCount="1" headerRowDxfId="148" dataDxfId="147" totalsRowDxfId="146">
  <autoFilter ref="A2:G5" xr:uid="{00000000-0009-0000-0100-000005000000}"/>
  <tableColumns count="7">
    <tableColumn id="1" xr3:uid="{00000000-0010-0000-0400-000001000000}" name="Region" totalsRowLabel="Total" dataDxfId="145" totalsRowDxfId="144"/>
    <tableColumn id="2" xr3:uid="{00000000-0010-0000-0400-000002000000}" name="Approved" totalsRowFunction="custom" dataDxfId="143" totalsRowDxfId="142">
      <totalsRowFormula>SUBTOTAL(109,B3:B5)</totalsRowFormula>
    </tableColumn>
    <tableColumn id="3" xr3:uid="{00000000-0010-0000-0400-000003000000}" name="Denied" totalsRowFunction="custom" dataDxfId="141" totalsRowDxfId="140">
      <totalsRowFormula>SUBTOTAL(109,C3:C5)</totalsRowFormula>
    </tableColumn>
    <tableColumn id="4" xr3:uid="{00000000-0010-0000-0400-000004000000}" name="Deferred" totalsRowFunction="custom" dataDxfId="139" totalsRowDxfId="138">
      <totalsRowFormula>SUBTOTAL(109,D3:D5)</totalsRowFormula>
    </tableColumn>
    <tableColumn id="5" xr3:uid="{00000000-0010-0000-0400-000005000000}" name="Number of FCU" totalsRowFunction="custom" dataDxfId="137" totalsRowDxfId="136">
      <totalsRowFormula>SUBTOTAL(109,E3:E5)</totalsRowFormula>
    </tableColumn>
    <tableColumn id="6" xr3:uid="{00000000-0010-0000-0400-000006000000}" name="Pot Mem" totalsRowFunction="custom" dataDxfId="135" totalsRowDxfId="134">
      <totalsRowFormula>SUBTOTAL(109,F3:F5)</totalsRowFormula>
    </tableColumn>
    <tableColumn id="7" xr3:uid="{00000000-0010-0000-0400-000007000000}" name="Dup" totalsRowFunction="custom" dataDxfId="133" totalsRowDxfId="132">
      <totalsRowFormula>SUBTOTAL(109,G3:G5)</totalsRowFormula>
    </tableColumn>
  </tableColumns>
  <tableStyleInfo name="TableStyleLight16" showFirstColumn="0" showLastColumn="0" showRowStripes="1" showColumnStripes="0"/>
  <extLst>
    <ext xmlns:x14="http://schemas.microsoft.com/office/spreadsheetml/2009/9/main" uri="{504A1905-F514-4f6f-8877-14C23A59335A}">
      <x14:table altText="Low Income Community Expansion" altTextSummary="Low Income Community Expansion Approvals, Denials, Deferrals, Number of Federal Credit Unions, Potential Members, and number of Duplicates across NCUA Regions with totals and percentage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Underserved_Area_Table" displayName="Underserved_Area_Table" ref="A2:G6" totalsRowCount="1" headerRowDxfId="131" dataDxfId="130" totalsRowDxfId="129">
  <autoFilter ref="A2:G5" xr:uid="{00000000-0009-0000-0100-000006000000}"/>
  <tableColumns count="7">
    <tableColumn id="1" xr3:uid="{00000000-0010-0000-0500-000001000000}" name="Region" totalsRowLabel="Total" dataDxfId="128" totalsRowDxfId="127"/>
    <tableColumn id="2" xr3:uid="{00000000-0010-0000-0500-000002000000}" name="Approved" totalsRowFunction="custom" dataDxfId="126" totalsRowDxfId="125">
      <totalsRowFormula>SUBTOTAL(109,B3:B5)</totalsRowFormula>
    </tableColumn>
    <tableColumn id="3" xr3:uid="{00000000-0010-0000-0500-000003000000}" name="Denied" totalsRowFunction="custom" dataDxfId="124" totalsRowDxfId="123">
      <totalsRowFormula>SUBTOTAL(109,C3:C5)</totalsRowFormula>
    </tableColumn>
    <tableColumn id="4" xr3:uid="{00000000-0010-0000-0500-000004000000}" name="Deferred" totalsRowFunction="custom" dataDxfId="122" totalsRowDxfId="121">
      <totalsRowFormula>SUBTOTAL(109,D3:D5)</totalsRowFormula>
    </tableColumn>
    <tableColumn id="5" xr3:uid="{00000000-0010-0000-0500-000005000000}" name="Number of FCU" totalsRowFunction="custom" dataDxfId="120" totalsRowDxfId="119">
      <totalsRowFormula>SUBTOTAL(109,E3:E5)</totalsRowFormula>
    </tableColumn>
    <tableColumn id="6" xr3:uid="{00000000-0010-0000-0500-000006000000}" name="Pot Mem" totalsRowFunction="custom" dataDxfId="118" totalsRowDxfId="117">
      <totalsRowFormula>SUBTOTAL(109,F3:F5)</totalsRowFormula>
    </tableColumn>
    <tableColumn id="7" xr3:uid="{00000000-0010-0000-0500-000007000000}" name="Dup" totalsRowFunction="custom" dataDxfId="116" totalsRowDxfId="115">
      <totalsRowFormula>SUBTOTAL(109,G3:G5)</totalsRowFormula>
    </tableColumn>
  </tableColumns>
  <tableStyleInfo name="TableStyleLight16" showFirstColumn="0" showLastColumn="0" showRowStripes="1" showColumnStripes="0"/>
  <extLst>
    <ext xmlns:x14="http://schemas.microsoft.com/office/spreadsheetml/2009/9/main" uri="{504A1905-F514-4f6f-8877-14C23A59335A}">
      <x14:table altText="Underserved Area" altTextSummary="Underserved Area Approvals, Denials, Deferrals, Number of Federal Credit Unions, Potential Members, and number of Duplicates across NCUA Regions with totals and percentages"/>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harter_Conversions_Table" displayName="Charter_Conversions_Table" ref="A2:E6" totalsRowCount="1" headerRowDxfId="114" dataDxfId="113" totalsRowDxfId="112">
  <autoFilter ref="A2:E5" xr:uid="{00000000-0009-0000-0100-000007000000}"/>
  <tableColumns count="5">
    <tableColumn id="1" xr3:uid="{00000000-0010-0000-0600-000001000000}" name="Region" totalsRowLabel="Total" dataDxfId="111" totalsRowDxfId="110"/>
    <tableColumn id="2" xr3:uid="{00000000-0010-0000-0600-000002000000}" name="FISCU to FCU Number" totalsRowFunction="custom" dataDxfId="109" totalsRowDxfId="108">
      <totalsRowFormula>SUBTOTAL(109,B3:B5)</totalsRowFormula>
    </tableColumn>
    <tableColumn id="3" xr3:uid="{00000000-0010-0000-0600-000003000000}" name="FISCU to FCU Assets" totalsRowFunction="custom" dataDxfId="107" totalsRowDxfId="106">
      <totalsRowFormula>SUBTOTAL(109,C3:C5)</totalsRowFormula>
    </tableColumn>
    <tableColumn id="4" xr3:uid="{00000000-0010-0000-0600-000004000000}" name="FCU to FISCU Number" totalsRowFunction="custom" dataDxfId="105" totalsRowDxfId="104">
      <totalsRowFormula>SUBTOTAL(109,D3:D5)</totalsRowFormula>
    </tableColumn>
    <tableColumn id="5" xr3:uid="{00000000-0010-0000-0600-000005000000}" name="FCU to FISCU Assets" totalsRowFunction="custom" dataDxfId="103" totalsRowDxfId="102">
      <totalsRowFormula>SUBTOTAL(109,E3:E5)</totalsRowFormula>
    </tableColumn>
  </tableColumns>
  <tableStyleInfo name="TableStyleLight16" showFirstColumn="0" showLastColumn="0" showRowStripes="1" showColumnStripes="0"/>
  <extLst>
    <ext xmlns:x14="http://schemas.microsoft.com/office/spreadsheetml/2009/9/main" uri="{504A1905-F514-4f6f-8877-14C23A59335A}">
      <x14:table altText="Charter Conversions" altTextSummary="FISCU to FCU and FCU to FISCU Charter Conversions in terms of total conversions and assets converted across NCUA Regions"/>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Insurance_Applications_Table" displayName="Insurance_Applications_Table" ref="A2:E6" totalsRowCount="1" headerRowDxfId="101" dataDxfId="100" totalsRowDxfId="99">
  <autoFilter ref="A2:E5" xr:uid="{00000000-0009-0000-0100-000008000000}"/>
  <tableColumns count="5">
    <tableColumn id="1" xr3:uid="{00000000-0010-0000-0700-000001000000}" name="Region" totalsRowLabel="Total" dataDxfId="98" totalsRowDxfId="97"/>
    <tableColumn id="2" xr3:uid="{00000000-0010-0000-0700-000002000000}" name="NFICU to FCU Number" totalsRowFunction="custom" dataDxfId="96" totalsRowDxfId="95">
      <totalsRowFormula>SUBTOTAL(109,B3:B5)</totalsRowFormula>
    </tableColumn>
    <tableColumn id="3" xr3:uid="{00000000-0010-0000-0700-000003000000}" name="NFICU to FISCU Number" totalsRowFunction="custom" dataDxfId="94" totalsRowDxfId="93">
      <totalsRowFormula>SUBTOTAL(109,C3:C5)</totalsRowFormula>
    </tableColumn>
    <tableColumn id="4" xr3:uid="{00000000-0010-0000-0700-000004000000}" name="Non CU to FCU Number" totalsRowFunction="custom" dataDxfId="92" totalsRowDxfId="91">
      <totalsRowFormula>SUBTOTAL(109,D3:D5)</totalsRowFormula>
    </tableColumn>
    <tableColumn id="5" xr3:uid="{00000000-0010-0000-0700-000005000000}" name="Non CU to FISCU Number" totalsRowFunction="custom" dataDxfId="90" totalsRowDxfId="89">
      <totalsRowFormula>SUBTOTAL(109,E3:E5)</totalsRowFormula>
    </tableColumn>
  </tableColumns>
  <tableStyleInfo name="TableStyleLight16" showFirstColumn="0" showLastColumn="0" showRowStripes="1" showColumnStripes="0"/>
  <extLst>
    <ext xmlns:x14="http://schemas.microsoft.com/office/spreadsheetml/2009/9/main" uri="{504A1905-F514-4f6f-8877-14C23A59335A}">
      <x14:table altText="Insurance Applications" altTextSummary="NICU to FCU, NICU to FISCU, Non CU to FCU, and Non CU to FISCU Insurance applications across NCUA Region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Insurance_Conversion_Table" displayName="Insurance_Conversion_Table" ref="A2:I6" totalsRowCount="1" headerRowDxfId="233" dataDxfId="232" totalsRowDxfId="231">
  <autoFilter ref="A2:I5" xr:uid="{00000000-0009-0000-0100-000009000000}"/>
  <tableColumns count="9">
    <tableColumn id="1" xr3:uid="{00000000-0010-0000-0800-000001000000}" name="Region" totalsRowLabel="Total" dataDxfId="230" totalsRowDxfId="229"/>
    <tableColumn id="2" xr3:uid="{00000000-0010-0000-0800-000002000000}" name="FCU to NFICU Number" totalsRowFunction="custom" dataDxfId="228" totalsRowDxfId="227">
      <totalsRowFormula>SUBTOTAL(109,B3:B5)</totalsRowFormula>
    </tableColumn>
    <tableColumn id="3" xr3:uid="{00000000-0010-0000-0800-000003000000}" name="FCU to NFICU Assets" totalsRowFunction="custom" dataDxfId="226" totalsRowDxfId="225">
      <totalsRowFormula>SUBTOTAL(109,C3:C5)</totalsRowFormula>
    </tableColumn>
    <tableColumn id="4" xr3:uid="{00000000-0010-0000-0800-000004000000}" name="FCU to Non CU Number" totalsRowFunction="custom" dataDxfId="224" totalsRowDxfId="223">
      <totalsRowFormula>SUBTOTAL(109,D3:D5)</totalsRowFormula>
    </tableColumn>
    <tableColumn id="5" xr3:uid="{00000000-0010-0000-0800-000005000000}" name="FCU to Non CU Assets" totalsRowFunction="custom" dataDxfId="222" totalsRowDxfId="221">
      <totalsRowFormula>SUBTOTAL(109,E3:E5)</totalsRowFormula>
    </tableColumn>
    <tableColumn id="6" xr3:uid="{00000000-0010-0000-0800-000006000000}" name="FISCU to NFICU Number" totalsRowFunction="custom" dataDxfId="220" totalsRowDxfId="219">
      <totalsRowFormula>SUBTOTAL(109,F3:F5)</totalsRowFormula>
    </tableColumn>
    <tableColumn id="7" xr3:uid="{00000000-0010-0000-0800-000007000000}" name="FISCU to NFICU Assets" totalsRowFunction="custom" dataDxfId="218" totalsRowDxfId="217">
      <totalsRowFormula>SUBTOTAL(109,G3:G5)</totalsRowFormula>
    </tableColumn>
    <tableColumn id="8" xr3:uid="{00000000-0010-0000-0800-000008000000}" name="FISCU to Non CU Number" totalsRowFunction="custom" dataDxfId="216" totalsRowDxfId="215">
      <totalsRowFormula>SUBTOTAL(109,H3:H5)</totalsRowFormula>
    </tableColumn>
    <tableColumn id="9" xr3:uid="{00000000-0010-0000-0800-000009000000}" name="FISCU to Non CU Assets" totalsRowFunction="custom" dataDxfId="214" totalsRowDxfId="213">
      <totalsRowFormula>SUBTOTAL(109,I3:I5)</totalsRowFormula>
    </tableColumn>
  </tableColumns>
  <tableStyleInfo name="TableStyleLight16" showFirstColumn="0" showLastColumn="0" showRowStripes="1" showColumnStripes="0"/>
  <extLst>
    <ext xmlns:x14="http://schemas.microsoft.com/office/spreadsheetml/2009/9/main" uri="{504A1905-F514-4f6f-8877-14C23A59335A}">
      <x14:table altText="Insurance Conversion" altTextSummary="Number of Insurance Conversions across NCUA Regions categorized in terms of conversion type: FCU to NICU, FCU to Non CU, FISCU to NICU, and FISCU to Non CU in terms of both number of conversions and assets converted"/>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Charter_Applications_Table" displayName="Charter_Applications_Table" ref="A2:G6" totalsRowCount="1" headerRowDxfId="88" dataDxfId="87" totalsRowDxfId="86">
  <autoFilter ref="A2:G5" xr:uid="{00000000-0009-0000-0100-00000A000000}"/>
  <tableColumns count="7">
    <tableColumn id="1" xr3:uid="{00000000-0010-0000-0900-000001000000}" name="Region" totalsRowLabel="Total" dataDxfId="85" totalsRowDxfId="84"/>
    <tableColumn id="2" xr3:uid="{00000000-0010-0000-0900-000002000000}" name="FCU Number Denied" totalsRowFunction="custom" dataDxfId="83" totalsRowDxfId="82">
      <totalsRowFormula>SUBTOTAL(109,B3:B5)</totalsRowFormula>
    </tableColumn>
    <tableColumn id="3" xr3:uid="{00000000-0010-0000-0900-000003000000}" name="FCU Number Approved" totalsRowFunction="custom" dataDxfId="81" totalsRowDxfId="80">
      <totalsRowFormula>SUBTOTAL(109,C3:C5)</totalsRowFormula>
    </tableColumn>
    <tableColumn id="4" xr3:uid="{00000000-0010-0000-0900-000004000000}" name="FCU Potential Members" totalsRowFunction="custom" dataDxfId="79" totalsRowDxfId="78">
      <totalsRowFormula>SUBTOTAL(109,D3:D5)</totalsRowFormula>
    </tableColumn>
    <tableColumn id="5" xr3:uid="{00000000-0010-0000-0900-000005000000}" name="FISCU Number Denied" totalsRowFunction="custom" dataDxfId="77" totalsRowDxfId="76">
      <totalsRowFormula>SUBTOTAL(109,E3:E5)</totalsRowFormula>
    </tableColumn>
    <tableColumn id="6" xr3:uid="{00000000-0010-0000-0900-000006000000}" name="FISCU Number Approved" totalsRowFunction="custom" dataDxfId="75" totalsRowDxfId="74">
      <totalsRowFormula>SUBTOTAL(109,F3:F5)</totalsRowFormula>
    </tableColumn>
    <tableColumn id="7" xr3:uid="{00000000-0010-0000-0900-000007000000}" name="FISCU Potential Members" totalsRowFunction="custom" dataDxfId="73" totalsRowDxfId="72">
      <totalsRowFormula>SUBTOTAL(109,G3:G5)</totalsRowFormula>
    </tableColumn>
  </tableColumns>
  <tableStyleInfo name="TableStyleLight16" showFirstColumn="0" showLastColumn="0" showRowStripes="1" showColumnStripes="0"/>
  <extLst>
    <ext xmlns:x14="http://schemas.microsoft.com/office/spreadsheetml/2009/9/main" uri="{504A1905-F514-4f6f-8877-14C23A59335A}">
      <x14:table altText="Charter Applications" altTextSummary="FCU and FISCU Charter applications denied, approved, and total potential members across NCUA Region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Housekeeping_Table" displayName="Housekeeping_Table" ref="A2:E6" totalsRowCount="1" headerRowDxfId="71" dataDxfId="70" totalsRowDxfId="69">
  <autoFilter ref="A2:E5" xr:uid="{00000000-0009-0000-0100-00000B000000}"/>
  <tableColumns count="5">
    <tableColumn id="1" xr3:uid="{00000000-0010-0000-0A00-000001000000}" name="Region" totalsRowLabel="Total" dataDxfId="68" totalsRowDxfId="67"/>
    <tableColumn id="2" xr3:uid="{00000000-0010-0000-0A00-000002000000}" name="Approved" totalsRowFunction="custom" dataDxfId="66" totalsRowDxfId="65">
      <totalsRowFormula>SUBTOTAL(109,B3:B5)</totalsRowFormula>
    </tableColumn>
    <tableColumn id="3" xr3:uid="{00000000-0010-0000-0A00-000003000000}" name="Denied" totalsRowFunction="custom" dataDxfId="64" totalsRowDxfId="63">
      <totalsRowFormula>SUBTOTAL(109,C3:C5)</totalsRowFormula>
    </tableColumn>
    <tableColumn id="4" xr3:uid="{00000000-0010-0000-0A00-000004000000}" name="Deferred" totalsRowFunction="custom" dataDxfId="62" totalsRowDxfId="61">
      <totalsRowFormula>SUBTOTAL(109,D3:D5)</totalsRowFormula>
    </tableColumn>
    <tableColumn id="5" xr3:uid="{00000000-0010-0000-0A00-000005000000}" name="Number of FCU" totalsRowFunction="custom" dataDxfId="60" totalsRowDxfId="59">
      <totalsRowFormula>SUBTOTAL(109,E3:E5)</totalsRowFormula>
    </tableColumn>
  </tableColumns>
  <tableStyleInfo name="TableStyleLight16" showFirstColumn="0" showLastColumn="0" showRowStripes="1" showColumnStripes="0"/>
  <extLst>
    <ext xmlns:x14="http://schemas.microsoft.com/office/spreadsheetml/2009/9/main" uri="{504A1905-F514-4f6f-8877-14C23A59335A}">
      <x14:table altText="Housekeeping" altTextSummary="Housekeeping approved, denied, or deferred across NCUA Regions"/>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IP_Table" displayName="TIP_Table" ref="A2:E6" totalsRowCount="1" headerRowDxfId="58" dataDxfId="57" totalsRowDxfId="56">
  <autoFilter ref="A2:E5" xr:uid="{00000000-0009-0000-0100-00000C000000}"/>
  <tableColumns count="5">
    <tableColumn id="1" xr3:uid="{00000000-0010-0000-0B00-000001000000}" name="Region" totalsRowLabel="Total" dataDxfId="55" totalsRowDxfId="54"/>
    <tableColumn id="2" xr3:uid="{00000000-0010-0000-0B00-000002000000}" name="Approved" totalsRowFunction="custom" dataDxfId="53" totalsRowDxfId="52">
      <totalsRowFormula>SUBTOTAL(109,B3:B5)</totalsRowFormula>
    </tableColumn>
    <tableColumn id="3" xr3:uid="{00000000-0010-0000-0B00-000003000000}" name="Denied" totalsRowFunction="custom" dataDxfId="51" totalsRowDxfId="50">
      <totalsRowFormula>SUBTOTAL(109,C3:C5)</totalsRowFormula>
    </tableColumn>
    <tableColumn id="4" xr3:uid="{00000000-0010-0000-0B00-000004000000}" name="Deferred" totalsRowFunction="custom" dataDxfId="49" totalsRowDxfId="48">
      <totalsRowFormula>SUBTOTAL(109,D3:D5)</totalsRowFormula>
    </tableColumn>
    <tableColumn id="5" xr3:uid="{00000000-0010-0000-0B00-000005000000}" name="Dup" totalsRowFunction="custom" dataDxfId="47" totalsRowDxfId="46">
      <totalsRowFormula>SUBTOTAL(109,E3:E5)</totalsRowFormula>
    </tableColumn>
  </tableColumns>
  <tableStyleInfo name="TableStyleLight16" showFirstColumn="0" showLastColumn="0" showRowStripes="1" showColumnStripes="0"/>
  <extLst>
    <ext xmlns:x14="http://schemas.microsoft.com/office/spreadsheetml/2009/9/main" uri="{504A1905-F514-4f6f-8877-14C23A59335A}">
      <x14:table altText="TIP" altTextSummary="TIPS approved, denied, or deferred across NCUA Regions"/>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Mergers_Approved_Table" displayName="Mergers_Approved_Table" ref="A2:J6" totalsRowCount="1" headerRowDxfId="45" dataDxfId="44" totalsRowDxfId="43">
  <autoFilter ref="A2:J5" xr:uid="{00000000-0009-0000-0100-00000D000000}"/>
  <tableColumns count="10">
    <tableColumn id="1" xr3:uid="{00000000-0010-0000-0C00-000001000000}" name="Region" totalsRowLabel="Total" dataDxfId="42" totalsRowDxfId="41"/>
    <tableColumn id="2" xr3:uid="{00000000-0010-0000-0C00-000002000000}" name="FCU into FCU" totalsRowFunction="custom" dataDxfId="40" totalsRowDxfId="39">
      <totalsRowFormula>SUBTOTAL(109,B3:B5)</totalsRowFormula>
    </tableColumn>
    <tableColumn id="3" xr3:uid="{00000000-0010-0000-0C00-000003000000}" name="FCU into FISCU" totalsRowFunction="custom" dataDxfId="38" totalsRowDxfId="37">
      <totalsRowFormula>SUBTOTAL(109,C3:C5)</totalsRowFormula>
    </tableColumn>
    <tableColumn id="4" xr3:uid="{00000000-0010-0000-0C00-000004000000}" name="FCU into NFICU" totalsRowFunction="custom" dataDxfId="36" totalsRowDxfId="35">
      <totalsRowFormula>SUBTOTAL(109,D3:D5)</totalsRowFormula>
    </tableColumn>
    <tableColumn id="5" xr3:uid="{00000000-0010-0000-0C00-000005000000}" name="FISCU into FCU" totalsRowFunction="custom" dataDxfId="34" totalsRowDxfId="33">
      <totalsRowFormula>SUBTOTAL(109,E3:E5)</totalsRowFormula>
    </tableColumn>
    <tableColumn id="6" xr3:uid="{00000000-0010-0000-0C00-000006000000}" name="FISCU into FISCU" totalsRowFunction="custom" dataDxfId="32" totalsRowDxfId="31">
      <totalsRowFormula>SUBTOTAL(109,F3:F5)</totalsRowFormula>
    </tableColumn>
    <tableColumn id="7" xr3:uid="{00000000-0010-0000-0C00-000007000000}" name="FISCU into NFICU" totalsRowFunction="custom" dataDxfId="30" totalsRowDxfId="29">
      <totalsRowFormula>SUBTOTAL(109,G3:G5)</totalsRowFormula>
    </tableColumn>
    <tableColumn id="8" xr3:uid="{00000000-0010-0000-0C00-000008000000}" name="NFICU into FCU" totalsRowFunction="custom" dataDxfId="28" totalsRowDxfId="27">
      <totalsRowFormula>SUBTOTAL(109,H3:H5)</totalsRowFormula>
    </tableColumn>
    <tableColumn id="9" xr3:uid="{00000000-0010-0000-0C00-000009000000}" name="NFICU into FISCU" totalsRowFunction="custom" dataDxfId="26" totalsRowDxfId="25">
      <totalsRowFormula>SUBTOTAL(109,I3:I5)</totalsRowFormula>
    </tableColumn>
    <tableColumn id="10" xr3:uid="{00000000-0010-0000-0C00-00000A000000}" name="Total" totalsRowFunction="custom" dataDxfId="24" totalsRowDxfId="23">
      <calculatedColumnFormula>SUM(B3:I3)</calculatedColumnFormula>
      <totalsRowFormula>SUM(B6:I6)</totalsRowFormula>
    </tableColumn>
  </tableColumns>
  <tableStyleInfo name="TableStyleLight16" showFirstColumn="0" showLastColumn="0" showRowStripes="1" showColumnStripes="0"/>
  <extLst>
    <ext xmlns:x14="http://schemas.microsoft.com/office/spreadsheetml/2009/9/main" uri="{504A1905-F514-4f6f-8877-14C23A59335A}">
      <x14:table altText="Mergers Approved" altTextSummary="Mergers Approved across NCUA Regions categorized in terms of conversion type with totals: FCU into FCU, FCU into FISCU, FCU into NFICU, FISCU into FCU, FISCU into FISCU, FISCU into NFICU, NFICU into FCU, NFICU into FISCU"/>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2:J6" totalsRowCount="1" headerRowDxfId="22" dataDxfId="21" totalsRowDxfId="20">
  <autoFilter ref="A2:J5" xr:uid="{00000000-0009-0000-0100-00000E000000}"/>
  <tableColumns count="10">
    <tableColumn id="1" xr3:uid="{00000000-0010-0000-0D00-000001000000}" name="Region" totalsRowLabel="Total" dataDxfId="19" totalsRowDxfId="18"/>
    <tableColumn id="2" xr3:uid="{00000000-0010-0000-0D00-000002000000}" name="FCU into FCU" totalsRowFunction="custom" dataDxfId="17" totalsRowDxfId="16">
      <totalsRowFormula>SUBTOTAL(109,B3:B5)</totalsRowFormula>
    </tableColumn>
    <tableColumn id="3" xr3:uid="{00000000-0010-0000-0D00-000003000000}" name="FCU into FISCU" totalsRowFunction="custom" dataDxfId="15" totalsRowDxfId="14">
      <totalsRowFormula>SUBTOTAL(109,C3:C5)</totalsRowFormula>
    </tableColumn>
    <tableColumn id="4" xr3:uid="{00000000-0010-0000-0D00-000004000000}" name="FCU into NFICU" totalsRowFunction="custom" dataDxfId="13" totalsRowDxfId="12">
      <totalsRowFormula>SUBTOTAL(109,D3:D5)</totalsRowFormula>
    </tableColumn>
    <tableColumn id="5" xr3:uid="{00000000-0010-0000-0D00-000005000000}" name="FISCU into FCU" totalsRowFunction="custom" dataDxfId="11" totalsRowDxfId="10">
      <totalsRowFormula>SUBTOTAL(109,E3:E5)</totalsRowFormula>
    </tableColumn>
    <tableColumn id="6" xr3:uid="{00000000-0010-0000-0D00-000006000000}" name="FISCU into FISCU" totalsRowFunction="custom" dataDxfId="9" totalsRowDxfId="8">
      <totalsRowFormula>SUBTOTAL(109,F3:F5)</totalsRowFormula>
    </tableColumn>
    <tableColumn id="7" xr3:uid="{00000000-0010-0000-0D00-000007000000}" name="FISCU into NFICU" totalsRowFunction="custom" dataDxfId="7" totalsRowDxfId="6">
      <totalsRowFormula>SUBTOTAL(109,G3:G5)</totalsRowFormula>
    </tableColumn>
    <tableColumn id="8" xr3:uid="{00000000-0010-0000-0D00-000008000000}" name="NFICU into FCU" totalsRowFunction="custom" dataDxfId="5" totalsRowDxfId="4">
      <totalsRowFormula>SUBTOTAL(109,H3:H5)</totalsRowFormula>
    </tableColumn>
    <tableColumn id="9" xr3:uid="{00000000-0010-0000-0D00-000009000000}" name="NFICU into FISCU" totalsRowFunction="custom" dataDxfId="3" totalsRowDxfId="2">
      <totalsRowFormula>SUBTOTAL(109,I3:I5)</totalsRowFormula>
    </tableColumn>
    <tableColumn id="10" xr3:uid="{00000000-0010-0000-0D00-00000A000000}" name="Total" totalsRowFunction="custom" dataDxfId="1" totalsRowDxfId="0">
      <calculatedColumnFormula>SUM(B3:I3)</calculatedColumnFormula>
      <totalsRowFormula>SUM(B6:I6)</totalsRowFormula>
    </tableColumn>
  </tableColumns>
  <tableStyleInfo name="TableStyleLight16" showFirstColumn="0" showLastColumn="0" showRowStripes="1" showColumnStripes="0"/>
  <extLst>
    <ext xmlns:x14="http://schemas.microsoft.com/office/spreadsheetml/2009/9/main" uri="{504A1905-F514-4f6f-8877-14C23A59335A}">
      <x14:table altText="Merging Credit Union Assets" altTextSummary="Merging Credit Union Assets across NCUA Regions categorized in terms of conversion type with totals: FCU into FCU, FCU into FISCU, FCU into NFICU, FISCU into FCU, FISCU into FISCU, FISCU into NFICU, NFICU into FCU, NFICU into FISCU"/>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
  <sheetViews>
    <sheetView tabSelected="1" workbookViewId="0">
      <selection activeCell="F13" sqref="F13"/>
    </sheetView>
  </sheetViews>
  <sheetFormatPr defaultColWidth="8.88671875" defaultRowHeight="14.4" x14ac:dyDescent="0.3"/>
  <cols>
    <col min="1" max="1" width="18.109375" style="9" bestFit="1" customWidth="1"/>
    <col min="2" max="2" width="14.88671875" style="10" bestFit="1" customWidth="1"/>
    <col min="3" max="3" width="12.6640625" style="9" bestFit="1" customWidth="1"/>
    <col min="4" max="4" width="14.44140625" style="9" bestFit="1" customWidth="1"/>
    <col min="5" max="5" width="16.33203125" style="9" bestFit="1" customWidth="1"/>
    <col min="6" max="6" width="11" style="10" bestFit="1" customWidth="1"/>
    <col min="7" max="16384" width="8.88671875" style="9"/>
  </cols>
  <sheetData>
    <row r="1" spans="1:6" ht="43.2" x14ac:dyDescent="0.3">
      <c r="A1" s="20" t="s">
        <v>53</v>
      </c>
      <c r="B1" s="22"/>
      <c r="C1" s="21"/>
      <c r="D1" s="21"/>
      <c r="E1" s="23"/>
      <c r="F1" s="24"/>
    </row>
    <row r="2" spans="1:6" x14ac:dyDescent="0.3">
      <c r="A2" s="1" t="s">
        <v>0</v>
      </c>
      <c r="B2" s="2" t="s">
        <v>1</v>
      </c>
      <c r="C2" s="1" t="s">
        <v>2</v>
      </c>
      <c r="D2" s="1" t="s">
        <v>3</v>
      </c>
      <c r="E2" s="1" t="s">
        <v>4</v>
      </c>
      <c r="F2" s="2" t="s">
        <v>5</v>
      </c>
    </row>
    <row r="3" spans="1:6" x14ac:dyDescent="0.3">
      <c r="A3" s="1">
        <v>1</v>
      </c>
      <c r="B3" s="2">
        <v>0</v>
      </c>
      <c r="C3" s="1">
        <v>0</v>
      </c>
      <c r="D3" s="1">
        <v>0</v>
      </c>
      <c r="E3" s="1">
        <v>0</v>
      </c>
      <c r="F3" s="2">
        <v>0</v>
      </c>
    </row>
    <row r="4" spans="1:6" x14ac:dyDescent="0.3">
      <c r="A4" s="1">
        <v>2</v>
      </c>
      <c r="B4" s="2">
        <v>0</v>
      </c>
      <c r="C4" s="1">
        <v>0</v>
      </c>
      <c r="D4" s="1">
        <v>0</v>
      </c>
      <c r="E4" s="1">
        <v>0</v>
      </c>
      <c r="F4" s="2">
        <v>0</v>
      </c>
    </row>
    <row r="5" spans="1:6" x14ac:dyDescent="0.3">
      <c r="A5" s="1">
        <v>3</v>
      </c>
      <c r="B5" s="2">
        <v>1</v>
      </c>
      <c r="C5" s="1">
        <v>0</v>
      </c>
      <c r="D5" s="1">
        <v>0</v>
      </c>
      <c r="E5" s="1">
        <v>1</v>
      </c>
      <c r="F5" s="2">
        <v>400</v>
      </c>
    </row>
    <row r="6" spans="1:6" x14ac:dyDescent="0.3">
      <c r="A6" s="1" t="s">
        <v>37</v>
      </c>
      <c r="B6" s="2">
        <f t="shared" ref="B6:F6" si="0">SUBTOTAL(109,B3:B5)</f>
        <v>1</v>
      </c>
      <c r="C6" s="1">
        <f t="shared" si="0"/>
        <v>0</v>
      </c>
      <c r="D6" s="1">
        <f t="shared" si="0"/>
        <v>0</v>
      </c>
      <c r="E6" s="1">
        <f t="shared" si="0"/>
        <v>1</v>
      </c>
      <c r="F6" s="2">
        <f t="shared" si="0"/>
        <v>400</v>
      </c>
    </row>
    <row r="7" spans="1:6" x14ac:dyDescent="0.3">
      <c r="A7" s="1" t="s">
        <v>38</v>
      </c>
      <c r="B7" s="11">
        <f>Single_Common_Bond_Expansion_Table[[#Totals],[Approved]]/(Single_Common_Bond_Expansion_Table[[#Totals],[Approved]]+Single_Common_Bond_Expansion_Table[[#Totals],[Denied]]+Single_Common_Bond_Expansion_Table[[#Totals],[Deferred]])</f>
        <v>1</v>
      </c>
      <c r="C7" s="12">
        <f>Single_Common_Bond_Expansion_Table[[#Totals],[Denied]]/(Single_Common_Bond_Expansion_Table[[#Totals],[Approved]]+Single_Common_Bond_Expansion_Table[[#Totals],[Denied]]+Single_Common_Bond_Expansion_Table[[#Totals],[Deferred]])</f>
        <v>0</v>
      </c>
      <c r="D7" s="6">
        <f>Single_Common_Bond_Expansion_Table[[#Totals],[Deferred]]/(Single_Common_Bond_Expansion_Table[[#Totals],[Approved]]+Single_Common_Bond_Expansion_Table[[#Totals],[Denied]]+Single_Common_Bond_Expansion_Table[[#Totals],[Deferred]])</f>
        <v>0</v>
      </c>
      <c r="E7" s="1"/>
      <c r="F7" s="2"/>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workbookViewId="0">
      <selection activeCell="A2" sqref="A2:F5"/>
    </sheetView>
  </sheetViews>
  <sheetFormatPr defaultColWidth="8.88671875" defaultRowHeight="14.4" x14ac:dyDescent="0.3"/>
  <cols>
    <col min="1" max="1" width="14.88671875" style="9" bestFit="1" customWidth="1"/>
    <col min="2" max="2" width="20.109375" style="10" bestFit="1" customWidth="1"/>
    <col min="3" max="3" width="12" style="9" bestFit="1" customWidth="1"/>
    <col min="4" max="4" width="13.6640625" style="9" bestFit="1" customWidth="1"/>
    <col min="5" max="5" width="16.33203125" style="9" bestFit="1" customWidth="1"/>
    <col min="6" max="6" width="11" style="10" bestFit="1" customWidth="1"/>
    <col min="7" max="16384" width="8.88671875" style="9"/>
  </cols>
  <sheetData>
    <row r="1" spans="1:6" ht="43.2" x14ac:dyDescent="0.3">
      <c r="A1" s="7" t="s">
        <v>39</v>
      </c>
      <c r="B1" s="8"/>
      <c r="C1" s="7"/>
      <c r="D1" s="7"/>
      <c r="E1" s="7"/>
      <c r="F1" s="8"/>
    </row>
    <row r="2" spans="1:6" x14ac:dyDescent="0.3">
      <c r="A2" s="1" t="s">
        <v>0</v>
      </c>
      <c r="B2" s="2" t="s">
        <v>1</v>
      </c>
      <c r="C2" s="1" t="s">
        <v>2</v>
      </c>
      <c r="D2" s="1" t="s">
        <v>3</v>
      </c>
      <c r="E2" s="1" t="s">
        <v>4</v>
      </c>
      <c r="F2" s="2" t="s">
        <v>5</v>
      </c>
    </row>
    <row r="3" spans="1:6" x14ac:dyDescent="0.3">
      <c r="A3" s="1">
        <v>1</v>
      </c>
      <c r="B3" s="2">
        <v>1019</v>
      </c>
      <c r="C3" s="1">
        <v>0</v>
      </c>
      <c r="D3" s="1">
        <v>4</v>
      </c>
      <c r="E3" s="1">
        <v>70</v>
      </c>
      <c r="F3" s="2">
        <v>646813</v>
      </c>
    </row>
    <row r="4" spans="1:6" x14ac:dyDescent="0.3">
      <c r="A4" s="1">
        <v>2</v>
      </c>
      <c r="B4" s="2">
        <v>899</v>
      </c>
      <c r="C4" s="1">
        <v>0</v>
      </c>
      <c r="D4" s="1">
        <v>1</v>
      </c>
      <c r="E4" s="1">
        <v>59</v>
      </c>
      <c r="F4" s="2">
        <v>1010756</v>
      </c>
    </row>
    <row r="5" spans="1:6" x14ac:dyDescent="0.3">
      <c r="A5" s="1">
        <v>3</v>
      </c>
      <c r="B5" s="2">
        <v>485</v>
      </c>
      <c r="C5" s="1">
        <v>0</v>
      </c>
      <c r="D5" s="1">
        <v>0</v>
      </c>
      <c r="E5" s="1">
        <v>28</v>
      </c>
      <c r="F5" s="2">
        <v>1968310</v>
      </c>
    </row>
    <row r="6" spans="1:6" x14ac:dyDescent="0.3">
      <c r="A6" s="1" t="s">
        <v>37</v>
      </c>
      <c r="B6" s="2">
        <f t="shared" ref="B6:F6" si="0">SUBTOTAL(109,B3:B5)</f>
        <v>2403</v>
      </c>
      <c r="C6" s="1">
        <f t="shared" si="0"/>
        <v>0</v>
      </c>
      <c r="D6" s="1">
        <f t="shared" si="0"/>
        <v>5</v>
      </c>
      <c r="E6" s="1">
        <f t="shared" si="0"/>
        <v>157</v>
      </c>
      <c r="F6" s="2">
        <f t="shared" si="0"/>
        <v>3625879</v>
      </c>
    </row>
    <row r="7" spans="1:6" x14ac:dyDescent="0.3">
      <c r="A7" s="1" t="s">
        <v>40</v>
      </c>
      <c r="B7" s="5">
        <f>Multiple_Common_Bond_Expansion_Table[[#Totals],[Approved]]/(Multiple_Common_Bond_Expansion_Table[[#Totals],[Approved]]+Multiple_Common_Bond_Expansion_Table[[#Totals],[Denied]]+Multiple_Common_Bond_Expansion_Table[[#Totals],[Deferred]])</f>
        <v>0.99792358803986714</v>
      </c>
      <c r="C7" s="13">
        <f>Multiple_Common_Bond_Expansion_Table[[#Totals],[Denied]]/(Multiple_Common_Bond_Expansion_Table[[#Totals],[Approved]]+Multiple_Common_Bond_Expansion_Table[[#Totals],[Denied]]+Multiple_Common_Bond_Expansion_Table[[#Totals],[Deferred]])</f>
        <v>0</v>
      </c>
      <c r="D7" s="14">
        <f>Multiple_Common_Bond_Expansion_Table[[#Totals],[Deferred]]/(Multiple_Common_Bond_Expansion_Table[[#Totals],[Approved]]+Multiple_Common_Bond_Expansion_Table[[#Totals],[Denied]]+Multiple_Common_Bond_Expansion_Table[[#Totals],[Deferred]])</f>
        <v>2.0764119601328905E-3</v>
      </c>
      <c r="E7" s="1"/>
      <c r="F7"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
  <sheetViews>
    <sheetView workbookViewId="0">
      <selection activeCell="G14" sqref="G14"/>
    </sheetView>
  </sheetViews>
  <sheetFormatPr defaultColWidth="8.88671875" defaultRowHeight="14.4" x14ac:dyDescent="0.3"/>
  <cols>
    <col min="1" max="1" width="18.109375" style="9" bestFit="1" customWidth="1"/>
    <col min="2" max="2" width="15.44140625" style="10" bestFit="1" customWidth="1"/>
    <col min="3" max="3" width="12" style="9" bestFit="1" customWidth="1"/>
    <col min="4" max="4" width="14.6640625" style="9" bestFit="1" customWidth="1"/>
    <col min="5" max="5" width="16.33203125" style="9" bestFit="1" customWidth="1"/>
    <col min="6" max="6" width="11" style="10" bestFit="1" customWidth="1"/>
    <col min="7" max="7" width="6.6640625" style="9" bestFit="1" customWidth="1"/>
    <col min="8" max="16384" width="8.88671875" style="9"/>
  </cols>
  <sheetData>
    <row r="1" spans="1:7" ht="43.2" x14ac:dyDescent="0.3">
      <c r="A1" s="7" t="s">
        <v>41</v>
      </c>
      <c r="B1" s="8"/>
      <c r="C1" s="7"/>
      <c r="D1" s="7"/>
      <c r="E1" s="7"/>
      <c r="F1" s="8"/>
      <c r="G1" s="7"/>
    </row>
    <row r="2" spans="1:7" x14ac:dyDescent="0.3">
      <c r="A2" s="1" t="s">
        <v>0</v>
      </c>
      <c r="B2" s="2" t="s">
        <v>1</v>
      </c>
      <c r="C2" s="1" t="s">
        <v>2</v>
      </c>
      <c r="D2" s="1" t="s">
        <v>3</v>
      </c>
      <c r="E2" s="1" t="s">
        <v>4</v>
      </c>
      <c r="F2" s="2" t="s">
        <v>5</v>
      </c>
      <c r="G2" s="1" t="s">
        <v>6</v>
      </c>
    </row>
    <row r="3" spans="1:7" x14ac:dyDescent="0.3">
      <c r="A3" s="1">
        <v>1</v>
      </c>
      <c r="B3" s="2">
        <v>1</v>
      </c>
      <c r="C3" s="1">
        <v>0</v>
      </c>
      <c r="D3" s="1">
        <v>0</v>
      </c>
      <c r="E3" s="1">
        <v>1</v>
      </c>
      <c r="F3" s="2">
        <v>1021931</v>
      </c>
      <c r="G3" s="1">
        <v>0</v>
      </c>
    </row>
    <row r="4" spans="1:7" x14ac:dyDescent="0.3">
      <c r="A4" s="1">
        <v>2</v>
      </c>
      <c r="B4" s="2">
        <v>3</v>
      </c>
      <c r="C4" s="1">
        <v>0</v>
      </c>
      <c r="D4" s="1">
        <v>0</v>
      </c>
      <c r="E4" s="1">
        <v>3</v>
      </c>
      <c r="F4" s="2">
        <v>2082016</v>
      </c>
      <c r="G4" s="1">
        <v>0</v>
      </c>
    </row>
    <row r="5" spans="1:7" x14ac:dyDescent="0.3">
      <c r="A5" s="1">
        <v>3</v>
      </c>
      <c r="B5" s="2">
        <v>1</v>
      </c>
      <c r="C5" s="1">
        <v>0</v>
      </c>
      <c r="D5" s="1">
        <v>1</v>
      </c>
      <c r="E5" s="1">
        <v>1</v>
      </c>
      <c r="F5" s="2">
        <v>392242</v>
      </c>
      <c r="G5" s="1">
        <v>0</v>
      </c>
    </row>
    <row r="6" spans="1:7" x14ac:dyDescent="0.3">
      <c r="A6" s="1" t="s">
        <v>37</v>
      </c>
      <c r="B6" s="2">
        <f t="shared" ref="B6:G6" si="0">SUBTOTAL(109,B3:B5)</f>
        <v>5</v>
      </c>
      <c r="C6" s="1">
        <f t="shared" si="0"/>
        <v>0</v>
      </c>
      <c r="D6" s="1">
        <f t="shared" si="0"/>
        <v>1</v>
      </c>
      <c r="E6" s="1">
        <f t="shared" si="0"/>
        <v>5</v>
      </c>
      <c r="F6" s="2">
        <f t="shared" si="0"/>
        <v>3496189</v>
      </c>
      <c r="G6" s="1">
        <f t="shared" si="0"/>
        <v>0</v>
      </c>
    </row>
    <row r="7" spans="1:7" x14ac:dyDescent="0.3">
      <c r="A7" s="1" t="s">
        <v>38</v>
      </c>
      <c r="B7" s="5">
        <f>Community_Expansion_Table[[#Totals],[Approved]]/(Community_Expansion_Table[[#Totals],[Approved]]+Community_Expansion_Table[[#Totals],[Denied]]+Community_Expansion_Table[[#Totals],[Deferred]])</f>
        <v>0.83333333333333337</v>
      </c>
      <c r="C7" s="13">
        <f>Community_Expansion_Table[[#Totals],[Denied]]/(Community_Expansion_Table[[#Totals],[Approved]]+Community_Expansion_Table[[#Totals],[Denied]]+Community_Expansion_Table[[#Totals],[Deferred]])</f>
        <v>0</v>
      </c>
      <c r="D7" s="15">
        <f>Community_Expansion_Table[[#Totals],[Deferred]]/(Community_Expansion_Table[[#Totals],[Approved]]+Community_Expansion_Table[[#Totals],[Denied]]+Community_Expansion_Table[[#Totals],[Deferred]])</f>
        <v>0.16666666666666666</v>
      </c>
      <c r="E7" s="1"/>
      <c r="F7" s="2"/>
      <c r="G7"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orkbookViewId="0">
      <selection activeCell="G16" sqref="G16"/>
    </sheetView>
  </sheetViews>
  <sheetFormatPr defaultColWidth="8.88671875" defaultRowHeight="14.4" x14ac:dyDescent="0.3"/>
  <cols>
    <col min="1" max="1" width="18.109375" style="9" bestFit="1" customWidth="1"/>
    <col min="2" max="2" width="14.44140625" style="10" bestFit="1" customWidth="1"/>
    <col min="3" max="3" width="12" style="9" bestFit="1" customWidth="1"/>
    <col min="4" max="4" width="13.6640625" style="9" bestFit="1" customWidth="1"/>
    <col min="5" max="5" width="16.33203125" style="9" bestFit="1" customWidth="1"/>
    <col min="6" max="6" width="11" style="10" bestFit="1" customWidth="1"/>
    <col min="7" max="7" width="6.6640625" style="9" bestFit="1" customWidth="1"/>
    <col min="8" max="16384" width="8.88671875" style="9"/>
  </cols>
  <sheetData>
    <row r="1" spans="1:7" ht="57.6" x14ac:dyDescent="0.3">
      <c r="A1" s="7" t="s">
        <v>42</v>
      </c>
      <c r="B1" s="8"/>
      <c r="C1" s="7"/>
      <c r="D1" s="7"/>
      <c r="E1" s="7"/>
      <c r="F1" s="8"/>
      <c r="G1" s="7"/>
    </row>
    <row r="2" spans="1:7" x14ac:dyDescent="0.3">
      <c r="A2" s="1" t="s">
        <v>0</v>
      </c>
      <c r="B2" s="2" t="s">
        <v>1</v>
      </c>
      <c r="C2" s="1" t="s">
        <v>2</v>
      </c>
      <c r="D2" s="1" t="s">
        <v>3</v>
      </c>
      <c r="E2" s="1" t="s">
        <v>4</v>
      </c>
      <c r="F2" s="2" t="s">
        <v>5</v>
      </c>
      <c r="G2" s="1" t="s">
        <v>6</v>
      </c>
    </row>
    <row r="3" spans="1:7" x14ac:dyDescent="0.3">
      <c r="A3" s="1">
        <v>1</v>
      </c>
      <c r="B3" s="2">
        <v>0</v>
      </c>
      <c r="C3" s="1">
        <v>0</v>
      </c>
      <c r="D3" s="1">
        <v>0</v>
      </c>
      <c r="E3" s="1">
        <v>0</v>
      </c>
      <c r="F3" s="2">
        <v>0</v>
      </c>
      <c r="G3" s="1">
        <v>0</v>
      </c>
    </row>
    <row r="4" spans="1:7" x14ac:dyDescent="0.3">
      <c r="A4" s="1">
        <v>2</v>
      </c>
      <c r="B4" s="2">
        <v>0</v>
      </c>
      <c r="C4" s="1">
        <v>0</v>
      </c>
      <c r="D4" s="1">
        <v>0</v>
      </c>
      <c r="E4" s="1">
        <v>0</v>
      </c>
      <c r="F4" s="2">
        <v>0</v>
      </c>
      <c r="G4" s="1">
        <v>0</v>
      </c>
    </row>
    <row r="5" spans="1:7" x14ac:dyDescent="0.3">
      <c r="A5" s="1">
        <v>3</v>
      </c>
      <c r="B5" s="2">
        <v>0</v>
      </c>
      <c r="C5" s="1">
        <v>0</v>
      </c>
      <c r="D5" s="1">
        <v>0</v>
      </c>
      <c r="E5" s="1">
        <v>0</v>
      </c>
      <c r="F5" s="2">
        <v>0</v>
      </c>
      <c r="G5" s="1">
        <v>0</v>
      </c>
    </row>
    <row r="6" spans="1:7" x14ac:dyDescent="0.3">
      <c r="A6" s="1" t="s">
        <v>37</v>
      </c>
      <c r="B6" s="2">
        <f t="shared" ref="B6:G6" si="0">SUBTOTAL(109,B3:B5)</f>
        <v>0</v>
      </c>
      <c r="C6" s="1">
        <f t="shared" si="0"/>
        <v>0</v>
      </c>
      <c r="D6" s="1">
        <f t="shared" si="0"/>
        <v>0</v>
      </c>
      <c r="E6" s="1">
        <f t="shared" si="0"/>
        <v>0</v>
      </c>
      <c r="F6" s="2">
        <f t="shared" si="0"/>
        <v>0</v>
      </c>
      <c r="G6" s="1">
        <f t="shared" si="0"/>
        <v>0</v>
      </c>
    </row>
    <row r="7" spans="1:7" x14ac:dyDescent="0.3">
      <c r="A7" s="1" t="s">
        <v>38</v>
      </c>
      <c r="B7" s="5">
        <v>0</v>
      </c>
      <c r="C7" s="13">
        <v>0</v>
      </c>
      <c r="D7" s="6">
        <v>0</v>
      </c>
      <c r="E7" s="1"/>
      <c r="F7" s="2"/>
      <c r="G7"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
  <sheetViews>
    <sheetView workbookViewId="0">
      <selection activeCell="A2" sqref="A2:G5"/>
    </sheetView>
  </sheetViews>
  <sheetFormatPr defaultColWidth="8.88671875" defaultRowHeight="14.4" x14ac:dyDescent="0.3"/>
  <cols>
    <col min="1" max="1" width="14.88671875" style="9" bestFit="1" customWidth="1"/>
    <col min="2" max="2" width="14.44140625" style="10" bestFit="1" customWidth="1"/>
    <col min="3" max="3" width="12" style="9" bestFit="1" customWidth="1"/>
    <col min="4" max="4" width="13.6640625" style="9" bestFit="1" customWidth="1"/>
    <col min="5" max="5" width="16.33203125" style="9" bestFit="1" customWidth="1"/>
    <col min="6" max="6" width="11" style="10" bestFit="1" customWidth="1"/>
    <col min="7" max="7" width="6.6640625" style="9" bestFit="1" customWidth="1"/>
    <col min="8" max="16384" width="8.88671875" style="9"/>
  </cols>
  <sheetData>
    <row r="1" spans="1:7" ht="57.6" x14ac:dyDescent="0.3">
      <c r="A1" s="7" t="s">
        <v>43</v>
      </c>
      <c r="B1" s="8"/>
      <c r="C1" s="7"/>
      <c r="D1" s="7"/>
      <c r="E1" s="7"/>
      <c r="F1" s="8"/>
      <c r="G1" s="7"/>
    </row>
    <row r="2" spans="1:7" x14ac:dyDescent="0.3">
      <c r="A2" s="1" t="s">
        <v>0</v>
      </c>
      <c r="B2" s="2" t="s">
        <v>1</v>
      </c>
      <c r="C2" s="1" t="s">
        <v>2</v>
      </c>
      <c r="D2" s="1" t="s">
        <v>3</v>
      </c>
      <c r="E2" s="1" t="s">
        <v>4</v>
      </c>
      <c r="F2" s="2" t="s">
        <v>5</v>
      </c>
      <c r="G2" s="1" t="s">
        <v>6</v>
      </c>
    </row>
    <row r="3" spans="1:7" x14ac:dyDescent="0.3">
      <c r="A3" s="1">
        <v>1</v>
      </c>
      <c r="B3" s="2">
        <v>0</v>
      </c>
      <c r="C3" s="1">
        <v>0</v>
      </c>
      <c r="D3" s="1">
        <v>0</v>
      </c>
      <c r="E3" s="1">
        <v>0</v>
      </c>
      <c r="F3" s="2">
        <v>0</v>
      </c>
      <c r="G3" s="1">
        <v>0</v>
      </c>
    </row>
    <row r="4" spans="1:7" x14ac:dyDescent="0.3">
      <c r="A4" s="1">
        <v>2</v>
      </c>
      <c r="B4" s="2">
        <v>0</v>
      </c>
      <c r="C4" s="1">
        <v>0</v>
      </c>
      <c r="D4" s="1">
        <v>0</v>
      </c>
      <c r="E4" s="1">
        <v>0</v>
      </c>
      <c r="F4" s="2">
        <v>0</v>
      </c>
      <c r="G4" s="1">
        <v>0</v>
      </c>
    </row>
    <row r="5" spans="1:7" x14ac:dyDescent="0.3">
      <c r="A5" s="1">
        <v>3</v>
      </c>
      <c r="B5" s="2">
        <v>0</v>
      </c>
      <c r="C5" s="1">
        <v>0</v>
      </c>
      <c r="D5" s="1">
        <v>0</v>
      </c>
      <c r="E5" s="1">
        <v>0</v>
      </c>
      <c r="F5" s="2">
        <v>0</v>
      </c>
      <c r="G5" s="1">
        <v>0</v>
      </c>
    </row>
    <row r="6" spans="1:7" x14ac:dyDescent="0.3">
      <c r="A6" s="1" t="s">
        <v>37</v>
      </c>
      <c r="B6" s="2">
        <f t="shared" ref="B6:G6" si="0">SUBTOTAL(109,B3:B5)</f>
        <v>0</v>
      </c>
      <c r="C6" s="1">
        <f t="shared" si="0"/>
        <v>0</v>
      </c>
      <c r="D6" s="1">
        <f t="shared" si="0"/>
        <v>0</v>
      </c>
      <c r="E6" s="1">
        <f t="shared" si="0"/>
        <v>0</v>
      </c>
      <c r="F6" s="2">
        <f t="shared" si="0"/>
        <v>0</v>
      </c>
      <c r="G6" s="1">
        <f t="shared" si="0"/>
        <v>0</v>
      </c>
    </row>
    <row r="7" spans="1:7" x14ac:dyDescent="0.3">
      <c r="A7" s="1" t="s">
        <v>40</v>
      </c>
      <c r="B7" s="5">
        <v>0</v>
      </c>
      <c r="C7" s="13">
        <v>0</v>
      </c>
      <c r="D7" s="6">
        <v>0</v>
      </c>
      <c r="E7" s="1"/>
      <c r="F7" s="2"/>
      <c r="G7" s="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
  <sheetViews>
    <sheetView workbookViewId="0">
      <selection activeCell="A2" sqref="A2:G5"/>
    </sheetView>
  </sheetViews>
  <sheetFormatPr defaultColWidth="8.88671875" defaultRowHeight="14.4" x14ac:dyDescent="0.3"/>
  <cols>
    <col min="1" max="1" width="18.109375" style="9" bestFit="1" customWidth="1"/>
    <col min="2" max="2" width="16.44140625" style="10" bestFit="1" customWidth="1"/>
    <col min="3" max="3" width="12" style="9" bestFit="1" customWidth="1"/>
    <col min="4" max="4" width="13.6640625" style="9" bestFit="1" customWidth="1"/>
    <col min="5" max="5" width="16.33203125" style="9" bestFit="1" customWidth="1"/>
    <col min="6" max="6" width="11" style="10" bestFit="1" customWidth="1"/>
    <col min="7" max="7" width="6.6640625" style="9" bestFit="1" customWidth="1"/>
    <col min="8" max="16384" width="8.88671875" style="9"/>
  </cols>
  <sheetData>
    <row r="1" spans="1:7" ht="43.2" x14ac:dyDescent="0.3">
      <c r="A1" s="7" t="s">
        <v>44</v>
      </c>
      <c r="B1" s="8"/>
      <c r="C1" s="7"/>
      <c r="D1" s="7"/>
      <c r="E1" s="7"/>
      <c r="F1" s="8"/>
      <c r="G1" s="7"/>
    </row>
    <row r="2" spans="1:7" x14ac:dyDescent="0.3">
      <c r="A2" s="1" t="s">
        <v>0</v>
      </c>
      <c r="B2" s="2" t="s">
        <v>1</v>
      </c>
      <c r="C2" s="1" t="s">
        <v>2</v>
      </c>
      <c r="D2" s="1" t="s">
        <v>3</v>
      </c>
      <c r="E2" s="1" t="s">
        <v>4</v>
      </c>
      <c r="F2" s="2" t="s">
        <v>5</v>
      </c>
      <c r="G2" s="1" t="s">
        <v>6</v>
      </c>
    </row>
    <row r="3" spans="1:7" x14ac:dyDescent="0.3">
      <c r="A3" s="1">
        <v>1</v>
      </c>
      <c r="B3" s="2">
        <v>11</v>
      </c>
      <c r="C3" s="1">
        <v>0</v>
      </c>
      <c r="D3" s="1">
        <v>0</v>
      </c>
      <c r="E3" s="1">
        <v>4</v>
      </c>
      <c r="F3" s="2">
        <v>5141031</v>
      </c>
      <c r="G3" s="1">
        <v>0</v>
      </c>
    </row>
    <row r="4" spans="1:7" x14ac:dyDescent="0.3">
      <c r="A4" s="1">
        <v>2</v>
      </c>
      <c r="B4" s="2">
        <v>5</v>
      </c>
      <c r="C4" s="1">
        <v>0</v>
      </c>
      <c r="D4" s="1">
        <v>0</v>
      </c>
      <c r="E4" s="1">
        <v>2</v>
      </c>
      <c r="F4" s="2">
        <v>3444473</v>
      </c>
      <c r="G4" s="1">
        <v>0</v>
      </c>
    </row>
    <row r="5" spans="1:7" x14ac:dyDescent="0.3">
      <c r="A5" s="1">
        <v>3</v>
      </c>
      <c r="B5" s="2">
        <v>1</v>
      </c>
      <c r="C5" s="1">
        <v>0</v>
      </c>
      <c r="D5" s="1">
        <v>0</v>
      </c>
      <c r="E5" s="1">
        <v>1</v>
      </c>
      <c r="F5" s="2">
        <v>288816</v>
      </c>
      <c r="G5" s="1">
        <v>0</v>
      </c>
    </row>
    <row r="6" spans="1:7" x14ac:dyDescent="0.3">
      <c r="A6" s="1" t="s">
        <v>37</v>
      </c>
      <c r="B6" s="2">
        <f t="shared" ref="B6:G6" si="0">SUBTOTAL(109,B3:B5)</f>
        <v>17</v>
      </c>
      <c r="C6" s="1">
        <f t="shared" si="0"/>
        <v>0</v>
      </c>
      <c r="D6" s="1">
        <f t="shared" si="0"/>
        <v>0</v>
      </c>
      <c r="E6" s="1">
        <f t="shared" si="0"/>
        <v>7</v>
      </c>
      <c r="F6" s="2">
        <f t="shared" si="0"/>
        <v>8874320</v>
      </c>
      <c r="G6" s="1">
        <f t="shared" si="0"/>
        <v>0</v>
      </c>
    </row>
    <row r="7" spans="1:7" x14ac:dyDescent="0.3">
      <c r="A7" s="1" t="s">
        <v>38</v>
      </c>
      <c r="B7" s="5">
        <f>Underserved_Area_Table[[#Totals],[Approved]]/(Underserved_Area_Table[[#Totals],[Approved]]+Underserved_Area_Table[[#Totals],[Denied]]+Underserved_Area_Table[[#Totals],[Deferred]])</f>
        <v>1</v>
      </c>
      <c r="C7" s="13">
        <f>Underserved_Area_Table[[#Totals],[Denied]]/(Underserved_Area_Table[[#Totals],[Approved]]+Underserved_Area_Table[[#Totals],[Denied]]+Underserved_Area_Table[[#Totals],[Deferred]])</f>
        <v>0</v>
      </c>
      <c r="D7" s="6">
        <f>Underserved_Area_Table[[#Totals],[Deferred]]/(Underserved_Area_Table[[#Totals],[Approved]]+Underserved_Area_Table[[#Totals],[Denied]]+Underserved_Area_Table[[#Totals],[Deferred]])</f>
        <v>0</v>
      </c>
      <c r="E7" s="1"/>
      <c r="F7" s="2"/>
      <c r="G7" s="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6"/>
  <sheetViews>
    <sheetView workbookViewId="0">
      <selection activeCell="A2" sqref="A2:E5"/>
    </sheetView>
  </sheetViews>
  <sheetFormatPr defaultColWidth="8.88671875" defaultRowHeight="14.4" x14ac:dyDescent="0.3"/>
  <cols>
    <col min="1" max="1" width="9" style="9" bestFit="1" customWidth="1"/>
    <col min="2" max="2" width="21.6640625" style="9" bestFit="1" customWidth="1"/>
    <col min="3" max="3" width="20" style="17" bestFit="1" customWidth="1"/>
    <col min="4" max="4" width="21.6640625" style="9" bestFit="1" customWidth="1"/>
    <col min="5" max="5" width="20" style="17" bestFit="1" customWidth="1"/>
    <col min="6" max="16384" width="8.88671875" style="9"/>
  </cols>
  <sheetData>
    <row r="1" spans="1:5" ht="28.8" x14ac:dyDescent="0.3">
      <c r="A1" s="7" t="s">
        <v>45</v>
      </c>
      <c r="B1" s="7"/>
      <c r="C1" s="16"/>
      <c r="D1" s="7"/>
      <c r="E1" s="16"/>
    </row>
    <row r="2" spans="1:5" x14ac:dyDescent="0.3">
      <c r="A2" s="1" t="s">
        <v>0</v>
      </c>
      <c r="B2" s="1" t="s">
        <v>7</v>
      </c>
      <c r="C2" s="3" t="s">
        <v>8</v>
      </c>
      <c r="D2" s="1" t="s">
        <v>9</v>
      </c>
      <c r="E2" s="3" t="s">
        <v>10</v>
      </c>
    </row>
    <row r="3" spans="1:5" x14ac:dyDescent="0.3">
      <c r="A3" s="1">
        <v>1</v>
      </c>
      <c r="B3" s="1">
        <v>0</v>
      </c>
      <c r="C3" s="3">
        <v>0</v>
      </c>
      <c r="D3" s="1">
        <v>0</v>
      </c>
      <c r="E3" s="3">
        <v>0</v>
      </c>
    </row>
    <row r="4" spans="1:5" x14ac:dyDescent="0.3">
      <c r="A4" s="1">
        <v>2</v>
      </c>
      <c r="B4" s="1">
        <v>0</v>
      </c>
      <c r="C4" s="3">
        <v>0</v>
      </c>
      <c r="D4" s="1">
        <v>0</v>
      </c>
      <c r="E4" s="3">
        <v>0</v>
      </c>
    </row>
    <row r="5" spans="1:5" x14ac:dyDescent="0.3">
      <c r="A5" s="1">
        <v>3</v>
      </c>
      <c r="B5" s="1">
        <v>3</v>
      </c>
      <c r="C5" s="3">
        <v>11344482459</v>
      </c>
      <c r="D5" s="1">
        <v>1</v>
      </c>
      <c r="E5" s="3">
        <v>26319391</v>
      </c>
    </row>
    <row r="6" spans="1:5" x14ac:dyDescent="0.3">
      <c r="A6" s="1" t="s">
        <v>37</v>
      </c>
      <c r="B6" s="1">
        <f t="shared" ref="B6:E6" si="0">SUBTOTAL(109,B3:B5)</f>
        <v>3</v>
      </c>
      <c r="C6" s="3">
        <f t="shared" si="0"/>
        <v>11344482459</v>
      </c>
      <c r="D6" s="1">
        <f t="shared" si="0"/>
        <v>1</v>
      </c>
      <c r="E6" s="3">
        <f t="shared" si="0"/>
        <v>26319391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6"/>
  <sheetViews>
    <sheetView workbookViewId="0">
      <selection activeCell="E13" sqref="E13"/>
    </sheetView>
  </sheetViews>
  <sheetFormatPr defaultColWidth="8.88671875" defaultRowHeight="14.4" x14ac:dyDescent="0.3"/>
  <cols>
    <col min="1" max="1" width="9" style="9" bestFit="1" customWidth="1"/>
    <col min="2" max="2" width="22" style="9" bestFit="1" customWidth="1"/>
    <col min="3" max="3" width="23.6640625" style="9" bestFit="1" customWidth="1"/>
    <col min="4" max="4" width="23.33203125" style="9" bestFit="1" customWidth="1"/>
    <col min="5" max="5" width="24.88671875" style="9" bestFit="1" customWidth="1"/>
    <col min="6" max="16384" width="8.88671875" style="9"/>
  </cols>
  <sheetData>
    <row r="1" spans="1:5" ht="28.8" x14ac:dyDescent="0.3">
      <c r="A1" s="7" t="s">
        <v>46</v>
      </c>
      <c r="B1" s="7"/>
      <c r="C1" s="7"/>
      <c r="D1" s="7"/>
      <c r="E1" s="7"/>
    </row>
    <row r="2" spans="1:5" x14ac:dyDescent="0.3">
      <c r="A2" s="1" t="s">
        <v>0</v>
      </c>
      <c r="B2" s="1" t="s">
        <v>11</v>
      </c>
      <c r="C2" s="1" t="s">
        <v>12</v>
      </c>
      <c r="D2" s="1" t="s">
        <v>13</v>
      </c>
      <c r="E2" s="1" t="s">
        <v>14</v>
      </c>
    </row>
    <row r="3" spans="1:5" x14ac:dyDescent="0.3">
      <c r="A3" s="1">
        <v>1</v>
      </c>
      <c r="B3" s="1">
        <v>0</v>
      </c>
      <c r="C3" s="1">
        <v>0</v>
      </c>
      <c r="D3" s="1">
        <v>0</v>
      </c>
      <c r="E3" s="1">
        <v>0</v>
      </c>
    </row>
    <row r="4" spans="1:5" x14ac:dyDescent="0.3">
      <c r="A4" s="1">
        <v>2</v>
      </c>
      <c r="B4" s="1">
        <v>0</v>
      </c>
      <c r="C4" s="1">
        <v>0</v>
      </c>
      <c r="D4" s="1">
        <v>0</v>
      </c>
      <c r="E4" s="1">
        <v>0</v>
      </c>
    </row>
    <row r="5" spans="1:5" x14ac:dyDescent="0.3">
      <c r="A5" s="1">
        <v>3</v>
      </c>
      <c r="B5" s="1">
        <v>0</v>
      </c>
      <c r="C5" s="1">
        <v>0</v>
      </c>
      <c r="D5" s="1">
        <v>0</v>
      </c>
      <c r="E5" s="1">
        <v>0</v>
      </c>
    </row>
    <row r="6" spans="1:5" x14ac:dyDescent="0.3">
      <c r="A6" s="1" t="s">
        <v>37</v>
      </c>
      <c r="B6" s="1">
        <f t="shared" ref="B6:E6" si="0">SUBTOTAL(109,B3:B5)</f>
        <v>0</v>
      </c>
      <c r="C6" s="1">
        <f t="shared" si="0"/>
        <v>0</v>
      </c>
      <c r="D6" s="1">
        <f t="shared" si="0"/>
        <v>0</v>
      </c>
      <c r="E6" s="1">
        <f t="shared" si="0"/>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6"/>
  <sheetViews>
    <sheetView workbookViewId="0">
      <selection activeCell="F14" sqref="F14"/>
    </sheetView>
  </sheetViews>
  <sheetFormatPr defaultColWidth="8.88671875" defaultRowHeight="14.4" x14ac:dyDescent="0.3"/>
  <cols>
    <col min="1" max="1" width="9" style="9" bestFit="1" customWidth="1"/>
    <col min="2" max="2" width="22" style="9" bestFit="1" customWidth="1"/>
    <col min="3" max="3" width="20.33203125" style="19" bestFit="1" customWidth="1"/>
    <col min="4" max="4" width="23.33203125" style="9" bestFit="1" customWidth="1"/>
    <col min="5" max="5" width="21.5546875" style="19" bestFit="1" customWidth="1"/>
    <col min="6" max="6" width="23.6640625" style="9" bestFit="1" customWidth="1"/>
    <col min="7" max="7" width="21.88671875" style="19" bestFit="1" customWidth="1"/>
    <col min="8" max="8" width="24.88671875" style="9" bestFit="1" customWidth="1"/>
    <col min="9" max="9" width="23.109375" style="19" bestFit="1" customWidth="1"/>
    <col min="10" max="16384" width="8.88671875" style="9"/>
  </cols>
  <sheetData>
    <row r="1" spans="1:9" ht="28.8" x14ac:dyDescent="0.3">
      <c r="A1" s="7" t="s">
        <v>47</v>
      </c>
      <c r="B1" s="7"/>
      <c r="C1" s="18"/>
      <c r="D1" s="7"/>
      <c r="E1" s="18"/>
      <c r="F1" s="7"/>
      <c r="G1" s="18"/>
      <c r="H1" s="7"/>
      <c r="I1" s="18"/>
    </row>
    <row r="2" spans="1:9" x14ac:dyDescent="0.3">
      <c r="A2" s="1" t="s">
        <v>0</v>
      </c>
      <c r="B2" s="1" t="s">
        <v>15</v>
      </c>
      <c r="C2" s="4" t="s">
        <v>16</v>
      </c>
      <c r="D2" s="1" t="s">
        <v>17</v>
      </c>
      <c r="E2" s="4" t="s">
        <v>18</v>
      </c>
      <c r="F2" s="1" t="s">
        <v>19</v>
      </c>
      <c r="G2" s="4" t="s">
        <v>20</v>
      </c>
      <c r="H2" s="1" t="s">
        <v>21</v>
      </c>
      <c r="I2" s="4" t="s">
        <v>22</v>
      </c>
    </row>
    <row r="3" spans="1:9" x14ac:dyDescent="0.3">
      <c r="A3" s="1">
        <v>1</v>
      </c>
      <c r="B3" s="1">
        <v>0</v>
      </c>
      <c r="C3" s="4">
        <v>0</v>
      </c>
      <c r="D3" s="1">
        <v>0</v>
      </c>
      <c r="E3" s="4">
        <v>0</v>
      </c>
      <c r="F3" s="1">
        <v>0</v>
      </c>
      <c r="G3" s="4">
        <v>0</v>
      </c>
      <c r="H3" s="1">
        <v>0</v>
      </c>
      <c r="I3" s="4">
        <v>0</v>
      </c>
    </row>
    <row r="4" spans="1:9" x14ac:dyDescent="0.3">
      <c r="A4" s="1">
        <v>2</v>
      </c>
      <c r="B4" s="1">
        <v>0</v>
      </c>
      <c r="C4" s="4">
        <v>0</v>
      </c>
      <c r="D4" s="1">
        <v>0</v>
      </c>
      <c r="E4" s="4">
        <v>0</v>
      </c>
      <c r="F4" s="1">
        <v>0</v>
      </c>
      <c r="G4" s="4">
        <v>0</v>
      </c>
      <c r="H4" s="1">
        <v>0</v>
      </c>
      <c r="I4" s="4">
        <v>0</v>
      </c>
    </row>
    <row r="5" spans="1:9" x14ac:dyDescent="0.3">
      <c r="A5" s="1">
        <v>3</v>
      </c>
      <c r="B5" s="1">
        <v>0</v>
      </c>
      <c r="C5" s="4">
        <v>0</v>
      </c>
      <c r="D5" s="1">
        <v>0</v>
      </c>
      <c r="E5" s="4">
        <v>0</v>
      </c>
      <c r="F5" s="1">
        <v>0</v>
      </c>
      <c r="G5" s="4">
        <v>0</v>
      </c>
      <c r="H5" s="1">
        <v>0</v>
      </c>
      <c r="I5" s="4">
        <v>0</v>
      </c>
    </row>
    <row r="6" spans="1:9" x14ac:dyDescent="0.3">
      <c r="A6" s="1" t="s">
        <v>37</v>
      </c>
      <c r="B6" s="1">
        <f t="shared" ref="B6:I6" si="0">SUBTOTAL(109,B3:B5)</f>
        <v>0</v>
      </c>
      <c r="C6" s="4">
        <f t="shared" si="0"/>
        <v>0</v>
      </c>
      <c r="D6" s="1">
        <f t="shared" si="0"/>
        <v>0</v>
      </c>
      <c r="E6" s="4">
        <f t="shared" si="0"/>
        <v>0</v>
      </c>
      <c r="F6" s="1">
        <f t="shared" si="0"/>
        <v>0</v>
      </c>
      <c r="G6" s="4">
        <f t="shared" si="0"/>
        <v>0</v>
      </c>
      <c r="H6" s="1">
        <f t="shared" si="0"/>
        <v>0</v>
      </c>
      <c r="I6" s="4">
        <f t="shared" si="0"/>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6"/>
  <sheetViews>
    <sheetView workbookViewId="0">
      <selection activeCell="F11" sqref="F11"/>
    </sheetView>
  </sheetViews>
  <sheetFormatPr defaultColWidth="8.88671875" defaultRowHeight="14.4" x14ac:dyDescent="0.3"/>
  <cols>
    <col min="1" max="1" width="9" style="9" bestFit="1" customWidth="1"/>
    <col min="2" max="2" width="20.44140625" style="9" bestFit="1" customWidth="1"/>
    <col min="3" max="3" width="22.88671875" style="9" bestFit="1" customWidth="1"/>
    <col min="4" max="4" width="23.33203125" style="10" bestFit="1" customWidth="1"/>
    <col min="5" max="5" width="22" style="9" bestFit="1" customWidth="1"/>
    <col min="6" max="6" width="24.5546875" style="9" bestFit="1" customWidth="1"/>
    <col min="7" max="7" width="24.88671875" style="10" bestFit="1" customWidth="1"/>
    <col min="8" max="16384" width="8.88671875" style="9"/>
  </cols>
  <sheetData>
    <row r="1" spans="1:7" ht="28.8" x14ac:dyDescent="0.3">
      <c r="A1" s="7" t="s">
        <v>48</v>
      </c>
      <c r="B1" s="7"/>
      <c r="C1" s="7"/>
      <c r="D1" s="8"/>
      <c r="E1" s="7"/>
      <c r="F1" s="7"/>
      <c r="G1" s="8"/>
    </row>
    <row r="2" spans="1:7" x14ac:dyDescent="0.3">
      <c r="A2" s="1" t="s">
        <v>0</v>
      </c>
      <c r="B2" s="1" t="s">
        <v>23</v>
      </c>
      <c r="C2" s="1" t="s">
        <v>24</v>
      </c>
      <c r="D2" s="2" t="s">
        <v>25</v>
      </c>
      <c r="E2" s="1" t="s">
        <v>26</v>
      </c>
      <c r="F2" s="1" t="s">
        <v>27</v>
      </c>
      <c r="G2" s="2" t="s">
        <v>28</v>
      </c>
    </row>
    <row r="3" spans="1:7" x14ac:dyDescent="0.3">
      <c r="A3" s="1">
        <v>1</v>
      </c>
      <c r="B3" s="1">
        <v>0</v>
      </c>
      <c r="C3" s="1">
        <v>0</v>
      </c>
      <c r="D3" s="2">
        <v>0</v>
      </c>
      <c r="E3" s="1">
        <v>0</v>
      </c>
      <c r="F3" s="1">
        <v>0</v>
      </c>
      <c r="G3" s="2">
        <v>0</v>
      </c>
    </row>
    <row r="4" spans="1:7" x14ac:dyDescent="0.3">
      <c r="A4" s="1">
        <v>2</v>
      </c>
      <c r="B4" s="1">
        <v>0</v>
      </c>
      <c r="C4" s="1">
        <v>0</v>
      </c>
      <c r="D4" s="2">
        <v>0</v>
      </c>
      <c r="E4" s="1">
        <v>0</v>
      </c>
      <c r="F4" s="1">
        <v>0</v>
      </c>
      <c r="G4" s="2">
        <v>0</v>
      </c>
    </row>
    <row r="5" spans="1:7" x14ac:dyDescent="0.3">
      <c r="A5" s="1">
        <v>3</v>
      </c>
      <c r="B5" s="1">
        <v>0</v>
      </c>
      <c r="C5" s="1">
        <v>1</v>
      </c>
      <c r="D5" s="2">
        <v>309472</v>
      </c>
      <c r="E5" s="1">
        <v>0</v>
      </c>
      <c r="F5" s="1">
        <v>0</v>
      </c>
      <c r="G5" s="2">
        <v>0</v>
      </c>
    </row>
    <row r="6" spans="1:7" x14ac:dyDescent="0.3">
      <c r="A6" s="1" t="s">
        <v>37</v>
      </c>
      <c r="B6" s="1">
        <f t="shared" ref="B6:G6" si="0">SUBTOTAL(109,B3:B5)</f>
        <v>0</v>
      </c>
      <c r="C6" s="1">
        <f t="shared" si="0"/>
        <v>1</v>
      </c>
      <c r="D6" s="2">
        <f t="shared" si="0"/>
        <v>309472</v>
      </c>
      <c r="E6" s="1">
        <f t="shared" si="0"/>
        <v>0</v>
      </c>
      <c r="F6" s="1">
        <f t="shared" si="0"/>
        <v>0</v>
      </c>
      <c r="G6" s="2">
        <f t="shared" si="0"/>
        <v>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6"/>
  <sheetViews>
    <sheetView workbookViewId="0">
      <selection activeCell="D14" sqref="D14"/>
    </sheetView>
  </sheetViews>
  <sheetFormatPr defaultColWidth="8.88671875" defaultRowHeight="14.4" x14ac:dyDescent="0.3"/>
  <cols>
    <col min="1" max="1" width="9" style="9" bestFit="1" customWidth="1"/>
    <col min="2" max="2" width="11.5546875" style="9" bestFit="1" customWidth="1"/>
    <col min="3" max="3" width="9.109375" style="9" bestFit="1" customWidth="1"/>
    <col min="4" max="4" width="10.5546875" style="9" bestFit="1" customWidth="1"/>
    <col min="5" max="5" width="16.33203125" style="9" bestFit="1" customWidth="1"/>
    <col min="6" max="16384" width="8.88671875" style="9"/>
  </cols>
  <sheetData>
    <row r="1" spans="1:5" ht="43.2" x14ac:dyDescent="0.3">
      <c r="A1" s="7" t="s">
        <v>49</v>
      </c>
      <c r="B1" s="7"/>
      <c r="C1" s="7"/>
      <c r="D1" s="7"/>
      <c r="E1" s="7"/>
    </row>
    <row r="2" spans="1:5" x14ac:dyDescent="0.3">
      <c r="A2" s="1" t="s">
        <v>0</v>
      </c>
      <c r="B2" s="1" t="s">
        <v>1</v>
      </c>
      <c r="C2" s="1" t="s">
        <v>2</v>
      </c>
      <c r="D2" s="1" t="s">
        <v>3</v>
      </c>
      <c r="E2" s="1" t="s">
        <v>4</v>
      </c>
    </row>
    <row r="3" spans="1:5" x14ac:dyDescent="0.3">
      <c r="A3" s="1">
        <v>1</v>
      </c>
      <c r="B3" s="1">
        <v>591</v>
      </c>
      <c r="C3" s="1">
        <v>0</v>
      </c>
      <c r="D3" s="1">
        <v>0</v>
      </c>
      <c r="E3" s="1">
        <v>11</v>
      </c>
    </row>
    <row r="4" spans="1:5" x14ac:dyDescent="0.3">
      <c r="A4" s="1">
        <v>2</v>
      </c>
      <c r="B4" s="1">
        <v>46</v>
      </c>
      <c r="C4" s="1">
        <v>0</v>
      </c>
      <c r="D4" s="1">
        <v>0</v>
      </c>
      <c r="E4" s="1">
        <v>4</v>
      </c>
    </row>
    <row r="5" spans="1:5" x14ac:dyDescent="0.3">
      <c r="A5" s="1">
        <v>3</v>
      </c>
      <c r="B5" s="1">
        <v>4</v>
      </c>
      <c r="C5" s="1">
        <v>0</v>
      </c>
      <c r="D5" s="1">
        <v>0</v>
      </c>
      <c r="E5" s="1">
        <v>3</v>
      </c>
    </row>
    <row r="6" spans="1:5" x14ac:dyDescent="0.3">
      <c r="A6" s="1" t="s">
        <v>37</v>
      </c>
      <c r="B6" s="1">
        <f t="shared" ref="B6:E6" si="0">SUBTOTAL(109,B3:B5)</f>
        <v>641</v>
      </c>
      <c r="C6" s="1">
        <f t="shared" si="0"/>
        <v>0</v>
      </c>
      <c r="D6" s="1">
        <f t="shared" si="0"/>
        <v>0</v>
      </c>
      <c r="E6" s="1">
        <f t="shared" si="0"/>
        <v>18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6"/>
  <sheetViews>
    <sheetView workbookViewId="0">
      <selection activeCell="H11" sqref="H11"/>
    </sheetView>
  </sheetViews>
  <sheetFormatPr defaultColWidth="8.88671875" defaultRowHeight="14.4" x14ac:dyDescent="0.3"/>
  <cols>
    <col min="1" max="1" width="9" style="9" bestFit="1" customWidth="1"/>
    <col min="2" max="2" width="11.5546875" style="9" bestFit="1" customWidth="1"/>
    <col min="3" max="3" width="9.109375" style="9" bestFit="1" customWidth="1"/>
    <col min="4" max="4" width="10.5546875" style="9" bestFit="1" customWidth="1"/>
    <col min="5" max="5" width="6.6640625" style="9" bestFit="1" customWidth="1"/>
    <col min="6" max="16384" width="8.88671875" style="9"/>
  </cols>
  <sheetData>
    <row r="1" spans="1:5" ht="57.6" x14ac:dyDescent="0.3">
      <c r="A1" s="7" t="s">
        <v>50</v>
      </c>
      <c r="B1" s="7"/>
      <c r="C1" s="7"/>
      <c r="D1" s="7"/>
      <c r="E1" s="7"/>
    </row>
    <row r="2" spans="1:5" x14ac:dyDescent="0.3">
      <c r="A2" s="1" t="s">
        <v>0</v>
      </c>
      <c r="B2" s="1" t="s">
        <v>1</v>
      </c>
      <c r="C2" s="1" t="s">
        <v>2</v>
      </c>
      <c r="D2" s="1" t="s">
        <v>3</v>
      </c>
      <c r="E2" s="1" t="s">
        <v>6</v>
      </c>
    </row>
    <row r="3" spans="1:5" x14ac:dyDescent="0.3">
      <c r="A3" s="1">
        <v>1</v>
      </c>
      <c r="B3" s="1">
        <v>0</v>
      </c>
      <c r="C3" s="1">
        <v>0</v>
      </c>
      <c r="D3" s="1">
        <v>0</v>
      </c>
      <c r="E3" s="1">
        <v>0</v>
      </c>
    </row>
    <row r="4" spans="1:5" x14ac:dyDescent="0.3">
      <c r="A4" s="1">
        <v>2</v>
      </c>
      <c r="B4" s="1">
        <v>0</v>
      </c>
      <c r="C4" s="1">
        <v>0</v>
      </c>
      <c r="D4" s="1">
        <v>0</v>
      </c>
      <c r="E4" s="1">
        <v>0</v>
      </c>
    </row>
    <row r="5" spans="1:5" x14ac:dyDescent="0.3">
      <c r="A5" s="1">
        <v>3</v>
      </c>
      <c r="B5" s="1">
        <v>0</v>
      </c>
      <c r="C5" s="1">
        <v>0</v>
      </c>
      <c r="D5" s="1">
        <v>0</v>
      </c>
      <c r="E5" s="1">
        <v>0</v>
      </c>
    </row>
    <row r="6" spans="1:5" x14ac:dyDescent="0.3">
      <c r="A6" s="1" t="s">
        <v>37</v>
      </c>
      <c r="B6" s="1">
        <f t="shared" ref="B6:E6" si="0">SUBTOTAL(109,B3:B5)</f>
        <v>0</v>
      </c>
      <c r="C6" s="1">
        <f t="shared" si="0"/>
        <v>0</v>
      </c>
      <c r="D6" s="1">
        <f t="shared" si="0"/>
        <v>0</v>
      </c>
      <c r="E6" s="1">
        <f t="shared" si="0"/>
        <v>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6"/>
  <sheetViews>
    <sheetView topLeftCell="E1" workbookViewId="0">
      <selection activeCell="L19" sqref="L19"/>
    </sheetView>
  </sheetViews>
  <sheetFormatPr defaultColWidth="8.88671875" defaultRowHeight="14.4" x14ac:dyDescent="0.3"/>
  <cols>
    <col min="1" max="1" width="9" style="9" bestFit="1" customWidth="1"/>
    <col min="2" max="2" width="14.109375" style="9" bestFit="1" customWidth="1"/>
    <col min="3" max="3" width="15.6640625" style="9" bestFit="1" customWidth="1"/>
    <col min="4" max="4" width="16.109375" style="9" bestFit="1" customWidth="1"/>
    <col min="5" max="5" width="15.6640625" style="9" bestFit="1" customWidth="1"/>
    <col min="6" max="6" width="17.33203125" style="9" bestFit="1" customWidth="1"/>
    <col min="7" max="7" width="17.6640625" style="9" bestFit="1" customWidth="1"/>
    <col min="8" max="8" width="16.109375" style="9" bestFit="1" customWidth="1"/>
    <col min="9" max="9" width="17.6640625" style="9" bestFit="1" customWidth="1"/>
    <col min="10" max="10" width="7.44140625" style="9" bestFit="1" customWidth="1"/>
    <col min="11" max="16384" width="8.88671875" style="9"/>
  </cols>
  <sheetData>
    <row r="1" spans="1:10" ht="28.8" x14ac:dyDescent="0.3">
      <c r="A1" s="7" t="s">
        <v>51</v>
      </c>
      <c r="B1" s="7"/>
      <c r="C1" s="7"/>
      <c r="D1" s="7"/>
      <c r="E1" s="7"/>
      <c r="F1" s="7"/>
      <c r="G1" s="7"/>
      <c r="H1" s="7"/>
      <c r="I1" s="7"/>
      <c r="J1" s="7"/>
    </row>
    <row r="2" spans="1:10" x14ac:dyDescent="0.3">
      <c r="A2" s="1" t="s">
        <v>0</v>
      </c>
      <c r="B2" s="1" t="s">
        <v>29</v>
      </c>
      <c r="C2" s="1" t="s">
        <v>30</v>
      </c>
      <c r="D2" s="1" t="s">
        <v>31</v>
      </c>
      <c r="E2" s="1" t="s">
        <v>32</v>
      </c>
      <c r="F2" s="1" t="s">
        <v>33</v>
      </c>
      <c r="G2" s="1" t="s">
        <v>34</v>
      </c>
      <c r="H2" s="1" t="s">
        <v>35</v>
      </c>
      <c r="I2" s="1" t="s">
        <v>36</v>
      </c>
      <c r="J2" s="1" t="s">
        <v>37</v>
      </c>
    </row>
    <row r="3" spans="1:10" x14ac:dyDescent="0.3">
      <c r="A3" s="1">
        <v>1</v>
      </c>
      <c r="B3" s="1">
        <v>5</v>
      </c>
      <c r="C3" s="1">
        <v>4</v>
      </c>
      <c r="D3" s="1">
        <v>0</v>
      </c>
      <c r="E3" s="1">
        <v>4</v>
      </c>
      <c r="F3" s="1">
        <v>3</v>
      </c>
      <c r="G3" s="1">
        <v>0</v>
      </c>
      <c r="H3" s="1">
        <v>0</v>
      </c>
      <c r="I3" s="1">
        <v>0</v>
      </c>
      <c r="J3" s="1">
        <f t="shared" ref="J3" si="0">SUM(B3:I3)</f>
        <v>16</v>
      </c>
    </row>
    <row r="4" spans="1:10" x14ac:dyDescent="0.3">
      <c r="A4" s="1">
        <v>2</v>
      </c>
      <c r="B4" s="1">
        <v>7</v>
      </c>
      <c r="C4" s="1">
        <v>2</v>
      </c>
      <c r="D4" s="1">
        <v>0</v>
      </c>
      <c r="E4" s="1">
        <v>1</v>
      </c>
      <c r="F4" s="1">
        <v>2</v>
      </c>
      <c r="G4" s="1">
        <v>0</v>
      </c>
      <c r="H4" s="1">
        <v>0</v>
      </c>
      <c r="I4" s="1">
        <v>0</v>
      </c>
      <c r="J4" s="1">
        <f>SUM(B4:I4)</f>
        <v>12</v>
      </c>
    </row>
    <row r="5" spans="1:10" x14ac:dyDescent="0.3">
      <c r="A5" s="1">
        <v>3</v>
      </c>
      <c r="B5" s="1">
        <v>0</v>
      </c>
      <c r="C5" s="1">
        <v>1</v>
      </c>
      <c r="D5" s="1">
        <v>0</v>
      </c>
      <c r="E5" s="1">
        <v>2</v>
      </c>
      <c r="F5" s="1">
        <v>5</v>
      </c>
      <c r="G5" s="1">
        <v>0</v>
      </c>
      <c r="H5" s="1">
        <v>0</v>
      </c>
      <c r="I5" s="1">
        <v>0</v>
      </c>
      <c r="J5" s="1">
        <f>SUM(B5:I5)</f>
        <v>8</v>
      </c>
    </row>
    <row r="6" spans="1:10" x14ac:dyDescent="0.3">
      <c r="A6" s="1" t="s">
        <v>37</v>
      </c>
      <c r="B6" s="1">
        <f t="shared" ref="B6:I6" si="1">SUBTOTAL(109,B3:B5)</f>
        <v>12</v>
      </c>
      <c r="C6" s="1">
        <f t="shared" si="1"/>
        <v>7</v>
      </c>
      <c r="D6" s="1">
        <f t="shared" si="1"/>
        <v>0</v>
      </c>
      <c r="E6" s="1">
        <f t="shared" si="1"/>
        <v>7</v>
      </c>
      <c r="F6" s="1">
        <f t="shared" si="1"/>
        <v>10</v>
      </c>
      <c r="G6" s="1">
        <f t="shared" si="1"/>
        <v>0</v>
      </c>
      <c r="H6" s="1">
        <f t="shared" si="1"/>
        <v>0</v>
      </c>
      <c r="I6" s="1">
        <f t="shared" si="1"/>
        <v>0</v>
      </c>
      <c r="J6" s="1">
        <f>SUM(B6:I6)</f>
        <v>36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6"/>
  <sheetViews>
    <sheetView workbookViewId="0">
      <selection activeCell="G10" sqref="G10"/>
    </sheetView>
  </sheetViews>
  <sheetFormatPr defaultColWidth="8.88671875" defaultRowHeight="14.4" x14ac:dyDescent="0.3"/>
  <cols>
    <col min="1" max="1" width="9" style="9" bestFit="1" customWidth="1"/>
    <col min="2" max="2" width="14.109375" style="19" bestFit="1" customWidth="1"/>
    <col min="3" max="3" width="15.6640625" style="19" bestFit="1" customWidth="1"/>
    <col min="4" max="4" width="16.109375" style="19" bestFit="1" customWidth="1"/>
    <col min="5" max="5" width="15.6640625" style="19" bestFit="1" customWidth="1"/>
    <col min="6" max="6" width="17.33203125" style="19" bestFit="1" customWidth="1"/>
    <col min="7" max="7" width="17.6640625" style="19" bestFit="1" customWidth="1"/>
    <col min="8" max="8" width="16.109375" style="19" bestFit="1" customWidth="1"/>
    <col min="9" max="9" width="17.6640625" style="19" bestFit="1" customWidth="1"/>
    <col min="10" max="10" width="13.6640625" style="9" bestFit="1" customWidth="1"/>
    <col min="11" max="16384" width="8.88671875" style="9"/>
  </cols>
  <sheetData>
    <row r="1" spans="1:10" ht="28.8" x14ac:dyDescent="0.3">
      <c r="A1" s="7" t="s">
        <v>52</v>
      </c>
      <c r="B1" s="18"/>
      <c r="C1" s="18"/>
      <c r="D1" s="18"/>
      <c r="E1" s="18"/>
      <c r="F1" s="18"/>
      <c r="G1" s="18"/>
      <c r="H1" s="18"/>
      <c r="I1" s="18"/>
      <c r="J1" s="7"/>
    </row>
    <row r="2" spans="1:10" x14ac:dyDescent="0.3">
      <c r="A2" s="1" t="s">
        <v>0</v>
      </c>
      <c r="B2" s="4" t="s">
        <v>29</v>
      </c>
      <c r="C2" s="4" t="s">
        <v>30</v>
      </c>
      <c r="D2" s="4" t="s">
        <v>31</v>
      </c>
      <c r="E2" s="4" t="s">
        <v>32</v>
      </c>
      <c r="F2" s="4" t="s">
        <v>33</v>
      </c>
      <c r="G2" s="4" t="s">
        <v>34</v>
      </c>
      <c r="H2" s="4" t="s">
        <v>35</v>
      </c>
      <c r="I2" s="4" t="s">
        <v>36</v>
      </c>
      <c r="J2" s="1" t="s">
        <v>37</v>
      </c>
    </row>
    <row r="3" spans="1:10" x14ac:dyDescent="0.3">
      <c r="A3" s="1">
        <v>1</v>
      </c>
      <c r="B3" s="4">
        <v>72915627</v>
      </c>
      <c r="C3" s="4">
        <v>175639270</v>
      </c>
      <c r="D3" s="4">
        <v>0</v>
      </c>
      <c r="E3" s="4">
        <v>187286249</v>
      </c>
      <c r="F3" s="4">
        <v>154027666</v>
      </c>
      <c r="G3" s="4">
        <v>0</v>
      </c>
      <c r="H3" s="4">
        <v>0</v>
      </c>
      <c r="I3" s="4">
        <v>0</v>
      </c>
      <c r="J3" s="4">
        <f t="shared" ref="J3" si="0">SUM(B3:I3)</f>
        <v>589868812</v>
      </c>
    </row>
    <row r="4" spans="1:10" x14ac:dyDescent="0.3">
      <c r="A4" s="1">
        <v>2</v>
      </c>
      <c r="B4" s="4">
        <v>558307382</v>
      </c>
      <c r="C4" s="4">
        <v>102765592</v>
      </c>
      <c r="D4" s="4">
        <v>0</v>
      </c>
      <c r="E4" s="4">
        <v>1074287</v>
      </c>
      <c r="F4" s="4">
        <v>1009061612</v>
      </c>
      <c r="G4" s="4">
        <v>0</v>
      </c>
      <c r="H4" s="4">
        <v>0</v>
      </c>
      <c r="I4" s="4">
        <v>0</v>
      </c>
      <c r="J4" s="4">
        <f>SUM(B4:I4)</f>
        <v>1671208873</v>
      </c>
    </row>
    <row r="5" spans="1:10" x14ac:dyDescent="0.3">
      <c r="A5" s="1">
        <v>3</v>
      </c>
      <c r="B5" s="4">
        <v>0</v>
      </c>
      <c r="C5" s="4">
        <v>43440936</v>
      </c>
      <c r="D5" s="4">
        <v>0</v>
      </c>
      <c r="E5" s="4">
        <v>146102636</v>
      </c>
      <c r="F5" s="4">
        <v>164999765</v>
      </c>
      <c r="G5" s="4">
        <v>0</v>
      </c>
      <c r="H5" s="4">
        <v>0</v>
      </c>
      <c r="I5" s="4">
        <v>0</v>
      </c>
      <c r="J5" s="4">
        <f>SUM(B5:I5)</f>
        <v>354543337</v>
      </c>
    </row>
    <row r="6" spans="1:10" x14ac:dyDescent="0.3">
      <c r="A6" s="1" t="s">
        <v>37</v>
      </c>
      <c r="B6" s="4">
        <f t="shared" ref="B6:I6" si="1">SUBTOTAL(109,B3:B5)</f>
        <v>631223009</v>
      </c>
      <c r="C6" s="4">
        <f t="shared" si="1"/>
        <v>321845798</v>
      </c>
      <c r="D6" s="4">
        <f t="shared" si="1"/>
        <v>0</v>
      </c>
      <c r="E6" s="4">
        <f t="shared" si="1"/>
        <v>334463172</v>
      </c>
      <c r="F6" s="4">
        <f t="shared" si="1"/>
        <v>1328089043</v>
      </c>
      <c r="G6" s="4">
        <f t="shared" si="1"/>
        <v>0</v>
      </c>
      <c r="H6" s="4">
        <f t="shared" si="1"/>
        <v>0</v>
      </c>
      <c r="I6" s="4">
        <f t="shared" si="1"/>
        <v>0</v>
      </c>
      <c r="J6" s="4">
        <f>SUM(B6:I6)</f>
        <v>2615621022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27</vt:i4>
      </vt:variant>
    </vt:vector>
  </HeadingPairs>
  <TitlesOfParts>
    <vt:vector size="41" baseType="lpstr">
      <vt:lpstr>Single_Common_Bond_Expansion</vt:lpstr>
      <vt:lpstr>Multiple_Common_Bond_Expansion</vt:lpstr>
      <vt:lpstr>Community_Expansion</vt:lpstr>
      <vt:lpstr>Community_Conversion</vt:lpstr>
      <vt:lpstr>Low_Income_Community_Expansion</vt:lpstr>
      <vt:lpstr>Underserved_Area</vt:lpstr>
      <vt:lpstr>Charter_Conversions</vt:lpstr>
      <vt:lpstr>Insurance_Applications</vt:lpstr>
      <vt:lpstr>Insurance_Conversion</vt:lpstr>
      <vt:lpstr>Charter_Applications</vt:lpstr>
      <vt:lpstr>Housekeeping</vt:lpstr>
      <vt:lpstr>TIP</vt:lpstr>
      <vt:lpstr>Mergers_Approved</vt:lpstr>
      <vt:lpstr>Merging_Credit_Union_Assets</vt:lpstr>
      <vt:lpstr>Charter_Applications</vt:lpstr>
      <vt:lpstr>Charter_Conversions</vt:lpstr>
      <vt:lpstr>Community_Conversion</vt:lpstr>
      <vt:lpstr>Community_Expansion</vt:lpstr>
      <vt:lpstr>Housekeeping</vt:lpstr>
      <vt:lpstr>Insurance_Applications</vt:lpstr>
      <vt:lpstr>Insurance_Conversion</vt:lpstr>
      <vt:lpstr>Low_Income_Community_Expansion</vt:lpstr>
      <vt:lpstr>Mergers_Approved</vt:lpstr>
      <vt:lpstr>Merging_Credit_Union_Assets</vt:lpstr>
      <vt:lpstr>Multiple_Common_Bond_Expansion</vt:lpstr>
      <vt:lpstr>Single_Common_Bond_Expansion</vt:lpstr>
      <vt:lpstr>TIP</vt:lpstr>
      <vt:lpstr>TitleRegion1.A1.F6.1</vt:lpstr>
      <vt:lpstr>TitleRegion11.A1.E5.11</vt:lpstr>
      <vt:lpstr>TitleRegion12.A1.E5.12</vt:lpstr>
      <vt:lpstr>TitleRegion13.A1.J5.13</vt:lpstr>
      <vt:lpstr>TitleRegion14.A1.J5.14</vt:lpstr>
      <vt:lpstr>TitleRegion2.A1.F6.2</vt:lpstr>
      <vt:lpstr>TitleRegion3.A1.G6.3</vt:lpstr>
      <vt:lpstr>TitleRegion4.A1.G6.4</vt:lpstr>
      <vt:lpstr>TitleRegion5.A1.G6.5</vt:lpstr>
      <vt:lpstr>TitleRegion6.A1.G6.6</vt:lpstr>
      <vt:lpstr>TitleRegion7.A1.E5.7</vt:lpstr>
      <vt:lpstr>TitleRegion8.A1.E5.8</vt:lpstr>
      <vt:lpstr>TitleRegion9.A1.I5.9</vt:lpstr>
      <vt:lpstr>Underserved_Area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Insurance Report Activity Summary 2025</dc:title>
  <dc:creator>Alcorta, Nicholette</dc:creator>
  <cp:lastModifiedBy>Kalai Annadhurai</cp:lastModifiedBy>
  <dcterms:created xsi:type="dcterms:W3CDTF">2026-02-03T18:48:16Z</dcterms:created>
  <dcterms:modified xsi:type="dcterms:W3CDTF">2026-02-23T10:31:33Z</dcterms:modified>
</cp:coreProperties>
</file>